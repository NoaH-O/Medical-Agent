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O:\1301\Revenue Cycle\RI\Ed\PROJECTS\OSHPD - HCAI\CDM_HCAI_2025\"/>
    </mc:Choice>
  </mc:AlternateContent>
  <bookViews>
    <workbookView xWindow="0" yWindow="0" windowWidth="28800" windowHeight="12300" firstSheet="1" activeTab="1"/>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 i="5" l="1"/>
  <c r="C73" i="5" l="1"/>
</calcChain>
</file>

<file path=xl/sharedStrings.xml><?xml version="1.0" encoding="utf-8"?>
<sst xmlns="http://schemas.openxmlformats.org/spreadsheetml/2006/main" count="188" uniqueCount="127">
  <si>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</si>
  <si>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</si>
  <si>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</si>
  <si>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</si>
  <si>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</si>
  <si>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</si>
  <si>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</si>
  <si>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</si>
  <si>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</si>
  <si>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</si>
  <si>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</si>
  <si>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</si>
  <si>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</si>
  <si>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</si>
  <si>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</si>
  <si>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</si>
  <si>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</si>
  <si>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</si>
  <si>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</si>
  <si>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</si>
  <si>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</si>
  <si>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</si>
  <si>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</si>
  <si>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</si>
  <si>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</si>
  <si>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</si>
  <si>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</si>
  <si>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</si>
  <si>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</si>
  <si>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</si>
  <si>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</si>
  <si>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</si>
  <si>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</si>
  <si>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</si>
  <si>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</si>
  <si>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</si>
  <si>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</si>
  <si>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</si>
  <si>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</si>
  <si>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</si>
  <si>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</si>
  <si>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</si>
  <si>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</si>
  <si>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</si>
  <si>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</si>
  <si>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</si>
  <si>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</si>
  <si>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</si>
  <si>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</si>
  <si>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</si>
  <si>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</si>
  <si>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</si>
  <si>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</si>
  <si>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</si>
  <si>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</si>
  <si>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</si>
  <si>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</si>
  <si>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</si>
  <si>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</si>
  <si>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</si>
  <si>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</si>
  <si>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</si>
  <si>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</si>
  <si>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</si>
  <si>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</si>
  <si>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</si>
  <si>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</si>
  <si>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</si>
  <si>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</si>
  <si>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</si>
  <si>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</si>
  <si>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</si>
  <si>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Radiology Services  (CPT Codes 70010-79999)</t>
  </si>
  <si>
    <t>MRI, Brain, without contrast, followed by contrast</t>
  </si>
  <si>
    <t>Ultrasound, Abdomen, Complete</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</si>
  <si>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</si>
  <si>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</si>
  <si>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</si>
  <si>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</si>
  <si>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</si>
  <si>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</si>
  <si>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</si>
  <si>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</si>
  <si>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</si>
  <si>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</si>
  <si>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</si>
  <si>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</si>
  <si>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</si>
  <si>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</si>
  <si>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</si>
  <si>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</si>
  <si>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</si>
  <si>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</si>
  <si>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</si>
  <si>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</si>
  <si>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</si>
  <si>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</si>
  <si>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</si>
  <si>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</si>
  <si>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</si>
  <si>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</si>
  <si>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</si>
  <si>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</si>
  <si>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</si>
  <si>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</si>
  <si>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</si>
  <si>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</si>
  <si>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</si>
  <si>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</si>
  <si>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</si>
  <si>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</si>
  <si>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</si>
  <si>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</si>
  <si>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</si>
  <si>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</si>
  <si>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</si>
  <si>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</si>
  <si>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2025 CPT Code</t>
  </si>
  <si>
    <t>Instructions for Completing Common Outpatient Procedure Form</t>
  </si>
  <si>
    <t>Effective Date of Charges: 06/01/2025</t>
  </si>
  <si>
    <t>99213/G0463</t>
  </si>
  <si>
    <t>Hospital Name:  Victor Valley Global Medical Center</t>
  </si>
  <si>
    <t>HCAI Facility No: 106361370</t>
  </si>
  <si>
    <t>CT Scan, Abdomen/Pelvis with contrast</t>
  </si>
  <si>
    <t>CT Cervical Spine w Contrast</t>
  </si>
  <si>
    <t>Ultrasound, OB, &lt;14 weeks SGL</t>
  </si>
  <si>
    <t>Magnesium Blood Chem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</si>
</sst>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14"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3" fillId="0" borderId="0"/>
    <xf numFmtId="0" fontId="13" fillId="0" borderId="0"/>
  </cellStyleXfs>
  <cellXfs count="78">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4" borderId="14" xfId="0" applyFont="1" applyFill="1" applyBorder="1" applyAlignment="1">
      <alignment horizontal="center" vertical="center" wrapText="1"/>
    </xf>
    <xf numFmtId="0" fontId="1" fillId="4" borderId="14" xfId="0" applyFont="1" applyFill="1" applyBorder="1" applyAlignment="1">
      <alignment horizontal="center" wrapText="1"/>
    </xf>
    <xf numFmtId="164" fontId="1" fillId="0" borderId="8" xfId="0" applyNumberFormat="1" applyFont="1" applyBorder="1"/>
    <xf numFmtId="0" fontId="2" fillId="0" borderId="2" xfId="0" applyFont="1" applyBorder="1" applyAlignment="1">
      <alignment horizontal="left"/>
    </xf>
    <xf numFmtId="17" fontId="1" fillId="0" borderId="13" xfId="0" applyNumberFormat="1" applyFont="1" applyBorder="1" applyAlignment="1">
      <alignment horizontal="left" indent="1"/>
    </xf>
    <xf numFmtId="0" fontId="1" fillId="0" borderId="14" xfId="0" applyFont="1" applyBorder="1" applyAlignment="1">
      <alignment horizontal="left" indent="1"/>
    </xf>
    <xf numFmtId="17" fontId="1" fillId="0" borderId="14" xfId="0" applyNumberFormat="1" applyFont="1" applyBorder="1" applyAlignment="1">
      <alignment horizontal="left" wrapText="1"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164" fontId="1" fillId="0" borderId="7" xfId="0" applyNumberFormat="1" applyFont="1" applyBorder="1"/>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view="pageLayout" zoomScale="120" zoomScaleNormal="100" zoomScalePageLayoutView="120" workbookViewId="0">
      <selection activeCell="A13" sqref="A13:C13"/>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70" t="s">
        <v>121</v>
      </c>
      <c r="B1" s="14"/>
      <c r="C1" s="15"/>
    </row>
    <row r="2" spans="1:4" ht="15" customHeight="1" x14ac:dyDescent="0.25">
      <c r="A2" s="16" t="s">
        <v>122</v>
      </c>
      <c r="C2" s="17"/>
    </row>
    <row r="3" spans="1:4" ht="15" customHeight="1" x14ac:dyDescent="0.25">
      <c r="A3" s="16" t="s">
        <v>119</v>
      </c>
      <c r="C3" s="17"/>
    </row>
    <row r="4" spans="1:4" ht="15" x14ac:dyDescent="0.25">
      <c r="A4" s="40"/>
      <c r="B4" s="20"/>
      <c r="C4" s="21"/>
    </row>
    <row r="5" spans="1:4" ht="73.5" customHeight="1" x14ac:dyDescent="0.2">
      <c r="A5" s="74" t="s">
        <v>64</v>
      </c>
      <c r="B5" s="75"/>
      <c r="C5" s="76"/>
    </row>
    <row r="6" spans="1:4" ht="15" customHeight="1" x14ac:dyDescent="0.25">
      <c r="A6" s="28" t="s">
        <v>65</v>
      </c>
      <c r="B6" s="54" t="s">
        <v>117</v>
      </c>
      <c r="C6" s="27" t="s">
        <v>66</v>
      </c>
      <c r="D6" s="35"/>
    </row>
    <row r="7" spans="1:4" ht="15" customHeight="1" x14ac:dyDescent="0.2">
      <c r="A7" s="22" t="s">
        <v>111</v>
      </c>
      <c r="B7" s="56">
        <v>99282</v>
      </c>
      <c r="C7" s="64">
        <v>497.23</v>
      </c>
    </row>
    <row r="8" spans="1:4" ht="15" customHeight="1" x14ac:dyDescent="0.2">
      <c r="A8" s="23" t="s">
        <v>112</v>
      </c>
      <c r="B8" s="57">
        <v>99283</v>
      </c>
      <c r="C8" s="65">
        <v>1268.98</v>
      </c>
    </row>
    <row r="9" spans="1:4" ht="15" customHeight="1" x14ac:dyDescent="0.2">
      <c r="A9" s="55" t="s">
        <v>113</v>
      </c>
      <c r="B9" s="57">
        <v>99284</v>
      </c>
      <c r="C9" s="65">
        <v>2073.8000000000002</v>
      </c>
    </row>
    <row r="10" spans="1:4" ht="15" customHeight="1" x14ac:dyDescent="0.2">
      <c r="A10" s="55" t="s">
        <v>114</v>
      </c>
      <c r="B10" s="57">
        <v>99285</v>
      </c>
      <c r="C10" s="65">
        <v>2489.4499999999998</v>
      </c>
    </row>
    <row r="11" spans="1:4" ht="15" customHeight="1" x14ac:dyDescent="0.2">
      <c r="A11" s="63" t="s">
        <v>116</v>
      </c>
      <c r="B11" s="67" t="s">
        <v>120</v>
      </c>
      <c r="C11" s="65">
        <v>150.31</v>
      </c>
    </row>
    <row r="12" spans="1:4" ht="15" customHeight="1" x14ac:dyDescent="0.25">
      <c r="A12" s="28" t="s">
        <v>67</v>
      </c>
      <c r="B12" s="54" t="s">
        <v>117</v>
      </c>
      <c r="C12" s="27"/>
      <c r="D12" s="35"/>
    </row>
    <row r="13" spans="1:4" ht="15" customHeight="1" x14ac:dyDescent="0.2">
      <c r="A13" s="71" t="s">
        <v>126</v>
      </c>
      <c r="B13" s="56">
        <v>83735</v>
      </c>
      <c r="C13" s="77">
        <v>52.92</v>
      </c>
    </row>
    <row r="14" spans="1:4" ht="15" customHeight="1" x14ac:dyDescent="0.2">
      <c r="A14" s="24" t="s">
        <v>68</v>
      </c>
      <c r="B14" s="57">
        <v>82805</v>
      </c>
      <c r="C14" s="65">
        <v>364.35</v>
      </c>
    </row>
    <row r="15" spans="1:4" ht="15" customHeight="1" x14ac:dyDescent="0.2">
      <c r="A15" s="23" t="s">
        <v>69</v>
      </c>
      <c r="B15" s="57">
        <v>85027</v>
      </c>
      <c r="C15" s="65">
        <v>165.38</v>
      </c>
    </row>
    <row r="16" spans="1:4" ht="15" customHeight="1" x14ac:dyDescent="0.2">
      <c r="A16" s="23" t="s">
        <v>70</v>
      </c>
      <c r="B16" s="57">
        <v>85025</v>
      </c>
      <c r="C16" s="65">
        <v>157.5</v>
      </c>
    </row>
    <row r="17" spans="1:4" ht="15" customHeight="1" x14ac:dyDescent="0.2">
      <c r="A17" s="23" t="s">
        <v>7</v>
      </c>
      <c r="B17" s="57">
        <v>80053</v>
      </c>
      <c r="C17" s="69">
        <v>69.459999999999994</v>
      </c>
    </row>
    <row r="18" spans="1:4" ht="15" customHeight="1" x14ac:dyDescent="0.2">
      <c r="A18" s="24" t="s">
        <v>41</v>
      </c>
      <c r="B18" s="57">
        <v>82550</v>
      </c>
      <c r="C18" s="65">
        <v>44.1</v>
      </c>
    </row>
    <row r="19" spans="1:4" ht="15" customHeight="1" x14ac:dyDescent="0.2">
      <c r="A19" s="23" t="s">
        <v>31</v>
      </c>
      <c r="B19" s="57">
        <v>80061</v>
      </c>
      <c r="C19" s="65">
        <v>77.180000000000007</v>
      </c>
    </row>
    <row r="20" spans="1:4" ht="15" customHeight="1" x14ac:dyDescent="0.2">
      <c r="A20" s="23" t="s">
        <v>48</v>
      </c>
      <c r="B20" s="57">
        <v>85730</v>
      </c>
      <c r="C20" s="65">
        <v>117.97</v>
      </c>
    </row>
    <row r="21" spans="1:4" ht="15" customHeight="1" x14ac:dyDescent="0.2">
      <c r="A21" s="24" t="s">
        <v>12</v>
      </c>
      <c r="B21" s="57">
        <v>85610</v>
      </c>
      <c r="C21" s="65">
        <v>27.56</v>
      </c>
    </row>
    <row r="22" spans="1:4" ht="15" customHeight="1" x14ac:dyDescent="0.2">
      <c r="A22" s="58" t="s">
        <v>42</v>
      </c>
      <c r="B22" s="57">
        <v>84443</v>
      </c>
      <c r="C22" s="65">
        <v>157.66</v>
      </c>
    </row>
    <row r="23" spans="1:4" ht="15" customHeight="1" x14ac:dyDescent="0.2">
      <c r="A23" s="23" t="s">
        <v>52</v>
      </c>
      <c r="B23" s="57">
        <v>84484</v>
      </c>
      <c r="C23" s="65">
        <v>190.73</v>
      </c>
    </row>
    <row r="24" spans="1:4" ht="15" customHeight="1" x14ac:dyDescent="0.2">
      <c r="A24" s="23" t="s">
        <v>71</v>
      </c>
      <c r="B24" s="68">
        <v>81003</v>
      </c>
      <c r="C24" s="65">
        <v>61.74</v>
      </c>
    </row>
    <row r="25" spans="1:4" ht="15" customHeight="1" x14ac:dyDescent="0.2">
      <c r="A25" s="24" t="s">
        <v>49</v>
      </c>
      <c r="B25" s="68">
        <v>81001</v>
      </c>
      <c r="C25" s="65">
        <v>122.85</v>
      </c>
    </row>
    <row r="26" spans="1:4" ht="15" customHeight="1" x14ac:dyDescent="0.25">
      <c r="A26" s="29" t="s">
        <v>72</v>
      </c>
      <c r="B26" s="54" t="s">
        <v>117</v>
      </c>
      <c r="C26" s="27"/>
      <c r="D26" s="35"/>
    </row>
    <row r="27" spans="1:4" ht="15" customHeight="1" x14ac:dyDescent="0.2">
      <c r="A27" s="71" t="s">
        <v>123</v>
      </c>
      <c r="B27" s="56">
        <v>74177</v>
      </c>
      <c r="C27" s="64">
        <v>2894.06</v>
      </c>
    </row>
    <row r="28" spans="1:4" ht="15" customHeight="1" x14ac:dyDescent="0.2">
      <c r="A28" s="24" t="s">
        <v>19</v>
      </c>
      <c r="B28" s="57">
        <v>70450</v>
      </c>
      <c r="C28" s="65">
        <v>2235.87</v>
      </c>
    </row>
    <row r="29" spans="1:4" ht="15" customHeight="1" x14ac:dyDescent="0.2">
      <c r="A29" s="72" t="s">
        <v>124</v>
      </c>
      <c r="B29" s="57">
        <v>72125</v>
      </c>
      <c r="C29" s="65">
        <v>2931.55</v>
      </c>
    </row>
    <row r="30" spans="1:4" ht="15" customHeight="1" x14ac:dyDescent="0.2">
      <c r="A30" s="24" t="s">
        <v>15</v>
      </c>
      <c r="B30" s="57">
        <v>77067</v>
      </c>
      <c r="C30" s="65">
        <v>155.4</v>
      </c>
    </row>
    <row r="31" spans="1:4" ht="15" customHeight="1" x14ac:dyDescent="0.2">
      <c r="A31" s="23" t="s">
        <v>73</v>
      </c>
      <c r="B31" s="57">
        <v>70553</v>
      </c>
      <c r="C31" s="65">
        <v>5355</v>
      </c>
    </row>
    <row r="32" spans="1:4" ht="15" customHeight="1" x14ac:dyDescent="0.2">
      <c r="A32" s="23" t="s">
        <v>74</v>
      </c>
      <c r="B32" s="57">
        <v>76700</v>
      </c>
      <c r="C32" s="65">
        <v>1110.9000000000001</v>
      </c>
    </row>
    <row r="33" spans="1:6" ht="15" customHeight="1" x14ac:dyDescent="0.2">
      <c r="A33" s="73" t="s">
        <v>125</v>
      </c>
      <c r="B33" s="57">
        <v>76801</v>
      </c>
      <c r="C33" s="65">
        <v>719.93</v>
      </c>
    </row>
    <row r="34" spans="1:6" ht="15" customHeight="1" x14ac:dyDescent="0.2">
      <c r="A34" s="24" t="s">
        <v>75</v>
      </c>
      <c r="B34" s="57">
        <v>72110</v>
      </c>
      <c r="C34" s="65">
        <v>728.7</v>
      </c>
      <c r="E34"/>
      <c r="F34"/>
    </row>
    <row r="35" spans="1:6" ht="15" customHeight="1" x14ac:dyDescent="0.2">
      <c r="A35" s="24" t="s">
        <v>3</v>
      </c>
      <c r="B35" s="57">
        <v>71046</v>
      </c>
      <c r="C35" s="65">
        <v>312.01</v>
      </c>
    </row>
    <row r="36" spans="1:6" ht="15" customHeight="1" x14ac:dyDescent="0.25">
      <c r="A36" s="28" t="s">
        <v>76</v>
      </c>
      <c r="B36" s="54" t="s">
        <v>117</v>
      </c>
      <c r="C36" s="52"/>
      <c r="D36" s="35"/>
    </row>
    <row r="37" spans="1:6" ht="15" customHeight="1" x14ac:dyDescent="0.2">
      <c r="A37" s="25" t="s">
        <v>77</v>
      </c>
      <c r="B37" s="56">
        <v>93452</v>
      </c>
      <c r="C37" s="64">
        <v>12993.75</v>
      </c>
    </row>
    <row r="38" spans="1:6" ht="15" customHeight="1" x14ac:dyDescent="0.2">
      <c r="A38" s="24" t="s">
        <v>115</v>
      </c>
      <c r="B38" s="57">
        <v>93307</v>
      </c>
      <c r="C38" s="65">
        <v>1365</v>
      </c>
    </row>
    <row r="39" spans="1:6" ht="15" customHeight="1" x14ac:dyDescent="0.2">
      <c r="A39" s="24" t="s">
        <v>78</v>
      </c>
      <c r="B39" s="57">
        <v>93005</v>
      </c>
      <c r="C39" s="69">
        <v>358.88</v>
      </c>
    </row>
    <row r="40" spans="1:6" ht="15" customHeight="1" x14ac:dyDescent="0.2">
      <c r="A40" s="23" t="s">
        <v>79</v>
      </c>
      <c r="B40" s="57">
        <v>94640</v>
      </c>
      <c r="C40" s="65">
        <v>201.6</v>
      </c>
    </row>
    <row r="41" spans="1:6" ht="15" customHeight="1" x14ac:dyDescent="0.2">
      <c r="A41" s="23" t="s">
        <v>80</v>
      </c>
      <c r="B41" s="57" t="s">
        <v>81</v>
      </c>
      <c r="C41" s="65">
        <v>231.53</v>
      </c>
    </row>
    <row r="42" spans="1:6" ht="15" customHeight="1" x14ac:dyDescent="0.2">
      <c r="A42" s="23" t="s">
        <v>82</v>
      </c>
      <c r="B42" s="57">
        <v>97116</v>
      </c>
      <c r="C42" s="65">
        <f>202.86/2</f>
        <v>101.43</v>
      </c>
    </row>
    <row r="43" spans="1:6" ht="15" customHeight="1" x14ac:dyDescent="0.2">
      <c r="A43" s="59" t="s">
        <v>83</v>
      </c>
      <c r="B43" s="61">
        <v>97110</v>
      </c>
      <c r="C43" s="66">
        <v>101.43</v>
      </c>
    </row>
    <row r="44" spans="1:6" ht="15" customHeight="1" x14ac:dyDescent="0.25">
      <c r="A44" s="28" t="s">
        <v>84</v>
      </c>
      <c r="B44" s="26" t="s">
        <v>117</v>
      </c>
      <c r="C44" s="27" t="s">
        <v>66</v>
      </c>
      <c r="D44" s="35"/>
    </row>
    <row r="45" spans="1:6" ht="15" customHeight="1" x14ac:dyDescent="0.2">
      <c r="A45" s="25" t="s">
        <v>85</v>
      </c>
      <c r="B45" s="62">
        <v>29881</v>
      </c>
      <c r="C45" s="64"/>
    </row>
    <row r="46" spans="1:6" ht="15" customHeight="1" x14ac:dyDescent="0.2">
      <c r="A46" s="24" t="s">
        <v>86</v>
      </c>
      <c r="B46" s="60">
        <v>29826</v>
      </c>
      <c r="C46" s="65"/>
    </row>
    <row r="47" spans="1:6" ht="15" customHeight="1" x14ac:dyDescent="0.2">
      <c r="A47" s="24" t="s">
        <v>37</v>
      </c>
      <c r="B47" s="60">
        <v>64721</v>
      </c>
      <c r="C47" s="65"/>
    </row>
    <row r="48" spans="1:6" ht="15" customHeight="1" x14ac:dyDescent="0.2">
      <c r="A48" s="24" t="s">
        <v>59</v>
      </c>
      <c r="B48" s="60">
        <v>66984</v>
      </c>
      <c r="C48" s="65"/>
    </row>
    <row r="49" spans="1:3" ht="15" customHeight="1" x14ac:dyDescent="0.2">
      <c r="A49" s="24" t="s">
        <v>87</v>
      </c>
      <c r="B49" s="60">
        <v>45378</v>
      </c>
      <c r="C49" s="65"/>
    </row>
    <row r="50" spans="1:3" ht="15" customHeight="1" x14ac:dyDescent="0.2">
      <c r="A50" s="24" t="s">
        <v>88</v>
      </c>
      <c r="B50" s="60">
        <v>45380</v>
      </c>
      <c r="C50" s="65"/>
    </row>
    <row r="51" spans="1:3" ht="15" customHeight="1" x14ac:dyDescent="0.2">
      <c r="A51" s="24" t="s">
        <v>89</v>
      </c>
      <c r="B51" s="60">
        <v>45385</v>
      </c>
      <c r="C51" s="65"/>
    </row>
    <row r="52" spans="1:3" ht="15" customHeight="1" x14ac:dyDescent="0.2">
      <c r="A52" s="24" t="s">
        <v>90</v>
      </c>
      <c r="B52" s="60">
        <v>66821</v>
      </c>
      <c r="C52" s="65"/>
    </row>
    <row r="53" spans="1:3" ht="15" customHeight="1" x14ac:dyDescent="0.2">
      <c r="A53" s="23" t="s">
        <v>22</v>
      </c>
      <c r="B53" s="60">
        <v>43239</v>
      </c>
      <c r="C53" s="65"/>
    </row>
    <row r="54" spans="1:3" ht="15" customHeight="1" x14ac:dyDescent="0.2">
      <c r="A54" s="23" t="s">
        <v>91</v>
      </c>
      <c r="B54" s="60">
        <v>43235</v>
      </c>
      <c r="C54" s="65"/>
    </row>
    <row r="55" spans="1:3" ht="15" customHeight="1" x14ac:dyDescent="0.2">
      <c r="A55" s="24" t="s">
        <v>92</v>
      </c>
      <c r="B55" s="60">
        <v>19120</v>
      </c>
      <c r="C55" s="65"/>
    </row>
    <row r="56" spans="1:3" ht="15" customHeight="1" x14ac:dyDescent="0.2">
      <c r="A56" s="24" t="s">
        <v>93</v>
      </c>
      <c r="B56" s="60">
        <v>49505</v>
      </c>
      <c r="C56" s="65"/>
    </row>
    <row r="57" spans="1:3" ht="15" customHeight="1" x14ac:dyDescent="0.2">
      <c r="A57" s="24" t="s">
        <v>94</v>
      </c>
      <c r="B57" s="60" t="s">
        <v>95</v>
      </c>
      <c r="C57" s="65"/>
    </row>
    <row r="58" spans="1:3" ht="15" customHeight="1" x14ac:dyDescent="0.2">
      <c r="A58" s="24" t="s">
        <v>96</v>
      </c>
      <c r="B58" s="60">
        <v>64483</v>
      </c>
      <c r="C58" s="65"/>
    </row>
    <row r="59" spans="1:3" ht="15" customHeight="1" x14ac:dyDescent="0.2">
      <c r="A59" s="24" t="s">
        <v>25</v>
      </c>
      <c r="B59" s="60">
        <v>47562</v>
      </c>
      <c r="C59" s="65"/>
    </row>
    <row r="60" spans="1:3" ht="15" customHeight="1" x14ac:dyDescent="0.2">
      <c r="A60" s="24" t="s">
        <v>97</v>
      </c>
      <c r="B60" s="60">
        <v>69436</v>
      </c>
      <c r="C60" s="65"/>
    </row>
    <row r="61" spans="1:3" ht="15" customHeight="1" x14ac:dyDescent="0.2">
      <c r="A61" s="24" t="s">
        <v>98</v>
      </c>
      <c r="B61" s="60">
        <v>42820</v>
      </c>
      <c r="C61" s="65"/>
    </row>
    <row r="62" spans="1:3" ht="29.25" customHeight="1" x14ac:dyDescent="0.25">
      <c r="A62" s="28" t="s">
        <v>99</v>
      </c>
      <c r="B62" s="53" t="s">
        <v>117</v>
      </c>
      <c r="C62" s="27" t="s">
        <v>66</v>
      </c>
    </row>
    <row r="63" spans="1:3" ht="15" customHeight="1" x14ac:dyDescent="0.2">
      <c r="A63" s="25"/>
      <c r="B63" s="32"/>
      <c r="C63" s="36"/>
    </row>
    <row r="64" spans="1:3" ht="15" customHeight="1" x14ac:dyDescent="0.2">
      <c r="A64" s="24"/>
      <c r="B64" s="30"/>
      <c r="C64" s="37"/>
    </row>
    <row r="65" spans="1:4" ht="15" customHeight="1" x14ac:dyDescent="0.2">
      <c r="A65" s="24"/>
      <c r="B65" s="30"/>
      <c r="C65" s="41"/>
    </row>
    <row r="66" spans="1:4" ht="15" customHeight="1" x14ac:dyDescent="0.2">
      <c r="A66" s="24"/>
      <c r="B66" s="30"/>
      <c r="C66" s="37"/>
    </row>
    <row r="67" spans="1:4" ht="15" customHeight="1" x14ac:dyDescent="0.2">
      <c r="A67" s="24"/>
      <c r="B67" s="30"/>
      <c r="C67" s="37"/>
    </row>
    <row r="68" spans="1:4" ht="15" customHeight="1" x14ac:dyDescent="0.2">
      <c r="A68" s="24"/>
      <c r="B68" s="30"/>
      <c r="C68" s="37"/>
    </row>
    <row r="69" spans="1:4" ht="15" customHeight="1" x14ac:dyDescent="0.2">
      <c r="A69" s="24"/>
      <c r="B69" s="30"/>
      <c r="C69" s="37"/>
    </row>
    <row r="70" spans="1:4" ht="15" customHeight="1" x14ac:dyDescent="0.2">
      <c r="A70" s="24"/>
      <c r="B70" s="30"/>
      <c r="C70" s="37"/>
    </row>
    <row r="71" spans="1:4" ht="15" customHeight="1" x14ac:dyDescent="0.2">
      <c r="A71" s="24"/>
      <c r="B71" s="30"/>
      <c r="C71" s="37"/>
    </row>
    <row r="72" spans="1:4" ht="15" customHeight="1" x14ac:dyDescent="0.2">
      <c r="A72" s="39"/>
      <c r="B72" s="31"/>
      <c r="C72" s="38"/>
    </row>
    <row r="73" spans="1:4" ht="21" customHeight="1" thickBot="1" x14ac:dyDescent="0.3">
      <c r="A73" s="18" t="s">
        <v>100</v>
      </c>
      <c r="B73" s="7"/>
      <c r="C73" s="19">
        <f>COUNTA(C7:C11,C13:C25,C27:C35,C37:C43,C45:C61,C63:C72)</f>
        <v>34</v>
      </c>
      <c r="D73" s="35"/>
    </row>
    <row r="74" spans="1:4" ht="15" customHeight="1" thickTop="1" x14ac:dyDescent="0.2">
      <c r="A74" s="33" t="s">
        <v>118</v>
      </c>
      <c r="B74" s="34"/>
      <c r="C74" s="42"/>
    </row>
    <row r="75" spans="1:4" ht="15" customHeight="1" x14ac:dyDescent="0.2">
      <c r="A75" s="43" t="s">
        <v>101</v>
      </c>
      <c r="B75" s="44"/>
      <c r="C75" s="45"/>
    </row>
    <row r="76" spans="1:4" ht="15" customHeight="1" x14ac:dyDescent="0.2">
      <c r="A76" s="43" t="s">
        <v>102</v>
      </c>
      <c r="B76" s="46"/>
      <c r="C76" s="47"/>
    </row>
    <row r="77" spans="1:4" ht="15" customHeight="1" x14ac:dyDescent="0.2">
      <c r="A77" s="43" t="s">
        <v>103</v>
      </c>
      <c r="B77" s="46"/>
      <c r="C77" s="47"/>
    </row>
    <row r="78" spans="1:4" ht="15" customHeight="1" x14ac:dyDescent="0.2">
      <c r="A78" s="43" t="s">
        <v>104</v>
      </c>
      <c r="B78" s="46"/>
      <c r="C78" s="47"/>
    </row>
    <row r="79" spans="1:4" ht="15" customHeight="1" x14ac:dyDescent="0.2">
      <c r="A79" s="43" t="s">
        <v>105</v>
      </c>
      <c r="B79" s="46"/>
      <c r="C79" s="47"/>
    </row>
    <row r="80" spans="1:4" ht="15" customHeight="1" x14ac:dyDescent="0.2">
      <c r="A80" s="43" t="s">
        <v>106</v>
      </c>
      <c r="B80" s="46"/>
      <c r="C80" s="47"/>
    </row>
    <row r="81" spans="1:4" ht="15" customHeight="1" x14ac:dyDescent="0.2">
      <c r="A81" s="43" t="s">
        <v>107</v>
      </c>
      <c r="B81" s="46"/>
      <c r="C81" s="48"/>
      <c r="D81" s="8"/>
    </row>
    <row r="82" spans="1:4" ht="15" customHeight="1" x14ac:dyDescent="0.2">
      <c r="A82" s="43" t="s">
        <v>108</v>
      </c>
      <c r="B82" s="46"/>
      <c r="C82" s="47"/>
    </row>
    <row r="83" spans="1:4" ht="15" customHeight="1" x14ac:dyDescent="0.2">
      <c r="A83" s="43" t="s">
        <v>109</v>
      </c>
      <c r="B83" s="46"/>
      <c r="C83" s="47"/>
    </row>
    <row r="84" spans="1:4" ht="15" customHeight="1" x14ac:dyDescent="0.2">
      <c r="A84" s="49" t="s">
        <v>110</v>
      </c>
      <c r="B84" s="50"/>
      <c r="C84" s="51"/>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schemas.microsoft.com/office/2006/metadata/properties"/>
    <ds:schemaRef ds:uri="872b3185-5cce-4127-808a-d10c9c4ad9f9"/>
    <ds:schemaRef ds:uri="http://purl.org/dc/terms/"/>
    <ds:schemaRef ds:uri="028dfe86-b506-4476-bb47-cbbf417ff77e"/>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Ed Gajudo</cp:lastModifiedBy>
  <cp:revision/>
  <dcterms:created xsi:type="dcterms:W3CDTF">2007-03-06T21:45:14Z</dcterms:created>
  <dcterms:modified xsi:type="dcterms:W3CDTF">2025-06-24T15:34:20Z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