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1301\Revenue Cycle\RI\Ed\PROJECTS\OSHPD - HCAI\CDM_HCAI_2025\Hcai_2025_Reports\"/>
    </mc:Choice>
  </mc:AlternateContent>
  <bookViews>
    <workbookView xWindow="0" yWindow="0" windowWidth="28800" windowHeight="9600" firstSheet="1" activeTab="1"/>
  </bookViews>
  <sheets>
    <sheet name="Sheet1" sheetId="1" state="hidden" r:id="rId1"/>
    <sheet name="Summary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F11" i="2"/>
  <c r="F9" i="2"/>
  <c r="D14" i="2"/>
  <c r="F7" i="2" l="1"/>
  <c r="F8" i="2"/>
  <c r="F10" i="2"/>
  <c r="F12" i="2"/>
  <c r="E14" i="1"/>
  <c r="D14" i="1"/>
  <c r="G13" i="1"/>
  <c r="H13" i="1" s="1"/>
  <c r="F13" i="1"/>
  <c r="G12" i="1"/>
  <c r="H12" i="1" s="1"/>
  <c r="F12" i="1"/>
  <c r="G11" i="1"/>
  <c r="F11" i="1"/>
  <c r="G10" i="1"/>
  <c r="H10" i="1" s="1"/>
  <c r="F10" i="1"/>
  <c r="G9" i="1"/>
  <c r="H9" i="1" s="1"/>
  <c r="F9" i="1"/>
  <c r="G8" i="1"/>
  <c r="H8" i="1" s="1"/>
  <c r="F8" i="1"/>
  <c r="G7" i="1"/>
  <c r="F7" i="1"/>
  <c r="F14" i="1" s="1"/>
  <c r="E14" i="2" l="1"/>
  <c r="F14" i="2" s="1"/>
  <c r="H7" i="1"/>
  <c r="I9" i="1"/>
  <c r="J9" i="1" s="1"/>
  <c r="H11" i="1"/>
  <c r="I11" i="1" s="1"/>
  <c r="J11" i="1" s="1"/>
  <c r="I13" i="1"/>
  <c r="J13" i="1" s="1"/>
  <c r="I8" i="1"/>
  <c r="J8" i="1" s="1"/>
  <c r="I10" i="1"/>
  <c r="J10" i="1" s="1"/>
  <c r="I12" i="1"/>
  <c r="J12" i="1" s="1"/>
  <c r="G14" i="1"/>
  <c r="H14" i="1" l="1"/>
  <c r="I7" i="1"/>
  <c r="J7" i="1" s="1"/>
  <c r="I14" i="1" l="1"/>
  <c r="J14" i="1" s="1"/>
</calcChain>
</file>

<file path=xl/sharedStrings.xml><?xml version="1.0" encoding="utf-8"?>
<sst xmlns="http://schemas.openxmlformats.org/spreadsheetml/2006/main" count="49" uniqueCount="27">
  <si>
    <t>KPC GLOBAL MANAGEMENT</t>
  </si>
  <si>
    <t>2025 HCAI CDM REPORTING</t>
  </si>
  <si>
    <t>GrossRevenue</t>
  </si>
  <si>
    <t>Total</t>
  </si>
  <si>
    <t>01/06/25-05/31/25</t>
  </si>
  <si>
    <t>Estimated GrChg</t>
  </si>
  <si>
    <t>Est.Increase in</t>
  </si>
  <si>
    <t>Estimated % of</t>
  </si>
  <si>
    <t>FACILITY</t>
  </si>
  <si>
    <t>06/01/24-12/31/24</t>
  </si>
  <si>
    <t>01/01/25-05/31/25</t>
  </si>
  <si>
    <t>GrossChrgs</t>
  </si>
  <si>
    <t>w/o 5% Increase</t>
  </si>
  <si>
    <t>Gr.Rev.DueToPriceIncrease</t>
  </si>
  <si>
    <t>Grand Total</t>
  </si>
  <si>
    <t>HCAI ID</t>
  </si>
  <si>
    <t>Percentage Increase in Gross Revenue Due to CDM Price Increase For Reporting Period 06/01/2024 - 05/31/2025</t>
  </si>
  <si>
    <t>ANAHEIM GLOBAL MEDICAL CENTER</t>
  </si>
  <si>
    <t>CHAPMAN GLOBAL MEDICAL CENTER</t>
  </si>
  <si>
    <t>HEMET GLOBAL MEDICAL CENTER</t>
  </si>
  <si>
    <t>MENIFEE GLOBAL MEDICAL CENTER</t>
  </si>
  <si>
    <t>ORANGE COUNTY GLOBAL MEDICAL CENTER</t>
  </si>
  <si>
    <t>SOUTH COAST GLOBAL MEDICAL CENTER</t>
  </si>
  <si>
    <t>VICTOR VALLEY GLOBAL MEDICAL CENTER</t>
  </si>
  <si>
    <t>Source Date: Power BI Revenue Summary, Revenue Usage Report 06/01/2024-05/31/2025</t>
  </si>
  <si>
    <t>Estimated increase in gross revenue (TotalChargesByFacility 01-06-2025 to 05-31-2025 less 5%)</t>
  </si>
  <si>
    <t>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</si>
</sst>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;\(#,##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64" fontId="5" fillId="0" borderId="1" xfId="1" applyNumberFormat="1" applyFont="1" applyFill="1" applyBorder="1"/>
    <xf numFmtId="164" fontId="2" fillId="0" borderId="1" xfId="0" applyNumberFormat="1" applyFont="1" applyBorder="1"/>
    <xf numFmtId="0" fontId="2" fillId="0" borderId="0" xfId="0" applyFont="1"/>
    <xf numFmtId="0" fontId="3" fillId="0" borderId="0" xfId="0" applyFont="1" applyBorder="1"/>
    <xf numFmtId="164" fontId="3" fillId="0" borderId="0" xfId="1" applyNumberFormat="1" applyFont="1" applyBorder="1"/>
    <xf numFmtId="164" fontId="3" fillId="0" borderId="0" xfId="0" applyNumberFormat="1" applyFont="1" applyBorder="1"/>
    <xf numFmtId="164" fontId="4" fillId="0" borderId="0" xfId="0" applyNumberFormat="1" applyFont="1" applyBorder="1"/>
    <xf numFmtId="0" fontId="0" fillId="0" borderId="0" xfId="0" applyBorder="1"/>
    <xf numFmtId="164" fontId="0" fillId="0" borderId="0" xfId="1" applyNumberFormat="1" applyFont="1" applyBorder="1"/>
    <xf numFmtId="165" fontId="5" fillId="0" borderId="0" xfId="0" applyNumberFormat="1" applyFont="1" applyFill="1" applyBorder="1"/>
    <xf numFmtId="164" fontId="0" fillId="0" borderId="0" xfId="0" applyNumberFormat="1" applyBorder="1"/>
    <xf numFmtId="164" fontId="2" fillId="0" borderId="0" xfId="0" applyNumberFormat="1" applyFont="1" applyBorder="1"/>
    <xf numFmtId="0" fontId="0" fillId="0" borderId="2" xfId="0" applyBorder="1"/>
    <xf numFmtId="164" fontId="0" fillId="0" borderId="2" xfId="1" applyNumberFormat="1" applyFont="1" applyBorder="1"/>
    <xf numFmtId="164" fontId="0" fillId="0" borderId="2" xfId="0" applyNumberFormat="1" applyBorder="1"/>
    <xf numFmtId="164" fontId="2" fillId="0" borderId="2" xfId="0" applyNumberFormat="1" applyFont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/>
    <xf numFmtId="9" fontId="0" fillId="0" borderId="1" xfId="2" applyFont="1" applyBorder="1"/>
    <xf numFmtId="9" fontId="0" fillId="0" borderId="0" xfId="2" applyFont="1" applyBorder="1"/>
    <xf numFmtId="9" fontId="0" fillId="0" borderId="2" xfId="2" applyFont="1" applyBorder="1"/>
  </cellXfs>
  <cellStyles count="4">
    <cellStyle name="Currency" xfId="1" builtin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301/Revenue%20Cycle/RI/Ed/PROJECTS/OSHPD%20-%20HCAI/CDM_HCAI_2025/RevUsg/%25%20IncreaseInGrossRevenue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ummary1"/>
      <sheetName val="AGMC"/>
      <sheetName val="CGMC"/>
      <sheetName val="HEMET"/>
      <sheetName val="MGMC"/>
      <sheetName val="OCGMC"/>
      <sheetName val="SCGMC"/>
      <sheetName val="VVGMC"/>
    </sheetNames>
    <sheetDataSet>
      <sheetData sheetId="0"/>
      <sheetData sheetId="1"/>
      <sheetData sheetId="2">
        <row r="270726">
          <cell r="I270726">
            <v>136114848.94024512</v>
          </cell>
        </row>
      </sheetData>
      <sheetData sheetId="3">
        <row r="1">
          <cell r="I1">
            <v>82656271.140063614</v>
          </cell>
        </row>
      </sheetData>
      <sheetData sheetId="4">
        <row r="1">
          <cell r="I1">
            <v>299238285.54024941</v>
          </cell>
        </row>
      </sheetData>
      <sheetData sheetId="5">
        <row r="1">
          <cell r="I1">
            <v>88970233.839966089</v>
          </cell>
        </row>
      </sheetData>
      <sheetData sheetId="6">
        <row r="1">
          <cell r="I1">
            <v>452515848.59046346</v>
          </cell>
        </row>
      </sheetData>
      <sheetData sheetId="7">
        <row r="1">
          <cell r="I1">
            <v>124642439.64034347</v>
          </cell>
        </row>
      </sheetData>
      <sheetData sheetId="8">
        <row r="1">
          <cell r="J1">
            <v>158881970.1899727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H6" sqref="H6"/>
    </sheetView>
  </sheetViews>
  <sheetFormatPr defaultRowHeight="15" x14ac:dyDescent="0.25"/>
  <cols>
    <col min="1" max="1" width="10.85546875" customWidth="1"/>
    <col min="2" max="2" width="21.7109375" customWidth="1"/>
    <col min="3" max="3" width="46.140625" customWidth="1"/>
    <col min="4" max="5" width="17.42578125" bestFit="1" customWidth="1"/>
    <col min="6" max="6" width="15.28515625" bestFit="1" customWidth="1"/>
    <col min="7" max="7" width="17.42578125" bestFit="1" customWidth="1"/>
    <col min="8" max="8" width="15.85546875" bestFit="1" customWidth="1"/>
    <col min="9" max="9" width="18.5703125" bestFit="1" customWidth="1"/>
    <col min="10" max="10" width="25.7109375" bestFit="1" customWidth="1"/>
  </cols>
  <sheetData>
    <row r="1" spans="1:11" x14ac:dyDescent="0.25">
      <c r="A1" s="1" t="s">
        <v>0</v>
      </c>
      <c r="B1" s="1"/>
      <c r="C1" s="1"/>
      <c r="D1" s="1"/>
    </row>
    <row r="2" spans="1:11" x14ac:dyDescent="0.25">
      <c r="A2" s="1" t="s">
        <v>1</v>
      </c>
      <c r="B2" s="1"/>
      <c r="C2" s="1"/>
      <c r="D2" s="1"/>
    </row>
    <row r="3" spans="1:11" x14ac:dyDescent="0.25">
      <c r="A3" s="1" t="s">
        <v>16</v>
      </c>
      <c r="B3" s="1"/>
      <c r="C3" s="1"/>
      <c r="D3" s="1"/>
    </row>
    <row r="5" spans="1:11" x14ac:dyDescent="0.25">
      <c r="A5" s="2"/>
      <c r="B5" s="2"/>
      <c r="C5" s="2"/>
      <c r="D5" s="2" t="s">
        <v>2</v>
      </c>
      <c r="E5" s="2" t="s">
        <v>2</v>
      </c>
      <c r="F5" s="2" t="s">
        <v>3</v>
      </c>
      <c r="G5" s="2" t="s">
        <v>4</v>
      </c>
      <c r="H5" s="2" t="s">
        <v>5</v>
      </c>
      <c r="I5" s="3" t="s">
        <v>6</v>
      </c>
      <c r="J5" s="2" t="s">
        <v>7</v>
      </c>
      <c r="K5" s="2"/>
    </row>
    <row r="6" spans="1:11" ht="15.75" thickBot="1" x14ac:dyDescent="0.3">
      <c r="A6" s="2"/>
      <c r="B6" s="2" t="s">
        <v>15</v>
      </c>
      <c r="C6" s="4" t="s">
        <v>8</v>
      </c>
      <c r="D6" s="4" t="s">
        <v>9</v>
      </c>
      <c r="E6" s="4" t="s">
        <v>10</v>
      </c>
      <c r="F6" s="4" t="s">
        <v>2</v>
      </c>
      <c r="G6" s="4" t="s">
        <v>11</v>
      </c>
      <c r="H6" s="4" t="s">
        <v>12</v>
      </c>
      <c r="I6" s="5" t="s">
        <v>26</v>
      </c>
      <c r="J6" s="2" t="s">
        <v>13</v>
      </c>
      <c r="K6" s="2"/>
    </row>
    <row r="7" spans="1:11" x14ac:dyDescent="0.25">
      <c r="B7" s="24">
        <v>106301188</v>
      </c>
      <c r="C7" s="6" t="s">
        <v>17</v>
      </c>
      <c r="D7" s="7">
        <v>171588759.39000008</v>
      </c>
      <c r="E7" s="8">
        <v>140810954.79000056</v>
      </c>
      <c r="F7" s="7">
        <f>SUM(D7:E7)</f>
        <v>312399714.18000066</v>
      </c>
      <c r="G7" s="7">
        <f>+[1]AGMC!I270726</f>
        <v>136114848.94024512</v>
      </c>
      <c r="H7" s="7">
        <f>+G7/1.05*1</f>
        <v>129633189.46690011</v>
      </c>
      <c r="I7" s="9">
        <f>+G7-H7</f>
        <v>6481659.4733450115</v>
      </c>
      <c r="J7" s="29">
        <f>+I7/F7</f>
        <v>2.0747968641259266E-2</v>
      </c>
    </row>
    <row r="8" spans="1:11" x14ac:dyDescent="0.25">
      <c r="B8" s="25">
        <v>106301140</v>
      </c>
      <c r="C8" s="15" t="s">
        <v>18</v>
      </c>
      <c r="D8" s="16">
        <v>113274549.59999959</v>
      </c>
      <c r="E8" s="17">
        <v>85594387.780000001</v>
      </c>
      <c r="F8" s="16">
        <f t="shared" ref="F8:F13" si="0">SUM(D8:E8)</f>
        <v>198868937.37999958</v>
      </c>
      <c r="G8" s="18">
        <f>+[1]CGMC!I1</f>
        <v>82656271.140063614</v>
      </c>
      <c r="H8" s="16">
        <f t="shared" ref="H8:H13" si="1">+G8/1.05*1</f>
        <v>78720258.228632003</v>
      </c>
      <c r="I8" s="19">
        <f t="shared" ref="I8:I13" si="2">+G8-H8</f>
        <v>3936012.9114316106</v>
      </c>
      <c r="J8" s="30">
        <f t="shared" ref="J8:J14" si="3">+I8/F8</f>
        <v>1.9791994482831983E-2</v>
      </c>
    </row>
    <row r="9" spans="1:11" x14ac:dyDescent="0.25">
      <c r="B9" s="25">
        <v>106331194</v>
      </c>
      <c r="C9" s="15" t="s">
        <v>19</v>
      </c>
      <c r="D9" s="16">
        <v>431877843.28999853</v>
      </c>
      <c r="E9" s="16">
        <v>299238285.54024941</v>
      </c>
      <c r="F9" s="16">
        <f t="shared" si="0"/>
        <v>731116128.83024788</v>
      </c>
      <c r="G9" s="18">
        <f>+[1]HEMET!I1</f>
        <v>299238285.54024941</v>
      </c>
      <c r="H9" s="16">
        <f t="shared" si="1"/>
        <v>284988843.37166607</v>
      </c>
      <c r="I9" s="19">
        <f t="shared" si="2"/>
        <v>14249442.168583333</v>
      </c>
      <c r="J9" s="30">
        <f t="shared" si="3"/>
        <v>1.9489984705140871E-2</v>
      </c>
    </row>
    <row r="10" spans="1:11" x14ac:dyDescent="0.25">
      <c r="B10" s="26">
        <v>106334018</v>
      </c>
      <c r="C10" s="15" t="s">
        <v>20</v>
      </c>
      <c r="D10" s="16">
        <v>136428645.16999984</v>
      </c>
      <c r="E10" s="16">
        <v>93210133.97996296</v>
      </c>
      <c r="F10" s="16">
        <f t="shared" si="0"/>
        <v>229638779.14996278</v>
      </c>
      <c r="G10" s="18">
        <f>+[1]MGMC!I1</f>
        <v>88970233.839966089</v>
      </c>
      <c r="H10" s="16">
        <f t="shared" si="1"/>
        <v>84733556.038062945</v>
      </c>
      <c r="I10" s="19">
        <f t="shared" si="2"/>
        <v>4236677.8019031435</v>
      </c>
      <c r="J10" s="30">
        <f t="shared" si="3"/>
        <v>1.8449313385072618E-2</v>
      </c>
    </row>
    <row r="11" spans="1:11" x14ac:dyDescent="0.25">
      <c r="B11" s="25">
        <v>106301566</v>
      </c>
      <c r="C11" s="15" t="s">
        <v>21</v>
      </c>
      <c r="D11" s="16">
        <v>627665580.12999785</v>
      </c>
      <c r="E11" s="16">
        <v>469719930.34000015</v>
      </c>
      <c r="F11" s="16">
        <f t="shared" si="0"/>
        <v>1097385510.4699979</v>
      </c>
      <c r="G11" s="18">
        <f>+[1]OCGMC!I1</f>
        <v>452515848.59046346</v>
      </c>
      <c r="H11" s="16">
        <f t="shared" si="1"/>
        <v>430967474.84806043</v>
      </c>
      <c r="I11" s="19">
        <f t="shared" si="2"/>
        <v>21548373.74240303</v>
      </c>
      <c r="J11" s="30">
        <f t="shared" si="3"/>
        <v>1.9636101932104154E-2</v>
      </c>
    </row>
    <row r="12" spans="1:11" x14ac:dyDescent="0.25">
      <c r="B12" s="26">
        <v>106301258</v>
      </c>
      <c r="C12" s="15" t="s">
        <v>22</v>
      </c>
      <c r="D12" s="16">
        <v>129073053.84999974</v>
      </c>
      <c r="E12" s="16">
        <v>179253191.99999958</v>
      </c>
      <c r="F12" s="16">
        <f t="shared" si="0"/>
        <v>308326245.84999931</v>
      </c>
      <c r="G12" s="18">
        <f>+[1]SCGMC!I1</f>
        <v>124642439.64034347</v>
      </c>
      <c r="H12" s="16">
        <f t="shared" si="1"/>
        <v>118707085.37175569</v>
      </c>
      <c r="I12" s="19">
        <f t="shared" si="2"/>
        <v>5935354.268587783</v>
      </c>
      <c r="J12" s="30">
        <f t="shared" si="3"/>
        <v>1.9250240122196189E-2</v>
      </c>
    </row>
    <row r="13" spans="1:11" ht="15.75" thickBot="1" x14ac:dyDescent="0.3">
      <c r="B13" s="27">
        <v>106361370</v>
      </c>
      <c r="C13" s="20" t="s">
        <v>23</v>
      </c>
      <c r="D13" s="21">
        <v>215195353.79005989</v>
      </c>
      <c r="E13" s="21">
        <v>163557001.73000038</v>
      </c>
      <c r="F13" s="21">
        <f t="shared" si="0"/>
        <v>378752355.5200603</v>
      </c>
      <c r="G13" s="22">
        <f>+[1]VVGMC!J1</f>
        <v>158881970.1899727</v>
      </c>
      <c r="H13" s="21">
        <f t="shared" si="1"/>
        <v>151316162.08568826</v>
      </c>
      <c r="I13" s="23">
        <f t="shared" si="2"/>
        <v>7565808.1042844355</v>
      </c>
      <c r="J13" s="31">
        <f t="shared" si="3"/>
        <v>1.997560673621664E-2</v>
      </c>
    </row>
    <row r="14" spans="1:11" ht="15.75" thickTop="1" x14ac:dyDescent="0.25">
      <c r="A14" s="1"/>
      <c r="B14" s="1"/>
      <c r="C14" s="11" t="s">
        <v>14</v>
      </c>
      <c r="D14" s="12">
        <f>SUM(D7:D13)</f>
        <v>1825103785.2200553</v>
      </c>
      <c r="E14" s="12">
        <f>SUM(E7:E13)</f>
        <v>1431383886.160213</v>
      </c>
      <c r="F14" s="12">
        <f>SUM(F7:F13)</f>
        <v>3256487671.3802681</v>
      </c>
      <c r="G14" s="13">
        <f t="shared" ref="G14:H14" si="4">SUM(G7:G13)</f>
        <v>1343019897.8813038</v>
      </c>
      <c r="H14" s="13">
        <f t="shared" si="4"/>
        <v>1279066569.4107654</v>
      </c>
      <c r="I14" s="14">
        <f>SUM(I7:I13)</f>
        <v>63953328.470538348</v>
      </c>
      <c r="J14" s="30">
        <f t="shared" si="3"/>
        <v>1.963874423127529E-2</v>
      </c>
      <c r="K14" s="1"/>
    </row>
    <row r="16" spans="1:11" x14ac:dyDescent="0.25">
      <c r="B16" s="28" t="s">
        <v>24</v>
      </c>
    </row>
    <row r="17" spans="2:2" x14ac:dyDescent="0.25">
      <c r="B17" s="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F17" sqref="F17"/>
    </sheetView>
  </sheetViews>
  <sheetFormatPr defaultRowHeight="15" x14ac:dyDescent="0.25"/>
  <cols>
    <col min="1" max="1" width="10.85546875" customWidth="1"/>
    <col min="2" max="2" width="21.7109375" customWidth="1"/>
    <col min="3" max="3" width="46.140625" customWidth="1"/>
    <col min="4" max="4" width="15.28515625" bestFit="1" customWidth="1"/>
    <col min="5" max="5" width="18.5703125" bestFit="1" customWidth="1"/>
    <col min="6" max="6" width="25.7109375" bestFit="1" customWidth="1"/>
  </cols>
  <sheetData>
    <row r="1" spans="1:7" x14ac:dyDescent="0.25">
      <c r="A1" s="1" t="s">
        <v>0</v>
      </c>
      <c r="B1" s="1"/>
      <c r="C1" s="1"/>
    </row>
    <row r="2" spans="1:7" x14ac:dyDescent="0.25">
      <c r="A2" s="1" t="s">
        <v>1</v>
      </c>
      <c r="B2" s="1"/>
      <c r="C2" s="1"/>
    </row>
    <row r="3" spans="1:7" x14ac:dyDescent="0.25">
      <c r="A3" s="1" t="s">
        <v>16</v>
      </c>
      <c r="B3" s="1"/>
      <c r="C3" s="1"/>
    </row>
    <row r="5" spans="1:7" x14ac:dyDescent="0.25">
      <c r="A5" s="2"/>
      <c r="B5" s="2"/>
      <c r="C5" s="2"/>
      <c r="D5" s="2" t="s">
        <v>3</v>
      </c>
      <c r="E5" s="3" t="s">
        <v>6</v>
      </c>
      <c r="F5" s="2" t="s">
        <v>7</v>
      </c>
      <c r="G5" s="2"/>
    </row>
    <row r="6" spans="1:7" ht="15.75" thickBot="1" x14ac:dyDescent="0.3">
      <c r="A6" s="2"/>
      <c r="B6" s="2" t="s">
        <v>15</v>
      </c>
      <c r="C6" s="4" t="s">
        <v>8</v>
      </c>
      <c r="D6" s="4" t="s">
        <v>2</v>
      </c>
      <c r="E6" s="5" t="s">
        <v>26</v>
      </c>
      <c r="F6" s="2" t="s">
        <v>13</v>
      </c>
      <c r="G6" s="2"/>
    </row>
    <row r="7" spans="1:7" x14ac:dyDescent="0.25">
      <c r="B7" s="24">
        <v>106301188</v>
      </c>
      <c r="C7" s="6" t="s">
        <v>17</v>
      </c>
      <c r="D7" s="7">
        <v>312399714.18000066</v>
      </c>
      <c r="E7" s="9">
        <v>6481659.4733450115</v>
      </c>
      <c r="F7" s="29">
        <f>+E7/D7</f>
        <v>2.0747968641259266E-2</v>
      </c>
    </row>
    <row r="8" spans="1:7" x14ac:dyDescent="0.25">
      <c r="B8" s="25">
        <v>106301140</v>
      </c>
      <c r="C8" s="15" t="s">
        <v>18</v>
      </c>
      <c r="D8" s="16">
        <v>198868937.37999958</v>
      </c>
      <c r="E8" s="19">
        <v>3936012.9114316106</v>
      </c>
      <c r="F8" s="30">
        <f>+E8/D8</f>
        <v>1.9791994482831983E-2</v>
      </c>
    </row>
    <row r="9" spans="1:7" x14ac:dyDescent="0.25">
      <c r="B9" s="25">
        <v>106331194</v>
      </c>
      <c r="C9" s="15" t="s">
        <v>19</v>
      </c>
      <c r="D9" s="16">
        <v>731116128.83024788</v>
      </c>
      <c r="E9" s="19">
        <v>14249442.168583333</v>
      </c>
      <c r="F9" s="30">
        <f>+E9/D9</f>
        <v>1.9489984705140871E-2</v>
      </c>
    </row>
    <row r="10" spans="1:7" x14ac:dyDescent="0.25">
      <c r="B10" s="26">
        <v>106334018</v>
      </c>
      <c r="C10" s="15" t="s">
        <v>20</v>
      </c>
      <c r="D10" s="16">
        <v>229638779.14996278</v>
      </c>
      <c r="E10" s="19">
        <v>4236677.8019031435</v>
      </c>
      <c r="F10" s="30">
        <f>+E10/D10</f>
        <v>1.8449313385072618E-2</v>
      </c>
    </row>
    <row r="11" spans="1:7" x14ac:dyDescent="0.25">
      <c r="B11" s="25">
        <v>106301566</v>
      </c>
      <c r="C11" s="15" t="s">
        <v>21</v>
      </c>
      <c r="D11" s="16">
        <v>1097385510.4699979</v>
      </c>
      <c r="E11" s="19">
        <v>21548373.74240303</v>
      </c>
      <c r="F11" s="30">
        <f>+E11/D11</f>
        <v>1.9636101932104154E-2</v>
      </c>
    </row>
    <row r="12" spans="1:7" x14ac:dyDescent="0.25">
      <c r="B12" s="26">
        <v>106301258</v>
      </c>
      <c r="C12" s="15" t="s">
        <v>22</v>
      </c>
      <c r="D12" s="16">
        <v>308326245.84999931</v>
      </c>
      <c r="E12" s="19">
        <v>5935354.268587783</v>
      </c>
      <c r="F12" s="30">
        <f>+E12/D12</f>
        <v>1.9250240122196189E-2</v>
      </c>
    </row>
    <row r="13" spans="1:7" ht="15.75" thickBot="1" x14ac:dyDescent="0.3">
      <c r="B13" s="27">
        <v>106361370</v>
      </c>
      <c r="C13" s="20" t="s">
        <v>23</v>
      </c>
      <c r="D13" s="21">
        <v>378752355.5200603</v>
      </c>
      <c r="E13" s="23">
        <v>7565808.1042844355</v>
      </c>
      <c r="F13" s="31">
        <f>+E13/D13</f>
        <v>1.997560673621664E-2</v>
      </c>
    </row>
    <row r="14" spans="1:7" ht="15.75" thickTop="1" x14ac:dyDescent="0.25">
      <c r="A14" s="1"/>
      <c r="B14" s="1"/>
      <c r="C14" s="11" t="s">
        <v>14</v>
      </c>
      <c r="D14" s="12">
        <f>SUM(D7:D13)</f>
        <v>3256487671.3802681</v>
      </c>
      <c r="E14" s="14">
        <f>SUM(E7:E13)</f>
        <v>63953328.470538348</v>
      </c>
      <c r="F14" s="30">
        <f>+E14/D14</f>
        <v>1.963874423127529E-2</v>
      </c>
      <c r="G14" s="1"/>
    </row>
    <row r="16" spans="1:7" x14ac:dyDescent="0.25">
      <c r="B16" s="28" t="s">
        <v>24</v>
      </c>
    </row>
    <row r="17" spans="2:2" x14ac:dyDescent="0.25">
      <c r="B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>KPC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Gajudo</dc:creator>
  <cp:lastModifiedBy>Ed Gajudo</cp:lastModifiedBy>
  <dcterms:created xsi:type="dcterms:W3CDTF">2025-08-01T20:43:29Z</dcterms:created>
  <dcterms:modified xsi:type="dcterms:W3CDTF">2025-08-26T21:27:08Z</dcterms:modified>
</cp:coreProperties>
</file>