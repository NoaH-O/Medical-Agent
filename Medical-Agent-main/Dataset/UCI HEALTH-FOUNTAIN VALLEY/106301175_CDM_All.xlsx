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S:\OSHPD files\2025\Final Files for submission\Fountain Valley\"/>
    </mc:Choice>
  </mc:AlternateContent>
  <xr:revisionPtr revIDLastSave="0" documentId="13_ncr:1_{FAAAD206-BC7C-45A9-8E71-2271CA9E2A8B}" xr6:coauthVersionLast="47" xr6:coauthVersionMax="47" xr10:uidLastSave="{00000000-0000-0000-0000-000000000000}"/>
  <bookViews>
    <workbookView xWindow="28680" yWindow="-120" windowWidth="29040" windowHeight="15840" xr2:uid="{F840201F-6051-4218-9606-F242309065E5}"/>
  </bookViews>
  <sheets>
    <sheet name="106301175_CDM" sheetId="1" r:id="rId1"/>
    <sheet name="106301175_Common 25" sheetId="2" r:id="rId2"/>
    <sheet name="106301175_PCT_CHG" sheetId="4" r:id="rId3"/>
  </sheets>
  <definedNames>
    <definedName name="_xlnm._FilterDatabase" localSheetId="0" hidden="1">'106301175_CDM'!$A$4:$G$8411</definedName>
    <definedName name="_xlnm._FilterDatabase" localSheetId="2" hidden="1">'106301175_PCT_CHG'!$A$5:$K$4115</definedName>
    <definedName name="_xlnm.Print_Area" localSheetId="0">'106301175_CDM'!$A:$G</definedName>
    <definedName name="_xlnm.Print_Area" localSheetId="1">'106301175_Common 25'!$A:$C</definedName>
    <definedName name="_xlnm.Print_Area" localSheetId="2">'106301175_PCT_CHG'!$A:$K</definedName>
    <definedName name="_xlnm.Print_Titles" localSheetId="0">'106301175_CDM'!$4:$4</definedName>
    <definedName name="_xlnm.Print_Titles" localSheetId="1">'106301175_Common 25'!$1:$4</definedName>
    <definedName name="_xlnm.Print_Titles" localSheetId="2">'106301175_PCT_CHG'!$5:$5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20" i="4" l="1"/>
  <c r="B4119" i="4"/>
  <c r="B4121" i="4"/>
  <c r="F4116" i="4"/>
  <c r="G4116" i="4"/>
  <c r="H4116" i="4"/>
  <c r="E4116" i="4"/>
  <c r="C69" i="2" l="1"/>
</calcChain>
</file>

<file path=xl/sharedStrings.xml><?xml version="1.0" encoding="utf-8"?>
<sst xmlns="http://schemas.openxmlformats.org/spreadsheetml/2006/main" count="50776" uniqueCount="22617">
  <si>
    <t>HSP</t>
  </si>
  <si>
    <t>CHARGE CODE</t>
  </si>
  <si>
    <t>CHARGE DESRIPTION</t>
  </si>
  <si>
    <t>BILLING DESCRIPTION</t>
  </si>
  <si>
    <t>HOSPITAL CHARGE</t>
  </si>
  <si>
    <t>PF</t>
  </si>
  <si>
    <t>COMMENTS</t>
  </si>
  <si>
    <t>UFV</t>
  </si>
  <si>
    <t>0020100012</t>
  </si>
  <si>
    <t>PRIVATE ROOM</t>
  </si>
  <si>
    <t>PRIVATE</t>
  </si>
  <si>
    <t>0020100020</t>
  </si>
  <si>
    <t>SEMI-PRIVATE ROOM</t>
  </si>
  <si>
    <t>SEMI-PRIVATE</t>
  </si>
  <si>
    <t>0020100228</t>
  </si>
  <si>
    <t>INTENSIVE CARE UNIT</t>
  </si>
  <si>
    <t>ICU GEN</t>
  </si>
  <si>
    <t>0020100277</t>
  </si>
  <si>
    <t>ADMIN DAY LEVEL I</t>
  </si>
  <si>
    <t>ADMIN DAY LEVEL</t>
  </si>
  <si>
    <t>0020100285</t>
  </si>
  <si>
    <t>ADMIN DAY ADULT LEVEL II</t>
  </si>
  <si>
    <t>ADMIN DAY ADULT</t>
  </si>
  <si>
    <t>0020100343</t>
  </si>
  <si>
    <t>INTENSIVE CARE PEDIATRIC</t>
  </si>
  <si>
    <t>ICU PEDS</t>
  </si>
  <si>
    <t>0020100624</t>
  </si>
  <si>
    <t>INTENSIVE CARE INTERMED</t>
  </si>
  <si>
    <t>ICU INTERMED</t>
  </si>
  <si>
    <t>0020100632</t>
  </si>
  <si>
    <t>ICU INTERMED SEMI-PRIV</t>
  </si>
  <si>
    <t>ICU INTERMED SP</t>
  </si>
  <si>
    <t>0020100855</t>
  </si>
  <si>
    <t>PRIVATE OTHER</t>
  </si>
  <si>
    <t>PRIV OTHER</t>
  </si>
  <si>
    <t>0021500012</t>
  </si>
  <si>
    <t>0021500020</t>
  </si>
  <si>
    <t>0021500251</t>
  </si>
  <si>
    <t>SEMI-PRIVATE OTHER</t>
  </si>
  <si>
    <t>SEMI-PRIV OTHER</t>
  </si>
  <si>
    <t>0021500277</t>
  </si>
  <si>
    <t>0021500285</t>
  </si>
  <si>
    <t>0021500624</t>
  </si>
  <si>
    <t>0021500632</t>
  </si>
  <si>
    <t>0021500855</t>
  </si>
  <si>
    <t>0021600028</t>
  </si>
  <si>
    <t>0021600259</t>
  </si>
  <si>
    <t>0021600275</t>
  </si>
  <si>
    <t>0021600283</t>
  </si>
  <si>
    <t>0021600622</t>
  </si>
  <si>
    <t>0021600630</t>
  </si>
  <si>
    <t>0021600853</t>
  </si>
  <si>
    <t>0021700018</t>
  </si>
  <si>
    <t>0021700026</t>
  </si>
  <si>
    <t>0021700216</t>
  </si>
  <si>
    <t>PRIVATE ONCOLOGY</t>
  </si>
  <si>
    <t>PRIV ONCOLOGY</t>
  </si>
  <si>
    <t>0021700232</t>
  </si>
  <si>
    <t>SEMI-PRIVATE ONCOLOGY</t>
  </si>
  <si>
    <t>SEMI-PRIV ONCOL</t>
  </si>
  <si>
    <t>0021700257</t>
  </si>
  <si>
    <t>0021700273</t>
  </si>
  <si>
    <t>0021700281</t>
  </si>
  <si>
    <t>0021700620</t>
  </si>
  <si>
    <t>0021700638</t>
  </si>
  <si>
    <t>0021700851</t>
  </si>
  <si>
    <t>0022000012</t>
  </si>
  <si>
    <t>0022000020</t>
  </si>
  <si>
    <t>0022000343</t>
  </si>
  <si>
    <t>0022000483</t>
  </si>
  <si>
    <t>PRIVATE PEDIATRICS</t>
  </si>
  <si>
    <t>PRIV PEDS</t>
  </si>
  <si>
    <t>0022000491</t>
  </si>
  <si>
    <t>SEMI-PRIVATE PEDIATRICS</t>
  </si>
  <si>
    <t>SEMI-PRIV PEDS</t>
  </si>
  <si>
    <t>0022000632</t>
  </si>
  <si>
    <t>0022100101</t>
  </si>
  <si>
    <t>NEWBORN LEVEL I</t>
  </si>
  <si>
    <t>NEWBORN LVL I</t>
  </si>
  <si>
    <t>0022100119</t>
  </si>
  <si>
    <t>NEWBORN OTHER</t>
  </si>
  <si>
    <t>0022100127</t>
  </si>
  <si>
    <t>NEWBORN LEVEL II</t>
  </si>
  <si>
    <t>NEWBORN LVL II</t>
  </si>
  <si>
    <t>0022100135</t>
  </si>
  <si>
    <t>NICU NB LVL II</t>
  </si>
  <si>
    <t>0022100200</t>
  </si>
  <si>
    <t>NICU NB LVL IV</t>
  </si>
  <si>
    <t>0022100705</t>
  </si>
  <si>
    <t>NICU NB LVL III</t>
  </si>
  <si>
    <t>0023100019</t>
  </si>
  <si>
    <t>0023100027</t>
  </si>
  <si>
    <t>0023100258</t>
  </si>
  <si>
    <t>0023100274</t>
  </si>
  <si>
    <t>0023100282</t>
  </si>
  <si>
    <t>0023100852</t>
  </si>
  <si>
    <t>0023200017</t>
  </si>
  <si>
    <t>0023200025</t>
  </si>
  <si>
    <t>0023200256</t>
  </si>
  <si>
    <t>0023200447</t>
  </si>
  <si>
    <t>SEMI-PRIVATE OBSTETRICS</t>
  </si>
  <si>
    <t>SEMI-PRIV O B</t>
  </si>
  <si>
    <t>0023200850</t>
  </si>
  <si>
    <t>0023400013</t>
  </si>
  <si>
    <t>0023400021</t>
  </si>
  <si>
    <t>0023400211</t>
  </si>
  <si>
    <t>0023400237</t>
  </si>
  <si>
    <t>0023400252</t>
  </si>
  <si>
    <t>0023400278</t>
  </si>
  <si>
    <t>0023400286</t>
  </si>
  <si>
    <t>0023400856</t>
  </si>
  <si>
    <t>0023500010</t>
  </si>
  <si>
    <t>0023500028</t>
  </si>
  <si>
    <t>0023500218</t>
  </si>
  <si>
    <t>0023500234</t>
  </si>
  <si>
    <t>0023500259</t>
  </si>
  <si>
    <t>0023500275</t>
  </si>
  <si>
    <t>0023500283</t>
  </si>
  <si>
    <t>0023500853</t>
  </si>
  <si>
    <t>0024000028</t>
  </si>
  <si>
    <t>0024000275</t>
  </si>
  <si>
    <t>0024000283</t>
  </si>
  <si>
    <t>0024000440</t>
  </si>
  <si>
    <t>0024000481</t>
  </si>
  <si>
    <t>0024000499</t>
  </si>
  <si>
    <t>0024000630</t>
  </si>
  <si>
    <t>0025000027</t>
  </si>
  <si>
    <t>0025000274</t>
  </si>
  <si>
    <t>0025000282</t>
  </si>
  <si>
    <t>0025000431</t>
  </si>
  <si>
    <t>PRIVATE OBSTETRICS</t>
  </si>
  <si>
    <t>PRIV O B</t>
  </si>
  <si>
    <t>0025000449</t>
  </si>
  <si>
    <t>0025500109</t>
  </si>
  <si>
    <t>0025500117</t>
  </si>
  <si>
    <t>0030700132</t>
  </si>
  <si>
    <t>SURGICAL SPECIMEN</t>
  </si>
  <si>
    <t>SURGICL SPECIMN</t>
  </si>
  <si>
    <t>0030700165</t>
  </si>
  <si>
    <t>US BREAST UNI COMPLETE</t>
  </si>
  <si>
    <t>US BREAST COM</t>
  </si>
  <si>
    <t>0030700306</t>
  </si>
  <si>
    <t>MAMMARY DUCT/GALACT SNG</t>
  </si>
  <si>
    <t>MAMM DUCT SNGL</t>
  </si>
  <si>
    <t>0030701106</t>
  </si>
  <si>
    <t>FNA BX US GUIDANCE 1ST LESION</t>
  </si>
  <si>
    <t>FNA BX US GUIDE</t>
  </si>
  <si>
    <t>0030702062</t>
  </si>
  <si>
    <t>DX MAMMO+CAD UNILAT</t>
  </si>
  <si>
    <t>DX MAMMO+CAD</t>
  </si>
  <si>
    <t>0030710016</t>
  </si>
  <si>
    <t>INJ GALACTO/DUCTO PROC</t>
  </si>
  <si>
    <t>INJ DUCTO/GALA</t>
  </si>
  <si>
    <t>0030710040</t>
  </si>
  <si>
    <t>ASPIR BREAST CYST</t>
  </si>
  <si>
    <t>ASP BREAST CYS</t>
  </si>
  <si>
    <t>0030710099</t>
  </si>
  <si>
    <t>ASPIR BREAST CYST ADD</t>
  </si>
  <si>
    <t>ASP BREAST ADD</t>
  </si>
  <si>
    <t>0030766422</t>
  </si>
  <si>
    <t>US BREAST UNI LTD</t>
  </si>
  <si>
    <t>US BREAST LTD</t>
  </si>
  <si>
    <t>0030785059</t>
  </si>
  <si>
    <t>PERC BIOPSY LYMPH NODE</t>
  </si>
  <si>
    <t>BX LYMPH NODE</t>
  </si>
  <si>
    <t>0030790810</t>
  </si>
  <si>
    <t>BX BRST 1ST LESION STRTC</t>
  </si>
  <si>
    <t>BX BRST 1ST</t>
  </si>
  <si>
    <t>0030791834</t>
  </si>
  <si>
    <t>BX BRST 1ST LESION US</t>
  </si>
  <si>
    <t>BX BRST US 1ST</t>
  </si>
  <si>
    <t>0030791842</t>
  </si>
  <si>
    <t>BX BRST ADD LESION US</t>
  </si>
  <si>
    <t>BX BRST ADD</t>
  </si>
  <si>
    <t>0030792816</t>
  </si>
  <si>
    <t>PERC DEVC BRST 1ST MAMMO</t>
  </si>
  <si>
    <t>PERC DEVC 1ST</t>
  </si>
  <si>
    <t>0030792832</t>
  </si>
  <si>
    <t>PERC DEVC BRST 1ST STRTC</t>
  </si>
  <si>
    <t>PERC BRST 1ST</t>
  </si>
  <si>
    <t>0030792857</t>
  </si>
  <si>
    <t>PERC DEVC BRST 1ST US</t>
  </si>
  <si>
    <t>0030800155</t>
  </si>
  <si>
    <t>LITHOTRIPSY OTHER</t>
  </si>
  <si>
    <t>LITHOTRIPSY</t>
  </si>
  <si>
    <t>0030805907</t>
  </si>
  <si>
    <t>0030830103</t>
  </si>
  <si>
    <t>SPEC PROC W/LITHO</t>
  </si>
  <si>
    <t>SP PROC W/LITHO</t>
  </si>
  <si>
    <t>0031000086</t>
  </si>
  <si>
    <t>INFLUENZA VACC ADMIN</t>
  </si>
  <si>
    <t xml:space="preserve">FLU VACC ADMIN </t>
  </si>
  <si>
    <t>0031001753</t>
  </si>
  <si>
    <t>FETAL BIOPHYS PROFLE NST</t>
  </si>
  <si>
    <t>FETAL BIOPHYS</t>
  </si>
  <si>
    <t>0031001761</t>
  </si>
  <si>
    <t>FETAL NON-STRESS TEST</t>
  </si>
  <si>
    <t>TST FETL NONSTR</t>
  </si>
  <si>
    <t>0031003809</t>
  </si>
  <si>
    <t>US GUIDE AMNIOCENTESIS</t>
  </si>
  <si>
    <t>US AMNIO LOC</t>
  </si>
  <si>
    <t>0031004716</t>
  </si>
  <si>
    <t>IMM ADMIN SNGL/COMBO VAC</t>
  </si>
  <si>
    <t>ADM SNGL VACC</t>
  </si>
  <si>
    <t>0031004724</t>
  </si>
  <si>
    <t>IMM ADM EA ADDL VACCINE</t>
  </si>
  <si>
    <t>ADM EA ADD VACC</t>
  </si>
  <si>
    <t>0031005002</t>
  </si>
  <si>
    <t>US OB LTD 1OR&gt; FETUS</t>
  </si>
  <si>
    <t>US OB LTD 1OR&gt;</t>
  </si>
  <si>
    <t>0031005101</t>
  </si>
  <si>
    <t>US OB COMP&gt;14WK SGL GEST</t>
  </si>
  <si>
    <t>US OB&gt;14WK SGL</t>
  </si>
  <si>
    <t>0031007602</t>
  </si>
  <si>
    <t>IV INF HYD INIT 31-60MIN</t>
  </si>
  <si>
    <t>IV HYD INT&gt;31M</t>
  </si>
  <si>
    <t>0031007610</t>
  </si>
  <si>
    <t>IV INF HYD EA ADD HR</t>
  </si>
  <si>
    <t>IV HYD ADD HR</t>
  </si>
  <si>
    <t>0031007651</t>
  </si>
  <si>
    <t>IV INF TX INIT &lt;=1 HR</t>
  </si>
  <si>
    <t>IV TX INIT 1 HR</t>
  </si>
  <si>
    <t>0031007669</t>
  </si>
  <si>
    <t>IV INF TX EA ADD HR</t>
  </si>
  <si>
    <t>IV INF TX ADD H</t>
  </si>
  <si>
    <t>0031007677</t>
  </si>
  <si>
    <t>IV INF SEQUENTL 1 HR</t>
  </si>
  <si>
    <t>IV SEQUENTL 1HR</t>
  </si>
  <si>
    <t>0031007685</t>
  </si>
  <si>
    <t>IV INF CONCURRENT</t>
  </si>
  <si>
    <t>IV CONCURRENT</t>
  </si>
  <si>
    <t>0031007743</t>
  </si>
  <si>
    <t>INJ TX/PRPH/DX IVP INT</t>
  </si>
  <si>
    <t>THER/PRPH/DX IV</t>
  </si>
  <si>
    <t>0031007750</t>
  </si>
  <si>
    <t>INJ ADD SEQUENTL IVP</t>
  </si>
  <si>
    <t>INJ ADD SEQ IVP</t>
  </si>
  <si>
    <t>0031007768</t>
  </si>
  <si>
    <t>INJ T/P/D IVP SAME SUBST</t>
  </si>
  <si>
    <t>TX/PRO/DX IVP S</t>
  </si>
  <si>
    <t>0031007826</t>
  </si>
  <si>
    <t>INJ TX/PROPH/DX SQ/IM</t>
  </si>
  <si>
    <t>INJ T/P/D SQ/IM</t>
  </si>
  <si>
    <t>0031012024</t>
  </si>
  <si>
    <t>L&amp;D SPEC PROC INT 30 MIN</t>
  </si>
  <si>
    <t>SPEC PROC INT30</t>
  </si>
  <si>
    <t>0031012032</t>
  </si>
  <si>
    <t>L&amp;D SPEC PROC ADD 15 MIN</t>
  </si>
  <si>
    <t>SPEC PROC ADD15</t>
  </si>
  <si>
    <t>0031012040</t>
  </si>
  <si>
    <t>LABOR SIMPLE 1ST HR</t>
  </si>
  <si>
    <t>LBR SMPL 1ST HR</t>
  </si>
  <si>
    <t>0031012057</t>
  </si>
  <si>
    <t>LABOR SIMPLE ADD HR</t>
  </si>
  <si>
    <t>LBR SMPL ADD HR</t>
  </si>
  <si>
    <t>0031012065</t>
  </si>
  <si>
    <t>LABOR INTERIM 1ST HR</t>
  </si>
  <si>
    <t>LBR INT 1ST HR</t>
  </si>
  <si>
    <t>0031012073</t>
  </si>
  <si>
    <t>LABOR INTERIM ADD HR</t>
  </si>
  <si>
    <t>LBR INT ADD HR</t>
  </si>
  <si>
    <t>0031012081</t>
  </si>
  <si>
    <t>LABOR COMPLEX 1ST HR</t>
  </si>
  <si>
    <t>LBR CPX 1ST HR</t>
  </si>
  <si>
    <t>0031012099</t>
  </si>
  <si>
    <t>LABOR COMPLEX ADD HR</t>
  </si>
  <si>
    <t>LBR CPX ADD HR</t>
  </si>
  <si>
    <t>0031012107</t>
  </si>
  <si>
    <t>DELIVERY SIMPLE</t>
  </si>
  <si>
    <t>DELV SIMPLE</t>
  </si>
  <si>
    <t>0031012123</t>
  </si>
  <si>
    <t>DELIVERY COMPLEX</t>
  </si>
  <si>
    <t>DELV COMPLEX</t>
  </si>
  <si>
    <t>0031012149</t>
  </si>
  <si>
    <t>L&amp;D SURG LVL I INT 30 M</t>
  </si>
  <si>
    <t>SURG LVI INT 30</t>
  </si>
  <si>
    <t>0031012156</t>
  </si>
  <si>
    <t>L&amp;D SURG LVL I EA 15 MIN</t>
  </si>
  <si>
    <t>SURG LVI EA 15</t>
  </si>
  <si>
    <t>0031012164</t>
  </si>
  <si>
    <t>L&amp;D SURG LVL II INT 30 M</t>
  </si>
  <si>
    <t>SURG LVII INT30</t>
  </si>
  <si>
    <t>0031012172</t>
  </si>
  <si>
    <t>L&amp;D SURG LVL II EA 15 M</t>
  </si>
  <si>
    <t>SURG LVII EA 15</t>
  </si>
  <si>
    <t>0031012180</t>
  </si>
  <si>
    <t>L&amp;D SURG LVL III INT 30M</t>
  </si>
  <si>
    <t>SURG LVIII INT3</t>
  </si>
  <si>
    <t>0031012198</t>
  </si>
  <si>
    <t>L&amp;D SURG LVL III EA 15M</t>
  </si>
  <si>
    <t>SURG LVIII EA15</t>
  </si>
  <si>
    <t>0031012206</t>
  </si>
  <si>
    <t>L&amp;D SURG LVL IV INT 30M</t>
  </si>
  <si>
    <t>SURG LVIV INT30</t>
  </si>
  <si>
    <t>0031012214</t>
  </si>
  <si>
    <t>L&amp;D SURG LVL IV EA 15M</t>
  </si>
  <si>
    <t>SURG LVIV EA 15</t>
  </si>
  <si>
    <t>0031012222</t>
  </si>
  <si>
    <t>L&amp;D RECOVERY INT 30 MIN</t>
  </si>
  <si>
    <t>RECOVERY INT 30</t>
  </si>
  <si>
    <t>0031012230</t>
  </si>
  <si>
    <t>L&amp;D RECOVERY ADD 15 MIN</t>
  </si>
  <si>
    <t>RECOVERY ADD 15</t>
  </si>
  <si>
    <t>0031101504</t>
  </si>
  <si>
    <t>CIRCUMCISION</t>
  </si>
  <si>
    <t>0031101603</t>
  </si>
  <si>
    <t>CPAP-INITIAL</t>
  </si>
  <si>
    <t>CPAP INITIAL</t>
  </si>
  <si>
    <t>0031101645</t>
  </si>
  <si>
    <t>NEWBORN RESUSCITATION</t>
  </si>
  <si>
    <t>RESUSTN NEWBRN</t>
  </si>
  <si>
    <t>0031104714</t>
  </si>
  <si>
    <t>HEPATITIS B VACC ADMIN</t>
  </si>
  <si>
    <t xml:space="preserve">HEP B VACC ADM </t>
  </si>
  <si>
    <t>0031104722</t>
  </si>
  <si>
    <t>0031104730</t>
  </si>
  <si>
    <t>0031105992</t>
  </si>
  <si>
    <t>CPAP NEONATAL SUBSEQ</t>
  </si>
  <si>
    <t>CPAP NEO SUBSQ</t>
  </si>
  <si>
    <t>0031106156</t>
  </si>
  <si>
    <t>HIGH FREQ VENT INITIAL</t>
  </si>
  <si>
    <t>HI FRQ VNT INI</t>
  </si>
  <si>
    <t>0031106206</t>
  </si>
  <si>
    <t>VENT INITIAL DAY</t>
  </si>
  <si>
    <t>VENT INITIAL</t>
  </si>
  <si>
    <t>0031106214</t>
  </si>
  <si>
    <t>VENT SUBSQ/DLY</t>
  </si>
  <si>
    <t>0031121304</t>
  </si>
  <si>
    <t>UMBILICAL VEIN LINE NB</t>
  </si>
  <si>
    <t>UMB VEIN LINE</t>
  </si>
  <si>
    <t>0031197254</t>
  </si>
  <si>
    <t>INIT HEARING SCREEN MCAL</t>
  </si>
  <si>
    <t>HEARINGSCREEN</t>
  </si>
  <si>
    <t>0032135501</t>
  </si>
  <si>
    <t>SURG LEVEL I INT 30 MIN</t>
  </si>
  <si>
    <t>SURG LVI INT30</t>
  </si>
  <si>
    <t>0032135519</t>
  </si>
  <si>
    <t>SURG LEVEL I EA ADD 15 MIN</t>
  </si>
  <si>
    <t>SURG LVI EA15</t>
  </si>
  <si>
    <t>0032135527</t>
  </si>
  <si>
    <t>SURG LEVEL II INT 30 MIN</t>
  </si>
  <si>
    <t>0032135535</t>
  </si>
  <si>
    <t>SURG LEVEL II EA ADD 15 MIN</t>
  </si>
  <si>
    <t>SURG LVII EA15</t>
  </si>
  <si>
    <t>0032135543</t>
  </si>
  <si>
    <t>SURG LEVEL III INT 30 MIN</t>
  </si>
  <si>
    <t>0032135550</t>
  </si>
  <si>
    <t>SURG LEVEL III EA ADD 15 MIN</t>
  </si>
  <si>
    <t>0032135568</t>
  </si>
  <si>
    <t>SURG LEVEL IV INT 30 MIN</t>
  </si>
  <si>
    <t>0032135576</t>
  </si>
  <si>
    <t>SURG LEVEL IV EA ADD 15 MIN</t>
  </si>
  <si>
    <t>SURG LVIV EA15</t>
  </si>
  <si>
    <t>0032135600</t>
  </si>
  <si>
    <t>RBTCS MAKO LVL II INT 30 MIN</t>
  </si>
  <si>
    <t xml:space="preserve">RBT MAKO LV II </t>
  </si>
  <si>
    <t>0032135618</t>
  </si>
  <si>
    <t>RBTCS MAKO LVL II EA 15 MIN</t>
  </si>
  <si>
    <t>0032135642</t>
  </si>
  <si>
    <t>RBTCS MAKO LVL IV INT 30 MIN</t>
  </si>
  <si>
    <t xml:space="preserve">RBT MAKO LV IV </t>
  </si>
  <si>
    <t>0032135659</t>
  </si>
  <si>
    <t>RBTCS MAKO LVL IV EA 15 MIN</t>
  </si>
  <si>
    <t>0032135667</t>
  </si>
  <si>
    <t>RBTCS MAZR LVL II INT 30 MIN</t>
  </si>
  <si>
    <t xml:space="preserve">RBT MAZR LV II </t>
  </si>
  <si>
    <t>0032135675</t>
  </si>
  <si>
    <t>RBTCS MAZR LVL II EA 15 MIN</t>
  </si>
  <si>
    <t>0032135683</t>
  </si>
  <si>
    <t>RBTCS MAZR LVL III INT 30 MIN</t>
  </si>
  <si>
    <t>RBT MAZR LV III</t>
  </si>
  <si>
    <t>0032135691</t>
  </si>
  <si>
    <t>RBTCS MAZR LVL III EA 15 MIN</t>
  </si>
  <si>
    <t>0032135709</t>
  </si>
  <si>
    <t>RBTCS MAZR LVL IV INT 30 MIN</t>
  </si>
  <si>
    <t xml:space="preserve">RBT MAZR LV IV </t>
  </si>
  <si>
    <t>0032135717</t>
  </si>
  <si>
    <t>RBTCS MAZR LVL IV EA 15 MIN</t>
  </si>
  <si>
    <t>0032135725</t>
  </si>
  <si>
    <t>RBTCS DAVN LVL II INT 30 MIN</t>
  </si>
  <si>
    <t xml:space="preserve">RBT DAVN LV II </t>
  </si>
  <si>
    <t>0032135733</t>
  </si>
  <si>
    <t>RBTCS DAVN LVL II EA 15 MIN</t>
  </si>
  <si>
    <t>0032135741</t>
  </si>
  <si>
    <t>RBTCS DAVN LVL III INT 30 MIN</t>
  </si>
  <si>
    <t>RBT DAVN LV III</t>
  </si>
  <si>
    <t>0032135758</t>
  </si>
  <si>
    <t>RBTCS DAVN LVL III EA 15 MIN</t>
  </si>
  <si>
    <t>0032135766</t>
  </si>
  <si>
    <t>RBTCS DAVN LVL IV INT 30 MIN</t>
  </si>
  <si>
    <t xml:space="preserve">RBT DAVN LV IV </t>
  </si>
  <si>
    <t>0032135774</t>
  </si>
  <si>
    <t>RBTCS DAVN LVL IV EA 15 MIN</t>
  </si>
  <si>
    <t>0032168916</t>
  </si>
  <si>
    <t>BLD AUTOSLV INTRA/PSOP</t>
  </si>
  <si>
    <t>BLD AUTOSLV</t>
  </si>
  <si>
    <t>0032190225</t>
  </si>
  <si>
    <t>RBC WASHED AUTO</t>
  </si>
  <si>
    <t>RBC WASH AUTO</t>
  </si>
  <si>
    <t>0032235707</t>
  </si>
  <si>
    <t>RECOVERY INIT 30 MIN</t>
  </si>
  <si>
    <t>0032235715</t>
  </si>
  <si>
    <t>RECOVERY EA ADDL 15 MIN</t>
  </si>
  <si>
    <t>RECOVERY EA 15M</t>
  </si>
  <si>
    <t>0033035569</t>
  </si>
  <si>
    <t>OH SURG INT 30 MIN</t>
  </si>
  <si>
    <t>OH SURG INT 30</t>
  </si>
  <si>
    <t>0033035577</t>
  </si>
  <si>
    <t>OH SURG EA ADD 15MIN</t>
  </si>
  <si>
    <t>OH SURG EA15MIN</t>
  </si>
  <si>
    <t>0033068917</t>
  </si>
  <si>
    <t>BLD AUTO SLV</t>
  </si>
  <si>
    <t>0033090226</t>
  </si>
  <si>
    <t>0035035500</t>
  </si>
  <si>
    <t>SURG LV I INT30</t>
  </si>
  <si>
    <t>0035035518</t>
  </si>
  <si>
    <t>SURG LEVEL I EA ADD 15</t>
  </si>
  <si>
    <t>SURG LV I EA 15</t>
  </si>
  <si>
    <t>0035035526</t>
  </si>
  <si>
    <t>SURG LEVEL II INT 30MIN</t>
  </si>
  <si>
    <t>SURG LV II IN30</t>
  </si>
  <si>
    <t>0035035534</t>
  </si>
  <si>
    <t>SURG LEVEL II EA ADD 15</t>
  </si>
  <si>
    <t>0035035542</t>
  </si>
  <si>
    <t>SURG LEVEL III INT 30MIN</t>
  </si>
  <si>
    <t>SURG LVIII IN30</t>
  </si>
  <si>
    <t>0035035559</t>
  </si>
  <si>
    <t>SURG LEVEL III EA ADD 15</t>
  </si>
  <si>
    <t>0035035609</t>
  </si>
  <si>
    <t>ANESTHESIA INIT 30 MIN</t>
  </si>
  <si>
    <t>ANES INT 30MIN</t>
  </si>
  <si>
    <t>0035035617</t>
  </si>
  <si>
    <t>ANESTHESIA EA ADD 15MIN</t>
  </si>
  <si>
    <t>ANESTH EA ADD15</t>
  </si>
  <si>
    <t>0035035708</t>
  </si>
  <si>
    <t>0035300367</t>
  </si>
  <si>
    <t>MED NUTRTN TH INIT 15MIN</t>
  </si>
  <si>
    <t>MED NUTN INIT15</t>
  </si>
  <si>
    <t>0035300375</t>
  </si>
  <si>
    <t>MED NUTRTN TH REEVAL15MN</t>
  </si>
  <si>
    <t>MED NUTN REEVAL</t>
  </si>
  <si>
    <t>0035301084</t>
  </si>
  <si>
    <t>DIAB SLFMGMT IND 30 MIN</t>
  </si>
  <si>
    <t xml:space="preserve">DIAB IND MGMT  </t>
  </si>
  <si>
    <t>0035301092</t>
  </si>
  <si>
    <t>DIAB SLFMGMT GRP 30 MIN</t>
  </si>
  <si>
    <t xml:space="preserve">DIAB GRP MGMT  </t>
  </si>
  <si>
    <t>0037022993</t>
  </si>
  <si>
    <t>L&amp;D EPIDURAL</t>
  </si>
  <si>
    <t>0037035607</t>
  </si>
  <si>
    <t>ANESTH INT 30M</t>
  </si>
  <si>
    <t>0037035615</t>
  </si>
  <si>
    <t>ANESTHESIA EA ADD 15 MIN</t>
  </si>
  <si>
    <t>0040000820</t>
  </si>
  <si>
    <t>DFB ACTICOR 7 HF-T QP 429522</t>
  </si>
  <si>
    <t>DFB ACTICOR 7 H</t>
  </si>
  <si>
    <t>0040000838</t>
  </si>
  <si>
    <t>DFB ACTICOR HF-T CRT-DX 429523</t>
  </si>
  <si>
    <t>DFB ACTICOR</t>
  </si>
  <si>
    <t>0040000846</t>
  </si>
  <si>
    <t>DFB ACTICOR 7 VR-T DX 429525</t>
  </si>
  <si>
    <t>DFB ACTICOR DX</t>
  </si>
  <si>
    <t>0040000879</t>
  </si>
  <si>
    <t>DFB AMPLIA MRI DTMB1D4</t>
  </si>
  <si>
    <t>DFB AMPLIA</t>
  </si>
  <si>
    <t>0040000887</t>
  </si>
  <si>
    <t>DFB AMPLIA MRI DTMB1QQ</t>
  </si>
  <si>
    <t>0040000903</t>
  </si>
  <si>
    <t>DFIB ATLAS+ HF V343</t>
  </si>
  <si>
    <t xml:space="preserve">DFIB ATLAS+ HF </t>
  </si>
  <si>
    <t>0040000929</t>
  </si>
  <si>
    <t>DFB AMPLIA MRI DTMB1Q1</t>
  </si>
  <si>
    <t>DFB AMPLIA MRI</t>
  </si>
  <si>
    <t>0040000952</t>
  </si>
  <si>
    <t>DFIB COGNIS HE N118</t>
  </si>
  <si>
    <t>DFIB COGNIS HE</t>
  </si>
  <si>
    <t>0040000960</t>
  </si>
  <si>
    <t>DFIB CONCERTO CRTD</t>
  </si>
  <si>
    <t>DFIB CONCERTO</t>
  </si>
  <si>
    <t>0040000978</t>
  </si>
  <si>
    <t>DFIB COGNIS HE N119</t>
  </si>
  <si>
    <t>0040000994</t>
  </si>
  <si>
    <t>DFIB CONSULTA D224TRK</t>
  </si>
  <si>
    <t>DFIB CONSULTA</t>
  </si>
  <si>
    <t>0040001034</t>
  </si>
  <si>
    <t>DFIB CURRENT DR RF220730</t>
  </si>
  <si>
    <t>DFIB CURRENT DR</t>
  </si>
  <si>
    <t>0040001042</t>
  </si>
  <si>
    <t>DFIB DC CONFIENT E030</t>
  </si>
  <si>
    <t>DFIB CONFIENT</t>
  </si>
  <si>
    <t>0040001067</t>
  </si>
  <si>
    <t>DFIB DC ATLAS II+ V268</t>
  </si>
  <si>
    <t>DFIB DC ATLSII</t>
  </si>
  <si>
    <t>0040001091</t>
  </si>
  <si>
    <t>DFIB DC ATLAS+ DR V243</t>
  </si>
  <si>
    <t xml:space="preserve">DFIB DC ATLAS  </t>
  </si>
  <si>
    <t>0040001117</t>
  </si>
  <si>
    <t>DFIB DC ATLAS II HFV365</t>
  </si>
  <si>
    <t>DFIB DC ATLS HF</t>
  </si>
  <si>
    <t>0040001125</t>
  </si>
  <si>
    <t>DFIB DC ATLAS II HFV366</t>
  </si>
  <si>
    <t>DFB DC ATLS HF$</t>
  </si>
  <si>
    <t>R</t>
  </si>
  <si>
    <t>0040001141</t>
  </si>
  <si>
    <t>DFIB DC ENTRUST</t>
  </si>
  <si>
    <t>0040001166</t>
  </si>
  <si>
    <t>DFIB DC EPIC DR 233</t>
  </si>
  <si>
    <t>DFIB DC EPIC DR</t>
  </si>
  <si>
    <t>0040001182</t>
  </si>
  <si>
    <t>DFIB DC EPIC II+</t>
  </si>
  <si>
    <t>DFIB DC EPIC II</t>
  </si>
  <si>
    <t>0040001232</t>
  </si>
  <si>
    <t>DFIB DYNAGEN CRT-D G150</t>
  </si>
  <si>
    <t>DFIB DYNAGEN</t>
  </si>
  <si>
    <t>0040001273</t>
  </si>
  <si>
    <t>DFIB DYNAGEN CRT-D G154</t>
  </si>
  <si>
    <t>0040001281</t>
  </si>
  <si>
    <t>DFIB DYNAGEN CRT-D G151</t>
  </si>
  <si>
    <t>0040001349</t>
  </si>
  <si>
    <t>DFIB ILIVIA NEO 7 DR-T 429529</t>
  </si>
  <si>
    <t>DFIB ILIVIA NEO</t>
  </si>
  <si>
    <t>0040001620</t>
  </si>
  <si>
    <t>DFIB DC PROTECTA XT DR</t>
  </si>
  <si>
    <t>DFIB PROTECTA</t>
  </si>
  <si>
    <t>0040001745</t>
  </si>
  <si>
    <t>DFB VIGILANT EL MRI VR D232</t>
  </si>
  <si>
    <t>DFB VIGILANT</t>
  </si>
  <si>
    <t>0040001760</t>
  </si>
  <si>
    <t>DFIB DC VENTAK PRIZM HE</t>
  </si>
  <si>
    <t>DFIB DC VNTK HE</t>
  </si>
  <si>
    <t>0040001786</t>
  </si>
  <si>
    <t>DFIB DC VIRTUOSO</t>
  </si>
  <si>
    <t>DFIB DC VIRTUOS</t>
  </si>
  <si>
    <t>0040001794</t>
  </si>
  <si>
    <t>DFIB DC VITALTY DS T125</t>
  </si>
  <si>
    <t>DFIB DC VITALTY</t>
  </si>
  <si>
    <t>0040001828</t>
  </si>
  <si>
    <t>DFIB DC VITALITY 2 T165</t>
  </si>
  <si>
    <t>0040001851</t>
  </si>
  <si>
    <t>DFIB DC VITALITY 2 T180</t>
  </si>
  <si>
    <t>0040001877</t>
  </si>
  <si>
    <t>DFB ELLIPSE DR CD241136Q</t>
  </si>
  <si>
    <t>DFIB ELLIPSE</t>
  </si>
  <si>
    <t>0040001927</t>
  </si>
  <si>
    <t>DFIB EPIC II HF V355</t>
  </si>
  <si>
    <t>DFIB EPIC II HF</t>
  </si>
  <si>
    <t>0040001935</t>
  </si>
  <si>
    <t>DFIB FORTIFY DR SJ4 CONN</t>
  </si>
  <si>
    <t>DFIB FORTIFY</t>
  </si>
  <si>
    <t>0040001943</t>
  </si>
  <si>
    <t>DFIB FORTIFY VR SJ4 CONN</t>
  </si>
  <si>
    <t>0040001976</t>
  </si>
  <si>
    <t>DFB INCEPTA CRTD DF4N160</t>
  </si>
  <si>
    <t>DFIB INCEPTA</t>
  </si>
  <si>
    <t>0040001984</t>
  </si>
  <si>
    <t>DFB INCEPTA CRTD DF1N161</t>
  </si>
  <si>
    <t>0040001992</t>
  </si>
  <si>
    <t>DFIB INCEPTA DR DF4 E162</t>
  </si>
  <si>
    <t>DFIB INCEPTA DR</t>
  </si>
  <si>
    <t>0040002032</t>
  </si>
  <si>
    <t>DFIB INSYNC SENTRY 7297</t>
  </si>
  <si>
    <t xml:space="preserve">DFIB SENTRY    </t>
  </si>
  <si>
    <t>0040002040</t>
  </si>
  <si>
    <t>DFB INVENTR HFT QP393012</t>
  </si>
  <si>
    <t>DFB INVENTRA</t>
  </si>
  <si>
    <t>0040002065</t>
  </si>
  <si>
    <t>DFIB LUMAX 540 HF-T</t>
  </si>
  <si>
    <t>DFIB LUMAX HF-T</t>
  </si>
  <si>
    <t>0040002073</t>
  </si>
  <si>
    <t>DFIB LUMAX 540 VR-T</t>
  </si>
  <si>
    <t>DFIB LUMAX VR-T</t>
  </si>
  <si>
    <t>0040002081</t>
  </si>
  <si>
    <t>DFIB LUMAX 540 DR-T</t>
  </si>
  <si>
    <t>DFIB LUMAX DR-T</t>
  </si>
  <si>
    <t>0040002131</t>
  </si>
  <si>
    <t>DFIB LUMAX 340 HF-T</t>
  </si>
  <si>
    <t>0040002156</t>
  </si>
  <si>
    <t>DFIB LUMAX 340 DR-T</t>
  </si>
  <si>
    <t>0040002214</t>
  </si>
  <si>
    <t>DFIB PROMOTE 3207-30</t>
  </si>
  <si>
    <t>DFIB PROMOTE</t>
  </si>
  <si>
    <t>0040002222</t>
  </si>
  <si>
    <t>DFIB PROMOTE RF 3207-36</t>
  </si>
  <si>
    <t>DFIB PROMOTE RF</t>
  </si>
  <si>
    <t>0040002248</t>
  </si>
  <si>
    <t>DFIB RENEWAL 3 CONTK HE</t>
  </si>
  <si>
    <t xml:space="preserve">DFIB RENEWAL 3 </t>
  </si>
  <si>
    <t>0040002255</t>
  </si>
  <si>
    <t>DFIB RENEWAL 3 PRIZM HE</t>
  </si>
  <si>
    <t>DFIB RENEW 3 HE</t>
  </si>
  <si>
    <t>0040002297</t>
  </si>
  <si>
    <t>DFIB RENEWAL 3 RF HE</t>
  </si>
  <si>
    <t>DFIB RENEW 3 RF</t>
  </si>
  <si>
    <t>0040002339</t>
  </si>
  <si>
    <t>DFB RESONATE X4 CRT-D G447</t>
  </si>
  <si>
    <t>DFB RESONATE</t>
  </si>
  <si>
    <t>0040002347</t>
  </si>
  <si>
    <t>DFB RESONATE EL DR D433</t>
  </si>
  <si>
    <t>0040002354</t>
  </si>
  <si>
    <t>DFB RESONATE EL VR D432</t>
  </si>
  <si>
    <t>0040002362</t>
  </si>
  <si>
    <t>DFB RIVACOR 7 HF-T QP 429532</t>
  </si>
  <si>
    <t>DFB RIVACOR 7 H</t>
  </si>
  <si>
    <t>0040002370</t>
  </si>
  <si>
    <t>DFB RIVACOR 7 DR-T 429534</t>
  </si>
  <si>
    <t>DFB RIVACOR 7 D</t>
  </si>
  <si>
    <t>0040002388</t>
  </si>
  <si>
    <t>DFB RIVACOR 7 VR-T 429536</t>
  </si>
  <si>
    <t>DFB RIVACOR 7 V</t>
  </si>
  <si>
    <t>0040002404</t>
  </si>
  <si>
    <t>DFB CBLT VR MRI IS1DF4 DVPB3D4</t>
  </si>
  <si>
    <t>COBALT VR MRI I</t>
  </si>
  <si>
    <t>0040002909</t>
  </si>
  <si>
    <t>DFIB GALLANT SC VR CDVRA500Q</t>
  </si>
  <si>
    <t>DFB GALLANT SGL</t>
  </si>
  <si>
    <t>0040002917</t>
  </si>
  <si>
    <t>DFB GALLNT DC ICD DR CDDRA500Q</t>
  </si>
  <si>
    <t xml:space="preserve">DFB GALLANT DC </t>
  </si>
  <si>
    <t>0040002925</t>
  </si>
  <si>
    <t>DFB GALLANT CRT-D HF CDHFA500Q</t>
  </si>
  <si>
    <t>DFB GALLANT CRT</t>
  </si>
  <si>
    <t>0040003188</t>
  </si>
  <si>
    <t>IMP CARDIAC MONITOR DM5300</t>
  </si>
  <si>
    <t>IMP CARDIAC MON</t>
  </si>
  <si>
    <t>0040003329</t>
  </si>
  <si>
    <t>DFIB SC MAXIMO VR7232CX</t>
  </si>
  <si>
    <t xml:space="preserve">DFIB SC MAXIMO </t>
  </si>
  <si>
    <t>0040003477</t>
  </si>
  <si>
    <t>DFIB SC VITALTY 2 T175</t>
  </si>
  <si>
    <t>DFIB SC VITALTY</t>
  </si>
  <si>
    <t>0040003485</t>
  </si>
  <si>
    <t>DFIB SC VITALTY 2 T177</t>
  </si>
  <si>
    <t>0040003493</t>
  </si>
  <si>
    <t>DFIB SC VITALTY VR T135</t>
  </si>
  <si>
    <t>0040003519</t>
  </si>
  <si>
    <t>DFIB SC VIRTUOSO D154VW</t>
  </si>
  <si>
    <t>DFIB SC VIRTUOS</t>
  </si>
  <si>
    <t>0040003527</t>
  </si>
  <si>
    <t>DFIB SECURA DR D224DRG</t>
  </si>
  <si>
    <t>DFIB SECURA DR</t>
  </si>
  <si>
    <t>0040003535</t>
  </si>
  <si>
    <t>DFIB SECURA VR D224VRC</t>
  </si>
  <si>
    <t>DFIB SECURA VR</t>
  </si>
  <si>
    <t>0040003550</t>
  </si>
  <si>
    <t>DFIB TELIGEN VR HE E102</t>
  </si>
  <si>
    <t>DFIB TELIGEN VR</t>
  </si>
  <si>
    <t>0040003568</t>
  </si>
  <si>
    <t>DFIB TELIGEN DR HE E110</t>
  </si>
  <si>
    <t>DFIB TELIGEN DR</t>
  </si>
  <si>
    <t>0040003584</t>
  </si>
  <si>
    <t>DFIB UNIFY CRT-D DF1/IS1</t>
  </si>
  <si>
    <t>DFIB UNIFY</t>
  </si>
  <si>
    <t>0040003592</t>
  </si>
  <si>
    <t>DFB UNIFY QUADRA CRT-D</t>
  </si>
  <si>
    <t>0040003626</t>
  </si>
  <si>
    <t>IMP POCKET ADPTR SPINAL</t>
  </si>
  <si>
    <t>IMP PCKET ADPTR</t>
  </si>
  <si>
    <t>0040003634</t>
  </si>
  <si>
    <t>IMP MONITOR CARD CONFIRM RX</t>
  </si>
  <si>
    <t>IMP MONITOR CON</t>
  </si>
  <si>
    <t>0040003642</t>
  </si>
  <si>
    <t>IMP RCRD CRD REVEAL LINQ</t>
  </si>
  <si>
    <t>IMP REVEAL LINQ</t>
  </si>
  <si>
    <t>0040003667</t>
  </si>
  <si>
    <t>LD ATTAIN UNIPLR 4195</t>
  </si>
  <si>
    <t>LD ATTAIN UNIPL</t>
  </si>
  <si>
    <t>0040003675</t>
  </si>
  <si>
    <t>LD ATTAIN ABILITY 4196</t>
  </si>
  <si>
    <t>LD ATTAIN 4196</t>
  </si>
  <si>
    <t>0040003683</t>
  </si>
  <si>
    <t>LD ATTAIN PERFORMA 4298</t>
  </si>
  <si>
    <t>LD ATTAIN PERFR</t>
  </si>
  <si>
    <t>0040003717</t>
  </si>
  <si>
    <t>LD COROX OTW 354805</t>
  </si>
  <si>
    <t>LD COROX OTW</t>
  </si>
  <si>
    <t>0040003725</t>
  </si>
  <si>
    <t>LD COROX OTW 355148</t>
  </si>
  <si>
    <t>0040003741</t>
  </si>
  <si>
    <t>LD COROX OTW L85 368346</t>
  </si>
  <si>
    <t>0040003758</t>
  </si>
  <si>
    <t>LD COROX OTW L75 368345</t>
  </si>
  <si>
    <t>0040003766</t>
  </si>
  <si>
    <t>LD ATTAIN STABILITY QUAD 4798</t>
  </si>
  <si>
    <t>LD ATTAIN STABI</t>
  </si>
  <si>
    <t>0040003790</t>
  </si>
  <si>
    <t>LD DFIB ACUITY 4554</t>
  </si>
  <si>
    <t>LD DFIB ACUITY</t>
  </si>
  <si>
    <t>0040003808</t>
  </si>
  <si>
    <t>LD DFIB ACUITY 4555</t>
  </si>
  <si>
    <t>0040003816</t>
  </si>
  <si>
    <t>LD DFIB ACUITY 4592</t>
  </si>
  <si>
    <t>0040003873</t>
  </si>
  <si>
    <t>LD DFIB DURATA 7121</t>
  </si>
  <si>
    <t>LD DFIB DURATA</t>
  </si>
  <si>
    <t>0040003980</t>
  </si>
  <si>
    <t>LD PM CAPSURE SENSE 4574</t>
  </si>
  <si>
    <t>LD PM CAPSR SEN</t>
  </si>
  <si>
    <t>0040004004</t>
  </si>
  <si>
    <t>LD PM DEXTRUS 4136</t>
  </si>
  <si>
    <t>LD PM DEXTRUS</t>
  </si>
  <si>
    <t>0040004012</t>
  </si>
  <si>
    <t>LD PM DEXTRUS 4137</t>
  </si>
  <si>
    <t>0040004020</t>
  </si>
  <si>
    <t>LD PM DEXTRUS 4135</t>
  </si>
  <si>
    <t>0040004053</t>
  </si>
  <si>
    <t>LD PM ELAFIXP2P752</t>
  </si>
  <si>
    <t>LD PM ELAFIX</t>
  </si>
  <si>
    <t>0040004129</t>
  </si>
  <si>
    <t>LD PM MYOPORE EPI 511211</t>
  </si>
  <si>
    <t>LD PM MYOPORE</t>
  </si>
  <si>
    <t>0040004178</t>
  </si>
  <si>
    <t>LD PLEXA PROMRI S DX 436910</t>
  </si>
  <si>
    <t>LD PLEXA PROMRI</t>
  </si>
  <si>
    <t>0040004186</t>
  </si>
  <si>
    <t>LD PM SETROX S 350973</t>
  </si>
  <si>
    <t>LD PM SETROX S</t>
  </si>
  <si>
    <t>0040004244</t>
  </si>
  <si>
    <t>PM ALTRUA DDDR S603</t>
  </si>
  <si>
    <t>PM ALTRUA DDDR</t>
  </si>
  <si>
    <t>0040004269</t>
  </si>
  <si>
    <t>PM ADVANTIO DR K063</t>
  </si>
  <si>
    <t>PM ADVANTIO DR</t>
  </si>
  <si>
    <t>0040004277</t>
  </si>
  <si>
    <t>PM ADVANTIO SR K062</t>
  </si>
  <si>
    <t>PM ADVANTIO SR</t>
  </si>
  <si>
    <t>0040004285</t>
  </si>
  <si>
    <t>PM ADVANTIO DR EL K064</t>
  </si>
  <si>
    <t>0040004293</t>
  </si>
  <si>
    <t>PM ASSURITY DR-RF PM2240</t>
  </si>
  <si>
    <t>PM ASSURITY</t>
  </si>
  <si>
    <t>0040004301</t>
  </si>
  <si>
    <t>PM ASSURITY SR-RF PM1240</t>
  </si>
  <si>
    <t>0040004319</t>
  </si>
  <si>
    <t>PM ADVISA SR MRI A3SR01</t>
  </si>
  <si>
    <t>PM ADVISA</t>
  </si>
  <si>
    <t>0040004327</t>
  </si>
  <si>
    <t>PM ASSURITY MRI PM1272</t>
  </si>
  <si>
    <t>0040004335</t>
  </si>
  <si>
    <t>PM ASSURITY MRI PM2272</t>
  </si>
  <si>
    <t>PM ASSURITY MRI</t>
  </si>
  <si>
    <t>0040004343</t>
  </si>
  <si>
    <t>PM AZURE XT DR MRI W1DR01</t>
  </si>
  <si>
    <t>PM AZURE XT DR</t>
  </si>
  <si>
    <t>0040004350</t>
  </si>
  <si>
    <t>PM AZURE XT SR MRI W1SR01</t>
  </si>
  <si>
    <t>PM AZURE XT SR</t>
  </si>
  <si>
    <t>0040004376</t>
  </si>
  <si>
    <t>PM AZURE S SR MRI SURSN W3SR01</t>
  </si>
  <si>
    <t>PM AZURE S SR</t>
  </si>
  <si>
    <t>0040004392</t>
  </si>
  <si>
    <t>PM AMVIA EDGE DR-T 460163</t>
  </si>
  <si>
    <t>PM AMVIA EDGE D</t>
  </si>
  <si>
    <t>0040004442</t>
  </si>
  <si>
    <t>LD DFB PAMIRA S 428769</t>
  </si>
  <si>
    <t>LD DFB PAMIRA S</t>
  </si>
  <si>
    <t>0040004483</t>
  </si>
  <si>
    <t>PM CONSULTA CRT-P C4TR01</t>
  </si>
  <si>
    <t>PM CONSULTA</t>
  </si>
  <si>
    <t>0040004491</t>
  </si>
  <si>
    <t>PM CONTAK RENEWAL H120</t>
  </si>
  <si>
    <t>PACEMAKER CONTK</t>
  </si>
  <si>
    <t>0040004509</t>
  </si>
  <si>
    <t>PM CONTAK RENEWAL H125</t>
  </si>
  <si>
    <t>0040004525</t>
  </si>
  <si>
    <t>PM DC ACCENT DR PM2210</t>
  </si>
  <si>
    <t>PM DC ACCENT</t>
  </si>
  <si>
    <t>0040004566</t>
  </si>
  <si>
    <t>PM DC ALTRUA 60 S602</t>
  </si>
  <si>
    <t>PM DC ALTRUA 60</t>
  </si>
  <si>
    <t>0040004574</t>
  </si>
  <si>
    <t>PM DC ALTRUA 60 S606</t>
  </si>
  <si>
    <t>0040004582</t>
  </si>
  <si>
    <t>PM ALLURE QUADRA 3242</t>
  </si>
  <si>
    <t>PM ALLURE QUAD</t>
  </si>
  <si>
    <t>0040004608</t>
  </si>
  <si>
    <t>PM ESSENTIO MRI VR L110</t>
  </si>
  <si>
    <t>PM ESSENTIO</t>
  </si>
  <si>
    <t>0040004616</t>
  </si>
  <si>
    <t>PM ESSENTIO SR IS-1 L100</t>
  </si>
  <si>
    <t>PM ESSENTIO SR</t>
  </si>
  <si>
    <t>0040004624</t>
  </si>
  <si>
    <t>PM ESSENTIO EL DR L121</t>
  </si>
  <si>
    <t>PM ESSENTIO EL</t>
  </si>
  <si>
    <t>0040004632</t>
  </si>
  <si>
    <t>PM ESSENTIO DR IS1 L101</t>
  </si>
  <si>
    <t>PM ESSENTIO DR</t>
  </si>
  <si>
    <t>0040004681</t>
  </si>
  <si>
    <t>PM ESSENTIO MRI EL L131</t>
  </si>
  <si>
    <t>0040004764</t>
  </si>
  <si>
    <t>PM DC EVIA DR-T 359529</t>
  </si>
  <si>
    <t>PM EVIA DR-T</t>
  </si>
  <si>
    <t>0040004921</t>
  </si>
  <si>
    <t>PM DC RR ADAPTA ADDRL101</t>
  </si>
  <si>
    <t>PM DC RR$</t>
  </si>
  <si>
    <t>0040004939</t>
  </si>
  <si>
    <t>PM DC RR ADAPTA ADDRS1</t>
  </si>
  <si>
    <t>PACEMAKER DC RR</t>
  </si>
  <si>
    <t>0040004947</t>
  </si>
  <si>
    <t>PM DC RR ADAPTA ADDR01</t>
  </si>
  <si>
    <t>0040004970</t>
  </si>
  <si>
    <t>PM DC RR ADAPTA ADDR06</t>
  </si>
  <si>
    <t>0040004988</t>
  </si>
  <si>
    <t>PM DC RR SENSIA SEDR01</t>
  </si>
  <si>
    <t>0040005076</t>
  </si>
  <si>
    <t>PM DC RR ATR/VNT BI/UNI</t>
  </si>
  <si>
    <t>0040005134</t>
  </si>
  <si>
    <t>PM DC RR CYLOS DR</t>
  </si>
  <si>
    <t>0040005142</t>
  </si>
  <si>
    <t>PM DC RR CYLOS DRT</t>
  </si>
  <si>
    <t>0040005175</t>
  </si>
  <si>
    <t>PM DC RR ENRYTHM P1501</t>
  </si>
  <si>
    <t>0040005183</t>
  </si>
  <si>
    <t>PM DC RR ENPULSE 2 DR21</t>
  </si>
  <si>
    <t>0040005266</t>
  </si>
  <si>
    <t>PM DC RR ENPULSE 2</t>
  </si>
  <si>
    <t>0040005274</t>
  </si>
  <si>
    <t>PM DC RR ENTRA INSG1295</t>
  </si>
  <si>
    <t>0040005282</t>
  </si>
  <si>
    <t>PM DC RR ENPULSE E1DR21</t>
  </si>
  <si>
    <t>0040005316</t>
  </si>
  <si>
    <t>PM DC RR IDENTITY ADX</t>
  </si>
  <si>
    <t>0040005332</t>
  </si>
  <si>
    <t>PM DC RR INSIGN ULTR DR</t>
  </si>
  <si>
    <t>0040005340</t>
  </si>
  <si>
    <t>PM DC RR INSIGNA ULTRA</t>
  </si>
  <si>
    <t>0040005365</t>
  </si>
  <si>
    <t>PM DC RR INSIGNA PLUS</t>
  </si>
  <si>
    <t>0040005878</t>
  </si>
  <si>
    <t>PM DC RR PHILOS II DR</t>
  </si>
  <si>
    <t>0040005910</t>
  </si>
  <si>
    <t>PM DC RR PROTOS DR</t>
  </si>
  <si>
    <t>0040006009</t>
  </si>
  <si>
    <t>PM DC RR SYMPHONY</t>
  </si>
  <si>
    <t>0040006215</t>
  </si>
  <si>
    <t>PM DC RR VERSA VEDR01ID</t>
  </si>
  <si>
    <t>0040006223</t>
  </si>
  <si>
    <t>PM DC RR VICTORY DR</t>
  </si>
  <si>
    <t>0040006249</t>
  </si>
  <si>
    <t>PM DC RR VICTORY XLDR</t>
  </si>
  <si>
    <t>0040006413</t>
  </si>
  <si>
    <t>PM DC RR ZEPHYR 5826</t>
  </si>
  <si>
    <t>PM DC RR ZEPHYR</t>
  </si>
  <si>
    <t>0040006421</t>
  </si>
  <si>
    <t>PM DC RR ZEPHYR 5820</t>
  </si>
  <si>
    <t>0040006454</t>
  </si>
  <si>
    <t>PM FRONTIER II 5586</t>
  </si>
  <si>
    <t>PACEMAKER FRONT</t>
  </si>
  <si>
    <t>0040006975</t>
  </si>
  <si>
    <t>PM INGENIO DR K174</t>
  </si>
  <si>
    <t>PM INGENIO DR</t>
  </si>
  <si>
    <t>0040006983</t>
  </si>
  <si>
    <t>PM INGENIO SR IS-1 K172</t>
  </si>
  <si>
    <t>PM INGENIO SR</t>
  </si>
  <si>
    <t>0040006991</t>
  </si>
  <si>
    <t>PM INGENIO DR IS-1 K173</t>
  </si>
  <si>
    <t>0040007007</t>
  </si>
  <si>
    <t>PM INSYNC III 8042</t>
  </si>
  <si>
    <t>PACEMAKER INSNC</t>
  </si>
  <si>
    <t>0040007015</t>
  </si>
  <si>
    <t>PM INVIVE CRT-P LV1 V172</t>
  </si>
  <si>
    <t>PM INVIVE</t>
  </si>
  <si>
    <t>0040007023</t>
  </si>
  <si>
    <t>PM INVIVE CRT-P IS1 V173</t>
  </si>
  <si>
    <t>0040007031</t>
  </si>
  <si>
    <t>PM INTUA CRT-P V273</t>
  </si>
  <si>
    <t>PM INTUA</t>
  </si>
  <si>
    <t>0040007049</t>
  </si>
  <si>
    <t>PM INTUA CRT-P V272</t>
  </si>
  <si>
    <t>0040009011</t>
  </si>
  <si>
    <t>PM REVO MRI SRSCN RVDR01</t>
  </si>
  <si>
    <t>PM REVO MRI</t>
  </si>
  <si>
    <t>0040009102</t>
  </si>
  <si>
    <t>PM SC ACCENT SR PM1110</t>
  </si>
  <si>
    <t>PM ACCENT SR</t>
  </si>
  <si>
    <t>0040009185</t>
  </si>
  <si>
    <t>PM SC EVIA SR 359531</t>
  </si>
  <si>
    <t>PM EVIA SR</t>
  </si>
  <si>
    <t>0040009201</t>
  </si>
  <si>
    <t>PM SC EVIA SR-T 359533</t>
  </si>
  <si>
    <t>PM EVIA SR-T</t>
  </si>
  <si>
    <t>0040010001</t>
  </si>
  <si>
    <t>PM SC RR INSIGNA ENTR5/6</t>
  </si>
  <si>
    <t>PACEMAKER SC RR</t>
  </si>
  <si>
    <t>0040010464</t>
  </si>
  <si>
    <t>PM SC RR ADAPTA ADSR01</t>
  </si>
  <si>
    <t>0040010480</t>
  </si>
  <si>
    <t>PM SC RR ADAPTA SR03</t>
  </si>
  <si>
    <t>0040010688</t>
  </si>
  <si>
    <t>PM SC RR CYLOS VR</t>
  </si>
  <si>
    <t>0040010803</t>
  </si>
  <si>
    <t>PM SC RR ENPULSE</t>
  </si>
  <si>
    <t>0040010902</t>
  </si>
  <si>
    <t>PM SC RR IDENTITY ADX</t>
  </si>
  <si>
    <t>0040010951</t>
  </si>
  <si>
    <t>PM SC RR INSIGNA</t>
  </si>
  <si>
    <t>0040010993</t>
  </si>
  <si>
    <t>PM SC RR INSIGNIA ULTRA</t>
  </si>
  <si>
    <t>0040011462</t>
  </si>
  <si>
    <t>PM SC RR PHILOS II SR</t>
  </si>
  <si>
    <t>0040011470</t>
  </si>
  <si>
    <t>PM SC RR PROTOS VR</t>
  </si>
  <si>
    <t>0040011652</t>
  </si>
  <si>
    <t>PM SC RR SENSIA SESR01</t>
  </si>
  <si>
    <t>0040012015</t>
  </si>
  <si>
    <t>PM SC RR ZEPHYR SR 5620</t>
  </si>
  <si>
    <t>PM SC RR ZPHYR$</t>
  </si>
  <si>
    <t>0040012023</t>
  </si>
  <si>
    <t>PM SC RR ZEPHYR XL 5626</t>
  </si>
  <si>
    <t>PM SC RR ZEPHYR</t>
  </si>
  <si>
    <t>0040012031</t>
  </si>
  <si>
    <t>PM SC ACCENT SR PM1210</t>
  </si>
  <si>
    <t>PM SC ACCENT</t>
  </si>
  <si>
    <t>0040012494</t>
  </si>
  <si>
    <t>PM VALITUDE X4 CRTP U125</t>
  </si>
  <si>
    <t>PM VALITUDE</t>
  </si>
  <si>
    <t>0040012502</t>
  </si>
  <si>
    <t>PM VALITUDE X4 CRTP U128</t>
  </si>
  <si>
    <t>0040015000</t>
  </si>
  <si>
    <t>RCRDR LOOP REVEAL</t>
  </si>
  <si>
    <t>RCDR LOOP</t>
  </si>
  <si>
    <t>0040040875</t>
  </si>
  <si>
    <t>PM ACCOLADE DR MRI L311</t>
  </si>
  <si>
    <t>PM ACCOLADE</t>
  </si>
  <si>
    <t>0040040883</t>
  </si>
  <si>
    <t>PM ACCOLADE SR L300</t>
  </si>
  <si>
    <t>0040040891</t>
  </si>
  <si>
    <t>PM ACCOLADE DR L301</t>
  </si>
  <si>
    <t>0040040909</t>
  </si>
  <si>
    <t>PM ACCOLADE EL DR L321</t>
  </si>
  <si>
    <t>0040040917</t>
  </si>
  <si>
    <t>PM ACCOLADE MRI SR L310</t>
  </si>
  <si>
    <t>0040040925</t>
  </si>
  <si>
    <t>PM ACCOLADE MRI EL L331</t>
  </si>
  <si>
    <t>0040040982</t>
  </si>
  <si>
    <t>PM ADVISA DR MRI A2DR01</t>
  </si>
  <si>
    <t>PM ADVISA DR</t>
  </si>
  <si>
    <t>0040041113</t>
  </si>
  <si>
    <t>PM ALTRUA SSIR SC S204</t>
  </si>
  <si>
    <t>PM ALTRUA SSIR</t>
  </si>
  <si>
    <t>0040041139</t>
  </si>
  <si>
    <t>PM ALTRUA SSIR SC S601</t>
  </si>
  <si>
    <t>0040041204</t>
  </si>
  <si>
    <t>PM ANTHEM RF DC PM3210</t>
  </si>
  <si>
    <t>PM ANTHEM RF</t>
  </si>
  <si>
    <t>0040041253</t>
  </si>
  <si>
    <t>PM DC ACCENT DR PM2110</t>
  </si>
  <si>
    <t>PM ACCENT DR</t>
  </si>
  <si>
    <t>0040041261</t>
  </si>
  <si>
    <t>PM EVIA DR-T CLS/HM GSM</t>
  </si>
  <si>
    <t>0040041279</t>
  </si>
  <si>
    <t>PM EVIA SR-T CLS/HM MOB</t>
  </si>
  <si>
    <t>0040041311</t>
  </si>
  <si>
    <t>PM ENTOVIS PROMRI 371992</t>
  </si>
  <si>
    <t>PM ENTOVIS</t>
  </si>
  <si>
    <t>0040041329</t>
  </si>
  <si>
    <t>PM ENTOVIS PROMRI 371994</t>
  </si>
  <si>
    <t>0040041337</t>
  </si>
  <si>
    <t>PM ENTOVIS PROMRI 404722</t>
  </si>
  <si>
    <t>0040041345</t>
  </si>
  <si>
    <t>PM ENTOVIS PROMRI 404723</t>
  </si>
  <si>
    <t>0040041378</t>
  </si>
  <si>
    <t>PM EDORA PROMRI 407157</t>
  </si>
  <si>
    <t>PM EDORA SR-T</t>
  </si>
  <si>
    <t>0040041394</t>
  </si>
  <si>
    <t>PM ELUNA PROMRI 394969</t>
  </si>
  <si>
    <t>PM ELUNA DR-T</t>
  </si>
  <si>
    <t>0040041402</t>
  </si>
  <si>
    <t>PM ELUNA PROMRI 394971</t>
  </si>
  <si>
    <t>PM ELUNA SR-T</t>
  </si>
  <si>
    <t>0040041410</t>
  </si>
  <si>
    <t>PM ETRINSA HF-T 394919</t>
  </si>
  <si>
    <t>PM ETRINSA</t>
  </si>
  <si>
    <t>0040041428</t>
  </si>
  <si>
    <t>PM ETRINSA SR-T 394936</t>
  </si>
  <si>
    <t>0040041436</t>
  </si>
  <si>
    <t>PM ETRINSA DR-T 394931</t>
  </si>
  <si>
    <t>0040041444</t>
  </si>
  <si>
    <t>PM EDORA PROMRI 407145</t>
  </si>
  <si>
    <t>PM EDORA DR-T</t>
  </si>
  <si>
    <t>0040041832</t>
  </si>
  <si>
    <t>PM PERCEPTA QUAD MRI W4TR01</t>
  </si>
  <si>
    <t>PM PERCEPTA</t>
  </si>
  <si>
    <t>0040041840</t>
  </si>
  <si>
    <t>PM PERCEPTA MRI CRTP W1TR01</t>
  </si>
  <si>
    <t>0040041873</t>
  </si>
  <si>
    <t>PM REPLY DR ICV1258</t>
  </si>
  <si>
    <t>PM REPLY DR</t>
  </si>
  <si>
    <t>0040041881</t>
  </si>
  <si>
    <t>PM REPLY SR V3 TPM002U</t>
  </si>
  <si>
    <t>PM REPLY SR</t>
  </si>
  <si>
    <t>0040041907</t>
  </si>
  <si>
    <t>PM STRATOS LV 338200</t>
  </si>
  <si>
    <t>PM STRATOS LV</t>
  </si>
  <si>
    <t>0040042004</t>
  </si>
  <si>
    <t>PM VIVA CRT-P C6TR01</t>
  </si>
  <si>
    <t>PM VIVA</t>
  </si>
  <si>
    <t>0040049991</t>
  </si>
  <si>
    <t>SYS HEART FAILURE MONITR</t>
  </si>
  <si>
    <t>CARDIOMEMS HF</t>
  </si>
  <si>
    <t>0040050015</t>
  </si>
  <si>
    <t>SYS TRANSCATH PACE MICRA</t>
  </si>
  <si>
    <t>SYS MICRA</t>
  </si>
  <si>
    <t>0040055345</t>
  </si>
  <si>
    <t>EPIFIX PER SQ CM</t>
  </si>
  <si>
    <t>EPIFIX SQ CM</t>
  </si>
  <si>
    <t>0040082828</t>
  </si>
  <si>
    <t>DFIB COBALT XT HF CRTD DTPA2D4</t>
  </si>
  <si>
    <t xml:space="preserve">DFIB COBALT XT </t>
  </si>
  <si>
    <t>0040082836</t>
  </si>
  <si>
    <t>DFB COBALT IS1 DF1 DDPA2D4</t>
  </si>
  <si>
    <t xml:space="preserve">DFB COBALT IS1 </t>
  </si>
  <si>
    <t>0040082844</t>
  </si>
  <si>
    <t>DFB COBALT CRTD DTPA2QQ</t>
  </si>
  <si>
    <t>DFB COBALT CRTD</t>
  </si>
  <si>
    <t>0040082851</t>
  </si>
  <si>
    <t>DFB COBALT IS1 DF1 DDPB3D1</t>
  </si>
  <si>
    <t>0040082869</t>
  </si>
  <si>
    <t>DFB COBALT CRTD DTPB2D4</t>
  </si>
  <si>
    <t>0040082885</t>
  </si>
  <si>
    <t>DFB COBALT CRTD DTPB2QQ</t>
  </si>
  <si>
    <t>0040082893</t>
  </si>
  <si>
    <t>DFB COBALT CRTD DTPB2Q1</t>
  </si>
  <si>
    <t>0040082901</t>
  </si>
  <si>
    <t>DFB COBALT DR MRI DDPB3D4</t>
  </si>
  <si>
    <t>DFB COBALT DR M</t>
  </si>
  <si>
    <t>0040082919</t>
  </si>
  <si>
    <t>DFB DYNAGEN EL DR D153</t>
  </si>
  <si>
    <t>DFB DYNAGEN</t>
  </si>
  <si>
    <t>0040082976</t>
  </si>
  <si>
    <t>DFB DYNAGEN EL DR D152</t>
  </si>
  <si>
    <t>0040082992</t>
  </si>
  <si>
    <t>DFB DYNAGEN X4 CRTD G158</t>
  </si>
  <si>
    <t>0040083024</t>
  </si>
  <si>
    <t>DFIB CURRENT PLUS VR SJ4</t>
  </si>
  <si>
    <t>DFIB CURRENT</t>
  </si>
  <si>
    <t>0040083099</t>
  </si>
  <si>
    <t>DFB ENERGN CRTD DF4 N140</t>
  </si>
  <si>
    <t>DEFIB ENERGEN</t>
  </si>
  <si>
    <t>0040083107</t>
  </si>
  <si>
    <t>DFB INCEPTA VR DF4 E160</t>
  </si>
  <si>
    <t>DFIB INCEPTA VR</t>
  </si>
  <si>
    <t>0040083115</t>
  </si>
  <si>
    <t>DFB INCEPTA VR DF1 E161</t>
  </si>
  <si>
    <t>0040083123</t>
  </si>
  <si>
    <t>DFB INCEPTA CRTD LV1N164</t>
  </si>
  <si>
    <t>DEFIB INCEPTA</t>
  </si>
  <si>
    <t>0040083131</t>
  </si>
  <si>
    <t>DFB INCEPTA DR DF1 E163</t>
  </si>
  <si>
    <t>0040083172</t>
  </si>
  <si>
    <t>DFB FORTFY ASR DR DF4IS1</t>
  </si>
  <si>
    <t>DFB FORTFY ASSU</t>
  </si>
  <si>
    <t>0040083180</t>
  </si>
  <si>
    <t>DFB FORTFY AS VR 135740Q</t>
  </si>
  <si>
    <t>0040083198</t>
  </si>
  <si>
    <t>DFB FORTFY ASR DR235740Q</t>
  </si>
  <si>
    <t>0040083214</t>
  </si>
  <si>
    <t>DFIB EVERA S DR DDBC3D4</t>
  </si>
  <si>
    <t>DFIB EVERA</t>
  </si>
  <si>
    <t>0040083222</t>
  </si>
  <si>
    <t>DFIB EVERA S VR DVBC3D4</t>
  </si>
  <si>
    <t>0040083230</t>
  </si>
  <si>
    <t>DFIB EVERA XT VR DVBB1D4</t>
  </si>
  <si>
    <t>0040083248</t>
  </si>
  <si>
    <t>DFIB EVERA S VR DVBC3D1</t>
  </si>
  <si>
    <t>0040083255</t>
  </si>
  <si>
    <t>DFIB EVERA S DR DDBC3D1</t>
  </si>
  <si>
    <t>0040083263</t>
  </si>
  <si>
    <t>DFIB EVERA XT DR DDBB1D4</t>
  </si>
  <si>
    <t>0040083271</t>
  </si>
  <si>
    <t>DFIB EVERA XT DR DDBB1D1</t>
  </si>
  <si>
    <t>0040083289</t>
  </si>
  <si>
    <t>DFIB EVERA XT VR DVBB1D1</t>
  </si>
  <si>
    <t>0040083297</t>
  </si>
  <si>
    <t>DFIB EMBLEM S-ICD A209</t>
  </si>
  <si>
    <t>DFIB EMBLEM</t>
  </si>
  <si>
    <t>0040083305</t>
  </si>
  <si>
    <t>DFB EVERA MRI XT DDMB1D4</t>
  </si>
  <si>
    <t>DFB EVERA MRI</t>
  </si>
  <si>
    <t>0040083313</t>
  </si>
  <si>
    <t>DFB EVERA MRI XT DVMB1D4</t>
  </si>
  <si>
    <t>0040083321</t>
  </si>
  <si>
    <t>DFB EVERA MRI S DDMC3D4</t>
  </si>
  <si>
    <t>0040083339</t>
  </si>
  <si>
    <t>DFB EMBLEM MRI A219</t>
  </si>
  <si>
    <t>DFB EMBLEM</t>
  </si>
  <si>
    <t>0040083362</t>
  </si>
  <si>
    <t>DFB FORTFY ASR VR135740C</t>
  </si>
  <si>
    <t>0040083370</t>
  </si>
  <si>
    <t>DFB EVERA MRI XT DDMB1D1</t>
  </si>
  <si>
    <t>0040083396</t>
  </si>
  <si>
    <t>DFB ILIVIA PROMRI DR-T 404623</t>
  </si>
  <si>
    <t>DFB ILIVIA PROM</t>
  </si>
  <si>
    <t>0040083420</t>
  </si>
  <si>
    <t>DFB ILIVIA PROMRI DR-T 404622</t>
  </si>
  <si>
    <t>0040083438</t>
  </si>
  <si>
    <t>DFB ILESTO VRTDF4 383580</t>
  </si>
  <si>
    <t>DFIB ILESTO</t>
  </si>
  <si>
    <t>0040083446</t>
  </si>
  <si>
    <t>DFB ILESTO HFT HE 383549</t>
  </si>
  <si>
    <t>DFB ILESTO</t>
  </si>
  <si>
    <t>0040083453</t>
  </si>
  <si>
    <t>DFIB ILESTO DR-T 383564</t>
  </si>
  <si>
    <t>0040083461</t>
  </si>
  <si>
    <t>DFB ILESTO7 VRTDX 383594</t>
  </si>
  <si>
    <t>DFIB ILESTO 7</t>
  </si>
  <si>
    <t>0040083479</t>
  </si>
  <si>
    <t>DFIB ILESTO 7 VRT 383578</t>
  </si>
  <si>
    <t>0040083487</t>
  </si>
  <si>
    <t>DFIB ILESTO 7 HFT 383547</t>
  </si>
  <si>
    <t>0040083495</t>
  </si>
  <si>
    <t>DFIB ILESTO 7 DRT 383562</t>
  </si>
  <si>
    <t>0040083503</t>
  </si>
  <si>
    <t>DFB ILESTO 7 DR-T 400447</t>
  </si>
  <si>
    <t>0040083537</t>
  </si>
  <si>
    <t>DFIB ILESTO 7 VRT 400453</t>
  </si>
  <si>
    <t>0040083578</t>
  </si>
  <si>
    <t>DFB INOGEN X4 CRTD G148</t>
  </si>
  <si>
    <t>DFIB INOGEN</t>
  </si>
  <si>
    <t>0040083594</t>
  </si>
  <si>
    <t>DFIB INOGEN EL DR D143</t>
  </si>
  <si>
    <t>DFIB INOGEN EL</t>
  </si>
  <si>
    <t>0040083602</t>
  </si>
  <si>
    <t>DFIB INOGEN EL VR D140</t>
  </si>
  <si>
    <t>0040083610</t>
  </si>
  <si>
    <t>DFIB INOGEN CRT-D G141</t>
  </si>
  <si>
    <t>0040083628</t>
  </si>
  <si>
    <t>DFIB INOGEN EL DR D142</t>
  </si>
  <si>
    <t>0040083636</t>
  </si>
  <si>
    <t>DFIB INOGEN EL VR D141</t>
  </si>
  <si>
    <t>0040083644</t>
  </si>
  <si>
    <t>DFIB INOGEN CRT-D G140</t>
  </si>
  <si>
    <t>0040083651</t>
  </si>
  <si>
    <t>DFB ILESTO DRTDF4 405574</t>
  </si>
  <si>
    <t>0040083677</t>
  </si>
  <si>
    <t>DFB ILESTO VRTDF4 405580</t>
  </si>
  <si>
    <t>0040083685</t>
  </si>
  <si>
    <t>DFB INOGEN MINI VR D011</t>
  </si>
  <si>
    <t>DFB INOGEN MINI</t>
  </si>
  <si>
    <t>0040083693</t>
  </si>
  <si>
    <t>DFB ITREVIA DR-T 392426</t>
  </si>
  <si>
    <t>DFB ITREVIA</t>
  </si>
  <si>
    <t>0040083719</t>
  </si>
  <si>
    <t>DFB ITREVIA HF-T 393016</t>
  </si>
  <si>
    <t>0040083735</t>
  </si>
  <si>
    <t>DFB ITREVIA HF-T 393014</t>
  </si>
  <si>
    <t>0040083750</t>
  </si>
  <si>
    <t>DFB ITREVIA HFTQP 401662</t>
  </si>
  <si>
    <t>0040083776</t>
  </si>
  <si>
    <t>DFB ITREVA VRTDF4 393041</t>
  </si>
  <si>
    <t>0040083792</t>
  </si>
  <si>
    <t>DFB IPERIA PROMRI 392423</t>
  </si>
  <si>
    <t>DFB IPERIA DR-T</t>
  </si>
  <si>
    <t>0040083800</t>
  </si>
  <si>
    <t>DFB INVENTR PROMR 399436</t>
  </si>
  <si>
    <t>DFB INVENTRA 7</t>
  </si>
  <si>
    <t>0040083818</t>
  </si>
  <si>
    <t>DFB IPERIA VRT DX 393032</t>
  </si>
  <si>
    <t>DFB IPERIA</t>
  </si>
  <si>
    <t>0040083826</t>
  </si>
  <si>
    <t>DFB IPERIA DRTDF1 392409</t>
  </si>
  <si>
    <t>0040083834</t>
  </si>
  <si>
    <t>DFB IPERIA PROMRI 393007</t>
  </si>
  <si>
    <t>DFB IPERIA HF-T</t>
  </si>
  <si>
    <t>0040083842</t>
  </si>
  <si>
    <t>DFB IPERIA PROMRI 393009</t>
  </si>
  <si>
    <t>0040083867</t>
  </si>
  <si>
    <t>DFB ILIVIA PROMRI QP 404621</t>
  </si>
  <si>
    <t>DFB ILIVIA HF-T</t>
  </si>
  <si>
    <t>0040083875</t>
  </si>
  <si>
    <t>DFB ILIVIA PROMRI VR-T 404626</t>
  </si>
  <si>
    <t>0040083883</t>
  </si>
  <si>
    <t>DFB LUMX 740VRTDX 372419</t>
  </si>
  <si>
    <t>DFIB LUMAX</t>
  </si>
  <si>
    <t>0040083891</t>
  </si>
  <si>
    <t>DFB LUMAX 740HFT HM MNTR</t>
  </si>
  <si>
    <t>DFB LUMAX HF-T</t>
  </si>
  <si>
    <t>0040083909</t>
  </si>
  <si>
    <t>DFB LUMAX 740VRT HM MNTR</t>
  </si>
  <si>
    <t>DFB LUMAX VR-T</t>
  </si>
  <si>
    <t>0040083917</t>
  </si>
  <si>
    <t>DFB LUMAX 740DRT HM MNTR</t>
  </si>
  <si>
    <t>DFB LUMAX DR-T</t>
  </si>
  <si>
    <t>0040083925</t>
  </si>
  <si>
    <t>DFB LUMAX 740HFT BIV MOB</t>
  </si>
  <si>
    <t>0040083933</t>
  </si>
  <si>
    <t>DFB LUMAX 740DR-T MOBL</t>
  </si>
  <si>
    <t>0040083941</t>
  </si>
  <si>
    <t>DFB LUMAX SC 740 VRT MOB</t>
  </si>
  <si>
    <t>0040084014</t>
  </si>
  <si>
    <t>DFIB MAXIMO II D284DRG</t>
  </si>
  <si>
    <t>DFIB MAXIMO II</t>
  </si>
  <si>
    <t>0040084022</t>
  </si>
  <si>
    <t>DFIB PARADYM CRT-D 8750</t>
  </si>
  <si>
    <t>DFIB PARADYM</t>
  </si>
  <si>
    <t>0040084048</t>
  </si>
  <si>
    <t>DFIB PROMOTE+ CRT-D 3211</t>
  </si>
  <si>
    <t>0040084105</t>
  </si>
  <si>
    <t>DFIB PROTECTA XT CRT-D</t>
  </si>
  <si>
    <t>0040084113</t>
  </si>
  <si>
    <t>DFIB SC PROTECTA XT VR</t>
  </si>
  <si>
    <t>0040084147</t>
  </si>
  <si>
    <t>DFIB PROTECTA XT D314TRM</t>
  </si>
  <si>
    <t>0040084154</t>
  </si>
  <si>
    <t>DFIB PROTECTA XT DR DF4</t>
  </si>
  <si>
    <t>0040084162</t>
  </si>
  <si>
    <t>DFB PROTECTA XTVR 314VRM</t>
  </si>
  <si>
    <t>DEFIB PROTECTA</t>
  </si>
  <si>
    <t>0040084188</t>
  </si>
  <si>
    <t>DFB UNIFY ASSURA DF1/IS1</t>
  </si>
  <si>
    <t>DFB UNIFY ASSUR</t>
  </si>
  <si>
    <t>0040084204</t>
  </si>
  <si>
    <t>DFIB VIRTUOSO II VR ICD</t>
  </si>
  <si>
    <t>DFIB VIRTUOSO</t>
  </si>
  <si>
    <t>0040084238</t>
  </si>
  <si>
    <t>DFB UNIFY ASSUR 3357-40Q</t>
  </si>
  <si>
    <t>0040084253</t>
  </si>
  <si>
    <t>DFB ELLIPSE VR CD141136C</t>
  </si>
  <si>
    <t>0040084261</t>
  </si>
  <si>
    <t>DFB ELLIPS DR DF1 231136</t>
  </si>
  <si>
    <t>DEFIB ELLIPSE</t>
  </si>
  <si>
    <t>0040084303</t>
  </si>
  <si>
    <t>DFB ENERGEN VR DF4 E140</t>
  </si>
  <si>
    <t>0040084410</t>
  </si>
  <si>
    <t>DFIB SUBCUTAN SQ-RX 1010</t>
  </si>
  <si>
    <t>DFIB SQ-RX</t>
  </si>
  <si>
    <t>0040084543</t>
  </si>
  <si>
    <t>DFB INTICA 7 HF-T 429553</t>
  </si>
  <si>
    <t>DFB INTICA 7</t>
  </si>
  <si>
    <t>0040084568</t>
  </si>
  <si>
    <t>DFB INTICA 7 HF-T 404629</t>
  </si>
  <si>
    <t>0040084576</t>
  </si>
  <si>
    <t>DFB INTICA PROMRI DX 404633</t>
  </si>
  <si>
    <t>DFB INTICA PROM</t>
  </si>
  <si>
    <t>0040084584</t>
  </si>
  <si>
    <t>DFB MOMENTUM IS-1 CRT-D G125</t>
  </si>
  <si>
    <t>DFB MOMENTUM</t>
  </si>
  <si>
    <t>0040084592</t>
  </si>
  <si>
    <t>DFB MOMENTUM CRT-D G126</t>
  </si>
  <si>
    <t>0040084600</t>
  </si>
  <si>
    <t>DFB MOMENTUM CRT-D G124</t>
  </si>
  <si>
    <t>0040084618</t>
  </si>
  <si>
    <t>DFB MOMENTUM EL DR D121</t>
  </si>
  <si>
    <t>0040084626</t>
  </si>
  <si>
    <t>DFB MOMENTUM EL VR D120</t>
  </si>
  <si>
    <t>0040084634</t>
  </si>
  <si>
    <t>DEFIB INTICA NEO 7 HF-T 429552</t>
  </si>
  <si>
    <t>DEFIB INTICA NE</t>
  </si>
  <si>
    <t>0040084691</t>
  </si>
  <si>
    <t>DFIB COBALT XT VR MRI DVPA2D4</t>
  </si>
  <si>
    <t>0040084709</t>
  </si>
  <si>
    <t>DFB INTICA NEO 7 VR-TDX 429559</t>
  </si>
  <si>
    <t xml:space="preserve">DFB INTICA NEO </t>
  </si>
  <si>
    <t>0040084782</t>
  </si>
  <si>
    <t>DFB VIGILANT EL DR D233</t>
  </si>
  <si>
    <t>0040084790</t>
  </si>
  <si>
    <t>DFB UNIFY ASSURA 335740C</t>
  </si>
  <si>
    <t>DFIB UNIFY ASSU</t>
  </si>
  <si>
    <t>0040084808</t>
  </si>
  <si>
    <t>DFIB VIVA S CRTD DTBB1D1</t>
  </si>
  <si>
    <t>DFIB VIVA</t>
  </si>
  <si>
    <t>0040084816</t>
  </si>
  <si>
    <t>DFIB VIVA S CRTD DTBB1D4</t>
  </si>
  <si>
    <t>0040084824</t>
  </si>
  <si>
    <t>DFB VIVA XT CRTD DTBA1D1</t>
  </si>
  <si>
    <t>0040084832</t>
  </si>
  <si>
    <t>DFB VIVA XT CRTD DTBA1D4</t>
  </si>
  <si>
    <t>0040084865</t>
  </si>
  <si>
    <t>DFB VIVA QUAD XT DTBA1QQ</t>
  </si>
  <si>
    <t>0040084881</t>
  </si>
  <si>
    <t>DFB VISIA AF MRI DVFB1D4</t>
  </si>
  <si>
    <t>DFB VISIA</t>
  </si>
  <si>
    <t>0040084899</t>
  </si>
  <si>
    <t>DFB VISIA AF VR DVAB1D1</t>
  </si>
  <si>
    <t>DFB VISIA AF</t>
  </si>
  <si>
    <t>0040084907</t>
  </si>
  <si>
    <t>ELCTRD SUBCUTANEOUS 3401</t>
  </si>
  <si>
    <t>ELCTRD EMBLEM</t>
  </si>
  <si>
    <t>0040084915</t>
  </si>
  <si>
    <t>DFB VISIA AF MRI DVFB1D1</t>
  </si>
  <si>
    <t>0040084931</t>
  </si>
  <si>
    <t>DFB CLARIA MRI DTMA1QQ</t>
  </si>
  <si>
    <t>DFB CLARIA MRI</t>
  </si>
  <si>
    <t>0040084949</t>
  </si>
  <si>
    <t>DFB CLARIA MRI DTMA1D4</t>
  </si>
  <si>
    <t>0040084956</t>
  </si>
  <si>
    <t>DFB CLARIA MRI DTMA1D1</t>
  </si>
  <si>
    <t>0040084964</t>
  </si>
  <si>
    <t>DFB VIGILANT X4 CRT-D G247</t>
  </si>
  <si>
    <t>DFB VIGILANT X4</t>
  </si>
  <si>
    <t>0040085060</t>
  </si>
  <si>
    <t>IMP MONITR CARD BIOMNTR2</t>
  </si>
  <si>
    <t>BIOMONITOR 2-AF</t>
  </si>
  <si>
    <t>0040085102</t>
  </si>
  <si>
    <t>IMP NSTIM ELECTRODE EA</t>
  </si>
  <si>
    <t>NSTIM ELECT EA</t>
  </si>
  <si>
    <t>0040085110</t>
  </si>
  <si>
    <t>IMP NSTIM GEN SGL RECHRG</t>
  </si>
  <si>
    <t>NSTIM GEN SGL</t>
  </si>
  <si>
    <t>0040085128</t>
  </si>
  <si>
    <t>IMP NSTIM GEN SGL N-RECH</t>
  </si>
  <si>
    <t>0040085136</t>
  </si>
  <si>
    <t>IMP NSTIM GEN DL RECHRG</t>
  </si>
  <si>
    <t>NSTIM GEN DUAL</t>
  </si>
  <si>
    <t>0040085144</t>
  </si>
  <si>
    <t>IMP NSTIM GEN DL N-RECHG</t>
  </si>
  <si>
    <t>0040085201</t>
  </si>
  <si>
    <t>DFB QUAD ASSUR CD336940Q</t>
  </si>
  <si>
    <t>DFB ASSURA MP</t>
  </si>
  <si>
    <t>0040085359</t>
  </si>
  <si>
    <t>IMP CONFIRM CARD DM4500</t>
  </si>
  <si>
    <t>IMP CARD MONITR</t>
  </si>
  <si>
    <t>0040085573</t>
  </si>
  <si>
    <t>KT LD TRIAL INFINION 16</t>
  </si>
  <si>
    <t>KT LEAD TRIAL</t>
  </si>
  <si>
    <t>0040085599</t>
  </si>
  <si>
    <t>KT LD 1X8 SUBCMP 977D160</t>
  </si>
  <si>
    <t>KT LD VECTRIS</t>
  </si>
  <si>
    <t>0040085615</t>
  </si>
  <si>
    <t>KT LD MRI 1X8 COMP 977A2</t>
  </si>
  <si>
    <t>KT VECTRS SRSCN</t>
  </si>
  <si>
    <t>0040085649</t>
  </si>
  <si>
    <t>LD ACUITY X4 SPRL S 4674</t>
  </si>
  <si>
    <t>LD ACUITY X4</t>
  </si>
  <si>
    <t>0040085656</t>
  </si>
  <si>
    <t>LD ATTAIN ABLTY PLS 4296</t>
  </si>
  <si>
    <t>LD ATTAIN ABLTY</t>
  </si>
  <si>
    <t>0040085680</t>
  </si>
  <si>
    <t>LD ATTAIN PERFORMA 4598</t>
  </si>
  <si>
    <t>0040085748</t>
  </si>
  <si>
    <t>LD ACUITY X4 SPRL S 4675</t>
  </si>
  <si>
    <t>0040085763</t>
  </si>
  <si>
    <t>LD DFIB RELIAN ENDO 0276</t>
  </si>
  <si>
    <t>LD DFIB RELIANC</t>
  </si>
  <si>
    <t>0040085771</t>
  </si>
  <si>
    <t>LD DFIB RELIANC END0175</t>
  </si>
  <si>
    <t>0040085789</t>
  </si>
  <si>
    <t>LD DFB SPRINT SECR 6935M</t>
  </si>
  <si>
    <t>LD DFB SPRINT</t>
  </si>
  <si>
    <t>0040085839</t>
  </si>
  <si>
    <t>KT LD SPECIFY 2X8 39286</t>
  </si>
  <si>
    <t>KT LD SPECIFY</t>
  </si>
  <si>
    <t>0040085904</t>
  </si>
  <si>
    <t>LD DFIB DURATA 7120Q SJ4</t>
  </si>
  <si>
    <t>0040085912</t>
  </si>
  <si>
    <t>LD DFIB DURATA 7122Q SJ4</t>
  </si>
  <si>
    <t>0040085961</t>
  </si>
  <si>
    <t>LD DFIB LINOX SD 359066</t>
  </si>
  <si>
    <t>LD LINOX SMART</t>
  </si>
  <si>
    <t>0040085987</t>
  </si>
  <si>
    <t>LD DFIB LINOX SD 359065</t>
  </si>
  <si>
    <t>0040085995</t>
  </si>
  <si>
    <t>LD DFIB QUICKFLEX 1258T</t>
  </si>
  <si>
    <t>LD QUICKFLEX</t>
  </si>
  <si>
    <t>0040086043</t>
  </si>
  <si>
    <t>LD DEFIB LINOX SD 359067</t>
  </si>
  <si>
    <t>0040086050</t>
  </si>
  <si>
    <t>LD DEFB LINOX S65 369818</t>
  </si>
  <si>
    <t>0040086118</t>
  </si>
  <si>
    <t>LD DEFB LINOX SDX 365501</t>
  </si>
  <si>
    <t>0040086126</t>
  </si>
  <si>
    <t>LD DEFB LINOX SDX 365500</t>
  </si>
  <si>
    <t>0040086142</t>
  </si>
  <si>
    <t>LD DFB RELIANC 4STE 0275</t>
  </si>
  <si>
    <t>0040086159</t>
  </si>
  <si>
    <t>LD DFB RELIANC 4STE 0292</t>
  </si>
  <si>
    <t>0040086167</t>
  </si>
  <si>
    <t>LD DFB RELIANC 4STE 0293</t>
  </si>
  <si>
    <t>0040086183</t>
  </si>
  <si>
    <t>LD DFB RELIANC 4STE 0295</t>
  </si>
  <si>
    <t>0040086191</t>
  </si>
  <si>
    <t>LD DFB RELIANC 4STE 0296</t>
  </si>
  <si>
    <t>0040086225</t>
  </si>
  <si>
    <t>LD DFB SPRNT QUATR 6947M</t>
  </si>
  <si>
    <t>0040086233</t>
  </si>
  <si>
    <t>LD DFB OPTISURE LDA210Q</t>
  </si>
  <si>
    <t>LD DFB OPTISURE</t>
  </si>
  <si>
    <t>0040086258</t>
  </si>
  <si>
    <t>LD DFIB PROTEGO S 379969</t>
  </si>
  <si>
    <t>LD DFB PROTEGO</t>
  </si>
  <si>
    <t>0040086266</t>
  </si>
  <si>
    <t>LD DFB PROTEGO SD 399410</t>
  </si>
  <si>
    <t>LD DFIB PROTEGO</t>
  </si>
  <si>
    <t>0040086282</t>
  </si>
  <si>
    <t>LD DFB PROTEGO SD 399408</t>
  </si>
  <si>
    <t>0040086290</t>
  </si>
  <si>
    <t>LD DFB OPTISURE LDA220Q</t>
  </si>
  <si>
    <t>0040086399</t>
  </si>
  <si>
    <t>LD DFB PLEXA PROMRI SD 402263</t>
  </si>
  <si>
    <t>0040086407</t>
  </si>
  <si>
    <t>LD DFIB LINOX T 369820</t>
  </si>
  <si>
    <t>0040086449</t>
  </si>
  <si>
    <t>LD DFIB EMBLEM S-ICD 3501</t>
  </si>
  <si>
    <t xml:space="preserve">LD DFIB EMBLEM </t>
  </si>
  <si>
    <t>0040086506</t>
  </si>
  <si>
    <t>LD ISOFLEX OPTIM 1948</t>
  </si>
  <si>
    <t>LD ISOFLX OPTIM</t>
  </si>
  <si>
    <t>0040086514</t>
  </si>
  <si>
    <t>LD INGEVITY MRI 7741</t>
  </si>
  <si>
    <t>LD INGEVITY</t>
  </si>
  <si>
    <t>0040086555</t>
  </si>
  <si>
    <t>LD DEFIB PLEXA MRI S60 402265</t>
  </si>
  <si>
    <t>LD PLEXA MRI S6</t>
  </si>
  <si>
    <t>0040086852</t>
  </si>
  <si>
    <t>LD MYO ACTIVE FIX</t>
  </si>
  <si>
    <t>LD MYO ACT FIX</t>
  </si>
  <si>
    <t>0040086902</t>
  </si>
  <si>
    <t>LD NSTIM ARTISIAN</t>
  </si>
  <si>
    <t>LD NSTIM</t>
  </si>
  <si>
    <t>0040086951</t>
  </si>
  <si>
    <t>LD NSTIM SPECIFY 977C1</t>
  </si>
  <si>
    <t>LD SPECIFY SRCN</t>
  </si>
  <si>
    <t>0040086969</t>
  </si>
  <si>
    <t>LD NSTIM PENTA 3228</t>
  </si>
  <si>
    <t>LD NSTIM PENTA</t>
  </si>
  <si>
    <t>0040087017</t>
  </si>
  <si>
    <t>LD PM CAPSUR SP NOV4592</t>
  </si>
  <si>
    <t>LD PM CAPSR SP</t>
  </si>
  <si>
    <t>0040087041</t>
  </si>
  <si>
    <t>LD PM CAPSURE SENSE 4074</t>
  </si>
  <si>
    <t>0040087066</t>
  </si>
  <si>
    <t>LD PM CAPSUREFIX 5086MRI</t>
  </si>
  <si>
    <t>LD PM CAPSRFIX</t>
  </si>
  <si>
    <t>0040087116</t>
  </si>
  <si>
    <t>LD PM INNOMEDIC MYO 4058</t>
  </si>
  <si>
    <t>LD PM INNOMEDIC</t>
  </si>
  <si>
    <t>0040087124</t>
  </si>
  <si>
    <t>LD PM INGEVITY MRI 7742</t>
  </si>
  <si>
    <t>0040087173</t>
  </si>
  <si>
    <t>LD PM INGEVITY MRI 7740</t>
  </si>
  <si>
    <t>0040087199</t>
  </si>
  <si>
    <t>LD PM INGEVITY+ 7841</t>
  </si>
  <si>
    <t>LD PM INGEVITY+</t>
  </si>
  <si>
    <t>0040087215</t>
  </si>
  <si>
    <t>LD PM INGEVITY+ 7842</t>
  </si>
  <si>
    <t>0040087223</t>
  </si>
  <si>
    <t>LD PM INGEVITY+ 7840</t>
  </si>
  <si>
    <t>0040087314</t>
  </si>
  <si>
    <t>LD PM FINLN2 STER EZ4471</t>
  </si>
  <si>
    <t>LD PM FINELINE2</t>
  </si>
  <si>
    <t>0040087330</t>
  </si>
  <si>
    <t>LD PM SOLIA S</t>
  </si>
  <si>
    <t>0040087413</t>
  </si>
  <si>
    <t>LD PM SELOX JT53</t>
  </si>
  <si>
    <t>LD PM SELOX</t>
  </si>
  <si>
    <t>0040087421</t>
  </si>
  <si>
    <t>LD PM TENDRIL STS 2088TC</t>
  </si>
  <si>
    <t>LD PM TENDRIL</t>
  </si>
  <si>
    <t>0040087488</t>
  </si>
  <si>
    <t>LD PACE/SENS DFB SGL COIL 0673</t>
  </si>
  <si>
    <t>LD RELIANCE 4-F</t>
  </si>
  <si>
    <t>0040087496</t>
  </si>
  <si>
    <t>LD PACE/SENS DFB SGL COIL 0672</t>
  </si>
  <si>
    <t>0040087520</t>
  </si>
  <si>
    <t>LD PACE/SEN DFB DUAL COIL 0676</t>
  </si>
  <si>
    <t>0040087538</t>
  </si>
  <si>
    <t>LD PACE/SEN DFB DUAL COIL 0675</t>
  </si>
  <si>
    <t>0040088007</t>
  </si>
  <si>
    <t>LD QUARTET QUADPLR 1458Q</t>
  </si>
  <si>
    <t>LD QUARTET</t>
  </si>
  <si>
    <t>0040088205</t>
  </si>
  <si>
    <t>LD SUBCUTAN Q-TRAK 3010</t>
  </si>
  <si>
    <t>LD Q-TRAK</t>
  </si>
  <si>
    <t>0040088213</t>
  </si>
  <si>
    <t>LD TENDRIL MRI LPA1200M</t>
  </si>
  <si>
    <t>LD TENDRIL MRI</t>
  </si>
  <si>
    <t>0040088361</t>
  </si>
  <si>
    <t>LD SENTUS PROMRI OTW 406082</t>
  </si>
  <si>
    <t>LD SENTUS PROMR</t>
  </si>
  <si>
    <t>0040088387</t>
  </si>
  <si>
    <t>LD SENTUS PROMRI OTW 408719</t>
  </si>
  <si>
    <t>0040106718</t>
  </si>
  <si>
    <t>ADPTR MOLD HIP SPCR NECK</t>
  </si>
  <si>
    <t>ADPTR MOLD</t>
  </si>
  <si>
    <t>0040106858</t>
  </si>
  <si>
    <t>ANCH PEEK PUSH LCK</t>
  </si>
  <si>
    <t>ANCH PUSH LCK</t>
  </si>
  <si>
    <t>0040106866</t>
  </si>
  <si>
    <t>IMP BN SUBST FOAM 10CC</t>
  </si>
  <si>
    <t>IMP BN SUBST FM</t>
  </si>
  <si>
    <t>0040106874</t>
  </si>
  <si>
    <t>IMP BONE SUBST FOAM A/S</t>
  </si>
  <si>
    <t>IMP BONE SUBST</t>
  </si>
  <si>
    <t>0040107005</t>
  </si>
  <si>
    <t>ANCH SUT BIOCRKSCRW FT</t>
  </si>
  <si>
    <t>ANCH BIOCRKSCRW</t>
  </si>
  <si>
    <t>0040107062</t>
  </si>
  <si>
    <t>ANCH SUT SWVLK TENODESIS</t>
  </si>
  <si>
    <t>ANCH SUT</t>
  </si>
  <si>
    <t>0040107104</t>
  </si>
  <si>
    <t>ANCH SUT FOOTPRINT PK</t>
  </si>
  <si>
    <t>ANCH FOOTPRINT</t>
  </si>
  <si>
    <t>0040107138</t>
  </si>
  <si>
    <t>ANCH SUT INTELL FRC FIBR</t>
  </si>
  <si>
    <t>ANCH SUT ICONIX</t>
  </si>
  <si>
    <t>0040107203</t>
  </si>
  <si>
    <t>ANCH VERSALOK</t>
  </si>
  <si>
    <t>0040107211</t>
  </si>
  <si>
    <t>ANCH SUT FBRTAK W/SUTRTP</t>
  </si>
  <si>
    <t>ANCH SUT FIBRTK</t>
  </si>
  <si>
    <t>0040109993</t>
  </si>
  <si>
    <t>BN GRFT INFS LG</t>
  </si>
  <si>
    <t>0040110009</t>
  </si>
  <si>
    <t>BN GRFT INFS MED 4SPNG</t>
  </si>
  <si>
    <t>BN GRAFT KIT</t>
  </si>
  <si>
    <t>0040110017</t>
  </si>
  <si>
    <t>BN GRFT INFS SM 4SPNG</t>
  </si>
  <si>
    <t>0040110025</t>
  </si>
  <si>
    <t>BN GRFT INFS XSM</t>
  </si>
  <si>
    <t>0040110041</t>
  </si>
  <si>
    <t>FEMUR SHAFT SPLIT</t>
  </si>
  <si>
    <t>FEMUR SHAFT</t>
  </si>
  <si>
    <t>0040110082</t>
  </si>
  <si>
    <t>CAGE PROXIMAL HUMERUS</t>
  </si>
  <si>
    <t>CAGE PROX HUM</t>
  </si>
  <si>
    <t>0040110504</t>
  </si>
  <si>
    <t>BN STRIP</t>
  </si>
  <si>
    <t>0040110546</t>
  </si>
  <si>
    <t>BUTTON PLT DSTL CLAVICLE</t>
  </si>
  <si>
    <t>BUTTON PLATE</t>
  </si>
  <si>
    <t>0040110983</t>
  </si>
  <si>
    <t>DVC ACROMIOCLAVICULAR</t>
  </si>
  <si>
    <t>DVC LOCKDOWN</t>
  </si>
  <si>
    <t>0040111015</t>
  </si>
  <si>
    <t>DVC ENDOBUTTON CL ULTRA</t>
  </si>
  <si>
    <t>DVC ENDOBUTTON</t>
  </si>
  <si>
    <t>0040111098</t>
  </si>
  <si>
    <t>DVC MENISCAL CINCH</t>
  </si>
  <si>
    <t>DVC MENSCL CNCH</t>
  </si>
  <si>
    <t>0040111882</t>
  </si>
  <si>
    <t>IMP ARTHROERESIS SUBFIX</t>
  </si>
  <si>
    <t>IMP ARTHROERES</t>
  </si>
  <si>
    <t>0040111890</t>
  </si>
  <si>
    <t>IMP ACL TIGHTROPE RT</t>
  </si>
  <si>
    <t>ACL TIGHTROP RT</t>
  </si>
  <si>
    <t>0040111908</t>
  </si>
  <si>
    <t>IMP BLD SPIRAL</t>
  </si>
  <si>
    <t>0040112005</t>
  </si>
  <si>
    <t>IMP BN SUBST FOAM</t>
  </si>
  <si>
    <t>0040112013</t>
  </si>
  <si>
    <t>IMP BN SUBST FOAM 5CC</t>
  </si>
  <si>
    <t>0040112021</t>
  </si>
  <si>
    <t>SP SET SCRW BOLT CAP NUT</t>
  </si>
  <si>
    <t>SP SET S/B/C/N</t>
  </si>
  <si>
    <t>0040112039</t>
  </si>
  <si>
    <t>BN EXTN ALLOGRAFT</t>
  </si>
  <si>
    <t>BN EXTN ALGF</t>
  </si>
  <si>
    <t>0040112047</t>
  </si>
  <si>
    <t>SP BN GRFT EXT SYNTHETIC</t>
  </si>
  <si>
    <t>SP BN EXT SYNTH</t>
  </si>
  <si>
    <t>0040112054</t>
  </si>
  <si>
    <t>SP BN GRAFT ALLOGRAFT</t>
  </si>
  <si>
    <t>SP BN GFT ALLGF</t>
  </si>
  <si>
    <t>0040112062</t>
  </si>
  <si>
    <t>SP CERV INTERBODY DEV</t>
  </si>
  <si>
    <t>SP CERV INTB DV</t>
  </si>
  <si>
    <t>0040112096</t>
  </si>
  <si>
    <t>SP OCCIPITAL ROD</t>
  </si>
  <si>
    <t>SP OCCIP ROD</t>
  </si>
  <si>
    <t>0040112112</t>
  </si>
  <si>
    <t>SP ROD STANDARD</t>
  </si>
  <si>
    <t>0040112146</t>
  </si>
  <si>
    <t>SP ANT CERVICAL PLT L1</t>
  </si>
  <si>
    <t>SP ANT CRV PLT1</t>
  </si>
  <si>
    <t>0040112153</t>
  </si>
  <si>
    <t>SP ANT CERVICAL PLT L2</t>
  </si>
  <si>
    <t>SP ANT CRV PLT2</t>
  </si>
  <si>
    <t>0040112161</t>
  </si>
  <si>
    <t>SP ANT CERVICAL PLT L3</t>
  </si>
  <si>
    <t>SP ANT CRV PLT3</t>
  </si>
  <si>
    <t>0040112179</t>
  </si>
  <si>
    <t>SP ANT CERVICAL PLT L4&gt;</t>
  </si>
  <si>
    <t>SP ANT CRV PL4&gt;</t>
  </si>
  <si>
    <t>0040112187</t>
  </si>
  <si>
    <t>SP ANTERIOR SCREW</t>
  </si>
  <si>
    <t>SP ANT SCREW</t>
  </si>
  <si>
    <t>0040112195</t>
  </si>
  <si>
    <t>SP CROSSLINK ASSEMBLY</t>
  </si>
  <si>
    <t>SP CROSS ASMBLY</t>
  </si>
  <si>
    <t>0040112203</t>
  </si>
  <si>
    <t>SP EXPAND/STACK DEVICES</t>
  </si>
  <si>
    <t>SP EXP/STK DEV</t>
  </si>
  <si>
    <t>0040112211</t>
  </si>
  <si>
    <t>SP GUIDEWR FOR MIS PRO</t>
  </si>
  <si>
    <t>SP GWR MIS PROC</t>
  </si>
  <si>
    <t>0040112229</t>
  </si>
  <si>
    <t>SP IBF BN ALLOGRAFT CERV</t>
  </si>
  <si>
    <t>SP IBF GRF CERV</t>
  </si>
  <si>
    <t>0040112252</t>
  </si>
  <si>
    <t>SP LUMB INTBODY DEV ALIF</t>
  </si>
  <si>
    <t>SP LUM DEV ALIF</t>
  </si>
  <si>
    <t>0040112260</t>
  </si>
  <si>
    <t>SP LUMB INTBODY DEV PLIF</t>
  </si>
  <si>
    <t>SP LUM DEV PLIF</t>
  </si>
  <si>
    <t>0040112278</t>
  </si>
  <si>
    <t>SP LUMB INTBODY DEV TLIF</t>
  </si>
  <si>
    <t>SP LUM DEV TLIF</t>
  </si>
  <si>
    <t>0040112286</t>
  </si>
  <si>
    <t>SP LUMB STANDLNE INT DEV</t>
  </si>
  <si>
    <t>SP LUM STD DEV</t>
  </si>
  <si>
    <t>0040112294</t>
  </si>
  <si>
    <t>SP PEDICLE SCREW ADV</t>
  </si>
  <si>
    <t>SP PED SCRW ADV</t>
  </si>
  <si>
    <t>0040112302</t>
  </si>
  <si>
    <t>SP PEDICLE SCREW STND</t>
  </si>
  <si>
    <t>SP PED SCRW STD</t>
  </si>
  <si>
    <t>0040112310</t>
  </si>
  <si>
    <t>SP ROD ADVANCED</t>
  </si>
  <si>
    <t>0040112328</t>
  </si>
  <si>
    <t>SP THORCOLUMB SP PLT SCR</t>
  </si>
  <si>
    <t>SP THORLUM SCRW</t>
  </si>
  <si>
    <t>0040112336</t>
  </si>
  <si>
    <t>SP THORACOLUMB SP PLT</t>
  </si>
  <si>
    <t>SP THORLUMB PLT</t>
  </si>
  <si>
    <t>0040112344</t>
  </si>
  <si>
    <t>SP CERV STANDLNE INT DEV</t>
  </si>
  <si>
    <t>SP CRV STLN DEV</t>
  </si>
  <si>
    <t>0040112351</t>
  </si>
  <si>
    <t>SP CERV STNLN INT DV SCR</t>
  </si>
  <si>
    <t>SP CRV STLN SCR</t>
  </si>
  <si>
    <t>0040112369</t>
  </si>
  <si>
    <t>SP LUMB STNLN INT DV SCR</t>
  </si>
  <si>
    <t>SP LUM STLN SCR</t>
  </si>
  <si>
    <t>0040112385</t>
  </si>
  <si>
    <t>SP OCCIP PLT</t>
  </si>
  <si>
    <t>0040112393</t>
  </si>
  <si>
    <t>SP OCCIP BN SCRW</t>
  </si>
  <si>
    <t>SP OCCIP BN SCR</t>
  </si>
  <si>
    <t>0040112401</t>
  </si>
  <si>
    <t>SP LUM INTBDY DV LAT OTR</t>
  </si>
  <si>
    <t>SP LUM LAT OTHR</t>
  </si>
  <si>
    <t>0040112419</t>
  </si>
  <si>
    <t>SP INTRSPN PROC DCMP DVC</t>
  </si>
  <si>
    <t>SP INTSPN DCMP</t>
  </si>
  <si>
    <t>0040112443</t>
  </si>
  <si>
    <t>SP SPINOUS PROCESS DEV</t>
  </si>
  <si>
    <t>SP SPN PROC DEV</t>
  </si>
  <si>
    <t>0040112450</t>
  </si>
  <si>
    <t>SP ARTIFICIAL DISC CERV</t>
  </si>
  <si>
    <t>SP ART DSC CERV</t>
  </si>
  <si>
    <t>0040112476</t>
  </si>
  <si>
    <t>SP ANTERIOR LUMBAR PLT</t>
  </si>
  <si>
    <t>SP ANT LUM PLT</t>
  </si>
  <si>
    <t>0040112484</t>
  </si>
  <si>
    <t>SP CLAMP CONNECTOR</t>
  </si>
  <si>
    <t>SP CLAMP CONN</t>
  </si>
  <si>
    <t>0040112492</t>
  </si>
  <si>
    <t>SP COMP SCRW WASHER</t>
  </si>
  <si>
    <t>SP COM SCR WASH</t>
  </si>
  <si>
    <t>0040112518</t>
  </si>
  <si>
    <t>SP CLAMP</t>
  </si>
  <si>
    <t>0040112542</t>
  </si>
  <si>
    <t>SP BUTTRESS SCREW</t>
  </si>
  <si>
    <t>SP BUTTRS SCREW</t>
  </si>
  <si>
    <t>0040112559</t>
  </si>
  <si>
    <t>SP BUTTRESS PLATE</t>
  </si>
  <si>
    <t>SP BUTTRS PLT</t>
  </si>
  <si>
    <t>0040112567</t>
  </si>
  <si>
    <t>SP CORPECTOMY PLATE</t>
  </si>
  <si>
    <t>SP CORPECTY PLT</t>
  </si>
  <si>
    <t>0040112617</t>
  </si>
  <si>
    <t>SP INLINE EXT CLAMP</t>
  </si>
  <si>
    <t>SP ILN EXT CLMP</t>
  </si>
  <si>
    <t>0040112625</t>
  </si>
  <si>
    <t>SP LAMINOPLASTY PLATE</t>
  </si>
  <si>
    <t>SP LAMPLTY PLT</t>
  </si>
  <si>
    <t>0040112633</t>
  </si>
  <si>
    <t>SP LOCKING TAB</t>
  </si>
  <si>
    <t>SP LOCK TAB</t>
  </si>
  <si>
    <t>0040112641</t>
  </si>
  <si>
    <t>SP LUMB SCRW ALIF DEV</t>
  </si>
  <si>
    <t>SP LUM ALIF SCR</t>
  </si>
  <si>
    <t>0040112658</t>
  </si>
  <si>
    <t>SP OTHER PLATE</t>
  </si>
  <si>
    <t>SP OTHR PLT</t>
  </si>
  <si>
    <t>0040112666</t>
  </si>
  <si>
    <t>SP STAPLE</t>
  </si>
  <si>
    <t>0040112690</t>
  </si>
  <si>
    <t>SP WASHER</t>
  </si>
  <si>
    <t>0040112732</t>
  </si>
  <si>
    <t>SP CELLULAR BN MATRIX</t>
  </si>
  <si>
    <t>SP CELL BN MTRX</t>
  </si>
  <si>
    <t>0040112849</t>
  </si>
  <si>
    <t>SP MAGNIFUSE</t>
  </si>
  <si>
    <t>0040112856</t>
  </si>
  <si>
    <t>SP OTH ALIF DVC PLT</t>
  </si>
  <si>
    <t>SP OTH ALIF PLT</t>
  </si>
  <si>
    <t>0040114993</t>
  </si>
  <si>
    <t>GRFT INJECT REPR IGNITE</t>
  </si>
  <si>
    <t>GRFT INJ STMULS</t>
  </si>
  <si>
    <t>0040115008</t>
  </si>
  <si>
    <t>GRAFT STNT AAA BIFURCATD</t>
  </si>
  <si>
    <t>GRFT STNT AAA</t>
  </si>
  <si>
    <t>0040117855</t>
  </si>
  <si>
    <t>SYS SACROILC JOINT FUSN</t>
  </si>
  <si>
    <t>SYS IFUSE</t>
  </si>
  <si>
    <t>0040119000</t>
  </si>
  <si>
    <t>EXTENDER BUTTN TIGHTROPE</t>
  </si>
  <si>
    <t>EXTENDER BUTTON</t>
  </si>
  <si>
    <t>0040119349</t>
  </si>
  <si>
    <t>CEMT BN PL FUL ZIMMR CAP</t>
  </si>
  <si>
    <t>CMT BN PLFL ZIM</t>
  </si>
  <si>
    <t>0040119356</t>
  </si>
  <si>
    <t>CEMT BN ANTIFUL ZIMM CAP</t>
  </si>
  <si>
    <t>CMT BN ANTF ZIM</t>
  </si>
  <si>
    <t>0040120032</t>
  </si>
  <si>
    <t>IMP ACL TIGHTROPE</t>
  </si>
  <si>
    <t>IMP ACL TIGHTRP</t>
  </si>
  <si>
    <t>0040120057</t>
  </si>
  <si>
    <t>IMP BUTTN DOG BN AC REPR</t>
  </si>
  <si>
    <t>IMP BUTTON AC</t>
  </si>
  <si>
    <t>0040120198</t>
  </si>
  <si>
    <t>IMP CARPOMETACARPAL</t>
  </si>
  <si>
    <t>IMP CMC NUGRIP</t>
  </si>
  <si>
    <t>0040120222</t>
  </si>
  <si>
    <t>IMP CRAN SKULL PEEK CUST</t>
  </si>
  <si>
    <t>IMP CRAN SKULL</t>
  </si>
  <si>
    <t>0040120271</t>
  </si>
  <si>
    <t>IMP DART OSTEOCHONDRAL</t>
  </si>
  <si>
    <t>IMP OSTEOCHNDRL</t>
  </si>
  <si>
    <t>0040123036</t>
  </si>
  <si>
    <t>IMP MTP CARTILAG CARTIVA</t>
  </si>
  <si>
    <t>IMP MTP CARTIVA</t>
  </si>
  <si>
    <t>0040125502</t>
  </si>
  <si>
    <t>IMP SCRW BIOTENODESIS</t>
  </si>
  <si>
    <t>IMP SCRW BIOTEN</t>
  </si>
  <si>
    <t>0040126302</t>
  </si>
  <si>
    <t>IMP SYS SPN DECOMPRESS</t>
  </si>
  <si>
    <t>SYS SPN DECOMP</t>
  </si>
  <si>
    <t>0040128001</t>
  </si>
  <si>
    <t>HIP CENTRALIZER ACC DEPUY CL</t>
  </si>
  <si>
    <t>HIP CENTRALZR A</t>
  </si>
  <si>
    <t>0040128019</t>
  </si>
  <si>
    <t>CUP ACETAB GRIPTN COAT DPY CL</t>
  </si>
  <si>
    <t>CUP ACETB GRIPT</t>
  </si>
  <si>
    <t>0040128027</t>
  </si>
  <si>
    <t>CUP ACETABULR UNCOAT DEPUY CL</t>
  </si>
  <si>
    <t>CUP ACETABLR UN</t>
  </si>
  <si>
    <t>0040128035</t>
  </si>
  <si>
    <t>CUP ACE BMNTM PRSFT PLS DPY CL</t>
  </si>
  <si>
    <t>CP ACE BMN PRSF</t>
  </si>
  <si>
    <t>0040128043</t>
  </si>
  <si>
    <t>LINER ACE PLY MAR ALTX DPY CL</t>
  </si>
  <si>
    <t>LNR ACE PLY MAR</t>
  </si>
  <si>
    <t>0040128076</t>
  </si>
  <si>
    <t>LINER ACETB BI MENTUM DEPUY CL</t>
  </si>
  <si>
    <t>LINR ACET BI MN</t>
  </si>
  <si>
    <t>0040128084</t>
  </si>
  <si>
    <t>COMPONENT FEM COAT DEPUY CL</t>
  </si>
  <si>
    <t>COMP FEM COATED</t>
  </si>
  <si>
    <t>0040128092</t>
  </si>
  <si>
    <t>HEAD FEM UNIPOLAR DEPUY CL</t>
  </si>
  <si>
    <t>HEAD FEM UNIPOL</t>
  </si>
  <si>
    <t>0040128100</t>
  </si>
  <si>
    <t>COMP FEM UNCT FLX ATT DPY CL</t>
  </si>
  <si>
    <t>COMP FEM UNCT F</t>
  </si>
  <si>
    <t>0040128118</t>
  </si>
  <si>
    <t>HEAD FEM ALL MTL UNIPL DPY CL</t>
  </si>
  <si>
    <t xml:space="preserve">HD FEM ALL MTL </t>
  </si>
  <si>
    <t>0040128126</t>
  </si>
  <si>
    <t>HEAD FEM CERAM ANY SZ DPY CL</t>
  </si>
  <si>
    <t xml:space="preserve">HE FEM CER ANY </t>
  </si>
  <si>
    <t>0040128134</t>
  </si>
  <si>
    <t>STEM FEM CT HA ANT ACT DPY CL</t>
  </si>
  <si>
    <t xml:space="preserve">STEM FEM CT HA </t>
  </si>
  <si>
    <t>0040128142</t>
  </si>
  <si>
    <t>STEM FEM FRACTUR STEM DPY CL</t>
  </si>
  <si>
    <t>STEM FEM FRACTU</t>
  </si>
  <si>
    <t>0040128159</t>
  </si>
  <si>
    <t>STEM FEM MOD SLV NCK DEPUY CL</t>
  </si>
  <si>
    <t>STEM FEM MOD SL</t>
  </si>
  <si>
    <t>0040128167</t>
  </si>
  <si>
    <t>STEM FEM MODULAR STM DEPUY CL</t>
  </si>
  <si>
    <t>STEM FEM MODULA</t>
  </si>
  <si>
    <t>0040128175</t>
  </si>
  <si>
    <t>STEM FEMORAL UNCOAT DEPUY CL</t>
  </si>
  <si>
    <t>STEM FEM UNCOAT</t>
  </si>
  <si>
    <t>0040128183</t>
  </si>
  <si>
    <t>COMP FEM COATD ATTUNE DEPUY CL</t>
  </si>
  <si>
    <t>CMP FEM CTD ATT</t>
  </si>
  <si>
    <t>0040128191</t>
  </si>
  <si>
    <t>STEM KNEE EXTEN COATD DEPUY CL</t>
  </si>
  <si>
    <t>STEM KNEE EXT C</t>
  </si>
  <si>
    <t>0040128209</t>
  </si>
  <si>
    <t>INSRT/BEAR VIT E ATTUN DPY CL</t>
  </si>
  <si>
    <t xml:space="preserve">INSRT/BR VIT E </t>
  </si>
  <si>
    <t>0040128217</t>
  </si>
  <si>
    <t>HIP PART SLF CENT COMP DPY CL</t>
  </si>
  <si>
    <t>HIP PART SLF CE</t>
  </si>
  <si>
    <t>0040128225</t>
  </si>
  <si>
    <t>PATELLA ATTUNE POLY DEPUY CL</t>
  </si>
  <si>
    <t>PATELLA ATTN PO</t>
  </si>
  <si>
    <t>0040128233</t>
  </si>
  <si>
    <t>STEM KNEE EXTN UNCTED DEPUY CL</t>
  </si>
  <si>
    <t>STM KNEE EXTN U</t>
  </si>
  <si>
    <t>0040128241</t>
  </si>
  <si>
    <t>PATELLA POLY RP DEPUY CL</t>
  </si>
  <si>
    <t>PATELLA POLY RP</t>
  </si>
  <si>
    <t>0040128266</t>
  </si>
  <si>
    <t>BASE TIBIAL COATED DEPUY CL</t>
  </si>
  <si>
    <t>BASE TIB COATED</t>
  </si>
  <si>
    <t>0040128274</t>
  </si>
  <si>
    <t>BASE TIBIAL COATD RP DEPUY CL</t>
  </si>
  <si>
    <t>BASE TIB COAT R</t>
  </si>
  <si>
    <t>0040128282</t>
  </si>
  <si>
    <t>BASE TIB UNCT COCR TI DPY CL</t>
  </si>
  <si>
    <t>BASE TIB UNCT C</t>
  </si>
  <si>
    <t>0040128308</t>
  </si>
  <si>
    <t>KNEE UNI FEMUR 3PC FEM DPY CL</t>
  </si>
  <si>
    <t>KNE UNI FEM 3PC</t>
  </si>
  <si>
    <t>0040128316</t>
  </si>
  <si>
    <t>KNEE UNI POLY INSRT RP DPY CL</t>
  </si>
  <si>
    <t>KNE UNI POLY IN</t>
  </si>
  <si>
    <t>0040128324</t>
  </si>
  <si>
    <t>KNEE UNI TIB BASE RP DEPUY CL</t>
  </si>
  <si>
    <t>KNE UNI TIB BAS</t>
  </si>
  <si>
    <t>0040128753</t>
  </si>
  <si>
    <t>CUP ACETABULAR CUP R3 SN CL</t>
  </si>
  <si>
    <t xml:space="preserve">CUP ACETABULAR </t>
  </si>
  <si>
    <t>0040128795</t>
  </si>
  <si>
    <t>LNR ACE MTL CR BIO BHRR3 SN CL</t>
  </si>
  <si>
    <t xml:space="preserve">LNR ACE MTL CR </t>
  </si>
  <si>
    <t>0040128803</t>
  </si>
  <si>
    <t>STEM HIP REVISION SN CL</t>
  </si>
  <si>
    <t>STEM HIP REVISI</t>
  </si>
  <si>
    <t>0040128811</t>
  </si>
  <si>
    <t>STEM KNEE EXTENSION SN CL</t>
  </si>
  <si>
    <t>STEM KNEE EXTEN</t>
  </si>
  <si>
    <t>0040128829</t>
  </si>
  <si>
    <t>COMP KNEE FEM REVISION SN CL</t>
  </si>
  <si>
    <t>COMP KNEE FEM R</t>
  </si>
  <si>
    <t>0040128837</t>
  </si>
  <si>
    <t>INSERT KNEE REVISION SN CL</t>
  </si>
  <si>
    <t>INSERT KNEE REV</t>
  </si>
  <si>
    <t>0040128878</t>
  </si>
  <si>
    <t>COMPONENT FEMORAL CTD SN CL</t>
  </si>
  <si>
    <t>COMPONENT FEMOR</t>
  </si>
  <si>
    <t>0040128886</t>
  </si>
  <si>
    <t>TIBIAL KNEE TRY REVISION SN CL</t>
  </si>
  <si>
    <t>TIBL KNEE TRY R</t>
  </si>
  <si>
    <t>0040128910</t>
  </si>
  <si>
    <t>CMP FEM OXI GN REN OXLEG SN CL</t>
  </si>
  <si>
    <t>CMP FM OXI GN R</t>
  </si>
  <si>
    <t>0040128944</t>
  </si>
  <si>
    <t>HEAD FEM METAL UNIPOLAR SN CL</t>
  </si>
  <si>
    <t>HEAD FEM METL U</t>
  </si>
  <si>
    <t>0040128951</t>
  </si>
  <si>
    <t>HEAD FEM CERAMC INC OXI SN CL</t>
  </si>
  <si>
    <t>HEAD FM CRMC IN</t>
  </si>
  <si>
    <t>0040128969</t>
  </si>
  <si>
    <t>STEM FEMORAL COATED SN CL</t>
  </si>
  <si>
    <t>STEM FEMORAL CO</t>
  </si>
  <si>
    <t>0040129017</t>
  </si>
  <si>
    <t>STEM FEMORAL UNCOATED SN CL</t>
  </si>
  <si>
    <t>STEM FEMORL UNC</t>
  </si>
  <si>
    <t>0040129074</t>
  </si>
  <si>
    <t>INSRT/BEAR HI CRSLK XLP SN CL</t>
  </si>
  <si>
    <t>INSRT/BR CRSSLK</t>
  </si>
  <si>
    <t>0040129090</t>
  </si>
  <si>
    <t>INSRT BEAR PLY CNVNT HGH SN CL</t>
  </si>
  <si>
    <t>INS BR PLY CNVN</t>
  </si>
  <si>
    <t>0040129140</t>
  </si>
  <si>
    <t>HIP PART SLF CENTR COMP SN CL</t>
  </si>
  <si>
    <t>HIP PART SELF C</t>
  </si>
  <si>
    <t>0040129165</t>
  </si>
  <si>
    <t>PATELLA METAL/POLY/JRNY SN CL</t>
  </si>
  <si>
    <t>PATELLA MTL/PLY</t>
  </si>
  <si>
    <t>0040129207</t>
  </si>
  <si>
    <t>BSE TB JRNY CTDUNCTD PLY SN CL</t>
  </si>
  <si>
    <t>BASE TB JRN CTD</t>
  </si>
  <si>
    <t>0040129322</t>
  </si>
  <si>
    <t>GLENOID PEG KEEL HYB ZIMM CL</t>
  </si>
  <si>
    <t>GLENOID PEG KEE</t>
  </si>
  <si>
    <t>0040129330</t>
  </si>
  <si>
    <t>GLENOSPHERE ZIMMER CL</t>
  </si>
  <si>
    <t>GLENOSPHERE ZIM</t>
  </si>
  <si>
    <t>0040129355</t>
  </si>
  <si>
    <t>HEAD HUM STD OFFST ECC ZIM CL</t>
  </si>
  <si>
    <t>HEAD HUM STD OF</t>
  </si>
  <si>
    <t>0040129371</t>
  </si>
  <si>
    <t>INSERT HUM LNR BEAR ZIMMER CL</t>
  </si>
  <si>
    <t>INSRT HUM LNR B</t>
  </si>
  <si>
    <t>0040129389</t>
  </si>
  <si>
    <t>SPACER HUM OR TRAY ZIMMER CL</t>
  </si>
  <si>
    <t>SPACER HUM OR T</t>
  </si>
  <si>
    <t>0040129397</t>
  </si>
  <si>
    <t>STEM HUM CTD UNCEM ZIMMER CL</t>
  </si>
  <si>
    <t>STEM HUM CTD UN</t>
  </si>
  <si>
    <t>0040129405</t>
  </si>
  <si>
    <t>STEM HUM FRACTR REVSN ZIMM CL</t>
  </si>
  <si>
    <t xml:space="preserve">STEM HUM FRACT </t>
  </si>
  <si>
    <t>0040129439</t>
  </si>
  <si>
    <t>SCRW LOCK NON-LCK ZIMMER CL</t>
  </si>
  <si>
    <t>SCRW LCK NONLCK</t>
  </si>
  <si>
    <t>0040129447</t>
  </si>
  <si>
    <t>CUP ACETABULR COATD ZIMMER CL</t>
  </si>
  <si>
    <t>CUP ACETABULR C</t>
  </si>
  <si>
    <t>0040129454</t>
  </si>
  <si>
    <t>CUP ACTB OSSEOT LMT HLE ZIM CL</t>
  </si>
  <si>
    <t>CUP ACTB OSSEOT</t>
  </si>
  <si>
    <t>0040129470</t>
  </si>
  <si>
    <t>CUP ACETABULR REGENERX ZIM CL</t>
  </si>
  <si>
    <t>CUP ACET REGENE</t>
  </si>
  <si>
    <t>0040129496</t>
  </si>
  <si>
    <t>STEM HIP MODULAR REV ZIM CL</t>
  </si>
  <si>
    <t>STEM HIP MODULA</t>
  </si>
  <si>
    <t>0040129504</t>
  </si>
  <si>
    <t>HIP SCREWS ZIMMER CL</t>
  </si>
  <si>
    <t>HIP SCREWS ZIMM</t>
  </si>
  <si>
    <t>0040129512</t>
  </si>
  <si>
    <t>LNR ACET HI CRSLNK INS ZIM CL</t>
  </si>
  <si>
    <t>LNR ACET HI CRS</t>
  </si>
  <si>
    <t>0040129520</t>
  </si>
  <si>
    <t>HEAD CERAM SLEEVES ZIMMER CL</t>
  </si>
  <si>
    <t>HEAD CERAM SLEE</t>
  </si>
  <si>
    <t>0040129553</t>
  </si>
  <si>
    <t>BASEPLT GLENOID ZIMMER CL</t>
  </si>
  <si>
    <t>BASEPLT GLENOID</t>
  </si>
  <si>
    <t>0040129561</t>
  </si>
  <si>
    <t>LNR ACET VIVACT E POLY ZIM CL</t>
  </si>
  <si>
    <t>LNR ACET VIVA E</t>
  </si>
  <si>
    <t>0040129587</t>
  </si>
  <si>
    <t>BASE POST MOD GLENOID ZIM CL</t>
  </si>
  <si>
    <t>BASE POST MOD G</t>
  </si>
  <si>
    <t>0040129595</t>
  </si>
  <si>
    <t>COMP FEM CTD FLEX GNDR ZIM CL</t>
  </si>
  <si>
    <t>COMP FEM CT FLX</t>
  </si>
  <si>
    <t>0040129603</t>
  </si>
  <si>
    <t>COMP FEM CT TM PERSONA ZIM CL</t>
  </si>
  <si>
    <t xml:space="preserve">COMP FEM CT TM </t>
  </si>
  <si>
    <t>0040129629</t>
  </si>
  <si>
    <t>COMPONENT FEM UNCOAT ZIMM CL</t>
  </si>
  <si>
    <t>COMPONENT FEM U</t>
  </si>
  <si>
    <t>0040129637</t>
  </si>
  <si>
    <t>COMP FEM UNCT GND PR VG ZM CL</t>
  </si>
  <si>
    <t>COMP FEM UNCT G</t>
  </si>
  <si>
    <t>0040129645</t>
  </si>
  <si>
    <t>FIX MOD GLENOID ZIMMER CL</t>
  </si>
  <si>
    <t>FIX MOD GLENOID</t>
  </si>
  <si>
    <t>0040129686</t>
  </si>
  <si>
    <t>HEAD FEM CERAM ANY SZ ZIMM CL</t>
  </si>
  <si>
    <t>HD FEM CERAM AN</t>
  </si>
  <si>
    <t>0040129694</t>
  </si>
  <si>
    <t>HEAD FEM MAGNUM HD ZIMMER CL</t>
  </si>
  <si>
    <t>HD FEM MAGNUM H</t>
  </si>
  <si>
    <t>0040129710</t>
  </si>
  <si>
    <t>STEM FEM COATED HA ZIMMER CL</t>
  </si>
  <si>
    <t xml:space="preserve">STEM FEM COATD </t>
  </si>
  <si>
    <t>0040129736</t>
  </si>
  <si>
    <t>TRY SPCER HUMERL REV TM ZIM CL</t>
  </si>
  <si>
    <t>TRY SPCE HUM RE</t>
  </si>
  <si>
    <t>0040129744</t>
  </si>
  <si>
    <t>STEM FEM FRACTURE STM ZIMM CL</t>
  </si>
  <si>
    <t>STEM FEM FRACTR</t>
  </si>
  <si>
    <t>0040129785</t>
  </si>
  <si>
    <t>STEM REV NON POR HUM ZIM CL</t>
  </si>
  <si>
    <t>STM REV NON POR</t>
  </si>
  <si>
    <t>0040129827</t>
  </si>
  <si>
    <t>INSRT/BEAR FLX CNG XLK ZIM CL</t>
  </si>
  <si>
    <t xml:space="preserve">INSRT/BEAR FLX </t>
  </si>
  <si>
    <t>0040129868</t>
  </si>
  <si>
    <t>INSRT/BEAR VIVACIT E ZIMM CL</t>
  </si>
  <si>
    <t>INSRT/BEAR VIVA</t>
  </si>
  <si>
    <t>0040129876</t>
  </si>
  <si>
    <t>KNEE EXTENSION STEM ZIMM CL</t>
  </si>
  <si>
    <t>KNEE EXTNSN STE</t>
  </si>
  <si>
    <t>0040129892</t>
  </si>
  <si>
    <t>HIP PARTIAL BIPLR CUP ZIMM CL</t>
  </si>
  <si>
    <t xml:space="preserve">HIP PART BIPLR </t>
  </si>
  <si>
    <t>0040129900</t>
  </si>
  <si>
    <t>HIP PARTIAL BIPLR LNR ZIMM CL</t>
  </si>
  <si>
    <t>0040129934</t>
  </si>
  <si>
    <t>HIP PART SLF CNT COMP ZIM CL</t>
  </si>
  <si>
    <t>0040129967</t>
  </si>
  <si>
    <t>PATELA PERSN PROLG VIV ZIM CL</t>
  </si>
  <si>
    <t>PATELA PERS PRO</t>
  </si>
  <si>
    <t>0040129975</t>
  </si>
  <si>
    <t>PATELLA TM METAL POLY ZIMM CL</t>
  </si>
  <si>
    <t xml:space="preserve">PATELLA TM MTL </t>
  </si>
  <si>
    <t>0040130056</t>
  </si>
  <si>
    <t>BASE TIB TM CTD PERSNA ZIM CL</t>
  </si>
  <si>
    <t>BASE TIB TM CTD</t>
  </si>
  <si>
    <t>0040130064</t>
  </si>
  <si>
    <t>BASE TIB UNCT UNCT PRS ZIM CL</t>
  </si>
  <si>
    <t>BASE TIB UNCT P</t>
  </si>
  <si>
    <t>0040130130</t>
  </si>
  <si>
    <t>KNEE UNI FEMUR ZIMMER CL</t>
  </si>
  <si>
    <t xml:space="preserve">KNEE UNI FEMUR </t>
  </si>
  <si>
    <t>0040130148</t>
  </si>
  <si>
    <t>KNE UNI FLX TB PLY VIV ZIM CL</t>
  </si>
  <si>
    <t xml:space="preserve">KNE UNI FLX TB </t>
  </si>
  <si>
    <t>0040130163</t>
  </si>
  <si>
    <t>KNEE UNI OXFRD PLY INS ZIM CL</t>
  </si>
  <si>
    <t>KNE UNI OXFRD P</t>
  </si>
  <si>
    <t>0040130221</t>
  </si>
  <si>
    <t>GLENOSPHERE STRYKER CL</t>
  </si>
  <si>
    <t>GLENOSPHERE STR</t>
  </si>
  <si>
    <t>0040130254</t>
  </si>
  <si>
    <t>INSRT HUM LINR BEAR STRYK CL</t>
  </si>
  <si>
    <t>0040130270</t>
  </si>
  <si>
    <t>STEM HUM CTD UNCEM STRYKR CL</t>
  </si>
  <si>
    <t>STEM HUM CT UNC</t>
  </si>
  <si>
    <t>0040130320</t>
  </si>
  <si>
    <t>BASEPLATE REVERSE STRYKER CL</t>
  </si>
  <si>
    <t xml:space="preserve">BSEPLT REVERSE </t>
  </si>
  <si>
    <t>0040130338</t>
  </si>
  <si>
    <t>SCRW LOCK NON-LCK STRYKER CL</t>
  </si>
  <si>
    <t>0040130346</t>
  </si>
  <si>
    <t>CUP HUMERAL STRYKER CL</t>
  </si>
  <si>
    <t>CUP HUMERAL STR</t>
  </si>
  <si>
    <t>0040130403</t>
  </si>
  <si>
    <t>LNR ACET MDM MTL LNR STRY CL</t>
  </si>
  <si>
    <t>LNR ACET MDM MT</t>
  </si>
  <si>
    <t>0040130445</t>
  </si>
  <si>
    <t>LINER ACET POLY X3 STRYKER CL</t>
  </si>
  <si>
    <t>LNR ACET POLY X</t>
  </si>
  <si>
    <t>0040130452</t>
  </si>
  <si>
    <t>LNR ACET X3 MBL BEAR STRYK CL</t>
  </si>
  <si>
    <t>LNR ACET X3 MBL</t>
  </si>
  <si>
    <t>0040130478</t>
  </si>
  <si>
    <t>COMP FEM CTD TRIATH STRYKR CL</t>
  </si>
  <si>
    <t>COMP FEM CT TRI</t>
  </si>
  <si>
    <t>0040130502</t>
  </si>
  <si>
    <t>COMP FEM UNCTD TRIATH STRY CL</t>
  </si>
  <si>
    <t>COMP FEM UNCT T</t>
  </si>
  <si>
    <t>0040130510</t>
  </si>
  <si>
    <t>HEAD FEMORL ALL METAL STRK CL</t>
  </si>
  <si>
    <t>HEAD FEM ALL MT</t>
  </si>
  <si>
    <t>0040130528</t>
  </si>
  <si>
    <t>HEAD FEMORAL BIPOLAR STRYK CL</t>
  </si>
  <si>
    <t>HEAD FEM BIPOLR</t>
  </si>
  <si>
    <t>0040130536</t>
  </si>
  <si>
    <t>HEAD FEM CERAM ANY SZ STRY CL</t>
  </si>
  <si>
    <t>HD FEM CERM ANY</t>
  </si>
  <si>
    <t>0040130544</t>
  </si>
  <si>
    <t>HEAD FEMORAL UNIPOLR STRYK CL</t>
  </si>
  <si>
    <t>0040130551</t>
  </si>
  <si>
    <t>STEM FEMORAL COATED STRYKR CL</t>
  </si>
  <si>
    <t>STEM FEM COATED</t>
  </si>
  <si>
    <t>0040130569</t>
  </si>
  <si>
    <t>STEM FEM CT HA PA SCR STRY CL</t>
  </si>
  <si>
    <t>0040130577</t>
  </si>
  <si>
    <t>STEM FEM FRACTR STEM STRYK CL</t>
  </si>
  <si>
    <t>0040130593</t>
  </si>
  <si>
    <t>STEM FEMORL UNCOATD STRYKR CL</t>
  </si>
  <si>
    <t>0040130619</t>
  </si>
  <si>
    <t>INSRT/BEAR POLY X3 STRYKER CL</t>
  </si>
  <si>
    <t>INSRT/BEAR POLY</t>
  </si>
  <si>
    <t>0040130627</t>
  </si>
  <si>
    <t>PATELA ANY X3 MCK PFJ STRY CL</t>
  </si>
  <si>
    <t xml:space="preserve">PATELLA ANY X3 </t>
  </si>
  <si>
    <t>0040130650</t>
  </si>
  <si>
    <t>PATELLA TM METAL STRYKER CL</t>
  </si>
  <si>
    <t>PATELLA TM METL</t>
  </si>
  <si>
    <t>0040130684</t>
  </si>
  <si>
    <t>BASE TIB TRIATH TRITN STRY CL</t>
  </si>
  <si>
    <t>BASE TIB TRIA T</t>
  </si>
  <si>
    <t>0040130692</t>
  </si>
  <si>
    <t>BASE TIB UNCT TRIATH STRYK CL</t>
  </si>
  <si>
    <t>BASE TIB UNCT T</t>
  </si>
  <si>
    <t>0040130700</t>
  </si>
  <si>
    <t>BASE TIB UNCOAT TS STRYKER CL</t>
  </si>
  <si>
    <t>0040130718</t>
  </si>
  <si>
    <t>KNE UNI EIU PRK UN TB STRY CL</t>
  </si>
  <si>
    <t>KNE UNI EIU PRK</t>
  </si>
  <si>
    <t>0040130759</t>
  </si>
  <si>
    <t>KNEE UNI PKR UNI FEMR STRY CL</t>
  </si>
  <si>
    <t>KNE UNI PKR UNI</t>
  </si>
  <si>
    <t>0040130767</t>
  </si>
  <si>
    <t>KNE UNI PKR X3 EIU UN STRY CL</t>
  </si>
  <si>
    <t xml:space="preserve">KNE UNI PKR X3 </t>
  </si>
  <si>
    <t>0040130890</t>
  </si>
  <si>
    <t>KT AC REPAIR ACUTE</t>
  </si>
  <si>
    <t>KT AC REPAIR</t>
  </si>
  <si>
    <t>0040130908</t>
  </si>
  <si>
    <t>KT ANCH SUTR SML JOINT</t>
  </si>
  <si>
    <t>KT ANCH SUTR</t>
  </si>
  <si>
    <t>0040130916</t>
  </si>
  <si>
    <t>KT DRILL PIN</t>
  </si>
  <si>
    <t>0040130924</t>
  </si>
  <si>
    <t>KT ANCHOR SONIC FORC FBR</t>
  </si>
  <si>
    <t>KT ANCHOR SONIC</t>
  </si>
  <si>
    <t>0040131005</t>
  </si>
  <si>
    <t>KT BN RESORB BEAD 5CC</t>
  </si>
  <si>
    <t>KT RESORB BEAD</t>
  </si>
  <si>
    <t>0040131013</t>
  </si>
  <si>
    <t>KT BN RESORB BEAD 25CC</t>
  </si>
  <si>
    <t>0040131021</t>
  </si>
  <si>
    <t>KT BN VOID FILLER CASO4</t>
  </si>
  <si>
    <t>KT STIMULAN</t>
  </si>
  <si>
    <t>0040131047</t>
  </si>
  <si>
    <t>IMP HIP ANCILLARY STRYKER CL</t>
  </si>
  <si>
    <t>IMP HIP ANCL ST</t>
  </si>
  <si>
    <t>0040131054</t>
  </si>
  <si>
    <t>SCREW HIP BONE STRYKER CL</t>
  </si>
  <si>
    <t>SCREW HIP BN ST</t>
  </si>
  <si>
    <t>0040131070</t>
  </si>
  <si>
    <t>STEM KNEE EXTENSION STRYKR CL</t>
  </si>
  <si>
    <t>STEM KNE EXTN S</t>
  </si>
  <si>
    <t>0040131088</t>
  </si>
  <si>
    <t>CUP HIP REV TRIRANM STRYK CL</t>
  </si>
  <si>
    <t xml:space="preserve">CUP HP RV TRNM </t>
  </si>
  <si>
    <t>0040131096</t>
  </si>
  <si>
    <t>INSERT KNEE TS REV STRYKR CL</t>
  </si>
  <si>
    <t xml:space="preserve">INS KNEE TS RV </t>
  </si>
  <si>
    <t>0040131146</t>
  </si>
  <si>
    <t>CUP ACETABULR COATED STRYK CL</t>
  </si>
  <si>
    <t xml:space="preserve">CUP ACETAB CTD </t>
  </si>
  <si>
    <t>0040131153</t>
  </si>
  <si>
    <t>CUP ACETABULR TRITAN STRYK CL</t>
  </si>
  <si>
    <t>CUP ACETB TRITA</t>
  </si>
  <si>
    <t>0040131187</t>
  </si>
  <si>
    <t>KT LIGAMENT AUGMNT REPR</t>
  </si>
  <si>
    <t>KT INTERNLBRACE</t>
  </si>
  <si>
    <t>0040131211</t>
  </si>
  <si>
    <t>KT MCL INTERNALBRACE</t>
  </si>
  <si>
    <t>KT MCL INTRNBRC</t>
  </si>
  <si>
    <t>0040131245</t>
  </si>
  <si>
    <t>INSERT HUM LNR BEAR DEPUY CL</t>
  </si>
  <si>
    <t>0040131252</t>
  </si>
  <si>
    <t>SPACER HUMERAL TRAY DEPUY CL</t>
  </si>
  <si>
    <t>SPACER HUM TRAY</t>
  </si>
  <si>
    <t>0040131260</t>
  </si>
  <si>
    <t>STEM HUMERL CT UNCEM DEPUY CL</t>
  </si>
  <si>
    <t>0040131286</t>
  </si>
  <si>
    <t>STEM HUM MOD PRX CMP DEPUY CL</t>
  </si>
  <si>
    <t>STEM HUM MOD PR</t>
  </si>
  <si>
    <t>0040131302</t>
  </si>
  <si>
    <t>SCRW LOCK NON-LOCK DEPUY CL</t>
  </si>
  <si>
    <t>SCRW LOCK NON-L</t>
  </si>
  <si>
    <t>0040131492</t>
  </si>
  <si>
    <t>KT PEC BUTTON IMPL REPR</t>
  </si>
  <si>
    <t>KT PEC REPAIR</t>
  </si>
  <si>
    <t>0040131500</t>
  </si>
  <si>
    <t>KT SUBCHONDROPLASTY KNEE</t>
  </si>
  <si>
    <t>KT SUBCHONDPLTY</t>
  </si>
  <si>
    <t>0040131518</t>
  </si>
  <si>
    <t>KT RPR TGHTRP SYND KNTLS</t>
  </si>
  <si>
    <t>KT RPR TIGHTRP</t>
  </si>
  <si>
    <t>0040131708</t>
  </si>
  <si>
    <t>GLENOID PEG KEEL HYB DEPUY CL</t>
  </si>
  <si>
    <t>GLENOID PG KEEL</t>
  </si>
  <si>
    <t>0040131716</t>
  </si>
  <si>
    <t>GLENOSPHERE DEPUY CL</t>
  </si>
  <si>
    <t>GLENOSPHERE DEP</t>
  </si>
  <si>
    <t>0040131732</t>
  </si>
  <si>
    <t>COMPNENT HUM STM FRE DEPUY CL</t>
  </si>
  <si>
    <t>COMP HUM STEM F</t>
  </si>
  <si>
    <t>0040132516</t>
  </si>
  <si>
    <t>STEM FEMOR COATED MICROPORT CL</t>
  </si>
  <si>
    <t xml:space="preserve">STEM FEMOR CTD </t>
  </si>
  <si>
    <t>0040132565</t>
  </si>
  <si>
    <t>HEAD FEM ALL METAL MICROPRT CL</t>
  </si>
  <si>
    <t>0040132763</t>
  </si>
  <si>
    <t>COMP FEMORL COATD MICROPORT CL</t>
  </si>
  <si>
    <t>CMP FEM COATD M</t>
  </si>
  <si>
    <t>0040132771</t>
  </si>
  <si>
    <t>COMP FEMOR UNCOATD MICROPRT CL</t>
  </si>
  <si>
    <t>COMP FEMR UNCTD</t>
  </si>
  <si>
    <t>0040132797</t>
  </si>
  <si>
    <t>BASE TIB MOD COATED MICRPRT CL</t>
  </si>
  <si>
    <t>BASE TB MD COAT</t>
  </si>
  <si>
    <t>0040132805</t>
  </si>
  <si>
    <t>BASE TIB MOD KEEL MICROPORT CL</t>
  </si>
  <si>
    <t>BASE TIB MD KEE</t>
  </si>
  <si>
    <t>0040132813</t>
  </si>
  <si>
    <t>BASE TB UNCTD ALLPLY MCRPRT CL</t>
  </si>
  <si>
    <t>BSE TB UNCTD PL</t>
  </si>
  <si>
    <t>0040132821</t>
  </si>
  <si>
    <t>INS BR MD PVDB HGHPRM MCRPT CL</t>
  </si>
  <si>
    <t>INSBR MDPVDB HG</t>
  </si>
  <si>
    <t>0040132862</t>
  </si>
  <si>
    <t>PATELLA POLY MICROPORT CL</t>
  </si>
  <si>
    <t>PATELLA POLY MI</t>
  </si>
  <si>
    <t>0040132979</t>
  </si>
  <si>
    <t>HEMICAP KNE RESRF ARTHROSRF CL</t>
  </si>
  <si>
    <t xml:space="preserve">HEMICP KN RSRF </t>
  </si>
  <si>
    <t>0040133423</t>
  </si>
  <si>
    <t>COMP FEMOR UNCTD AS AESCULP CL</t>
  </si>
  <si>
    <t>COMP FEMOR UNCT</t>
  </si>
  <si>
    <t>0040133449</t>
  </si>
  <si>
    <t>INSRT BEARNG TIB RP AESCULP CL</t>
  </si>
  <si>
    <t>INSRT BEARNG TI</t>
  </si>
  <si>
    <t>0040133480</t>
  </si>
  <si>
    <t>POLY PATELLA AESCULAP CL</t>
  </si>
  <si>
    <t>POLY PATELLA</t>
  </si>
  <si>
    <t>0040133506</t>
  </si>
  <si>
    <t>BASE TIB UNCTD AS AESCULAP CL</t>
  </si>
  <si>
    <t>BASE TIBIAL UNC</t>
  </si>
  <si>
    <t>0040133563</t>
  </si>
  <si>
    <t>HEAD HIP MOD OSTEOREMEDIES CL</t>
  </si>
  <si>
    <t>HEAD HIP MODULA</t>
  </si>
  <si>
    <t>0040133712</t>
  </si>
  <si>
    <t>CP ACE CTD ESCL CTD ORTH DV CL</t>
  </si>
  <si>
    <t>CUP ACET CTD ES</t>
  </si>
  <si>
    <t>0040133720</t>
  </si>
  <si>
    <t>LNR ACE PLY HGH CRSL ORTHDV CL</t>
  </si>
  <si>
    <t>LNR ACE PLY HGH</t>
  </si>
  <si>
    <t>0040133738</t>
  </si>
  <si>
    <t>HEAD FEM MTL NONMTL ORTH DV CL</t>
  </si>
  <si>
    <t xml:space="preserve">HEAD FEM METAL </t>
  </si>
  <si>
    <t>0040133746</t>
  </si>
  <si>
    <t>HEAD FEM UNIPLR ORTHO DEV CL</t>
  </si>
  <si>
    <t>HEAD FEM UNIPLR</t>
  </si>
  <si>
    <t>0040133753</t>
  </si>
  <si>
    <t>STEM FEM COATED ORTHO DEV CL</t>
  </si>
  <si>
    <t>0040133779</t>
  </si>
  <si>
    <t>COMP SLF CENTER ORTHO DEV CL</t>
  </si>
  <si>
    <t>COMP SLF CENTER</t>
  </si>
  <si>
    <t>0040133795</t>
  </si>
  <si>
    <t>COMP FEM COATED ORTHO DEV CL</t>
  </si>
  <si>
    <t>0040133803</t>
  </si>
  <si>
    <t>COMP FEM REVISION ORTHO DEV CL</t>
  </si>
  <si>
    <t>COMP FEM REVISI</t>
  </si>
  <si>
    <t>0040133811</t>
  </si>
  <si>
    <t>COMP FEM UNCOATED ORTHO DEV CL</t>
  </si>
  <si>
    <t>COMP FEM UNCOAT</t>
  </si>
  <si>
    <t>0040133837</t>
  </si>
  <si>
    <t>INS BR PLY VITE ULT ORTHODV CL</t>
  </si>
  <si>
    <t>INS BR PLY VITE</t>
  </si>
  <si>
    <t>0040133845</t>
  </si>
  <si>
    <t>STM EXT KNE CTD CMNTLSS ORT DV</t>
  </si>
  <si>
    <t>STM EXT KNE CTD</t>
  </si>
  <si>
    <t>0040133852</t>
  </si>
  <si>
    <t>STM EXT KNE UNCT CMNT ORTDV CL</t>
  </si>
  <si>
    <t>STM EXT KNE UNC</t>
  </si>
  <si>
    <t>0040133860</t>
  </si>
  <si>
    <t>INSRT KNEE REVS ORTHO DEVEL CL</t>
  </si>
  <si>
    <t xml:space="preserve">INSRT KNEE RVS </t>
  </si>
  <si>
    <t>0040133878</t>
  </si>
  <si>
    <t>PATELLA POLY ORTHO DEVELOP CL</t>
  </si>
  <si>
    <t>PATELLA POLY OR</t>
  </si>
  <si>
    <t>0040133886</t>
  </si>
  <si>
    <t>PATLLA PLY VIT E VTL ORT DV CL</t>
  </si>
  <si>
    <t>PATELLA PLY VIT</t>
  </si>
  <si>
    <t>0040133902</t>
  </si>
  <si>
    <t>BASE TIB REVISION ORTHO DEV CL</t>
  </si>
  <si>
    <t>BASE TIB REVISI</t>
  </si>
  <si>
    <t>0040133910</t>
  </si>
  <si>
    <t>BASE TIB UNCOAT ORTHO DEV CL</t>
  </si>
  <si>
    <t>BASE TIB UNCOAT</t>
  </si>
  <si>
    <t>0040134363</t>
  </si>
  <si>
    <t>CP ACE CTD DUAL MOB MEDACTA CL</t>
  </si>
  <si>
    <t>0040134397</t>
  </si>
  <si>
    <t>LNR AC PLY HGH CRSLNK MDACT CL</t>
  </si>
  <si>
    <t>LNR ACET PLY HG</t>
  </si>
  <si>
    <t>0040134405</t>
  </si>
  <si>
    <t>HD FM ALL MTL NON MTL MEDAC CL</t>
  </si>
  <si>
    <t>0040134413</t>
  </si>
  <si>
    <t>STEM FEM CTD CTD HA MEDACTA CL</t>
  </si>
  <si>
    <t>STEM FEM CTD CT</t>
  </si>
  <si>
    <t>0040134439</t>
  </si>
  <si>
    <t>HEAD BIPOLR UNIPOLR MEDACTA CL</t>
  </si>
  <si>
    <t>HEAD BIPOLAR UN</t>
  </si>
  <si>
    <t>0040134504</t>
  </si>
  <si>
    <t>CMP FEM UNCTD SPHERE MEDACT CL</t>
  </si>
  <si>
    <t xml:space="preserve">COMP FEM UNCTD </t>
  </si>
  <si>
    <t>0040134512</t>
  </si>
  <si>
    <t>INS BEARNG KNEE PLY MEDACTA CL</t>
  </si>
  <si>
    <t>INSRT BEARNG KN</t>
  </si>
  <si>
    <t>0040134538</t>
  </si>
  <si>
    <t>PATELLA KNEE POLY MEDACTA CL</t>
  </si>
  <si>
    <t>PATELLA KNEE PO</t>
  </si>
  <si>
    <t>0040134561</t>
  </si>
  <si>
    <t>BSE TB UNCTD ALL PLY MEDACT CL</t>
  </si>
  <si>
    <t xml:space="preserve">BASE TIB UNCTD </t>
  </si>
  <si>
    <t>0040134603</t>
  </si>
  <si>
    <t>COMP FEM KNEE REVSN MEDACTA CL</t>
  </si>
  <si>
    <t>COMP FEM KNEE R</t>
  </si>
  <si>
    <t>0040134611</t>
  </si>
  <si>
    <t>STEM EXTENS KNEE MEDACTA CL</t>
  </si>
  <si>
    <t>STEM EXTENS KNE</t>
  </si>
  <si>
    <t>0040134629</t>
  </si>
  <si>
    <t>INSRT KNEE REVSN MEDACTA CL</t>
  </si>
  <si>
    <t>INSRT KNEE REVS</t>
  </si>
  <si>
    <t>0040134637</t>
  </si>
  <si>
    <t>TRY TIBL KNEE REVSN MEDACTA CL</t>
  </si>
  <si>
    <t>TRY TIBIAL KNEE</t>
  </si>
  <si>
    <t>0040134959</t>
  </si>
  <si>
    <t>BASEPLT GLNOID AUGM TORNIER CL</t>
  </si>
  <si>
    <t>BASEPLATE GLENO</t>
  </si>
  <si>
    <t>0040134975</t>
  </si>
  <si>
    <t>BASEPLATE GLENOID TORNIER CL</t>
  </si>
  <si>
    <t>0040134983</t>
  </si>
  <si>
    <t>GLENOID GLENOSPHERE TORNIER CL</t>
  </si>
  <si>
    <t>GLENOID GLENOSP</t>
  </si>
  <si>
    <t>0040135006</t>
  </si>
  <si>
    <t>GLEN PEG/KEEL/HYBRD TORNIER CL</t>
  </si>
  <si>
    <t>GLENOID PEGD/KE</t>
  </si>
  <si>
    <t>0040135014</t>
  </si>
  <si>
    <t>BASEPLT GLENOID RVS TORNIER CL</t>
  </si>
  <si>
    <t>0040135055</t>
  </si>
  <si>
    <t>HD HUM STD OFFS/TECC TRNIER CL</t>
  </si>
  <si>
    <t>HEAD HMRL STD/O</t>
  </si>
  <si>
    <t>0040135071</t>
  </si>
  <si>
    <t>INSRT HUM LNR BEARN TORNIER CL</t>
  </si>
  <si>
    <t>INSRT HUMRL LNR</t>
  </si>
  <si>
    <t>0040135089</t>
  </si>
  <si>
    <t>HUMRL SPACR OR TRY TORNIER CL</t>
  </si>
  <si>
    <t xml:space="preserve">HUMRL SPACR OR </t>
  </si>
  <si>
    <t>0040135113</t>
  </si>
  <si>
    <t>STEM HUMRL COATD TORNIER CL</t>
  </si>
  <si>
    <t>STEM HUMRL COAT</t>
  </si>
  <si>
    <t>0040135162</t>
  </si>
  <si>
    <t>SCRW LOCKG/NONLCKNG TORNIER CL</t>
  </si>
  <si>
    <t>SCRW LOCKING/NO</t>
  </si>
  <si>
    <t>0040137002</t>
  </si>
  <si>
    <t>METATARSAL HEAD</t>
  </si>
  <si>
    <t>0040137101</t>
  </si>
  <si>
    <t>METATARSAL STEM</t>
  </si>
  <si>
    <t>0040143000</t>
  </si>
  <si>
    <t>PHALANGEAL BASE</t>
  </si>
  <si>
    <t>0040143026</t>
  </si>
  <si>
    <t>PK MPFL CONVENC W/TGHTRP</t>
  </si>
  <si>
    <t>PK MPFL</t>
  </si>
  <si>
    <t>0040143034</t>
  </si>
  <si>
    <t>PK AUTOGRF GRFLK CONVEN</t>
  </si>
  <si>
    <t>PK AUTOGRAFT</t>
  </si>
  <si>
    <t>0040143042</t>
  </si>
  <si>
    <t>PLT LC DISTAL FEMUR</t>
  </si>
  <si>
    <t>PLT LC DIST FEM</t>
  </si>
  <si>
    <t>0040143109</t>
  </si>
  <si>
    <t>PLT LC LAT PROX TIBIAL</t>
  </si>
  <si>
    <t>PLT LC LAT PROX</t>
  </si>
  <si>
    <t>0040143117</t>
  </si>
  <si>
    <t>PLT LC PROX TIBIAL</t>
  </si>
  <si>
    <t>PLT LC PROX TIB</t>
  </si>
  <si>
    <t>0040143125</t>
  </si>
  <si>
    <t>PLT LC MEDIAL DISTAL TIB</t>
  </si>
  <si>
    <t>PLT LC MED DIST</t>
  </si>
  <si>
    <t>0040143133</t>
  </si>
  <si>
    <t>PLT LC MED DISTL HUMERUS</t>
  </si>
  <si>
    <t>PLT LC MD DIST</t>
  </si>
  <si>
    <t>0040143554</t>
  </si>
  <si>
    <t>POST X TITN</t>
  </si>
  <si>
    <t>X-POST</t>
  </si>
  <si>
    <t>0040144990</t>
  </si>
  <si>
    <t>PUTTY OP-1 BMP7</t>
  </si>
  <si>
    <t>0040145005</t>
  </si>
  <si>
    <t>PUTTY OP1 BMP7 3.5MG</t>
  </si>
  <si>
    <t>PUTTY OP1 BMP7</t>
  </si>
  <si>
    <t>0040180002</t>
  </si>
  <si>
    <t>SCRW TENDONESIS</t>
  </si>
  <si>
    <t>0040180069</t>
  </si>
  <si>
    <t>CUP ACETABULAR REVSN UOC CL</t>
  </si>
  <si>
    <t>0040180077</t>
  </si>
  <si>
    <t>LINR ACET PLYHGHCRSSLNK UOC CL</t>
  </si>
  <si>
    <t>LINR ACET PLYHG</t>
  </si>
  <si>
    <t>0040180085</t>
  </si>
  <si>
    <t>HD FM CRM SZOR MTL&lt;36MM UOC CL</t>
  </si>
  <si>
    <t xml:space="preserve">HD FM CRM SZOR </t>
  </si>
  <si>
    <t>0040180507</t>
  </si>
  <si>
    <t>SPACER KNEE TEMP</t>
  </si>
  <si>
    <t>SPACR KNEE TEMP</t>
  </si>
  <si>
    <t>0040180606</t>
  </si>
  <si>
    <t>SYS ACL REPAIR W IMPLNT</t>
  </si>
  <si>
    <t>SYS ACL REPAIR</t>
  </si>
  <si>
    <t>0040180614</t>
  </si>
  <si>
    <t>SYS BICEP DSTL REPR IMPL</t>
  </si>
  <si>
    <t>SYS BICEP DSTL</t>
  </si>
  <si>
    <t>0040180630</t>
  </si>
  <si>
    <t>SYS ANCHOR KNOTLESS</t>
  </si>
  <si>
    <t>SYS ANCH KNOTLS</t>
  </si>
  <si>
    <t>0040180648</t>
  </si>
  <si>
    <t>SYS MENISCL FAST-FIX CRV</t>
  </si>
  <si>
    <t>SYS MEN REPAIR</t>
  </si>
  <si>
    <t>0040180655</t>
  </si>
  <si>
    <t>SYS MENISCAL FAST FIX</t>
  </si>
  <si>
    <t>SYS MENISCAL</t>
  </si>
  <si>
    <t>0040180689</t>
  </si>
  <si>
    <t>SYS ACHILLES SPEEDBRIDGE</t>
  </si>
  <si>
    <t>SYS ACHILLES</t>
  </si>
  <si>
    <t>0040180697</t>
  </si>
  <si>
    <t>SYS COMPL PLNTAR PLT RPR</t>
  </si>
  <si>
    <t>SYS MINI SCORPN</t>
  </si>
  <si>
    <t>0040180705</t>
  </si>
  <si>
    <t>SYS IMPL SPEEDBRGD SWVLK</t>
  </si>
  <si>
    <t>SYS SPEEDBRIDGE</t>
  </si>
  <si>
    <t>0040180739</t>
  </si>
  <si>
    <t>SYS INTERMEDUL FIX NITNL</t>
  </si>
  <si>
    <t>SYS HAMMERLOCK</t>
  </si>
  <si>
    <t>0040180754</t>
  </si>
  <si>
    <t>SYS TGHTRP BTB FLIPCT II</t>
  </si>
  <si>
    <t>SYS TIGHTRP BTB</t>
  </si>
  <si>
    <t>0040180770</t>
  </si>
  <si>
    <t>SYS CORTICAL ADJUSTABL</t>
  </si>
  <si>
    <t>SYS RIGIDLOOP</t>
  </si>
  <si>
    <t>0040180804</t>
  </si>
  <si>
    <t>TIGHTROPE ABS W/BUTTON</t>
  </si>
  <si>
    <t>TIGHTROPE ABS</t>
  </si>
  <si>
    <t>0040205023</t>
  </si>
  <si>
    <t>ALLOGRFT CYMETRA INJ 1CC</t>
  </si>
  <si>
    <t>CYMETRA 1CC</t>
  </si>
  <si>
    <t>0040205072</t>
  </si>
  <si>
    <t>ALLOGRFT AMNIOTIC MEMBRN</t>
  </si>
  <si>
    <t>AMNIOFIX INJECT</t>
  </si>
  <si>
    <t>0040205098</t>
  </si>
  <si>
    <t>ALLOGRFT CARTLG MSH VIAB</t>
  </si>
  <si>
    <t>CARTIFORM</t>
  </si>
  <si>
    <t>0040205106</t>
  </si>
  <si>
    <t>ALLOGRFT BN W/VIAB CELLS</t>
  </si>
  <si>
    <t>TRINITY ELITE</t>
  </si>
  <si>
    <t>0040205148</t>
  </si>
  <si>
    <t>ALLOGRFT AMNIOTIC TISSUE</t>
  </si>
  <si>
    <t>NANOFACTOR FLOW</t>
  </si>
  <si>
    <t>0040205155</t>
  </si>
  <si>
    <t>ALLOGRFT FIBER DBM CORT</t>
  </si>
  <si>
    <t>FIBER FLEXIGRFT</t>
  </si>
  <si>
    <t>0040205213</t>
  </si>
  <si>
    <t>ALLOWRAP DS PER SQ CM</t>
  </si>
  <si>
    <t>ALLOWRAP DS SQ</t>
  </si>
  <si>
    <t>0040205254</t>
  </si>
  <si>
    <t>BIOFIX</t>
  </si>
  <si>
    <t>0040205288</t>
  </si>
  <si>
    <t>ALLOGRFT AMNIOTIC FLUID</t>
  </si>
  <si>
    <t>FLOGRAFT</t>
  </si>
  <si>
    <t>0040205353</t>
  </si>
  <si>
    <t>ALLOGRFT CYRO AMNION LIQ</t>
  </si>
  <si>
    <t>AMNIOS</t>
  </si>
  <si>
    <t>0040205874</t>
  </si>
  <si>
    <t>ALLOGRFT TENDON PRESUTUR</t>
  </si>
  <si>
    <t>TENDN VERSAGRFT</t>
  </si>
  <si>
    <t>0040205890</t>
  </si>
  <si>
    <t>ALLOGRFT PLCNTL TISS MTX</t>
  </si>
  <si>
    <t>BIOFIX FLOW</t>
  </si>
  <si>
    <t>0040205981</t>
  </si>
  <si>
    <t>ANCH BIO-SWIVELOCK</t>
  </si>
  <si>
    <t>ANCH SWIVELOCK</t>
  </si>
  <si>
    <t>0040206005</t>
  </si>
  <si>
    <t>ANCH CORKSCREW</t>
  </si>
  <si>
    <t>0040206401</t>
  </si>
  <si>
    <t>ANCH HEALIX PEEK</t>
  </si>
  <si>
    <t>ANCH PEEK</t>
  </si>
  <si>
    <t>0040206997</t>
  </si>
  <si>
    <t>ANCH SUT BIORAPTOR</t>
  </si>
  <si>
    <t>0040207003</t>
  </si>
  <si>
    <t>ANCH SUT BIO-SUTURETAK</t>
  </si>
  <si>
    <t>0040207201</t>
  </si>
  <si>
    <t>ARTHROFLEX PER SQ CM</t>
  </si>
  <si>
    <t>ARTHROFLX SQ CM</t>
  </si>
  <si>
    <t>0040209702</t>
  </si>
  <si>
    <t>CATH PTA DORADO</t>
  </si>
  <si>
    <t>0040209785</t>
  </si>
  <si>
    <t>CLARIX 100 PER SQ CM</t>
  </si>
  <si>
    <t>CLARIX 100 SQ C</t>
  </si>
  <si>
    <t>0040209793</t>
  </si>
  <si>
    <t>CLARIX CORD 1K PER SQ CM</t>
  </si>
  <si>
    <t xml:space="preserve">CLARIX CORD 1K </t>
  </si>
  <si>
    <t>0040209900</t>
  </si>
  <si>
    <t>COIL NV COMPLEX</t>
  </si>
  <si>
    <t>0040210023</t>
  </si>
  <si>
    <t>COIL NV 3D</t>
  </si>
  <si>
    <t>0040210189</t>
  </si>
  <si>
    <t>COIL PV DIAMOND</t>
  </si>
  <si>
    <t>0040210197</t>
  </si>
  <si>
    <t>COIL PV PLATINUM</t>
  </si>
  <si>
    <t>COIL PV PLATNUM</t>
  </si>
  <si>
    <t>0040210205</t>
  </si>
  <si>
    <t>COIL PV STEEL</t>
  </si>
  <si>
    <t>0040210296</t>
  </si>
  <si>
    <t>DVC REP URIN TVT OBTUR</t>
  </si>
  <si>
    <t>DVC REP TVT OBT</t>
  </si>
  <si>
    <t>0040210304</t>
  </si>
  <si>
    <t>ENDOPROSTH THORACIC TAG</t>
  </si>
  <si>
    <t>ENDOPROS T TAG</t>
  </si>
  <si>
    <t>0040210379</t>
  </si>
  <si>
    <t>FLEXHD PER SQ CM</t>
  </si>
  <si>
    <t xml:space="preserve">FLEXHD SQ CM   </t>
  </si>
  <si>
    <t>0040212466</t>
  </si>
  <si>
    <t>MSH PLVC FLR ANT PROLIFT</t>
  </si>
  <si>
    <t>MSH PLVC FLR RP</t>
  </si>
  <si>
    <t>0040214801</t>
  </si>
  <si>
    <t>GEN NSTIM INTERSTIM 3058</t>
  </si>
  <si>
    <t>GEN INTERSTIM</t>
  </si>
  <si>
    <t>0040214819</t>
  </si>
  <si>
    <t>GEN NSTIM VAGUS NRV</t>
  </si>
  <si>
    <t>GEN VAGUS NRV</t>
  </si>
  <si>
    <t>0040214843</t>
  </si>
  <si>
    <t>GRFT ALLOMAX 10X15</t>
  </si>
  <si>
    <t>GRFT ALLOMAX</t>
  </si>
  <si>
    <t>0040214850</t>
  </si>
  <si>
    <t>GRFT ALLOMAX 13X15</t>
  </si>
  <si>
    <t>0040214884</t>
  </si>
  <si>
    <t>GRFT ALLOMAX 5X8CM</t>
  </si>
  <si>
    <t>0040214900</t>
  </si>
  <si>
    <t>GRFT DVF WOVN HEMASHLD2</t>
  </si>
  <si>
    <t>GRFT DVF WOVEN</t>
  </si>
  <si>
    <t>0040214918</t>
  </si>
  <si>
    <t>GRFT ALLOMAX 16 X 20CM</t>
  </si>
  <si>
    <t>0040214934</t>
  </si>
  <si>
    <t>GRFT ALLOMAX 8CM X 16CM</t>
  </si>
  <si>
    <t>0040214942</t>
  </si>
  <si>
    <t>GRFT ALLOMAX SURGICAL</t>
  </si>
  <si>
    <t>0040214959</t>
  </si>
  <si>
    <t>GRFT Y-MESH KNT ALYTE</t>
  </si>
  <si>
    <t>GRFT Y-MESH</t>
  </si>
  <si>
    <t>0040215006</t>
  </si>
  <si>
    <t>MESH INTEPRO PERIGEE</t>
  </si>
  <si>
    <t>MESH PERIGEE</t>
  </si>
  <si>
    <t>0040215022</t>
  </si>
  <si>
    <t>GRAFT INTEXEN PERIGEE</t>
  </si>
  <si>
    <t>GRAFT PERIGEE</t>
  </si>
  <si>
    <t>0040215030</t>
  </si>
  <si>
    <t>GRAFIX PRIME PER SQ CM</t>
  </si>
  <si>
    <t>GRAFIX PRIME</t>
  </si>
  <si>
    <t>0040219990</t>
  </si>
  <si>
    <t>GRAFT SAPHENOUS 30-39CM</t>
  </si>
  <si>
    <t>GRFT SAPHENOUS</t>
  </si>
  <si>
    <t>0040220014</t>
  </si>
  <si>
    <t>GRAFT SAPHENOUS 40-49CM</t>
  </si>
  <si>
    <t>0040220048</t>
  </si>
  <si>
    <t>GRFT SAPHENOUS 70-79CM</t>
  </si>
  <si>
    <t>0040220089</t>
  </si>
  <si>
    <t>GRFT STNT INFRARENAL EXT</t>
  </si>
  <si>
    <t>GRFT STNT</t>
  </si>
  <si>
    <t>0040223166</t>
  </si>
  <si>
    <t>GRFT PV BYP DISTAFLO</t>
  </si>
  <si>
    <t>GRFT PV BYP</t>
  </si>
  <si>
    <t>0040223174</t>
  </si>
  <si>
    <t>GRFT PV BYP DISTAFLO2</t>
  </si>
  <si>
    <t>0040223182</t>
  </si>
  <si>
    <t>GRFT PV BYP FLEX</t>
  </si>
  <si>
    <t>GRFT PV BYP FLX</t>
  </si>
  <si>
    <t>0040223216</t>
  </si>
  <si>
    <t>GRFT CNTRLTRL LEG</t>
  </si>
  <si>
    <t>GRFT CNTRLTL LG</t>
  </si>
  <si>
    <t>0040223224</t>
  </si>
  <si>
    <t>GRFT IPSLTRL LEG</t>
  </si>
  <si>
    <t>GRFT IPSLTRL LG</t>
  </si>
  <si>
    <t>0040223265</t>
  </si>
  <si>
    <t>GRFT V CARBOFLO FLX</t>
  </si>
  <si>
    <t>GRFT V CARBOFLO</t>
  </si>
  <si>
    <t>0040223307</t>
  </si>
  <si>
    <t>GRFT VAS BIOPROSTHESIS</t>
  </si>
  <si>
    <t>GRFT PROCOL</t>
  </si>
  <si>
    <t>0040229890</t>
  </si>
  <si>
    <t>IMP ANCH BIOROC EZ</t>
  </si>
  <si>
    <t>IMP ANCH BIOROC</t>
  </si>
  <si>
    <t>0040229940</t>
  </si>
  <si>
    <t>IMP CRANIAL CUSTOM</t>
  </si>
  <si>
    <t>IMP CRANIAL</t>
  </si>
  <si>
    <t>0040230013</t>
  </si>
  <si>
    <t>IMP GEN NSTIM PRECISION</t>
  </si>
  <si>
    <t>IMP GEN NSTIM</t>
  </si>
  <si>
    <t>0040230021</t>
  </si>
  <si>
    <t>IMP GEN NSTIM EON</t>
  </si>
  <si>
    <t>0040230047</t>
  </si>
  <si>
    <t>IMP GEN NSTIM RECHG</t>
  </si>
  <si>
    <t>0040230054</t>
  </si>
  <si>
    <t>IMP LD EXT NSTIM RESTORE</t>
  </si>
  <si>
    <t>IMP LD EXT NSTM</t>
  </si>
  <si>
    <t>0040230088</t>
  </si>
  <si>
    <t>IMP PLUG ANAL FISTULA</t>
  </si>
  <si>
    <t>IMP PLG FISTULA</t>
  </si>
  <si>
    <t>0040230096</t>
  </si>
  <si>
    <t>IMP POUCH PMP PAIN</t>
  </si>
  <si>
    <t>IMP POUCH PMP</t>
  </si>
  <si>
    <t>0040230104</t>
  </si>
  <si>
    <t>IMP RETROBUTTON ACL</t>
  </si>
  <si>
    <t>IMP RETROBUTTON</t>
  </si>
  <si>
    <t>0040230138</t>
  </si>
  <si>
    <t>IMP SPACER PEEK</t>
  </si>
  <si>
    <t>IMP SPACER</t>
  </si>
  <si>
    <t>0040230161</t>
  </si>
  <si>
    <t>IMP SFT TIS ORTHADPT 4X5</t>
  </si>
  <si>
    <t>IMP SFT TIS</t>
  </si>
  <si>
    <t>0040230179</t>
  </si>
  <si>
    <t>IMP SFT TIS ORTHADP 2X15</t>
  </si>
  <si>
    <t>0040230187</t>
  </si>
  <si>
    <t>IMP SFT TIS ORTHADPT 3X3</t>
  </si>
  <si>
    <t>0040230815</t>
  </si>
  <si>
    <t>IMP TENDON PERONEUS</t>
  </si>
  <si>
    <t>IMP TENDON</t>
  </si>
  <si>
    <t>0040230989</t>
  </si>
  <si>
    <t>IMP TISS DERMAMATRIX</t>
  </si>
  <si>
    <t>TISS DERMAMATRX</t>
  </si>
  <si>
    <t>0040231854</t>
  </si>
  <si>
    <t>INTEGRA 2LAY 5X5 SQ CM</t>
  </si>
  <si>
    <t>INTEGRA BILAYR</t>
  </si>
  <si>
    <t>0040231896</t>
  </si>
  <si>
    <t>INTEGRA MSH 2LAY SQ CM</t>
  </si>
  <si>
    <t>INTEGRA SQ CM</t>
  </si>
  <si>
    <t>0040233900</t>
  </si>
  <si>
    <t>KT ANCH PUSHLOCK</t>
  </si>
  <si>
    <t>KT ANCH PUSHLK</t>
  </si>
  <si>
    <t>0040233975</t>
  </si>
  <si>
    <t>KT PLVC FLR RPR PINNACLE</t>
  </si>
  <si>
    <t>KT PLVC FLR RPR</t>
  </si>
  <si>
    <t>0040236002</t>
  </si>
  <si>
    <t>LD DFIB EASYTRAK 4549</t>
  </si>
  <si>
    <t>LD DFIB EASYTRK</t>
  </si>
  <si>
    <t>0040237414</t>
  </si>
  <si>
    <t>LD NSTM LINEAR ST SC2218</t>
  </si>
  <si>
    <t>LD NSTIM LINEAR</t>
  </si>
  <si>
    <t>0040237505</t>
  </si>
  <si>
    <t>LD NSTIM SPECIFY 39565</t>
  </si>
  <si>
    <t>LD NSTIM SPECIF</t>
  </si>
  <si>
    <t>0040237513</t>
  </si>
  <si>
    <t>LD NSTIM VAGUS NRV</t>
  </si>
  <si>
    <t>0040238008</t>
  </si>
  <si>
    <t>LD PM TENDRL SDX1688T</t>
  </si>
  <si>
    <t>LD PM SDX1688T</t>
  </si>
  <si>
    <t>0040238800</t>
  </si>
  <si>
    <t>MARKER COR BYPASS GRFT</t>
  </si>
  <si>
    <t>MARKER C BYP</t>
  </si>
  <si>
    <t>0040238859</t>
  </si>
  <si>
    <t>MATRX ACEL MICRONZ PRTCL</t>
  </si>
  <si>
    <t>MATRX MIC PRTCL</t>
  </si>
  <si>
    <t>0040238883</t>
  </si>
  <si>
    <t>MATRX COLLAGEN XENMATRIX</t>
  </si>
  <si>
    <t>MATRX COLLAGEN</t>
  </si>
  <si>
    <t>0040238909</t>
  </si>
  <si>
    <t>MATRX DURAL GRFT DURAGEN</t>
  </si>
  <si>
    <t>MATRX DURAL GRF</t>
  </si>
  <si>
    <t>0040238917</t>
  </si>
  <si>
    <t>MATRX CARTILAG EXTRACELL</t>
  </si>
  <si>
    <t>BIOCARTILAGE</t>
  </si>
  <si>
    <t>0040238941</t>
  </si>
  <si>
    <t>MATRX TISS HUMAN PLACNTL</t>
  </si>
  <si>
    <t>CLARIX FLO</t>
  </si>
  <si>
    <t>0040238974</t>
  </si>
  <si>
    <t>MATRX AMNION</t>
  </si>
  <si>
    <t>0040238990</t>
  </si>
  <si>
    <t>MATRX REINFORC DERMAL</t>
  </si>
  <si>
    <t>MTRX REINFRCMNT</t>
  </si>
  <si>
    <t>0040239006</t>
  </si>
  <si>
    <t>MATRX TISS COLLAMEND 4X6</t>
  </si>
  <si>
    <t>MATRX COLLAMEND</t>
  </si>
  <si>
    <t>0040239014</t>
  </si>
  <si>
    <t>MATRX TISS COLLAMND 8X10</t>
  </si>
  <si>
    <t>0040239022</t>
  </si>
  <si>
    <t>MATRX TISS COLLAMEND 6X8</t>
  </si>
  <si>
    <t>0040239063</t>
  </si>
  <si>
    <t>MATRX TISS FLOW PLACENTL</t>
  </si>
  <si>
    <t>VIAFLOW</t>
  </si>
  <si>
    <t>0040239071</t>
  </si>
  <si>
    <t>MATRX DERMAL GRFT COLL</t>
  </si>
  <si>
    <t>PARADERM</t>
  </si>
  <si>
    <t>0040239089</t>
  </si>
  <si>
    <t>GENTRIX SURGICAL MATRIX</t>
  </si>
  <si>
    <t>GENTRIX SURG MA</t>
  </si>
  <si>
    <t>0040239097</t>
  </si>
  <si>
    <t>MATRX WND ACEL PLST SURG</t>
  </si>
  <si>
    <t>MATRX PLST SURG</t>
  </si>
  <si>
    <t>0040239105</t>
  </si>
  <si>
    <t>MATRX WND FLOWABLE 1CC</t>
  </si>
  <si>
    <t>MATRX WND FLOW</t>
  </si>
  <si>
    <t>0040239113</t>
  </si>
  <si>
    <t>MATRISTEM MICROMATRI 1MG</t>
  </si>
  <si>
    <t>MARSTEM 1MG</t>
  </si>
  <si>
    <t>0040239139</t>
  </si>
  <si>
    <t>MATRX OASIS 3-LYR SQ CM</t>
  </si>
  <si>
    <t>MATRX OASIS WND</t>
  </si>
  <si>
    <t>0040239147</t>
  </si>
  <si>
    <t>GENTRIX SURGICAL MATRIX THICK</t>
  </si>
  <si>
    <t>0040239915</t>
  </si>
  <si>
    <t>MEMODERM PER SQ CM</t>
  </si>
  <si>
    <t>MEMODERM SQ CM</t>
  </si>
  <si>
    <t>0040240004</t>
  </si>
  <si>
    <t>MSH COMPOSIX E/X 8X10</t>
  </si>
  <si>
    <t>MSH SURG</t>
  </si>
  <si>
    <t>0040240681</t>
  </si>
  <si>
    <t>MESH HERNIA COMPOSITE</t>
  </si>
  <si>
    <t>MESH SYMBOTEX</t>
  </si>
  <si>
    <t>0040240699</t>
  </si>
  <si>
    <t>MSH H COMPOSITE FLEXIBL</t>
  </si>
  <si>
    <t>MSH PHYSIOMESH</t>
  </si>
  <si>
    <t>0040240707</t>
  </si>
  <si>
    <t>MSH H 3DMAX LIGHT POLY</t>
  </si>
  <si>
    <t>MSH 3DMAX LIGHT</t>
  </si>
  <si>
    <t>0040240715</t>
  </si>
  <si>
    <t>MSH H PARIETEX PROGRIP</t>
  </si>
  <si>
    <t>MESH HERNIA</t>
  </si>
  <si>
    <t>0040240749</t>
  </si>
  <si>
    <t>MSH H SYNECOR BIOMATERL</t>
  </si>
  <si>
    <t>MSH H SYNECOR</t>
  </si>
  <si>
    <t>0040240756</t>
  </si>
  <si>
    <t>MSH H VENTRALIGHT ST</t>
  </si>
  <si>
    <t>MSH VNTRLGHT ST</t>
  </si>
  <si>
    <t>0040240780</t>
  </si>
  <si>
    <t>0040240806</t>
  </si>
  <si>
    <t>MESH H POLYPRO/EPTFE</t>
  </si>
  <si>
    <t>MESH H POLYPRO</t>
  </si>
  <si>
    <t>0040240814</t>
  </si>
  <si>
    <t>MESH H POLYPRO/EPTFE2</t>
  </si>
  <si>
    <t>0040240822</t>
  </si>
  <si>
    <t>MSH H SEPRA/POLY</t>
  </si>
  <si>
    <t>MSH SEPRA/POLY</t>
  </si>
  <si>
    <t>0040240863</t>
  </si>
  <si>
    <t>MSH H SEPRA/POLY 4X8</t>
  </si>
  <si>
    <t>0040240889</t>
  </si>
  <si>
    <t>MSH H SEPRA/POLY 8X12</t>
  </si>
  <si>
    <t>0040240939</t>
  </si>
  <si>
    <t>MSH H BIOSCAFFLD OVITEX</t>
  </si>
  <si>
    <t>MSH H OVITEX</t>
  </si>
  <si>
    <t>0040240947</t>
  </si>
  <si>
    <t>MSH H COMPOSIT FLX OPEN</t>
  </si>
  <si>
    <t>0040240954</t>
  </si>
  <si>
    <t>MSH LAPAROSCOPIC SLF-FIX</t>
  </si>
  <si>
    <t>MSH PROGRIP</t>
  </si>
  <si>
    <t>0040241812</t>
  </si>
  <si>
    <t>MESH PANEL SM GRID RESRB</t>
  </si>
  <si>
    <t>MSH PAN SM GRD</t>
  </si>
  <si>
    <t>0040241820</t>
  </si>
  <si>
    <t>MESH PARIETEX ANATOMICAL</t>
  </si>
  <si>
    <t>MESH PARIETEX</t>
  </si>
  <si>
    <t>0040241911</t>
  </si>
  <si>
    <t>MESH POLYPRO FLAT 3X6</t>
  </si>
  <si>
    <t>MESH POLYPRO</t>
  </si>
  <si>
    <t>0040241929</t>
  </si>
  <si>
    <t>MESH POLYPRO FLAT 6X6</t>
  </si>
  <si>
    <t>0040241945</t>
  </si>
  <si>
    <t>MESH POLYPRO 10X14</t>
  </si>
  <si>
    <t>0040241952</t>
  </si>
  <si>
    <t>MESH POLYPRO INTEPRO Y</t>
  </si>
  <si>
    <t>MESH INTEPRO Y</t>
  </si>
  <si>
    <t>0040241960</t>
  </si>
  <si>
    <t>MESH POLYPRO FLAT 1X4</t>
  </si>
  <si>
    <t>0040241978</t>
  </si>
  <si>
    <t>MESH POLYPRO PRESHAPE</t>
  </si>
  <si>
    <t>0040241986</t>
  </si>
  <si>
    <t>MSH POLYPRO PLUG S</t>
  </si>
  <si>
    <t>MSH POLY PLUG</t>
  </si>
  <si>
    <t>0040241994</t>
  </si>
  <si>
    <t>MSH POLYPRO PLUG LG</t>
  </si>
  <si>
    <t>0040242000</t>
  </si>
  <si>
    <t>MSH POLYPRO PLUG EXL</t>
  </si>
  <si>
    <t>0040242018</t>
  </si>
  <si>
    <t>MSH POLYPRO PLUG M</t>
  </si>
  <si>
    <t>0040242026</t>
  </si>
  <si>
    <t>MESH PROCEED 4X6</t>
  </si>
  <si>
    <t>MSH PROCEED 4X6</t>
  </si>
  <si>
    <t>0040242059</t>
  </si>
  <si>
    <t>MESH PROCEED 8X10</t>
  </si>
  <si>
    <t>MESH PROCEED</t>
  </si>
  <si>
    <t>0040242075</t>
  </si>
  <si>
    <t>MESH PROCEED 15X20</t>
  </si>
  <si>
    <t>0040242109</t>
  </si>
  <si>
    <t>MESH SURGIWRAP LG RESRB</t>
  </si>
  <si>
    <t>MESH SURGIWRAP</t>
  </si>
  <si>
    <t>0040242125</t>
  </si>
  <si>
    <t>MESH SURGIWRAP MED RESRB</t>
  </si>
  <si>
    <t>0040242158</t>
  </si>
  <si>
    <t>MESH SOFT TIS FULL RESRB</t>
  </si>
  <si>
    <t>MESH PHASIX</t>
  </si>
  <si>
    <t>0040242455</t>
  </si>
  <si>
    <t>MESH PROCEED VENTRL PTCH</t>
  </si>
  <si>
    <t>PTCH VENTRL</t>
  </si>
  <si>
    <t>0040242471</t>
  </si>
  <si>
    <t>MESH PROCEED 15X15</t>
  </si>
  <si>
    <t>0040242505</t>
  </si>
  <si>
    <t>MSH VENTRALEX W STRP</t>
  </si>
  <si>
    <t>MSH VENTRALEX</t>
  </si>
  <si>
    <t>0040242521</t>
  </si>
  <si>
    <t>NEURAGEN PER CM</t>
  </si>
  <si>
    <t>0040242539</t>
  </si>
  <si>
    <t>NEURAWRAP PER CM</t>
  </si>
  <si>
    <t>NEURAWRAP CM</t>
  </si>
  <si>
    <t>0040242588</t>
  </si>
  <si>
    <t>NEUROMEND WRAP PER 0.5CM</t>
  </si>
  <si>
    <t>NEUROMEND 0.5CM</t>
  </si>
  <si>
    <t>0040242646</t>
  </si>
  <si>
    <t>PURAPLY AM PER SQ CM</t>
  </si>
  <si>
    <t>PURPLY AM SQ CM</t>
  </si>
  <si>
    <t>0040242661</t>
  </si>
  <si>
    <t>PURAPLY PER SQ CM</t>
  </si>
  <si>
    <t>PURAPLY PER SQ</t>
  </si>
  <si>
    <t>0040242711</t>
  </si>
  <si>
    <t>PERMACOL PER SQ CM</t>
  </si>
  <si>
    <t>PERMACOL SQ CM</t>
  </si>
  <si>
    <t>0040246068</t>
  </si>
  <si>
    <t>PLUG VASCULAR AMPLATZER</t>
  </si>
  <si>
    <t>PLUG VASC</t>
  </si>
  <si>
    <t>0040246100</t>
  </si>
  <si>
    <t>PORT GASTRIC BAND INJ</t>
  </si>
  <si>
    <t>PORT BAND INJ</t>
  </si>
  <si>
    <t>0040246167</t>
  </si>
  <si>
    <t>PTCH H VENTRIO MED OVAL</t>
  </si>
  <si>
    <t>PTCH H VENTRIO</t>
  </si>
  <si>
    <t>0040246175</t>
  </si>
  <si>
    <t>PTCH H VENTRIO LG OVAL</t>
  </si>
  <si>
    <t>0040246183</t>
  </si>
  <si>
    <t>PTCH H VENTRIO SM OVAL</t>
  </si>
  <si>
    <t>0040246191</t>
  </si>
  <si>
    <t>PTCH H VENTRALX LC STRP</t>
  </si>
  <si>
    <t>PTCH H MESH</t>
  </si>
  <si>
    <t>0040246217</t>
  </si>
  <si>
    <t>PTCH H VENTRIO XL OVAL</t>
  </si>
  <si>
    <t>0040246225</t>
  </si>
  <si>
    <t>PTCH H VENTRIO ST MIDLN</t>
  </si>
  <si>
    <t>0040246852</t>
  </si>
  <si>
    <t>SCAFFLD SURG SLK BIORSRB</t>
  </si>
  <si>
    <t>SCAFFOLD SERI</t>
  </si>
  <si>
    <t>0040246902</t>
  </si>
  <si>
    <t>SLNG SGL INCISION ADJUST</t>
  </si>
  <si>
    <t>SLNG PELVIC</t>
  </si>
  <si>
    <t>0040247009</t>
  </si>
  <si>
    <t>SLNG URETH SUPPORT</t>
  </si>
  <si>
    <t>SLNG URETH SUPP</t>
  </si>
  <si>
    <t>0040248072</t>
  </si>
  <si>
    <t>STNT B RX PLASTIC</t>
  </si>
  <si>
    <t>STNT B RX</t>
  </si>
  <si>
    <t>0040248080</t>
  </si>
  <si>
    <t>STNT B PROTEGE EVERFLEX</t>
  </si>
  <si>
    <t>STNT B PROTEGE</t>
  </si>
  <si>
    <t>0040248171</t>
  </si>
  <si>
    <t>STNT B VISIPRO</t>
  </si>
  <si>
    <t>0040248189</t>
  </si>
  <si>
    <t>STNT B WALLFLX RX UNCVR</t>
  </si>
  <si>
    <t>STNT WALLFLX RX</t>
  </si>
  <si>
    <t>0040250011</t>
  </si>
  <si>
    <t>STNT C PROMUS RX</t>
  </si>
  <si>
    <t>STNT C PROMUS</t>
  </si>
  <si>
    <t>0040250045</t>
  </si>
  <si>
    <t>STNT C TAXUS LIBERTE</t>
  </si>
  <si>
    <t>STNT TAXUS</t>
  </si>
  <si>
    <t>0040250094</t>
  </si>
  <si>
    <t>STNT C XIENCE</t>
  </si>
  <si>
    <t>0040250110</t>
  </si>
  <si>
    <t>STNT CAROTID PROTEGE RX</t>
  </si>
  <si>
    <t>STNT CAROTID</t>
  </si>
  <si>
    <t>0040250128</t>
  </si>
  <si>
    <t>STNT CAROTID PRECISE PRO</t>
  </si>
  <si>
    <t>0040251035</t>
  </si>
  <si>
    <t>STNT ESOPHAGEAL WALLFLEX</t>
  </si>
  <si>
    <t>STNT ESOPHAGEAL</t>
  </si>
  <si>
    <t>0040251043</t>
  </si>
  <si>
    <t>STNT ENDOPROSTH COMFORM</t>
  </si>
  <si>
    <t>STNT GORE TAG</t>
  </si>
  <si>
    <t>0040252009</t>
  </si>
  <si>
    <t>STNT MULTLNK MINI VISION</t>
  </si>
  <si>
    <t>STNT MULTILINK</t>
  </si>
  <si>
    <t>0040252058</t>
  </si>
  <si>
    <t>STNT MULTLINK VISION RX</t>
  </si>
  <si>
    <t>STNT C MULTILNK</t>
  </si>
  <si>
    <t>0040253296</t>
  </si>
  <si>
    <t>STNT P GEENEN W DELV SYS</t>
  </si>
  <si>
    <t>STNT P GEENEN</t>
  </si>
  <si>
    <t>0040254013</t>
  </si>
  <si>
    <t>STNT TBRONCH ICAST</t>
  </si>
  <si>
    <t>STNT TBRONCH</t>
  </si>
  <si>
    <t>0040254963</t>
  </si>
  <si>
    <t>STNT U PERCUFLX PLUS</t>
  </si>
  <si>
    <t>STNT PERCUFLX</t>
  </si>
  <si>
    <t>0040254989</t>
  </si>
  <si>
    <t>STNT U POLARIS ULTRA</t>
  </si>
  <si>
    <t>STNT POLARS ULT</t>
  </si>
  <si>
    <t>0040255028</t>
  </si>
  <si>
    <t>STNT URIN DIVERSN</t>
  </si>
  <si>
    <t>STNT U DIVERSN</t>
  </si>
  <si>
    <t>0040255036</t>
  </si>
  <si>
    <t>SURGIMEND 6X12 0.5CM2</t>
  </si>
  <si>
    <t>SURGIMND 0.5CM2</t>
  </si>
  <si>
    <t>0040255143</t>
  </si>
  <si>
    <t>SYS REP TRANSVAG W SLNG</t>
  </si>
  <si>
    <t>SYS REP TRNSVAG</t>
  </si>
  <si>
    <t>0040255168</t>
  </si>
  <si>
    <t>SYS SLING MINIARC</t>
  </si>
  <si>
    <t>SYS SLNG URETH</t>
  </si>
  <si>
    <t>0040255192</t>
  </si>
  <si>
    <t>SYS SEALANT DURAL</t>
  </si>
  <si>
    <t>SYS SEALNT DURL</t>
  </si>
  <si>
    <t>0040255226</t>
  </si>
  <si>
    <t>SYS SUPPORT BIOSYNTHETIC</t>
  </si>
  <si>
    <t>SYS SUPP BIOSYN</t>
  </si>
  <si>
    <t>0040255267</t>
  </si>
  <si>
    <t>TENOGLIDE PER SQ CM</t>
  </si>
  <si>
    <t>TENOGLIDE SQ CM</t>
  </si>
  <si>
    <t>0040255309</t>
  </si>
  <si>
    <t>TISSUEMEND</t>
  </si>
  <si>
    <t>0040255358</t>
  </si>
  <si>
    <t>THERASKIN LRG 39SQ CM PR SQ CM</t>
  </si>
  <si>
    <t>THERASKIN PER S</t>
  </si>
  <si>
    <t>0040255366</t>
  </si>
  <si>
    <t>THERASKIN 6SQ CM  XSML PR SQCM</t>
  </si>
  <si>
    <t>THERAKIN PER SQ</t>
  </si>
  <si>
    <t>0040255374</t>
  </si>
  <si>
    <t>THERASKIN SM 13SQ CM PER SQ CM</t>
  </si>
  <si>
    <t>THERASKIN SQ CM</t>
  </si>
  <si>
    <t>0040255382</t>
  </si>
  <si>
    <t>THERASKN XLG 7.6X15.2CM PRSQCM</t>
  </si>
  <si>
    <t>0040255408</t>
  </si>
  <si>
    <t>THERASKIN 4X6.5 PER SQ CM</t>
  </si>
  <si>
    <t>0040256026</t>
  </si>
  <si>
    <t>GRFT STNT CNTRLTRL ILIAC</t>
  </si>
  <si>
    <t>GRFT ENDURNT II</t>
  </si>
  <si>
    <t>0040269987</t>
  </si>
  <si>
    <t>VERITAS PER SQ CM</t>
  </si>
  <si>
    <t>VERITAS SQ CM</t>
  </si>
  <si>
    <t>0040270001</t>
  </si>
  <si>
    <t>VERITAS 4X7 SQ CM</t>
  </si>
  <si>
    <t>0040270019</t>
  </si>
  <si>
    <t>VERITAS 6X8 SQ CM</t>
  </si>
  <si>
    <t>0040270027</t>
  </si>
  <si>
    <t>VERITAS 12CM X 25CM</t>
  </si>
  <si>
    <t>0040270035</t>
  </si>
  <si>
    <t>VERITAS 10CM X 16CM</t>
  </si>
  <si>
    <t>0040270514</t>
  </si>
  <si>
    <t>AMNIOFIX</t>
  </si>
  <si>
    <t>0040270548</t>
  </si>
  <si>
    <t>ACTISHIELD</t>
  </si>
  <si>
    <t>0040270605</t>
  </si>
  <si>
    <t>ALLOGRFT TENFUSE PIP</t>
  </si>
  <si>
    <t>ALLOGRFT PIP</t>
  </si>
  <si>
    <t>0040270613</t>
  </si>
  <si>
    <t>ALLOGRFT UMBILICAL CORD</t>
  </si>
  <si>
    <t>AMNIOCORD</t>
  </si>
  <si>
    <t>0040280059</t>
  </si>
  <si>
    <t>CYTAL BURN PER SQ CM</t>
  </si>
  <si>
    <t>CYTAL PER SQ CM</t>
  </si>
  <si>
    <t>0040280216</t>
  </si>
  <si>
    <t>ENVELOPE ECM IMPLANT DVC</t>
  </si>
  <si>
    <t>ENVELOPE ECM</t>
  </si>
  <si>
    <t>0040280224</t>
  </si>
  <si>
    <t>EPIFIX INJECT PER 1MG</t>
  </si>
  <si>
    <t>EPIFIX INJ 1MG</t>
  </si>
  <si>
    <t>0040283988</t>
  </si>
  <si>
    <t>GRFT ILIAC LEG AAA ZENTH</t>
  </si>
  <si>
    <t>GRFT ZEN SPIRLZ</t>
  </si>
  <si>
    <t>0040283996</t>
  </si>
  <si>
    <t>GRFT AORTIC EXTENDER</t>
  </si>
  <si>
    <t>GRFT AORT EXTND</t>
  </si>
  <si>
    <t>0040284002</t>
  </si>
  <si>
    <t>GRFT AAA MAIN BODY C3</t>
  </si>
  <si>
    <t>GRFT AAA C3</t>
  </si>
  <si>
    <t>0040284051</t>
  </si>
  <si>
    <t>GRFT ENDOV AAA MAIN BODY</t>
  </si>
  <si>
    <t>GRFT ZENITH FLX</t>
  </si>
  <si>
    <t>0040284069</t>
  </si>
  <si>
    <t>GRFT ENDOV DSTL BIFURCTD</t>
  </si>
  <si>
    <t>ZENITH FEN AAA</t>
  </si>
  <si>
    <t>0040284077</t>
  </si>
  <si>
    <t>GRFT ENDOV 2 PROX INTRNL</t>
  </si>
  <si>
    <t>0040284093</t>
  </si>
  <si>
    <t>GRFT ENDOVS AAA CONVERTR</t>
  </si>
  <si>
    <t>GRFT ZENTH RENU</t>
  </si>
  <si>
    <t>0040284101</t>
  </si>
  <si>
    <t>GRFT ENDOV AAA ILIAC PLG</t>
  </si>
  <si>
    <t>GRFT ILIAC PLUG</t>
  </si>
  <si>
    <t>0040284119</t>
  </si>
  <si>
    <t>GRFT ENDOV PROX EXT PRF</t>
  </si>
  <si>
    <t>GRFT ZENITH TX2</t>
  </si>
  <si>
    <t>0040284143</t>
  </si>
  <si>
    <t>GRFT ENDOV PROX CMP PROF</t>
  </si>
  <si>
    <t>0040284150</t>
  </si>
  <si>
    <t>GRFT ENDV AAA CONVRTR ZT</t>
  </si>
  <si>
    <t>0040284523</t>
  </si>
  <si>
    <t>GRFT STNT TRNK IPSIL LEG</t>
  </si>
  <si>
    <t>GRFT C3 GORE</t>
  </si>
  <si>
    <t>0040284556</t>
  </si>
  <si>
    <t>GRFT STNT BIFURCATED AAA</t>
  </si>
  <si>
    <t>GRFT STNT AFX</t>
  </si>
  <si>
    <t>0040284564</t>
  </si>
  <si>
    <t>GRFT STNT SUPRA AORT EXT</t>
  </si>
  <si>
    <t>0040284663</t>
  </si>
  <si>
    <t>GRFT STNT ILIAC LIMB PMA</t>
  </si>
  <si>
    <t>GRFT OVATION IX</t>
  </si>
  <si>
    <t>0040284978</t>
  </si>
  <si>
    <t>IMP HERN INGUINL RPR EXT</t>
  </si>
  <si>
    <t>IMP PROFLOR</t>
  </si>
  <si>
    <t>0040285017</t>
  </si>
  <si>
    <t>IMP MESH FLEXMESH</t>
  </si>
  <si>
    <t>IMP MESH TITAN</t>
  </si>
  <si>
    <t>0040285066</t>
  </si>
  <si>
    <t>IMP SHEET MEDPOR ULTHIN</t>
  </si>
  <si>
    <t>IMP SHEET MEDPR</t>
  </si>
  <si>
    <t>0040285520</t>
  </si>
  <si>
    <t>NUSHIELD 2X3 PER SQ CM</t>
  </si>
  <si>
    <t>NUSHIELD SQ CM</t>
  </si>
  <si>
    <t>0040285546</t>
  </si>
  <si>
    <t>NUSHIELD 1.6CM DISC PER SQ CM</t>
  </si>
  <si>
    <t>NUSHIELD PER SQ</t>
  </si>
  <si>
    <t>0040285553</t>
  </si>
  <si>
    <t>NUSHIELD 3X4 PER SQ CM</t>
  </si>
  <si>
    <t>0040285561</t>
  </si>
  <si>
    <t>NEOX 100 PER SQ CM</t>
  </si>
  <si>
    <t>NEOX 100 SQ CM</t>
  </si>
  <si>
    <t>0040285579</t>
  </si>
  <si>
    <t>NEOX FLO PER 1MG</t>
  </si>
  <si>
    <t>NEOX FLO 1MG</t>
  </si>
  <si>
    <t>0040285587</t>
  </si>
  <si>
    <t>NEOX 1K PER SQ CM</t>
  </si>
  <si>
    <t>NEOX 1K SQ CM</t>
  </si>
  <si>
    <t>0040285611</t>
  </si>
  <si>
    <t>NUSHIELD 4X4 PER SQ CM</t>
  </si>
  <si>
    <t>0040285678</t>
  </si>
  <si>
    <t>PALINGEN XPLUS PER SQ CM</t>
  </si>
  <si>
    <t>PALINGEN XPLUS</t>
  </si>
  <si>
    <t>0040285694</t>
  </si>
  <si>
    <t>NUSHIELD 2CM X 4CM PER SQ CM</t>
  </si>
  <si>
    <t>0040287351</t>
  </si>
  <si>
    <t>STNT B PROTEGE GPS</t>
  </si>
  <si>
    <t>STNT B SLF EXPN</t>
  </si>
  <si>
    <t>0040287401</t>
  </si>
  <si>
    <t>STRATTICE TM PER SQ CM SKINSUB</t>
  </si>
  <si>
    <t>STRATTICE SQ CM</t>
  </si>
  <si>
    <t>0040288094</t>
  </si>
  <si>
    <t>SYS PLUG &amp; PATCH</t>
  </si>
  <si>
    <t>SYS PLUG &amp; PTCH</t>
  </si>
  <si>
    <t>0040288128</t>
  </si>
  <si>
    <t>SYS SLNG MIDURETHRL MSH</t>
  </si>
  <si>
    <t>SYS SLNG SOLYX</t>
  </si>
  <si>
    <t>0040288144</t>
  </si>
  <si>
    <t>SYS SLNG MDURET TRN HALO</t>
  </si>
  <si>
    <t>SYS OBTRYX II</t>
  </si>
  <si>
    <t>0040288177</t>
  </si>
  <si>
    <t>SYS SLING SGL INCISION</t>
  </si>
  <si>
    <t>SYS SLING ALTIS</t>
  </si>
  <si>
    <t>0040288201</t>
  </si>
  <si>
    <t>TENDON ALLOGRF PRESUTURD</t>
  </si>
  <si>
    <t>TENDN SPEEDGRFT</t>
  </si>
  <si>
    <t>0040288409</t>
  </si>
  <si>
    <t>GRFT ENDO PROX SUPRARENL</t>
  </si>
  <si>
    <t>GRFT VELA AFX</t>
  </si>
  <si>
    <t>0040299000</t>
  </si>
  <si>
    <t>THERASKIN 116SQ CM PER SQ CM</t>
  </si>
  <si>
    <t>THERASKIN 116SQ</t>
  </si>
  <si>
    <t>0040299018</t>
  </si>
  <si>
    <t>THERASKIN 3 SQ CM PER SQ CM</t>
  </si>
  <si>
    <t xml:space="preserve">THERASKIN 3 SQ </t>
  </si>
  <si>
    <t>0040312019</t>
  </si>
  <si>
    <t>CATH ABL ESOP BLN 360D</t>
  </si>
  <si>
    <t>CATH ABL HALO</t>
  </si>
  <si>
    <t>0040312522</t>
  </si>
  <si>
    <t>CATH BLN DIL HURRICANERX</t>
  </si>
  <si>
    <t>CATH BLN DIL</t>
  </si>
  <si>
    <t>0040313090</t>
  </si>
  <si>
    <t>CATH DIAL PALINDROME</t>
  </si>
  <si>
    <t>CATH DIAL PALND</t>
  </si>
  <si>
    <t>0040313108</t>
  </si>
  <si>
    <t>CATH DIAMONDBACK 360</t>
  </si>
  <si>
    <t>CATH DIAMONDBCK</t>
  </si>
  <si>
    <t>0040313355</t>
  </si>
  <si>
    <t>CATH PTA ADMIRAL XTREME</t>
  </si>
  <si>
    <t>CATH PTA BLN</t>
  </si>
  <si>
    <t>0040313405</t>
  </si>
  <si>
    <t>CATH DRAINAGE ALL PURP</t>
  </si>
  <si>
    <t>CATH DRAINAGE</t>
  </si>
  <si>
    <t>0040313447</t>
  </si>
  <si>
    <t>CATH EMB EXTRACTION 2</t>
  </si>
  <si>
    <t>CATH EMB</t>
  </si>
  <si>
    <t>0040313454</t>
  </si>
  <si>
    <t>CATH EP DECAPOLAR</t>
  </si>
  <si>
    <t>CATH EP DECAPLR</t>
  </si>
  <si>
    <t>0040313496</t>
  </si>
  <si>
    <t>CATH EP LASSO DEFL &gt;20</t>
  </si>
  <si>
    <t>CATH EP LASSO</t>
  </si>
  <si>
    <t>0040314825</t>
  </si>
  <si>
    <t>CATH PERIPHL CTO CROSSER</t>
  </si>
  <si>
    <t>CATH PERIPH CTO</t>
  </si>
  <si>
    <t>0040319006</t>
  </si>
  <si>
    <t>DVC THROMB/EMB</t>
  </si>
  <si>
    <t>0040325060</t>
  </si>
  <si>
    <t>GRAFTJACKET PER SQ CM</t>
  </si>
  <si>
    <t>GRAFTJACKET</t>
  </si>
  <si>
    <t>0040325201</t>
  </si>
  <si>
    <t>GW EMB PROT ANGIOGARDRX</t>
  </si>
  <si>
    <t>GW EMB PROT</t>
  </si>
  <si>
    <t>0040327504</t>
  </si>
  <si>
    <t>INTEGRA 2LAYR MTRX SQ CM</t>
  </si>
  <si>
    <t>0040328502</t>
  </si>
  <si>
    <t>INTR SHTH CATH AVANTI</t>
  </si>
  <si>
    <t>INTR SHTH CATH</t>
  </si>
  <si>
    <t>0040330060</t>
  </si>
  <si>
    <t>KT SNARE VAS ATRIEVE</t>
  </si>
  <si>
    <t>KT SNARE VASCLR</t>
  </si>
  <si>
    <t>0040330383</t>
  </si>
  <si>
    <t>MCATH ASAHI CORSAIR OTW</t>
  </si>
  <si>
    <t>MCATH CORSAIR</t>
  </si>
  <si>
    <t>0040330417</t>
  </si>
  <si>
    <t>MCATH RENEGADE HI FLO</t>
  </si>
  <si>
    <t>MCATH RENEGADE</t>
  </si>
  <si>
    <t>0040330425</t>
  </si>
  <si>
    <t>MCATH EXCELSIOR PRESHAPE</t>
  </si>
  <si>
    <t>MCATH EXCELSIOR</t>
  </si>
  <si>
    <t>0040330466</t>
  </si>
  <si>
    <t>MCATH FINECROSS</t>
  </si>
  <si>
    <t>0040330482</t>
  </si>
  <si>
    <t>MCATH DELIVERY VELOCITY</t>
  </si>
  <si>
    <t>MCATH DELIVERY</t>
  </si>
  <si>
    <t>0040330524</t>
  </si>
  <si>
    <t>MCATH DIREXION PL FATHOM</t>
  </si>
  <si>
    <t>MCATH DIREXION</t>
  </si>
  <si>
    <t>0040330847</t>
  </si>
  <si>
    <t>MCATH MARKSMAN DELIVERY</t>
  </si>
  <si>
    <t>MCATH MARKSMAN</t>
  </si>
  <si>
    <t>0040330870</t>
  </si>
  <si>
    <t>MCATH PHENOM 027</t>
  </si>
  <si>
    <t>MCATH PHENOM 02</t>
  </si>
  <si>
    <t>0040330896</t>
  </si>
  <si>
    <t>MCATH PHENOM 21</t>
  </si>
  <si>
    <t>0040368037</t>
  </si>
  <si>
    <t>SYS LEAD DLV ACUITY</t>
  </si>
  <si>
    <t>SYS LEAD DLV</t>
  </si>
  <si>
    <t>0040368060</t>
  </si>
  <si>
    <t>SYS MCATH PROGREAT COAX</t>
  </si>
  <si>
    <t>SYS MCATH COAX</t>
  </si>
  <si>
    <t>0041000043</t>
  </si>
  <si>
    <t>ELECTROLYTE PANEL</t>
  </si>
  <si>
    <t>ELECTROLYTE PAN</t>
  </si>
  <si>
    <t>0041000316</t>
  </si>
  <si>
    <t>VANCOMYCIN</t>
  </si>
  <si>
    <t>0041000324</t>
  </si>
  <si>
    <t>VANCOMYCIN/2</t>
  </si>
  <si>
    <t>0041000332</t>
  </si>
  <si>
    <t>VANCOMYCIN/3</t>
  </si>
  <si>
    <t>0041000472</t>
  </si>
  <si>
    <t>BASIC METABOL PN ION CA</t>
  </si>
  <si>
    <t>BMP ION CAL</t>
  </si>
  <si>
    <t>0041000563</t>
  </si>
  <si>
    <t>CBC AUTO W/O DIFF</t>
  </si>
  <si>
    <t>CBC AUTO</t>
  </si>
  <si>
    <t>0041000621</t>
  </si>
  <si>
    <t>LIPID PANEL</t>
  </si>
  <si>
    <t>0041000696</t>
  </si>
  <si>
    <t>RENAL FUNCTION PANEL</t>
  </si>
  <si>
    <t>RENAL FUNCT PNL</t>
  </si>
  <si>
    <t>0041001009</t>
  </si>
  <si>
    <t>DRUG TEST PRSMV CHEM ANLYZR</t>
  </si>
  <si>
    <t>DRUG TEST PRSMV</t>
  </si>
  <si>
    <t>0041001017</t>
  </si>
  <si>
    <t>DRUG TEST PRSMV CHEM ANLYZR/2</t>
  </si>
  <si>
    <t>0041001025</t>
  </si>
  <si>
    <t>DRUG TEST PRSMV CHEM ANLYZR/3</t>
  </si>
  <si>
    <t>0041001090</t>
  </si>
  <si>
    <t>HEPATIC FUNCTION PANEL</t>
  </si>
  <si>
    <t>HEPATC FUNC PNL</t>
  </si>
  <si>
    <t>0041001116</t>
  </si>
  <si>
    <t>COMP METABOLIC PANEL</t>
  </si>
  <si>
    <t>COMP METABLC PN</t>
  </si>
  <si>
    <t>0041001660</t>
  </si>
  <si>
    <t>BASIC METABOLIC PANEL</t>
  </si>
  <si>
    <t>BSC METABLC PNL</t>
  </si>
  <si>
    <t>0041003013</t>
  </si>
  <si>
    <t>DRUG TEST PRSMV CHEM ANLYZR/5</t>
  </si>
  <si>
    <t>0041003617</t>
  </si>
  <si>
    <t>SARSCOV IA ANTIGEN</t>
  </si>
  <si>
    <t>SARSCOV IA ANTI</t>
  </si>
  <si>
    <t>0041003732</t>
  </si>
  <si>
    <t>SARSCOV2/FLU A&amp;B AMP PRB</t>
  </si>
  <si>
    <t>SARSCOV2/FLU A&amp;</t>
  </si>
  <si>
    <t>0041003807</t>
  </si>
  <si>
    <t>HBS IA/2</t>
  </si>
  <si>
    <t>0041004029</t>
  </si>
  <si>
    <t>DRGSCRN TRIAGE OPT OBS</t>
  </si>
  <si>
    <t>DRGSCRN DIR OPT</t>
  </si>
  <si>
    <t>0041004060</t>
  </si>
  <si>
    <t>DRGSCRN DIR OPT INST/3</t>
  </si>
  <si>
    <t>0041010018</t>
  </si>
  <si>
    <t>UA AUTO W/MICRO</t>
  </si>
  <si>
    <t>0041010026</t>
  </si>
  <si>
    <t>UA NON-AUTO W/O MICRO</t>
  </si>
  <si>
    <t>UA W/O MICRO</t>
  </si>
  <si>
    <t>0041010042</t>
  </si>
  <si>
    <t>UA AUTO W/O MICRO/2</t>
  </si>
  <si>
    <t>UA W/O MICRO/2</t>
  </si>
  <si>
    <t>0041010059</t>
  </si>
  <si>
    <t>UA QUAL/SEMIQUANT</t>
  </si>
  <si>
    <t>UA QUAL/SEMIQUA</t>
  </si>
  <si>
    <t>0041010083</t>
  </si>
  <si>
    <t>UA AUTO W/O MICRO/4</t>
  </si>
  <si>
    <t>UA W/O MICRO/4</t>
  </si>
  <si>
    <t>0041010265</t>
  </si>
  <si>
    <t>URINE PREG TEST QUAL</t>
  </si>
  <si>
    <t>UR PREG TST QL</t>
  </si>
  <si>
    <t>0041010984</t>
  </si>
  <si>
    <t>UA NON-AUTO W/O MICRO/4</t>
  </si>
  <si>
    <t>0041020033</t>
  </si>
  <si>
    <t>DRUG TEST PRSMV CHEM ANLYZR/8</t>
  </si>
  <si>
    <t>0041020090</t>
  </si>
  <si>
    <t>ACETONE QUALITATIVE/2</t>
  </si>
  <si>
    <t>ACETONE QUAL/2</t>
  </si>
  <si>
    <t>0041020116</t>
  </si>
  <si>
    <t>DRUG TEST PRSMV CHEM ANLYZR/9</t>
  </si>
  <si>
    <t>0041020124</t>
  </si>
  <si>
    <t>ACETONE QUANTITATIVE/3</t>
  </si>
  <si>
    <t>ACETONE QUAN/3</t>
  </si>
  <si>
    <t>0041020405</t>
  </si>
  <si>
    <t>ALBUMIN SERUM</t>
  </si>
  <si>
    <t>0041020421</t>
  </si>
  <si>
    <t>MICRO ALBUMIN URINE QNT</t>
  </si>
  <si>
    <t>MICR ALBM UR QN</t>
  </si>
  <si>
    <t>0041020454</t>
  </si>
  <si>
    <t>ALBUMIN QUANT OTH SRC/2</t>
  </si>
  <si>
    <t>ALBUMIN QNT/2</t>
  </si>
  <si>
    <t>0041020553</t>
  </si>
  <si>
    <t>DRUG TEST PRSMV CHEM ANLYZR/10</t>
  </si>
  <si>
    <t>0041020652</t>
  </si>
  <si>
    <t>DRUG TEST PRSMV CHEM ANLYZR/11</t>
  </si>
  <si>
    <t>0041021148</t>
  </si>
  <si>
    <t>ALPHA FETO PROTEIN SERUM</t>
  </si>
  <si>
    <t>ALPH FET PRT SR</t>
  </si>
  <si>
    <t>0041021247</t>
  </si>
  <si>
    <t>AMIKACIN</t>
  </si>
  <si>
    <t>0041021262</t>
  </si>
  <si>
    <t>AMIKACIN/2</t>
  </si>
  <si>
    <t>0041021296</t>
  </si>
  <si>
    <t>AMIKACIN/3</t>
  </si>
  <si>
    <t>0041021379</t>
  </si>
  <si>
    <t>THEOPHYLLINE</t>
  </si>
  <si>
    <t>0041021403</t>
  </si>
  <si>
    <t>AMMONIA</t>
  </si>
  <si>
    <t>0041021502</t>
  </si>
  <si>
    <t>AMYLASE</t>
  </si>
  <si>
    <t>0041021510</t>
  </si>
  <si>
    <t>AMYLASE/2</t>
  </si>
  <si>
    <t>0041021544</t>
  </si>
  <si>
    <t>AMYLASE/5</t>
  </si>
  <si>
    <t>0041022138</t>
  </si>
  <si>
    <t>DRUG TEST PRSMV CHEM ANLYZR/12</t>
  </si>
  <si>
    <t>0041022328</t>
  </si>
  <si>
    <t>BETA-2-MICROGLOBLN</t>
  </si>
  <si>
    <t>B-2-MICROGLOB</t>
  </si>
  <si>
    <t>0041022500</t>
  </si>
  <si>
    <t>BILIRUBIN TOTAL/2</t>
  </si>
  <si>
    <t>BILIRUBN TOTAL/</t>
  </si>
  <si>
    <t>0041022526</t>
  </si>
  <si>
    <t>BILIRUBIN TOTAL/3</t>
  </si>
  <si>
    <t>0041022534</t>
  </si>
  <si>
    <t>BILIRUBIN DIRECT</t>
  </si>
  <si>
    <t>BILIRUBN DIRECT</t>
  </si>
  <si>
    <t>0041022542</t>
  </si>
  <si>
    <t>BILIRUBIN DIRECT/2</t>
  </si>
  <si>
    <t>0041022708</t>
  </si>
  <si>
    <t>OCCULT BLD STL 1-3</t>
  </si>
  <si>
    <t>OCC BL ST1-3SIM</t>
  </si>
  <si>
    <t>0041022724</t>
  </si>
  <si>
    <t>OCCULT BLD FECES ONE SPC</t>
  </si>
  <si>
    <t>OCC BLD QL</t>
  </si>
  <si>
    <t>0041022757</t>
  </si>
  <si>
    <t>OCCULT BLD OTHR SOURCE/2</t>
  </si>
  <si>
    <t>OCC BLD OTH SRC</t>
  </si>
  <si>
    <t>0041023102</t>
  </si>
  <si>
    <t>CALCIUM</t>
  </si>
  <si>
    <t>0041023300</t>
  </si>
  <si>
    <t>CALCIUM IONIZED</t>
  </si>
  <si>
    <t>0041023409</t>
  </si>
  <si>
    <t>CALCIUM URINE QUAN</t>
  </si>
  <si>
    <t>CALC URINE QUAN</t>
  </si>
  <si>
    <t>0041023417</t>
  </si>
  <si>
    <t>CALCIUM URINE QUAN/2</t>
  </si>
  <si>
    <t>0041023722</t>
  </si>
  <si>
    <t>CARBAMAZAPINE</t>
  </si>
  <si>
    <t>0041023748</t>
  </si>
  <si>
    <t>CARBON DIOXIDE</t>
  </si>
  <si>
    <t>0041024365</t>
  </si>
  <si>
    <t>CHLORIDE URINE/2</t>
  </si>
  <si>
    <t>CHLORIDE URINE/</t>
  </si>
  <si>
    <t>0041024381</t>
  </si>
  <si>
    <t>CHLORIDE OTHER SOURCE/2</t>
  </si>
  <si>
    <t>CHLORID OTH SRC</t>
  </si>
  <si>
    <t>0041024399</t>
  </si>
  <si>
    <t>CHLORIDE</t>
  </si>
  <si>
    <t>0041024654</t>
  </si>
  <si>
    <t>CHOLESTEROL TOTAL</t>
  </si>
  <si>
    <t>CHOLESTEROL TOT</t>
  </si>
  <si>
    <t>0041024761</t>
  </si>
  <si>
    <t>LDL CHOLESTOROL</t>
  </si>
  <si>
    <t>LDL CHOLEST</t>
  </si>
  <si>
    <t>0041024779</t>
  </si>
  <si>
    <t>CHOLESTEROL HDL</t>
  </si>
  <si>
    <t>0041025339</t>
  </si>
  <si>
    <t>CORTISOL TOTAL</t>
  </si>
  <si>
    <t>CORTISL TOTAL</t>
  </si>
  <si>
    <t>0041025347</t>
  </si>
  <si>
    <t>CORTISOL TOTAL/2</t>
  </si>
  <si>
    <t>CORTISL TOTAL/2</t>
  </si>
  <si>
    <t>0041025370</t>
  </si>
  <si>
    <t>CORTISOL TOTAL/3</t>
  </si>
  <si>
    <t>CORTISL TOTAL/3</t>
  </si>
  <si>
    <t>0041025503</t>
  </si>
  <si>
    <t>CREATINE KINASE TOTAL</t>
  </si>
  <si>
    <t>CPK TOTAL</t>
  </si>
  <si>
    <t>0041025537</t>
  </si>
  <si>
    <t>CK MB FRACTION</t>
  </si>
  <si>
    <t>CK MB FRAC</t>
  </si>
  <si>
    <t>0041025602</t>
  </si>
  <si>
    <t>DRUG TEST PRSMV CHEM ANLYZR/14</t>
  </si>
  <si>
    <t>0041025651</t>
  </si>
  <si>
    <t>CREATININE BLOOD/2</t>
  </si>
  <si>
    <t>CREATININE BLD/</t>
  </si>
  <si>
    <t>0041025701</t>
  </si>
  <si>
    <t>CREATININE OTHR SRCE</t>
  </si>
  <si>
    <t>CREATIN OTH SRC</t>
  </si>
  <si>
    <t>0041025735</t>
  </si>
  <si>
    <t>CREATININE OTHR SRCE/3</t>
  </si>
  <si>
    <t>0041025750</t>
  </si>
  <si>
    <t>CREATININE CLEARANCE</t>
  </si>
  <si>
    <t>CREATININ CLEAR</t>
  </si>
  <si>
    <t>0041026113</t>
  </si>
  <si>
    <t>CYANOCOBLMN(VIT B12)</t>
  </si>
  <si>
    <t>VIT B12</t>
  </si>
  <si>
    <t>0041026436</t>
  </si>
  <si>
    <t>DIGOXIN TOTAL</t>
  </si>
  <si>
    <t>0041026550</t>
  </si>
  <si>
    <t>PHENYTOIN TOTAL</t>
  </si>
  <si>
    <t>0041027202</t>
  </si>
  <si>
    <t>FETAL RBC ROSETTE</t>
  </si>
  <si>
    <t>FETAL RBC ROSET</t>
  </si>
  <si>
    <t>0041027269</t>
  </si>
  <si>
    <t>FERRITIN</t>
  </si>
  <si>
    <t>0041027319</t>
  </si>
  <si>
    <t>FETAL FIBRONECTIN</t>
  </si>
  <si>
    <t>FETAL FIBRONECT</t>
  </si>
  <si>
    <t>0041027467</t>
  </si>
  <si>
    <t>FOLIC ACID</t>
  </si>
  <si>
    <t>0041028036</t>
  </si>
  <si>
    <t>GAS BLD ANY COMB W/CALO2</t>
  </si>
  <si>
    <t>GS BLD ANY COMB</t>
  </si>
  <si>
    <t>0041028101</t>
  </si>
  <si>
    <t>GAS BLD O2 SAT X PULSE</t>
  </si>
  <si>
    <t>GAS BLD O2 SAT</t>
  </si>
  <si>
    <t>0041029455</t>
  </si>
  <si>
    <t>GLUCOSE BODY FLUID</t>
  </si>
  <si>
    <t>GLUCOSE BDY FLD</t>
  </si>
  <si>
    <t>0041029471</t>
  </si>
  <si>
    <t>GLUCOSE QUANTITATIVE</t>
  </si>
  <si>
    <t>GLUCOSE QUANT</t>
  </si>
  <si>
    <t>0041029489</t>
  </si>
  <si>
    <t>GLUCOSE BLD RGT ST VISU</t>
  </si>
  <si>
    <t>GLUCOSE BLD VIS</t>
  </si>
  <si>
    <t>0041029505</t>
  </si>
  <si>
    <t>GLUCOSE POST DOSE</t>
  </si>
  <si>
    <t>GLUC POST DOSE</t>
  </si>
  <si>
    <t>0041029513</t>
  </si>
  <si>
    <t>GLUCOSE TOLERANCE 3SPEC</t>
  </si>
  <si>
    <t>GLUCOS TOL 3SPC</t>
  </si>
  <si>
    <t>0041029521</t>
  </si>
  <si>
    <t>GTT EA ADD &gt;3SPEC</t>
  </si>
  <si>
    <t>GTT EA ADD &gt;3SP</t>
  </si>
  <si>
    <t>0041029547</t>
  </si>
  <si>
    <t>GLUCOSE BODY FLUID/3</t>
  </si>
  <si>
    <t>0041029588</t>
  </si>
  <si>
    <t>GLUCOSE BODY FLUID/4</t>
  </si>
  <si>
    <t>0041029620</t>
  </si>
  <si>
    <t>GLUCOSE BLD BY MONIT DEV</t>
  </si>
  <si>
    <t>GLUC BLD MNT DV</t>
  </si>
  <si>
    <t>0041029802</t>
  </si>
  <si>
    <t>GGT</t>
  </si>
  <si>
    <t>0041029943</t>
  </si>
  <si>
    <t>HEMOGLOBIN GLYCATED</t>
  </si>
  <si>
    <t>HEMOGLOBN GLYCT</t>
  </si>
  <si>
    <t>0041030040</t>
  </si>
  <si>
    <t>GENTAMICIN</t>
  </si>
  <si>
    <t>0041030065</t>
  </si>
  <si>
    <t>H PYLORI BRTH TST</t>
  </si>
  <si>
    <t>H PYLORI B TST</t>
  </si>
  <si>
    <t>0041030131</t>
  </si>
  <si>
    <t>GONADTOPN CHRONC(HCG)QL</t>
  </si>
  <si>
    <t>GONA CHR(HCG)QL</t>
  </si>
  <si>
    <t>0041030149</t>
  </si>
  <si>
    <t>GONADTOPN CHORNC(HCG)QNT</t>
  </si>
  <si>
    <t>GONA CHR(HCG)QN</t>
  </si>
  <si>
    <t>0041030339</t>
  </si>
  <si>
    <t>HEMOGLOBN FETAL QUAL-APT</t>
  </si>
  <si>
    <t>HGB FETL QL APT</t>
  </si>
  <si>
    <t>0041035072</t>
  </si>
  <si>
    <t>PLACENTAL A1 MICRO DIR</t>
  </si>
  <si>
    <t>PAMG 1</t>
  </si>
  <si>
    <t>0041035122</t>
  </si>
  <si>
    <t>GAMMAGLOBULIN EA/3</t>
  </si>
  <si>
    <t>GAMAGLOB EA/3</t>
  </si>
  <si>
    <t>0041035148</t>
  </si>
  <si>
    <t>GAMMAGLOBULIN EA/4</t>
  </si>
  <si>
    <t>GAMAGLOB EA/4</t>
  </si>
  <si>
    <t>0041035155</t>
  </si>
  <si>
    <t>GAMMAGLOBULIN EA/5</t>
  </si>
  <si>
    <t>GAMAGLOB EA/5</t>
  </si>
  <si>
    <t>0041035270</t>
  </si>
  <si>
    <t>B-TYP NATRIURETC PEPTIDE</t>
  </si>
  <si>
    <t>B-TYP NATR PEPT</t>
  </si>
  <si>
    <t>0041035312</t>
  </si>
  <si>
    <t>THYROXINE FREE</t>
  </si>
  <si>
    <t>0041035387</t>
  </si>
  <si>
    <t>TRIIODTHYRNINE TOTAL T3</t>
  </si>
  <si>
    <t>TRIIODTH TOT T3</t>
  </si>
  <si>
    <t>0041035403</t>
  </si>
  <si>
    <t>IRON ASSAY</t>
  </si>
  <si>
    <t>0041035502</t>
  </si>
  <si>
    <t>IRON BINDING CAPCTY</t>
  </si>
  <si>
    <t>IRON BINDNG CAP</t>
  </si>
  <si>
    <t>0041035544</t>
  </si>
  <si>
    <t>T3 FREE</t>
  </si>
  <si>
    <t>T-3 FREE</t>
  </si>
  <si>
    <t>0041036054</t>
  </si>
  <si>
    <t>LACTATE(LACTIC ACID)</t>
  </si>
  <si>
    <t>LACTATE</t>
  </si>
  <si>
    <t>0041036153</t>
  </si>
  <si>
    <t>LDH-LACTIC DEHYDROGENASE</t>
  </si>
  <si>
    <t>LDH</t>
  </si>
  <si>
    <t>0041036179</t>
  </si>
  <si>
    <t>LDH-LACTIC DEHYDROGENASE/3</t>
  </si>
  <si>
    <t>LDH/3</t>
  </si>
  <si>
    <t>0041036906</t>
  </si>
  <si>
    <t>LIPASE</t>
  </si>
  <si>
    <t>0041037250</t>
  </si>
  <si>
    <t>LITHIUM</t>
  </si>
  <si>
    <t>0041037359</t>
  </si>
  <si>
    <t>MAGNESIUM</t>
  </si>
  <si>
    <t>0041037557</t>
  </si>
  <si>
    <t>MAGNESIUM/4</t>
  </si>
  <si>
    <t>0041037565</t>
  </si>
  <si>
    <t>MAGNESIUM/5</t>
  </si>
  <si>
    <t>0041038738</t>
  </si>
  <si>
    <t>MYOGLOBIN</t>
  </si>
  <si>
    <t>0041038761</t>
  </si>
  <si>
    <t>MYCOPLASMA AMP PROBE</t>
  </si>
  <si>
    <t xml:space="preserve">MYCOPLASMA AMP </t>
  </si>
  <si>
    <t>0041039272</t>
  </si>
  <si>
    <t>DRUG TEST PRSMV CHEM ANLYZR/17</t>
  </si>
  <si>
    <t>0041039306</t>
  </si>
  <si>
    <t>OSMOLALITY BLOOD</t>
  </si>
  <si>
    <t>OSMOLALITY BLD</t>
  </si>
  <si>
    <t>0041039355</t>
  </si>
  <si>
    <t>OSMOLALITY URINE</t>
  </si>
  <si>
    <t>OSMOLALITY URIN</t>
  </si>
  <si>
    <t>0041039702</t>
  </si>
  <si>
    <t>PARATHORMONE (PTH)</t>
  </si>
  <si>
    <t>PARATHORMNE</t>
  </si>
  <si>
    <t>0041039728</t>
  </si>
  <si>
    <t>PARATHORMONE (PTH)/2</t>
  </si>
  <si>
    <t>PARATHORMNE/2</t>
  </si>
  <si>
    <t>0041039801</t>
  </si>
  <si>
    <t>PH BODY FLUID NOS</t>
  </si>
  <si>
    <t>PH BODY FLUID N</t>
  </si>
  <si>
    <t>0041040205</t>
  </si>
  <si>
    <t>PHENOBARBITAL</t>
  </si>
  <si>
    <t>0041040759</t>
  </si>
  <si>
    <t>PHOSPHATASE ALKALINE</t>
  </si>
  <si>
    <t>PHOSPHA ALKALIN</t>
  </si>
  <si>
    <t>0041040783</t>
  </si>
  <si>
    <t>PHOSPHATASE HEAT STABLE</t>
  </si>
  <si>
    <t>PHOSPHA HEAT ST</t>
  </si>
  <si>
    <t>0041041005</t>
  </si>
  <si>
    <t>PHOSPHORUS</t>
  </si>
  <si>
    <t>0041041021</t>
  </si>
  <si>
    <t>PHOSPHORUS URINE</t>
  </si>
  <si>
    <t>PHOSPHORUS URI</t>
  </si>
  <si>
    <t>0041041328</t>
  </si>
  <si>
    <t>POTASSIUM</t>
  </si>
  <si>
    <t>0041041336</t>
  </si>
  <si>
    <t>POTASSIUM URINE</t>
  </si>
  <si>
    <t>0041041344</t>
  </si>
  <si>
    <t>POTASSIUM URINE/2</t>
  </si>
  <si>
    <t>0041041351</t>
  </si>
  <si>
    <t>0041041534</t>
  </si>
  <si>
    <t>PROSTATIC SPECIFIC AG</t>
  </si>
  <si>
    <t>PROSTAT SPEC AG</t>
  </si>
  <si>
    <t>0041041542</t>
  </si>
  <si>
    <t>PROTEIN TOTAL OTHER SOURCE</t>
  </si>
  <si>
    <t>PROT TOT OTHR S</t>
  </si>
  <si>
    <t>0041041559</t>
  </si>
  <si>
    <t>PROTEIN TOTAL</t>
  </si>
  <si>
    <t>0041041567</t>
  </si>
  <si>
    <t>PROTEIN URINE</t>
  </si>
  <si>
    <t>0041041765</t>
  </si>
  <si>
    <t>PRE-ALBUMIN</t>
  </si>
  <si>
    <t>0041041807</t>
  </si>
  <si>
    <t>PROTEIN URINE/3</t>
  </si>
  <si>
    <t>0041041955</t>
  </si>
  <si>
    <t>PROTEIN TOTAL OTHER SOURCE/2</t>
  </si>
  <si>
    <t>0041041963</t>
  </si>
  <si>
    <t>PROTEIN TOTAL OTHER SOURCE/3</t>
  </si>
  <si>
    <t>0041042003</t>
  </si>
  <si>
    <t>PT SUBST PLSMA FRCT EA</t>
  </si>
  <si>
    <t>PT SUB PLS FRCT</t>
  </si>
  <si>
    <t>0041042508</t>
  </si>
  <si>
    <t>TRIIODTHYRN (T3/T4) UPTAKE</t>
  </si>
  <si>
    <t>T3/T4 UPTAKE</t>
  </si>
  <si>
    <t>0041042524</t>
  </si>
  <si>
    <t>ROTAVIRUS IA</t>
  </si>
  <si>
    <t>0041042953</t>
  </si>
  <si>
    <t>SODIUM</t>
  </si>
  <si>
    <t>0041042961</t>
  </si>
  <si>
    <t>SODIUM URINE</t>
  </si>
  <si>
    <t>0041042979</t>
  </si>
  <si>
    <t>SODIUM OTHER SOURCE</t>
  </si>
  <si>
    <t>SODIUM OTHR SRC</t>
  </si>
  <si>
    <t>0041043001</t>
  </si>
  <si>
    <t>SODIUM URINE/2</t>
  </si>
  <si>
    <t>0041043118</t>
  </si>
  <si>
    <t>CHOLESTEROL</t>
  </si>
  <si>
    <t>0041043159</t>
  </si>
  <si>
    <t>SP-GR EXCEPT URINE</t>
  </si>
  <si>
    <t>SPEC GRV XURIN</t>
  </si>
  <si>
    <t>0041044033</t>
  </si>
  <si>
    <t>TESTOSTERONE TOTAL</t>
  </si>
  <si>
    <t>TESTOSTER TOTAL</t>
  </si>
  <si>
    <t>0041044082</t>
  </si>
  <si>
    <t>DRUG TEST PRSMV CHEM ANLYZR/19</t>
  </si>
  <si>
    <t>0041044363</t>
  </si>
  <si>
    <t>THYROXINE TOTAL</t>
  </si>
  <si>
    <t>THYROXIN TOTAL</t>
  </si>
  <si>
    <t>0041044439</t>
  </si>
  <si>
    <t>TSH</t>
  </si>
  <si>
    <t>0041044504</t>
  </si>
  <si>
    <t>TRANSTERASE AST(SGOT)</t>
  </si>
  <si>
    <t>SGOT(AST)</t>
  </si>
  <si>
    <t>0041044603</t>
  </si>
  <si>
    <t>TRANSAMINASE-SGPT (ALT)</t>
  </si>
  <si>
    <t>SGPT (ALT)</t>
  </si>
  <si>
    <t>0041044629</t>
  </si>
  <si>
    <t>TRANSFERRIN</t>
  </si>
  <si>
    <t>0041044686</t>
  </si>
  <si>
    <t>TOBRAMYCIN</t>
  </si>
  <si>
    <t>0041044694</t>
  </si>
  <si>
    <t>TOBRAMYCIN/2</t>
  </si>
  <si>
    <t>0041044710</t>
  </si>
  <si>
    <t>TOBRAMYCIN/3</t>
  </si>
  <si>
    <t>0041044751</t>
  </si>
  <si>
    <t>TRIGLYCERIDES</t>
  </si>
  <si>
    <t>TRIGLYCER</t>
  </si>
  <si>
    <t>0041044785</t>
  </si>
  <si>
    <t>TRIGLYCERIDES/2</t>
  </si>
  <si>
    <t>TRIGLYCER/2</t>
  </si>
  <si>
    <t>0041044801</t>
  </si>
  <si>
    <t>DRUG TEST PRSMV CHEM ANLYZR/20</t>
  </si>
  <si>
    <t>0041045204</t>
  </si>
  <si>
    <t>BLD UREA NITROGEN QUAN</t>
  </si>
  <si>
    <t>BLD UREA NTRG Q</t>
  </si>
  <si>
    <t>0041045402</t>
  </si>
  <si>
    <t>UREA NITROGEN URINE</t>
  </si>
  <si>
    <t>UREA NTRGN URIN</t>
  </si>
  <si>
    <t>0041045410</t>
  </si>
  <si>
    <t>UREA NITROGEN URINE/2</t>
  </si>
  <si>
    <t>0041045501</t>
  </si>
  <si>
    <t>URIC ACID BLOOD</t>
  </si>
  <si>
    <t>0041045576</t>
  </si>
  <si>
    <t>URIC ACID OTHR SOURCE</t>
  </si>
  <si>
    <t>URIC ACD OTH SR</t>
  </si>
  <si>
    <t>0041045592</t>
  </si>
  <si>
    <t>URIC ACID OTHR SOURCE/2</t>
  </si>
  <si>
    <t>0041045600</t>
  </si>
  <si>
    <t>URIC ACID OTHR SOURCE/3</t>
  </si>
  <si>
    <t>0041045840</t>
  </si>
  <si>
    <t>VALPROIC ACID TOTAL</t>
  </si>
  <si>
    <t>VALPROIC TOTAL</t>
  </si>
  <si>
    <t>0041045956</t>
  </si>
  <si>
    <t>VITAMIN D/25 HYDROXY</t>
  </si>
  <si>
    <t>VITAMIN D/25 HY</t>
  </si>
  <si>
    <t>0041046251</t>
  </si>
  <si>
    <t>LIDOCAINE</t>
  </si>
  <si>
    <t>0041049008</t>
  </si>
  <si>
    <t>IA TUMOR CA 19-9 QUAN</t>
  </si>
  <si>
    <t>IA TUMOR CA19-9</t>
  </si>
  <si>
    <t>0041050063</t>
  </si>
  <si>
    <t>CLOSTRIDIUM IA</t>
  </si>
  <si>
    <t>0041050071</t>
  </si>
  <si>
    <t>BLD SMR EXAM W/DIFF</t>
  </si>
  <si>
    <t>BLD SMR EXM DIF</t>
  </si>
  <si>
    <t>0041050097</t>
  </si>
  <si>
    <t>BLD DIF WBC BUFFY</t>
  </si>
  <si>
    <t>BLD WBC BUFFY</t>
  </si>
  <si>
    <t>0041050121</t>
  </si>
  <si>
    <t>MANUAL BLOOD COUNT</t>
  </si>
  <si>
    <t>MAN BLD COUNT</t>
  </si>
  <si>
    <t>0041050139</t>
  </si>
  <si>
    <t>WBC AUTO</t>
  </si>
  <si>
    <t>0041050147</t>
  </si>
  <si>
    <t>HEMATOCRIT</t>
  </si>
  <si>
    <t>0041050188</t>
  </si>
  <si>
    <t>BLOOD HEMOGLBN</t>
  </si>
  <si>
    <t>BLOOD HEMOGLOBN</t>
  </si>
  <si>
    <t>0041050287</t>
  </si>
  <si>
    <t>CBC WITH AUTO DIFF</t>
  </si>
  <si>
    <t>CBC W/AUTO DIFF</t>
  </si>
  <si>
    <t>0041050451</t>
  </si>
  <si>
    <t>RETICULOCYTE COUNT AUTO</t>
  </si>
  <si>
    <t>RETIC COUNT AUT</t>
  </si>
  <si>
    <t>0041050543</t>
  </si>
  <si>
    <t>MICROHEMATOCRIT SPUN</t>
  </si>
  <si>
    <t>MICROHEMTCR SPN</t>
  </si>
  <si>
    <t>0041050550</t>
  </si>
  <si>
    <t>RETICULATED PLT ASSAY</t>
  </si>
  <si>
    <t>RETIC PLT ASSAY</t>
  </si>
  <si>
    <t>0041053406</t>
  </si>
  <si>
    <t>FACTOR INHIBITOR/3</t>
  </si>
  <si>
    <t>FACTOR INHIBITR</t>
  </si>
  <si>
    <t>0041053414</t>
  </si>
  <si>
    <t>FACTOR INHIBITOR/4</t>
  </si>
  <si>
    <t>0041053471</t>
  </si>
  <si>
    <t>COAGULATION TIME ACTIVTD</t>
  </si>
  <si>
    <t>COAGULAT ACTIV</t>
  </si>
  <si>
    <t>0041053505</t>
  </si>
  <si>
    <t>FDP D-DIMER QNT</t>
  </si>
  <si>
    <t>FDP D-DMR QN</t>
  </si>
  <si>
    <t>0041053620</t>
  </si>
  <si>
    <t>FDP FSP AGGLUTNATN SEMQTY</t>
  </si>
  <si>
    <t>FDP FSP AGGLUTN</t>
  </si>
  <si>
    <t>0041053661</t>
  </si>
  <si>
    <t>PARACOAGULATION FDP/FSP</t>
  </si>
  <si>
    <t>FDP/FSP PARCOAG</t>
  </si>
  <si>
    <t>0041053844</t>
  </si>
  <si>
    <t>FIBRINOGEN ACTIVITY</t>
  </si>
  <si>
    <t>FIBRINOGN ACTIV</t>
  </si>
  <si>
    <t>0041053869</t>
  </si>
  <si>
    <t>COVID 19</t>
  </si>
  <si>
    <t>0041054602</t>
  </si>
  <si>
    <t>HMOGLBN FETAL(KLEIHAUER)</t>
  </si>
  <si>
    <t>HEMOGLB FETAL</t>
  </si>
  <si>
    <t>0041055203</t>
  </si>
  <si>
    <t>HEPARIN ASSAY</t>
  </si>
  <si>
    <t>0041055211</t>
  </si>
  <si>
    <t>HEP-PROTAMINE TOLERANCE</t>
  </si>
  <si>
    <t>HEP-PROTAMINE T</t>
  </si>
  <si>
    <t>0041055765</t>
  </si>
  <si>
    <t>PLT AGGREGATION EA AGENT</t>
  </si>
  <si>
    <t>PLT AGGREG EA A</t>
  </si>
  <si>
    <t>0041055773</t>
  </si>
  <si>
    <t>PLT AGGREGATION EA AGENT/2</t>
  </si>
  <si>
    <t>0041055781</t>
  </si>
  <si>
    <t>PLT AGGREGATION EA AGENT/3</t>
  </si>
  <si>
    <t>0041055955</t>
  </si>
  <si>
    <t>PLATELET AUTO</t>
  </si>
  <si>
    <t>0041056102</t>
  </si>
  <si>
    <t>PROTHROMBIN TIME</t>
  </si>
  <si>
    <t>PROTHROM TIME</t>
  </si>
  <si>
    <t>0041056516</t>
  </si>
  <si>
    <t>SEDIMENTN RATE-NON-AUTO</t>
  </si>
  <si>
    <t>SED RATE NONAUT</t>
  </si>
  <si>
    <t>0041056532</t>
  </si>
  <si>
    <t>SED RATE AUTO</t>
  </si>
  <si>
    <t>0041057308</t>
  </si>
  <si>
    <t>PTT/2</t>
  </si>
  <si>
    <t>0041057324</t>
  </si>
  <si>
    <t>PTT SUB EA FRACTION</t>
  </si>
  <si>
    <t>PTT SUB EA FRCT</t>
  </si>
  <si>
    <t>0041060039</t>
  </si>
  <si>
    <t>HETEROPHILE AB SCREEN</t>
  </si>
  <si>
    <t>HETRPHL AB SCRN</t>
  </si>
  <si>
    <t>0041060153</t>
  </si>
  <si>
    <t>COLD AGGLUTINATN TITER</t>
  </si>
  <si>
    <t>COLD AGGLUTINAT</t>
  </si>
  <si>
    <t>0041060161</t>
  </si>
  <si>
    <t>RBC ANTIBODIES SCREEN</t>
  </si>
  <si>
    <t>RBC AB SCRN</t>
  </si>
  <si>
    <t>0041060195</t>
  </si>
  <si>
    <t>RBC ANTIBDY ELUTION EACH</t>
  </si>
  <si>
    <t>RBC ELUTION EA</t>
  </si>
  <si>
    <t>0041060211</t>
  </si>
  <si>
    <t>C-REACTIVE PROTEIN</t>
  </si>
  <si>
    <t>C-REACT PRTN</t>
  </si>
  <si>
    <t>0041060245</t>
  </si>
  <si>
    <t>ANTIBDY IDENT RBC EA PNL</t>
  </si>
  <si>
    <t>AB RBC EA PNL</t>
  </si>
  <si>
    <t>0041060310</t>
  </si>
  <si>
    <t>COOMBS DIRECT EA</t>
  </si>
  <si>
    <t>COOMBS DIR EA</t>
  </si>
  <si>
    <t>0041060328</t>
  </si>
  <si>
    <t>COOMBS INDIRECT EA AB TITR</t>
  </si>
  <si>
    <t>COOMBS INDIR EA</t>
  </si>
  <si>
    <t>0041060500</t>
  </si>
  <si>
    <t>COLD AGGLUTININ SCREEN</t>
  </si>
  <si>
    <t>COLD AGGLUT SCR</t>
  </si>
  <si>
    <t>0041060807</t>
  </si>
  <si>
    <t>BLD TYPE ABO</t>
  </si>
  <si>
    <t>0041060955</t>
  </si>
  <si>
    <t>RBC AG EXCPT ABO/RHO EA</t>
  </si>
  <si>
    <t>RBC AG EX ABO/R</t>
  </si>
  <si>
    <t>0041061003</t>
  </si>
  <si>
    <t>BLD TYPE RH (D)</t>
  </si>
  <si>
    <t>0041061052</t>
  </si>
  <si>
    <t>BLD TYPE RH PHENOTYP CMP</t>
  </si>
  <si>
    <t>BLD TYP RH PHEN</t>
  </si>
  <si>
    <t>0041061409</t>
  </si>
  <si>
    <t>CRP HI SENSITIVITY</t>
  </si>
  <si>
    <t>CRP HI SNSITVTY</t>
  </si>
  <si>
    <t>0041061516</t>
  </si>
  <si>
    <t>CARCINO-EMBRYONIC AG</t>
  </si>
  <si>
    <t>C E A</t>
  </si>
  <si>
    <t>0041062100</t>
  </si>
  <si>
    <t>COMP TST EA UT SPIN TECH</t>
  </si>
  <si>
    <t>COMP TST SPN TC</t>
  </si>
  <si>
    <t>0041062118</t>
  </si>
  <si>
    <t>COMP TST EA UT INCUB TCH</t>
  </si>
  <si>
    <t>COMP TST INC TC</t>
  </si>
  <si>
    <t>0041062126</t>
  </si>
  <si>
    <t>COMP TST EA UT AHG TECH</t>
  </si>
  <si>
    <t>COMP TST AHG TC</t>
  </si>
  <si>
    <t>0041062878</t>
  </si>
  <si>
    <t>HBS IA</t>
  </si>
  <si>
    <t>0041062928</t>
  </si>
  <si>
    <t>HEP B SURFACE AB/2</t>
  </si>
  <si>
    <t>HB SURF AB/2</t>
  </si>
  <si>
    <t>0041063132</t>
  </si>
  <si>
    <t>CHLAMYDIA IA</t>
  </si>
  <si>
    <t>0041063165</t>
  </si>
  <si>
    <t>PSA TOTAL</t>
  </si>
  <si>
    <t>0041063199</t>
  </si>
  <si>
    <t>DRUG TEST PRSMV CHEM ANLYZR/21</t>
  </si>
  <si>
    <t>0041063322</t>
  </si>
  <si>
    <t>COMPLEMENT AG EA/2</t>
  </si>
  <si>
    <t>COMPLEMNT AG EA</t>
  </si>
  <si>
    <t>0041063330</t>
  </si>
  <si>
    <t>COMPLEMENT AG EA/3</t>
  </si>
  <si>
    <t>0041064072</t>
  </si>
  <si>
    <t>PARTICLE AGGLUT AB EA/9</t>
  </si>
  <si>
    <t>PART AGGLU AB S</t>
  </si>
  <si>
    <t>0041064114</t>
  </si>
  <si>
    <t>STREPTOCOCCUS A IA/2</t>
  </si>
  <si>
    <t>STREPTOCOCCUS A</t>
  </si>
  <si>
    <t>0041064148</t>
  </si>
  <si>
    <t>RSV IA</t>
  </si>
  <si>
    <t>0041064320</t>
  </si>
  <si>
    <t>RHEUMATOID FACTOR QUANT</t>
  </si>
  <si>
    <t>RA FACTOR QUANT</t>
  </si>
  <si>
    <t>0041065814</t>
  </si>
  <si>
    <t>SKIN TEST TB INTRADERMAL</t>
  </si>
  <si>
    <t>SKIN TEST TB ID</t>
  </si>
  <si>
    <t>0041065921</t>
  </si>
  <si>
    <t>SYPHILIS NONTREP QUAL</t>
  </si>
  <si>
    <t>SYPHILIS TST NT</t>
  </si>
  <si>
    <t>0041065939</t>
  </si>
  <si>
    <t>SYPHILIS NONTREP QUAN</t>
  </si>
  <si>
    <t>0041066002</t>
  </si>
  <si>
    <t>TOXOPLASMA AB</t>
  </si>
  <si>
    <t>0041066481</t>
  </si>
  <si>
    <t>TRANSFUSN REACTN W RPT</t>
  </si>
  <si>
    <t>TRANSFUS REACTN</t>
  </si>
  <si>
    <t>0041067018</t>
  </si>
  <si>
    <t>HIV 1 AB/2</t>
  </si>
  <si>
    <t>0041067034</t>
  </si>
  <si>
    <t>HIV 1/HIV 2 SNGL RESULT</t>
  </si>
  <si>
    <t>HIV1/HIV2 SNG</t>
  </si>
  <si>
    <t>0041067620</t>
  </si>
  <si>
    <t>RUBELLA AB/3</t>
  </si>
  <si>
    <t>0041069014</t>
  </si>
  <si>
    <t>BLD TYPE ANTIGEN DONOR EA</t>
  </si>
  <si>
    <t>BLD TYPE AG DON</t>
  </si>
  <si>
    <t>0041069089</t>
  </si>
  <si>
    <t>TOXOPLASMA AB IGM</t>
  </si>
  <si>
    <t>TOXO AB IGM</t>
  </si>
  <si>
    <t>0041069154</t>
  </si>
  <si>
    <t>CRYPTOSPORIDIUM DFA</t>
  </si>
  <si>
    <t>CRYPTOSPOR DFA</t>
  </si>
  <si>
    <t>0041069238</t>
  </si>
  <si>
    <t>COMP TST EA ELECTRONIC</t>
  </si>
  <si>
    <t>COM TST ELCTR</t>
  </si>
  <si>
    <t>0041070160</t>
  </si>
  <si>
    <t>CONCENTRATION INF AGENT/2</t>
  </si>
  <si>
    <t>CONCNTRTN INF A</t>
  </si>
  <si>
    <t>0041070228</t>
  </si>
  <si>
    <t>CULTURE BACT OTH SOURCE/2</t>
  </si>
  <si>
    <t>CULT OTH SOURCE</t>
  </si>
  <si>
    <t>0041070244</t>
  </si>
  <si>
    <t>CULTURE BACT OTH SOURCE/3</t>
  </si>
  <si>
    <t>0041070335</t>
  </si>
  <si>
    <t>CULTURE BACT OTH SOURCE/5</t>
  </si>
  <si>
    <t>0041070368</t>
  </si>
  <si>
    <t>SUSCEPTBILTY STDY ENZYME</t>
  </si>
  <si>
    <t>SUSCEP STDY ENZ</t>
  </si>
  <si>
    <t>0041070392</t>
  </si>
  <si>
    <t>CULTURE BACTERIAL SCREEN</t>
  </si>
  <si>
    <t>CULT BAC SCREEN</t>
  </si>
  <si>
    <t>0041070400</t>
  </si>
  <si>
    <t>CULTURE BLOOD</t>
  </si>
  <si>
    <t>CULT BLOOD</t>
  </si>
  <si>
    <t>0041070434</t>
  </si>
  <si>
    <t>CULTURE BACT OTH SOURCE/6</t>
  </si>
  <si>
    <t>0041070442</t>
  </si>
  <si>
    <t>CULTURE BACTERIAL SCREEN/2</t>
  </si>
  <si>
    <t>0041070467</t>
  </si>
  <si>
    <t>CULT STOOL ADD PATH EA/2</t>
  </si>
  <si>
    <t>CULT STOOL ADD/</t>
  </si>
  <si>
    <t>0041070475</t>
  </si>
  <si>
    <t>CULT STOOL ADD PATH EA/3</t>
  </si>
  <si>
    <t>0041070533</t>
  </si>
  <si>
    <t>CULTURE BACTERIAL SCREEN/3</t>
  </si>
  <si>
    <t>0041070558</t>
  </si>
  <si>
    <t>CULTURE STOOL</t>
  </si>
  <si>
    <t>CULT STOOL</t>
  </si>
  <si>
    <t>0041070566</t>
  </si>
  <si>
    <t>CULTURE BACT OTH SOURCE/9</t>
  </si>
  <si>
    <t>0041070574</t>
  </si>
  <si>
    <t>CULT STOOL ADD PATH EA/4</t>
  </si>
  <si>
    <t>0041070632</t>
  </si>
  <si>
    <t>CULTURE BACTERIAL SCREEN/4</t>
  </si>
  <si>
    <t>0041070640</t>
  </si>
  <si>
    <t>CULTURE BACT OTH SOURCE/10</t>
  </si>
  <si>
    <t>0041070657</t>
  </si>
  <si>
    <t>CULTURE BACT OTH SOURCE/11</t>
  </si>
  <si>
    <t>0041070673</t>
  </si>
  <si>
    <t>CULTURE BACT OTH SOURCE/13</t>
  </si>
  <si>
    <t>0041070681</t>
  </si>
  <si>
    <t>CULTURE BACT OTH SOURCE/14</t>
  </si>
  <si>
    <t>0041070699</t>
  </si>
  <si>
    <t>CULTURE BACT OTH SOURCE/15</t>
  </si>
  <si>
    <t>0041070707</t>
  </si>
  <si>
    <t>CULTURE BACT OTH SOURCE/16</t>
  </si>
  <si>
    <t>0041070715</t>
  </si>
  <si>
    <t>CULTURE BACT OTH SOURCE/17</t>
  </si>
  <si>
    <t>0041070731</t>
  </si>
  <si>
    <t>CULTURE BACT OTH SOURCE/18</t>
  </si>
  <si>
    <t>0041070749</t>
  </si>
  <si>
    <t>CULTURE BACT OTH SOURCE/19</t>
  </si>
  <si>
    <t>0041070756</t>
  </si>
  <si>
    <t>CULT ANAEROBIC ANY EX BLD/2</t>
  </si>
  <si>
    <t xml:space="preserve">CULT AERBC ANY </t>
  </si>
  <si>
    <t>0041070764</t>
  </si>
  <si>
    <t>CULTURE ANAEROBIC DEF ID/2</t>
  </si>
  <si>
    <t xml:space="preserve">CULT ANAEROBIC </t>
  </si>
  <si>
    <t>0041070780</t>
  </si>
  <si>
    <t>CULTURE BACT OTH SOURCE/20</t>
  </si>
  <si>
    <t>0041070798</t>
  </si>
  <si>
    <t>CULTURE BACT OTH SOURCE/21</t>
  </si>
  <si>
    <t>0041070806</t>
  </si>
  <si>
    <t>CULT STOOL ADD PATH EA/5</t>
  </si>
  <si>
    <t>0041070814</t>
  </si>
  <si>
    <t>CULTURE BACTERIAL SCREEN/5</t>
  </si>
  <si>
    <t>0041070822</t>
  </si>
  <si>
    <t>CULTURE BACT OTH SOURCE/22</t>
  </si>
  <si>
    <t>0041070830</t>
  </si>
  <si>
    <t>CULTURE FUNGI OTHER/2</t>
  </si>
  <si>
    <t>CULT FUNG OTHER</t>
  </si>
  <si>
    <t>0041070889</t>
  </si>
  <si>
    <t>CULTURE URINE IDENT</t>
  </si>
  <si>
    <t>CULT URIN IDENT</t>
  </si>
  <si>
    <t>0041070970</t>
  </si>
  <si>
    <t>CULTURE ANAEROBIC DEF ID/3</t>
  </si>
  <si>
    <t>0041070996</t>
  </si>
  <si>
    <t>CULTURE BACTERIAL SCREEN/6</t>
  </si>
  <si>
    <t>0041071028</t>
  </si>
  <si>
    <t>CULTURE FUNGI OTHER</t>
  </si>
  <si>
    <t>0041071036</t>
  </si>
  <si>
    <t>CULTURE FUNGI BLOOD</t>
  </si>
  <si>
    <t>CULT FUNG BLOOD</t>
  </si>
  <si>
    <t>0041071069</t>
  </si>
  <si>
    <t>CULT FUNGI ID YEAST EA</t>
  </si>
  <si>
    <t>C FUNG YEAST EA</t>
  </si>
  <si>
    <t>0041071119</t>
  </si>
  <si>
    <t>CULT FUNGI ID MOLD EA</t>
  </si>
  <si>
    <t>C FUNGI ID MOLD</t>
  </si>
  <si>
    <t>0041071168</t>
  </si>
  <si>
    <t>CULTURE AFB</t>
  </si>
  <si>
    <t>CULT AFB</t>
  </si>
  <si>
    <t>0041071333</t>
  </si>
  <si>
    <t>CULTURE BACT OTH SOURCE/25</t>
  </si>
  <si>
    <t>0041071341</t>
  </si>
  <si>
    <t>CULTURE AFB/2</t>
  </si>
  <si>
    <t>CULT AFB/2</t>
  </si>
  <si>
    <t>0041071382</t>
  </si>
  <si>
    <t>CULTURE BACT OTH SOURCE/26</t>
  </si>
  <si>
    <t>0041071416</t>
  </si>
  <si>
    <t>EXAM MACRO ARTHROPOD</t>
  </si>
  <si>
    <t>EXAM ARTHROPOD</t>
  </si>
  <si>
    <t>0041071440</t>
  </si>
  <si>
    <t>PINWORM EXAM</t>
  </si>
  <si>
    <t>0041071473</t>
  </si>
  <si>
    <t>CULTURE TYPNG SEROLOGIC/3</t>
  </si>
  <si>
    <t>CULT TYPING SM/</t>
  </si>
  <si>
    <t>0041071499</t>
  </si>
  <si>
    <t>CULT DIR PRB EA ORGANISM</t>
  </si>
  <si>
    <t>CULT DIR PRB EA</t>
  </si>
  <si>
    <t>0041071606</t>
  </si>
  <si>
    <t>CULTURE BACTERIAL SCREEN/7</t>
  </si>
  <si>
    <t>0041071770</t>
  </si>
  <si>
    <t>OVA &amp; PARASITES SMEARS</t>
  </si>
  <si>
    <t>OVA/PARAS SMEAR</t>
  </si>
  <si>
    <t>0041071846</t>
  </si>
  <si>
    <t>SENSITV 12 DISKS OR LESS</t>
  </si>
  <si>
    <t>SENSTVTY DISK12</t>
  </si>
  <si>
    <t>0041071853</t>
  </si>
  <si>
    <t>SUSCEPTIBLTY STUDY MIC/2</t>
  </si>
  <si>
    <t>SUSCEP STDY MIC</t>
  </si>
  <si>
    <t>0041071861</t>
  </si>
  <si>
    <t>SUSCEPTIBLTY STUDY MIC/3</t>
  </si>
  <si>
    <t>0041072018</t>
  </si>
  <si>
    <t>SMEAR FLUORESCENT/AFS</t>
  </si>
  <si>
    <t>SMEAR FLUOR/AFS</t>
  </si>
  <si>
    <t>0041072026</t>
  </si>
  <si>
    <t>SPECIAL STAIN SMEAR/2</t>
  </si>
  <si>
    <t>SPEC STAIN/2</t>
  </si>
  <si>
    <t>0041072034</t>
  </si>
  <si>
    <t>LEUKO ASSMT FECAL QL/SQN</t>
  </si>
  <si>
    <t>LEUKO ASSMT FEC</t>
  </si>
  <si>
    <t>0041072059</t>
  </si>
  <si>
    <t>GRAM STAIN SMEAR</t>
  </si>
  <si>
    <t>GRAM STAIN</t>
  </si>
  <si>
    <t>0041072091</t>
  </si>
  <si>
    <t>GRAM STAIN SMEAR/2</t>
  </si>
  <si>
    <t>GRAM STAIN/2</t>
  </si>
  <si>
    <t>0041072109</t>
  </si>
  <si>
    <t>SMEAR SALINE/INK/KOH/4</t>
  </si>
  <si>
    <t>SMEAR SAL/IN/KO</t>
  </si>
  <si>
    <t>0041072158</t>
  </si>
  <si>
    <t>SMEAR SALINE/INK/KOH</t>
  </si>
  <si>
    <t>0041072208</t>
  </si>
  <si>
    <t>SMEAR SALINE/INK/KOH/2</t>
  </si>
  <si>
    <t>0041072216</t>
  </si>
  <si>
    <t>GRAM STAIN SMEAR/3</t>
  </si>
  <si>
    <t>GRAM STAIN/3</t>
  </si>
  <si>
    <t>0041072356</t>
  </si>
  <si>
    <t>TROPONIN QUAN/2</t>
  </si>
  <si>
    <t>0041073248</t>
  </si>
  <si>
    <t>CLOSTRIDIUM IA/2</t>
  </si>
  <si>
    <t>CLOSTRIDIUM IA/</t>
  </si>
  <si>
    <t>0041074006</t>
  </si>
  <si>
    <t>INFLUENZA A/B IA</t>
  </si>
  <si>
    <t>INFLUENZA IA</t>
  </si>
  <si>
    <t>0041074014</t>
  </si>
  <si>
    <t>INFLUENZA A/B IA/2</t>
  </si>
  <si>
    <t>INFLUENZA IA/2</t>
  </si>
  <si>
    <t>0041074493</t>
  </si>
  <si>
    <t>INFECTIOUS AGNT NOS IA</t>
  </si>
  <si>
    <t>INF AGNT IA</t>
  </si>
  <si>
    <t>0041074832</t>
  </si>
  <si>
    <t>CNS PATHOGENS 12-25</t>
  </si>
  <si>
    <t>CNS PATHOGENS 1</t>
  </si>
  <si>
    <t>0041074923</t>
  </si>
  <si>
    <t>CHLAMYDIA AMP PROBE</t>
  </si>
  <si>
    <t>CHLAMYD AMP PRB</t>
  </si>
  <si>
    <t>0041075060</t>
  </si>
  <si>
    <t>GI PATHOGEN 6-11 AMP PROBE</t>
  </si>
  <si>
    <t>GI PATH 6-11 AM</t>
  </si>
  <si>
    <t>0041075920</t>
  </si>
  <si>
    <t>GC DNA AMP PROBE</t>
  </si>
  <si>
    <t>GC DNA AMP PROB</t>
  </si>
  <si>
    <t>0041076332</t>
  </si>
  <si>
    <t>RESP VIRUS 12-25 AMP PROBE</t>
  </si>
  <si>
    <t xml:space="preserve">RESP VIR 12-25 </t>
  </si>
  <si>
    <t>0041078049</t>
  </si>
  <si>
    <t>INFLUENZA DIR OPT</t>
  </si>
  <si>
    <t>INF DIR OPT</t>
  </si>
  <si>
    <t>0041078056</t>
  </si>
  <si>
    <t>INFLUENZA DIR OPT/2</t>
  </si>
  <si>
    <t>INF DIR OPT/2</t>
  </si>
  <si>
    <t>0041078262</t>
  </si>
  <si>
    <t>INFECT AGNT NOS AMP PRB/5</t>
  </si>
  <si>
    <t>INFECT AGNT AMP</t>
  </si>
  <si>
    <t>0041078270</t>
  </si>
  <si>
    <t>HIV 1 AG HIV1/2 AB DIR OPT</t>
  </si>
  <si>
    <t>HIV AG/AB DIR O</t>
  </si>
  <si>
    <t>0041079088</t>
  </si>
  <si>
    <t>INFECT AGNT NOS DIR OPT/15</t>
  </si>
  <si>
    <t>INFECT AGNT DIR</t>
  </si>
  <si>
    <t>0041079096</t>
  </si>
  <si>
    <t>INFECT AGNT NOS DIR OPT/16</t>
  </si>
  <si>
    <t>0041083130</t>
  </si>
  <si>
    <t>SPEC STAIN TRICH OVA/PARA</t>
  </si>
  <si>
    <t>SPEC STN TRICHR</t>
  </si>
  <si>
    <t>0041083742</t>
  </si>
  <si>
    <t>PROCALCITONIN</t>
  </si>
  <si>
    <t>0041084005</t>
  </si>
  <si>
    <t>BILIRUBIN TOTL TRNSCTNS</t>
  </si>
  <si>
    <t>BILRBN TOTL TRN</t>
  </si>
  <si>
    <t>0041085069</t>
  </si>
  <si>
    <t>RETIC AUTO CELLPARAMETRS</t>
  </si>
  <si>
    <t>RETIC AUTO CELL</t>
  </si>
  <si>
    <t>0041087057</t>
  </si>
  <si>
    <t>GRAM STAIN SMEAR/4</t>
  </si>
  <si>
    <t>GRAM STAIN/4</t>
  </si>
  <si>
    <t>0041087073</t>
  </si>
  <si>
    <t>CULTURE AEROBIC DEF ID</t>
  </si>
  <si>
    <t>CULT AEROBIC ID</t>
  </si>
  <si>
    <t>0041087453</t>
  </si>
  <si>
    <t>N METHOTREXATE</t>
  </si>
  <si>
    <t>0041087511</t>
  </si>
  <si>
    <t>C DIFF TOXIN AMP PROBE</t>
  </si>
  <si>
    <t>CDIFF AMP PRB</t>
  </si>
  <si>
    <t>0041090507</t>
  </si>
  <si>
    <t>CELL COUNT MISC BODY FLD</t>
  </si>
  <si>
    <t>CELL COUNT</t>
  </si>
  <si>
    <t>0041090515</t>
  </si>
  <si>
    <t>CELL COUNT MISC W/DIFF</t>
  </si>
  <si>
    <t>CELL COUNT DIFF</t>
  </si>
  <si>
    <t>0041091901</t>
  </si>
  <si>
    <t>NASAL SMEAR EOSINOPHILES</t>
  </si>
  <si>
    <t>NASAL SMEAR EOS</t>
  </si>
  <si>
    <t>0041092503</t>
  </si>
  <si>
    <t>UA QUAL/SEMIQUANT/2</t>
  </si>
  <si>
    <t>0041093584</t>
  </si>
  <si>
    <t>PH BODY FLUID NOS/2</t>
  </si>
  <si>
    <t>0041093634</t>
  </si>
  <si>
    <t>CRYST ID BODY FLD EX URN</t>
  </si>
  <si>
    <t>CRYST ID EX URN</t>
  </si>
  <si>
    <t>0041094400</t>
  </si>
  <si>
    <t>REDUCING SUBSTANCES/2</t>
  </si>
  <si>
    <t>REDUCING SUBSTA</t>
  </si>
  <si>
    <t>0041525536</t>
  </si>
  <si>
    <t>0041564113</t>
  </si>
  <si>
    <t>STREPTOCOCCUS A IA</t>
  </si>
  <si>
    <t>0041810268</t>
  </si>
  <si>
    <t>0042010504</t>
  </si>
  <si>
    <t>VOLUME MEASURMNT URINE</t>
  </si>
  <si>
    <t>VOL MEAS URINE</t>
  </si>
  <si>
    <t>0042011106</t>
  </si>
  <si>
    <t>SPECIMEN HANDLING/2</t>
  </si>
  <si>
    <t>SPEC HANDLING/2</t>
  </si>
  <si>
    <t>0042011205</t>
  </si>
  <si>
    <t>SPECIMEN HANDLING/3</t>
  </si>
  <si>
    <t>SPEC HANDLING/3</t>
  </si>
  <si>
    <t>0042011254</t>
  </si>
  <si>
    <t>SPECIMEN HANDLING/4</t>
  </si>
  <si>
    <t>SPEC HANDLING/4</t>
  </si>
  <si>
    <t>0042020313</t>
  </si>
  <si>
    <t>POOLING PLT/OTH BLD PROD/2</t>
  </si>
  <si>
    <t>POOLING PLT/OTH</t>
  </si>
  <si>
    <t>0042020354</t>
  </si>
  <si>
    <t>LEUKOCYTE TRANSFUSION</t>
  </si>
  <si>
    <t>LEUKO TRANSF</t>
  </si>
  <si>
    <t>0042036418</t>
  </si>
  <si>
    <t>CAP BLD COLL/2</t>
  </si>
  <si>
    <t>0042062646</t>
  </si>
  <si>
    <t>FFP THAW EA UNIT</t>
  </si>
  <si>
    <t>FFP THAW EA UN</t>
  </si>
  <si>
    <t>0042064170</t>
  </si>
  <si>
    <t>CAP BLD COLL</t>
  </si>
  <si>
    <t>0042068916</t>
  </si>
  <si>
    <t>AUTOLOGOUS BLOOD C/P/S</t>
  </si>
  <si>
    <t>AUTOLOG BLD CPS</t>
  </si>
  <si>
    <t>0042069856</t>
  </si>
  <si>
    <t>SPLITTING BLD PROD EA UT</t>
  </si>
  <si>
    <t>BLD PROD SPLIT</t>
  </si>
  <si>
    <t>0042090068</t>
  </si>
  <si>
    <t>VENIPUNCTURE/2</t>
  </si>
  <si>
    <t xml:space="preserve">VENIPUNCTURE/2 </t>
  </si>
  <si>
    <t>0042090100</t>
  </si>
  <si>
    <t>VENIPUNCTURE/3</t>
  </si>
  <si>
    <t xml:space="preserve">VENIPUNCTURE/3 </t>
  </si>
  <si>
    <t>0042090118</t>
  </si>
  <si>
    <t>VENIPUNCTURE/4</t>
  </si>
  <si>
    <t xml:space="preserve">VENIPUNCTURE/4 </t>
  </si>
  <si>
    <t>0043034669</t>
  </si>
  <si>
    <t>FLOW CYTO CELL CYCLE/DNA</t>
  </si>
  <si>
    <t>FLOW CYT CL/DNA</t>
  </si>
  <si>
    <t>0043035021</t>
  </si>
  <si>
    <t>HISTOCHEM STN W/FRZ SECT</t>
  </si>
  <si>
    <t>HISTO STN W/FRZ</t>
  </si>
  <si>
    <t>0043051036</t>
  </si>
  <si>
    <t>SURGICAL PATH LEVEL IV</t>
  </si>
  <si>
    <t>LVL IV SURG PTH</t>
  </si>
  <si>
    <t>0043081041</t>
  </si>
  <si>
    <t>CYTOPATH WASH/BRUSH/SM</t>
  </si>
  <si>
    <t>CYTOPTH W/INTRP</t>
  </si>
  <si>
    <t>0043081082</t>
  </si>
  <si>
    <t>CYTOPATH CONL SMR W/INT</t>
  </si>
  <si>
    <t>CYTOPTH CONL SM</t>
  </si>
  <si>
    <t>0043081124</t>
  </si>
  <si>
    <t>CYTOPTH CELL ENHANCE TEC</t>
  </si>
  <si>
    <t>CYTOPATH CELL</t>
  </si>
  <si>
    <t>0043081603</t>
  </si>
  <si>
    <t>CYTOPATH OTHER SOURCE</t>
  </si>
  <si>
    <t>CYTOPTH OTH SRC</t>
  </si>
  <si>
    <t>0043081660</t>
  </si>
  <si>
    <t>CYTO CONSLT INITIAL SITE</t>
  </si>
  <si>
    <t>CNSLT INIT SITE</t>
  </si>
  <si>
    <t>0043081686</t>
  </si>
  <si>
    <t>CYTO CONSULT EA ADD SITE</t>
  </si>
  <si>
    <t>CNSLT ADD SITE</t>
  </si>
  <si>
    <t>0043081736</t>
  </si>
  <si>
    <t>CYTO FNA INTRP/REPORT</t>
  </si>
  <si>
    <t>CYTO FNA INTRP/</t>
  </si>
  <si>
    <t>0043081751</t>
  </si>
  <si>
    <t>CYTO FNA 1ST EVAL</t>
  </si>
  <si>
    <t>CYTO FNA 1ST EV</t>
  </si>
  <si>
    <t>0043083005</t>
  </si>
  <si>
    <t>SURGICAL PATH LEVEL I</t>
  </si>
  <si>
    <t>LVL I SURG PTH</t>
  </si>
  <si>
    <t>0043083021</t>
  </si>
  <si>
    <t>SURGICAL PATH LEVEL II</t>
  </si>
  <si>
    <t>LVL II SURG PTH</t>
  </si>
  <si>
    <t>0043083062</t>
  </si>
  <si>
    <t>SURGICAL PATH LEVEL V</t>
  </si>
  <si>
    <t>LVL V SURG PTH</t>
  </si>
  <si>
    <t>0043083096</t>
  </si>
  <si>
    <t>SURGICAL PATH LEVEL VI</t>
  </si>
  <si>
    <t>LVL VI SURG PTH</t>
  </si>
  <si>
    <t>0043083112</t>
  </si>
  <si>
    <t>DECALCIFICATION</t>
  </si>
  <si>
    <t>0043083120</t>
  </si>
  <si>
    <t>SPEC STAINS GROUP I</t>
  </si>
  <si>
    <t>SPEC STN GRP I</t>
  </si>
  <si>
    <t>0043083138</t>
  </si>
  <si>
    <t>SPEC STAINS GROUP II</t>
  </si>
  <si>
    <t>SPEC STN GRP II</t>
  </si>
  <si>
    <t>0043083146</t>
  </si>
  <si>
    <t>IMMUNCYT 1ST AB PER SPEC</t>
  </si>
  <si>
    <t>IMMCYT STN 1ST</t>
  </si>
  <si>
    <t>0043083310</t>
  </si>
  <si>
    <t>CONSULT/FROZEN SEC</t>
  </si>
  <si>
    <t>CNSLT/FRZN</t>
  </si>
  <si>
    <t>0043083328</t>
  </si>
  <si>
    <t>CONSULT/FROZEN ADD</t>
  </si>
  <si>
    <t>FROZEN ADD</t>
  </si>
  <si>
    <t>0043084037</t>
  </si>
  <si>
    <t>SURGICAL PATH LEVEL III</t>
  </si>
  <si>
    <t>LVL III SURG PT</t>
  </si>
  <si>
    <t>0045000015</t>
  </si>
  <si>
    <t>BLOOD WHOLE</t>
  </si>
  <si>
    <t>0045000114</t>
  </si>
  <si>
    <t>BLD RCELLS WASHED</t>
  </si>
  <si>
    <t>BLD RCELLS WASH</t>
  </si>
  <si>
    <t>0045000148</t>
  </si>
  <si>
    <t>BLD RC PACKED</t>
  </si>
  <si>
    <t>0045000163</t>
  </si>
  <si>
    <t>BLOOD RC LEUKOCYTE POOR</t>
  </si>
  <si>
    <t>BLD RC LEUK PR</t>
  </si>
  <si>
    <t>0045000189</t>
  </si>
  <si>
    <t>BLD PLASMA FROZEN</t>
  </si>
  <si>
    <t>BLD PLSMA FROZN</t>
  </si>
  <si>
    <t>0045000247</t>
  </si>
  <si>
    <t>BLD PLT PHER LEUKO REDUC</t>
  </si>
  <si>
    <t>BLD PHER LEUKO</t>
  </si>
  <si>
    <t>0045000262</t>
  </si>
  <si>
    <t>BLD PLATELET PHERESIS</t>
  </si>
  <si>
    <t>BLD PLATLT PHER</t>
  </si>
  <si>
    <t>0045000338</t>
  </si>
  <si>
    <t>BLD IRRAD RBC</t>
  </si>
  <si>
    <t>0045000346</t>
  </si>
  <si>
    <t>BLOOD CRYOPRECIPITATE</t>
  </si>
  <si>
    <t>BLD CRYOPRCPTAT</t>
  </si>
  <si>
    <t>0045000684</t>
  </si>
  <si>
    <t>OUTSIDE FEE FFP/PEDIATRC</t>
  </si>
  <si>
    <t>O/S FEE FFP/PED</t>
  </si>
  <si>
    <t>0045000759</t>
  </si>
  <si>
    <t>NC CONVALESCENT FFP</t>
  </si>
  <si>
    <t>NC CONVALESCENT</t>
  </si>
  <si>
    <t>0045000767</t>
  </si>
  <si>
    <t>NC CONVALESCENT PATH REDCD FFP</t>
  </si>
  <si>
    <t>NC CONVA PATH R</t>
  </si>
  <si>
    <t>0045000775</t>
  </si>
  <si>
    <t>NC CONVALESCNT FRSH LIQ PLASMA</t>
  </si>
  <si>
    <t>NC CONV FRSH LI</t>
  </si>
  <si>
    <t>0045000791</t>
  </si>
  <si>
    <t>BLD PLT PHER LEUKO REDUC/2</t>
  </si>
  <si>
    <t>BLD PHER LEUKO/</t>
  </si>
  <si>
    <t>0045000825</t>
  </si>
  <si>
    <t>PLTS PATH REDCD PHERESIS/2</t>
  </si>
  <si>
    <t>PLTS PATH REDC/</t>
  </si>
  <si>
    <t>0045001054</t>
  </si>
  <si>
    <t>FRESH FRZN PLASMA JUMBO</t>
  </si>
  <si>
    <t>FFP JUMBO</t>
  </si>
  <si>
    <t>0045001088</t>
  </si>
  <si>
    <t>PLASMA LIQUID</t>
  </si>
  <si>
    <t>0045009172</t>
  </si>
  <si>
    <t>PLASMA SINGLE 8 HOURS</t>
  </si>
  <si>
    <t>PLASMA SINGLE</t>
  </si>
  <si>
    <t>0045010055</t>
  </si>
  <si>
    <t>CRYO POOR PLASMA</t>
  </si>
  <si>
    <t>O/S FEE PLSMA</t>
  </si>
  <si>
    <t>0045010675</t>
  </si>
  <si>
    <t>O/S FEE GRANULOCYTE PHER</t>
  </si>
  <si>
    <t>O/S GRAN PHER</t>
  </si>
  <si>
    <t>0045053097</t>
  </si>
  <si>
    <t>PLT PHER LEUKO PED</t>
  </si>
  <si>
    <t>PLT PHER LEUKO</t>
  </si>
  <si>
    <t>0045055886</t>
  </si>
  <si>
    <t>PLT PHER LEUKORED IRRAD</t>
  </si>
  <si>
    <t>PLT PHER LEUKRD</t>
  </si>
  <si>
    <t>0045060233</t>
  </si>
  <si>
    <t>RBC LEUKORED IRRAD</t>
  </si>
  <si>
    <t>RBC LEUKRED IRR</t>
  </si>
  <si>
    <t>0045073095</t>
  </si>
  <si>
    <t>PLT PHER LEUKO IRRAD PED</t>
  </si>
  <si>
    <t>PLT PHER LEUKOR</t>
  </si>
  <si>
    <t>0045090016</t>
  </si>
  <si>
    <t>AUTO RBC LEUKOREDUCED</t>
  </si>
  <si>
    <t>AUTO RBC LR</t>
  </si>
  <si>
    <t>0045090438</t>
  </si>
  <si>
    <t>PLT PHER LEUKO IRRAD</t>
  </si>
  <si>
    <t>0045090511</t>
  </si>
  <si>
    <t>RBC LEUKO RED CMV NEG EA</t>
  </si>
  <si>
    <t>RBC L/R CMV NEG</t>
  </si>
  <si>
    <t>0045090529</t>
  </si>
  <si>
    <t>HLA SPECIFIC COMPONENT</t>
  </si>
  <si>
    <t>HLA SPEC COMPNT</t>
  </si>
  <si>
    <t>0045090537</t>
  </si>
  <si>
    <t>PLT L/R CMV IRR</t>
  </si>
  <si>
    <t>0045090552</t>
  </si>
  <si>
    <t>PLT PHER L/R CMV NEG</t>
  </si>
  <si>
    <t>PLT PHER LR CMV</t>
  </si>
  <si>
    <t>0045090586</t>
  </si>
  <si>
    <t>RBC L/R CMV IRR</t>
  </si>
  <si>
    <t>0045096088</t>
  </si>
  <si>
    <t>RBC AUTOLOGOUS</t>
  </si>
  <si>
    <t>0046000204</t>
  </si>
  <si>
    <t>AORT/IVC/IV/BPG LTD</t>
  </si>
  <si>
    <t>AORT/INF/IV/BPG</t>
  </si>
  <si>
    <t>0046000303</t>
  </si>
  <si>
    <t>AORT/IVC/IV/BPG UNI/LTD</t>
  </si>
  <si>
    <t>0046000402</t>
  </si>
  <si>
    <t>ABD ART/VEN FLOW ABD COMP</t>
  </si>
  <si>
    <t>ART/VEN FLW ABD</t>
  </si>
  <si>
    <t>0046003026</t>
  </si>
  <si>
    <t>CARDOUT ELEC BIOIMPEDANC</t>
  </si>
  <si>
    <t>C/O BY ELEC BIO</t>
  </si>
  <si>
    <t>0046004008</t>
  </si>
  <si>
    <t>SIGNAL AVERAGED EKG</t>
  </si>
  <si>
    <t>SIGNAL-AVG EKG</t>
  </si>
  <si>
    <t>0046030003</t>
  </si>
  <si>
    <t>EKG TRACE ONLY</t>
  </si>
  <si>
    <t>EKG</t>
  </si>
  <si>
    <t>0046030177</t>
  </si>
  <si>
    <t>CARDIO STRESS TRACE ONLY</t>
  </si>
  <si>
    <t>CARD STRESS TRC</t>
  </si>
  <si>
    <t>0046030409</t>
  </si>
  <si>
    <t>RHYTHM EKG</t>
  </si>
  <si>
    <t>RHYTHM EKG TRAC</t>
  </si>
  <si>
    <t>0046031332</t>
  </si>
  <si>
    <t>UE/LE ART STUD LTD 1-2LV</t>
  </si>
  <si>
    <t>EXT STDY 1-2LVL</t>
  </si>
  <si>
    <t>0046032108</t>
  </si>
  <si>
    <t>ECHO TRANSTHOR 2D COMPL</t>
  </si>
  <si>
    <t>ECHO M+2D</t>
  </si>
  <si>
    <t>0046032421</t>
  </si>
  <si>
    <t>EXT EKG&gt;48HR&lt;7D RECORDING</t>
  </si>
  <si>
    <t>EXT EKG&gt;48HR&lt;7D</t>
  </si>
  <si>
    <t>0046032462</t>
  </si>
  <si>
    <t>EXT EKG&gt;7D&lt;15D RECORDING</t>
  </si>
  <si>
    <t xml:space="preserve">EXT EKG&gt;7D&lt;15D </t>
  </si>
  <si>
    <t>0046032702</t>
  </si>
  <si>
    <t>EVENT MONITOR RECORDING</t>
  </si>
  <si>
    <t>EVT MNTR RECORD</t>
  </si>
  <si>
    <t>0046032710</t>
  </si>
  <si>
    <t>EVENT MONITOR ANALYSIS</t>
  </si>
  <si>
    <t>EVT MNTR ANALYS</t>
  </si>
  <si>
    <t>0046032751</t>
  </si>
  <si>
    <t>EKG MNTR UP TO 48 HRS</t>
  </si>
  <si>
    <t>EKG MNTR TO 48H</t>
  </si>
  <si>
    <t>0046032777</t>
  </si>
  <si>
    <t>EKG MNTR SCN W/RPT 48 HR</t>
  </si>
  <si>
    <t>EKG MNTR W/RPT</t>
  </si>
  <si>
    <t>0046033064</t>
  </si>
  <si>
    <t>ECHO2D SPECTR/COLOR FLO</t>
  </si>
  <si>
    <t>CARD ECHO 2D</t>
  </si>
  <si>
    <t>0046033080</t>
  </si>
  <si>
    <t>ECHO TRNSTHR 2D FU/LTD</t>
  </si>
  <si>
    <t>ECHO 2D LTD</t>
  </si>
  <si>
    <t>0046033254</t>
  </si>
  <si>
    <t>DOPPLER ECHO PULSE/CONT</t>
  </si>
  <si>
    <t>DOPPLER ECHO</t>
  </si>
  <si>
    <t>0046033304</t>
  </si>
  <si>
    <t>DOPPLER ECHO COLOR FLOW</t>
  </si>
  <si>
    <t>COLORFLOW ANALY</t>
  </si>
  <si>
    <t>0046033502</t>
  </si>
  <si>
    <t>ECHOCARDIOGRAM EX STRESS</t>
  </si>
  <si>
    <t>ECHO EXER STRES</t>
  </si>
  <si>
    <t>0046034005</t>
  </si>
  <si>
    <t>ECHO TRANSESOPHAGEAL</t>
  </si>
  <si>
    <t>ESOPHAGEAL ECHO</t>
  </si>
  <si>
    <t>0046038808</t>
  </si>
  <si>
    <t>DUPLEX CAROTID BI/COMP</t>
  </si>
  <si>
    <t>CAROTID IMG COM</t>
  </si>
  <si>
    <t>0046038824</t>
  </si>
  <si>
    <t>DUPLEX CAROTID UNI/LTD</t>
  </si>
  <si>
    <t>CAROTID IMG LTD</t>
  </si>
  <si>
    <t>0046039707</t>
  </si>
  <si>
    <t>UE/LE IMG VEINS COMP BILAT</t>
  </si>
  <si>
    <t>DUPLX UE/LE VEI</t>
  </si>
  <si>
    <t>0046039715</t>
  </si>
  <si>
    <t>UE/LE IMG VEINS UNI/LTD</t>
  </si>
  <si>
    <t>VENOUS IMG LTD</t>
  </si>
  <si>
    <t>0046044210</t>
  </si>
  <si>
    <t>UE/LE ART STUD COMP 3+LVL</t>
  </si>
  <si>
    <t>EXT STD 3+LVL</t>
  </si>
  <si>
    <t>0046044301</t>
  </si>
  <si>
    <t>LE ART IMAGING COMP BILAT</t>
  </si>
  <si>
    <t>ART IMG L/E COM</t>
  </si>
  <si>
    <t>0046044327</t>
  </si>
  <si>
    <t>LE ART IMAGING UNI/LTD</t>
  </si>
  <si>
    <t>ART IMG L/E LTD</t>
  </si>
  <si>
    <t>0046044400</t>
  </si>
  <si>
    <t>UE ART IMAGING COMP BILAT</t>
  </si>
  <si>
    <t>ART IMG U/E COM</t>
  </si>
  <si>
    <t>0046044426</t>
  </si>
  <si>
    <t>UE ART IMAGING UNI/LTD</t>
  </si>
  <si>
    <t>ART IMG U/E LTD</t>
  </si>
  <si>
    <t>0046060802</t>
  </si>
  <si>
    <t>ABD ART/VEN FLOW LTD</t>
  </si>
  <si>
    <t>0046063764</t>
  </si>
  <si>
    <t>3D IMAGING W POSTPROCESS</t>
  </si>
  <si>
    <t>3D IMAGING</t>
  </si>
  <si>
    <t>0046063772</t>
  </si>
  <si>
    <t>3D IMAGNG NO POSTPROCESS</t>
  </si>
  <si>
    <t>0046089231</t>
  </si>
  <si>
    <t>ECHO 2D COMP W/CONTRAST</t>
  </si>
  <si>
    <t>ECHO COMP W/CON</t>
  </si>
  <si>
    <t>0046089249</t>
  </si>
  <si>
    <t>ECHO 2D LIMITED W/CONTR</t>
  </si>
  <si>
    <t>ECHO LTD/CON</t>
  </si>
  <si>
    <t>0046089256</t>
  </si>
  <si>
    <t>TEE W OR WO CM+PROBE PLCMT+RPT</t>
  </si>
  <si>
    <t>TEE W/CONT</t>
  </si>
  <si>
    <t>0046100152</t>
  </si>
  <si>
    <t>CISTERNOGRAPHY</t>
  </si>
  <si>
    <t>0046100244</t>
  </si>
  <si>
    <t>REM TUNNLD PLEURL CATH</t>
  </si>
  <si>
    <t>REM PLEURL CATH</t>
  </si>
  <si>
    <t>0046100277</t>
  </si>
  <si>
    <t>ENDO RPR A-ILIAC NDGFT</t>
  </si>
  <si>
    <t>ENDO RPR A-ILIA</t>
  </si>
  <si>
    <t>0046101010</t>
  </si>
  <si>
    <t>INJ EPID BLD PATCH</t>
  </si>
  <si>
    <t>INJ BLD PATCH</t>
  </si>
  <si>
    <t>0046101358</t>
  </si>
  <si>
    <t>I&amp;D HEMA SEROMA FL</t>
  </si>
  <si>
    <t>I&amp;D HEMA SEROMA</t>
  </si>
  <si>
    <t>0046101465</t>
  </si>
  <si>
    <t>ATHERECT ILIAC OPEN PERC</t>
  </si>
  <si>
    <t>ATHER ILIAC O/P</t>
  </si>
  <si>
    <t>0046101531</t>
  </si>
  <si>
    <t>ATHERECT BRACH OPEN PERC</t>
  </si>
  <si>
    <t>ATHER BRACH O/P</t>
  </si>
  <si>
    <t>0046101614</t>
  </si>
  <si>
    <t>ASP ABS/HEMAT/CYST</t>
  </si>
  <si>
    <t>ASP ABS/CYST</t>
  </si>
  <si>
    <t>0046102216</t>
  </si>
  <si>
    <t>REVASC ILIAC INITIAL</t>
  </si>
  <si>
    <t>ILIAC O/P INIT</t>
  </si>
  <si>
    <t>0046102232</t>
  </si>
  <si>
    <t>REVASC ILIAC ADD ON</t>
  </si>
  <si>
    <t>ILIAC ADD/ANGIO</t>
  </si>
  <si>
    <t>0046102257</t>
  </si>
  <si>
    <t>REVASC ILIAC W/STENT</t>
  </si>
  <si>
    <t>ILIAC O/P STENT</t>
  </si>
  <si>
    <t>0046102273</t>
  </si>
  <si>
    <t>REVASC ILI W/STENT ADD/O</t>
  </si>
  <si>
    <t>ILIAC STENT/ADD</t>
  </si>
  <si>
    <t>0046102299</t>
  </si>
  <si>
    <t>REVASC FEMPOP W/TLA</t>
  </si>
  <si>
    <t>FEM/POP W/TLA</t>
  </si>
  <si>
    <t>0046102315</t>
  </si>
  <si>
    <t>REVASC FEMPOP W/STENT</t>
  </si>
  <si>
    <t>FEM/POP W/STENT</t>
  </si>
  <si>
    <t>0046102331</t>
  </si>
  <si>
    <t>REVASC FEMPOP W/ATHER</t>
  </si>
  <si>
    <t>FEM/POP W/ATHER</t>
  </si>
  <si>
    <t>0046102356</t>
  </si>
  <si>
    <t>REVASC FEMPOP STNT ATHER</t>
  </si>
  <si>
    <t>FEM/POP ST/ATHE</t>
  </si>
  <si>
    <t>0046102372</t>
  </si>
  <si>
    <t>REVASC TIBPER W/TLA</t>
  </si>
  <si>
    <t>TIB/PER W/TLA</t>
  </si>
  <si>
    <t>0046102398</t>
  </si>
  <si>
    <t>REVASC TIB PER ADD ON</t>
  </si>
  <si>
    <t>TIB/PER ANG/ADD</t>
  </si>
  <si>
    <t>0046102414</t>
  </si>
  <si>
    <t>REVASC TIBPER W/ATHER</t>
  </si>
  <si>
    <t>TIB/PER W/ATHER</t>
  </si>
  <si>
    <t>0046102430</t>
  </si>
  <si>
    <t>REVASC TIB PER ATH ADD/O</t>
  </si>
  <si>
    <t>TIB/PER ATHR/AD</t>
  </si>
  <si>
    <t>0046102455</t>
  </si>
  <si>
    <t>REVASC TIBPER W/STENT</t>
  </si>
  <si>
    <t>TIB/PER W/STEN</t>
  </si>
  <si>
    <t>0046102471</t>
  </si>
  <si>
    <t>REVASC TIBPER WSTENTADD</t>
  </si>
  <si>
    <t>TIBPER WSTNTADD</t>
  </si>
  <si>
    <t>0046102497</t>
  </si>
  <si>
    <t>REVASC TIBPER STNT ATHER</t>
  </si>
  <si>
    <t>TIB/PER ST/ATHE</t>
  </si>
  <si>
    <t>0046102513</t>
  </si>
  <si>
    <t>REVASC TIBPER ST ATH ADD</t>
  </si>
  <si>
    <t>TIBPER STATHADD</t>
  </si>
  <si>
    <t>0046102695</t>
  </si>
  <si>
    <t>PLC VASC CLSURE DEVICE</t>
  </si>
  <si>
    <t>PLC VASC CLSURE</t>
  </si>
  <si>
    <t>0046102786</t>
  </si>
  <si>
    <t>ILIAC ART BI W CARD CTH</t>
  </si>
  <si>
    <t>ILIAC ART BI</t>
  </si>
  <si>
    <t>0046103198</t>
  </si>
  <si>
    <t>INSRT/RPL SQ DEFIB W/ELE</t>
  </si>
  <si>
    <t>INS/RPL SQ DFIB</t>
  </si>
  <si>
    <t>0046103248</t>
  </si>
  <si>
    <t>RMV SQ DEFIB ELEC</t>
  </si>
  <si>
    <t>RMV SQ DEF ELEC</t>
  </si>
  <si>
    <t>0046103826</t>
  </si>
  <si>
    <t>CHANGE URETER STENT PERC</t>
  </si>
  <si>
    <t>CHANGE URETR ST</t>
  </si>
  <si>
    <t>0046103842</t>
  </si>
  <si>
    <t>REMOVE URETER STENT PERC</t>
  </si>
  <si>
    <t>REMOVE URETR ST</t>
  </si>
  <si>
    <t>0046103875</t>
  </si>
  <si>
    <t>TRANSCATH INS/RPL PERM LDLS PM</t>
  </si>
  <si>
    <t>TRNSCAT INS/RPL</t>
  </si>
  <si>
    <t>0046103883</t>
  </si>
  <si>
    <t>REM PPM LDLES VENTR</t>
  </si>
  <si>
    <t>REM PPM LDLES</t>
  </si>
  <si>
    <t>0046103891</t>
  </si>
  <si>
    <t>REMVE RENL TUBE W/FLUORO</t>
  </si>
  <si>
    <t>REMVE RENL TUBE</t>
  </si>
  <si>
    <t>0046103925</t>
  </si>
  <si>
    <t>PLC NEPHROSTOMY CATH</t>
  </si>
  <si>
    <t>PLC NEPHO CATH</t>
  </si>
  <si>
    <t>0046103966</t>
  </si>
  <si>
    <t>REPOS GI TUBE THRU DUODN</t>
  </si>
  <si>
    <t>REPOS GI TUBE</t>
  </si>
  <si>
    <t>0046104303</t>
  </si>
  <si>
    <t>INJ NEPHROSTOGRAM</t>
  </si>
  <si>
    <t>INJ NEPHROSTOGR</t>
  </si>
  <si>
    <t>0046104345</t>
  </si>
  <si>
    <t>CONVRT NEPHOST TO URETER</t>
  </si>
  <si>
    <t>CONVER TO URETR</t>
  </si>
  <si>
    <t>0046106001</t>
  </si>
  <si>
    <t>EP CARDIAC MAPPING</t>
  </si>
  <si>
    <t>EP CARD MAPPING</t>
  </si>
  <si>
    <t>0046106035</t>
  </si>
  <si>
    <t>ASPIR/INJ MAJOR JT W/US</t>
  </si>
  <si>
    <t>ASP/INJ MJR JT</t>
  </si>
  <si>
    <t>0046106100</t>
  </si>
  <si>
    <t>COMP EP EVAL/LA FRM CS R</t>
  </si>
  <si>
    <t>EVAL/LAC CMP EP</t>
  </si>
  <si>
    <t>0046106118</t>
  </si>
  <si>
    <t>ASPIR/INJ MAJ JT WO/US</t>
  </si>
  <si>
    <t>0046106209</t>
  </si>
  <si>
    <t>EP COMP STUDY W/INDUCTN</t>
  </si>
  <si>
    <t>EP COMP STUDY</t>
  </si>
  <si>
    <t>0046106308</t>
  </si>
  <si>
    <t>EP DRUG FOLLOW-UP STUDY</t>
  </si>
  <si>
    <t>EP DRG F/U STDY</t>
  </si>
  <si>
    <t>0046106316</t>
  </si>
  <si>
    <t>EP POST DRUG INFUSION</t>
  </si>
  <si>
    <t>EP POST DRG INF</t>
  </si>
  <si>
    <t>0046106407</t>
  </si>
  <si>
    <t>EP EVAL AICD LEADS INIT</t>
  </si>
  <si>
    <t>AICD EVAL INIT</t>
  </si>
  <si>
    <t>0046106423</t>
  </si>
  <si>
    <t>EP EVAL AICD SUBSEQ</t>
  </si>
  <si>
    <t>AICD EVAL SUBSQ</t>
  </si>
  <si>
    <t>0046106506</t>
  </si>
  <si>
    <t>ABLATION-AV NODE</t>
  </si>
  <si>
    <t>ABLATN-AV NODE</t>
  </si>
  <si>
    <t>0046106845</t>
  </si>
  <si>
    <t>INJ URETERAL CATHETER</t>
  </si>
  <si>
    <t>INJ URETER CATH</t>
  </si>
  <si>
    <t>0046106936</t>
  </si>
  <si>
    <t>PLC STNT W/DX NEPHRO</t>
  </si>
  <si>
    <t>PLC STNT/NEPHRO</t>
  </si>
  <si>
    <t>0046106944</t>
  </si>
  <si>
    <t>PLC STNT NEW DX WO/CATH</t>
  </si>
  <si>
    <t>PLC STNT NEW</t>
  </si>
  <si>
    <t>0046106951</t>
  </si>
  <si>
    <t>PLC STNT NEW DX W/CATH</t>
  </si>
  <si>
    <t>PLC STNT W/CTH</t>
  </si>
  <si>
    <t>0046107066</t>
  </si>
  <si>
    <t>BALOON DILATE URETER</t>
  </si>
  <si>
    <t>BAL DIL URETER</t>
  </si>
  <si>
    <t>0046107157</t>
  </si>
  <si>
    <t>PERQ TRANSLUM CORONARY LITHOTR</t>
  </si>
  <si>
    <t>PERQ TRANSLUM C</t>
  </si>
  <si>
    <t>0046107330</t>
  </si>
  <si>
    <t>FLOURESCENT VASC ANGIO</t>
  </si>
  <si>
    <t>FVA</t>
  </si>
  <si>
    <t>0046110318</t>
  </si>
  <si>
    <t>GUIDE CATH FLUID DRAINAG</t>
  </si>
  <si>
    <t>GUIDE CATH FLDR</t>
  </si>
  <si>
    <t>0046111100</t>
  </si>
  <si>
    <t>CARDIOVERSION ELEC</t>
  </si>
  <si>
    <t>CARDIOVRSN ELEC</t>
  </si>
  <si>
    <t>0046111324</t>
  </si>
  <si>
    <t>TILT TABLE EVAL</t>
  </si>
  <si>
    <t>EVAL TILT TABLE</t>
  </si>
  <si>
    <t>0046116000</t>
  </si>
  <si>
    <t>INJ F/CYSTO OR VCUG</t>
  </si>
  <si>
    <t>INJ BALDDR XRAY</t>
  </si>
  <si>
    <t>0046116356</t>
  </si>
  <si>
    <t>PTA INTRACRANIAL W/STENT</t>
  </si>
  <si>
    <t>PTA INTRCRNL ST</t>
  </si>
  <si>
    <t>0046116455</t>
  </si>
  <si>
    <t>PERC MECH THROMBUS ART</t>
  </si>
  <si>
    <t>THROMBUS ART</t>
  </si>
  <si>
    <t>0046116505</t>
  </si>
  <si>
    <t>INTRACRAN ADM THERA AGNT</t>
  </si>
  <si>
    <t>THERA INITIAL</t>
  </si>
  <si>
    <t>0046116513</t>
  </si>
  <si>
    <t>INTRACRAN ADM AGNT ADDL</t>
  </si>
  <si>
    <t>THERA ADDL</t>
  </si>
  <si>
    <t>0046117057</t>
  </si>
  <si>
    <t>CHANGE CYSTO TB SMPL</t>
  </si>
  <si>
    <t>CYSTO TB SMPL</t>
  </si>
  <si>
    <t>0046120051</t>
  </si>
  <si>
    <t>ARTERIAL CATH MONIT/SAMP</t>
  </si>
  <si>
    <t>ART CATH MONITR</t>
  </si>
  <si>
    <t>0046120192</t>
  </si>
  <si>
    <t>INSRT TUNLD PLEURAL CATH</t>
  </si>
  <si>
    <t>INSRT PLEURL CT</t>
  </si>
  <si>
    <t>0046120986</t>
  </si>
  <si>
    <t>THORACOTOMY W/PLEUR BX</t>
  </si>
  <si>
    <t>THORAC W/PL BX</t>
  </si>
  <si>
    <t>0046122404</t>
  </si>
  <si>
    <t>MYELOGRAM CERV S&amp;I</t>
  </si>
  <si>
    <t>MYELOGRAM CERV</t>
  </si>
  <si>
    <t>0046122651</t>
  </si>
  <si>
    <t>MYELOGRAM LUMBAR S&amp;I</t>
  </si>
  <si>
    <t>MYELOGRAM LUMB</t>
  </si>
  <si>
    <t>0046122727</t>
  </si>
  <si>
    <t>SPINAL PUNCTURE THERAPTC</t>
  </si>
  <si>
    <t>LUMBAR PUNCTURE</t>
  </si>
  <si>
    <t>0046122743</t>
  </si>
  <si>
    <t>MYELOGRAM 2 OR&gt; REGIONS</t>
  </si>
  <si>
    <t>MYELO 2/&gt; REGNS</t>
  </si>
  <si>
    <t>0046122842</t>
  </si>
  <si>
    <t>INJ MYELOGRAM LUMBAR</t>
  </si>
  <si>
    <t>INJ MYELOGRAM</t>
  </si>
  <si>
    <t>0046122909</t>
  </si>
  <si>
    <t>DISCOGRAPHY LUMBAR</t>
  </si>
  <si>
    <t>DISC LUMBAR</t>
  </si>
  <si>
    <t>0046123287</t>
  </si>
  <si>
    <t>SPINAL PUNCT LUMB DX WFLUOR/CT</t>
  </si>
  <si>
    <t xml:space="preserve">DX LUMB PCT DX </t>
  </si>
  <si>
    <t>0046124004</t>
  </si>
  <si>
    <t>BX PLEURA PERC NDL</t>
  </si>
  <si>
    <t>BX CHEST NDL</t>
  </si>
  <si>
    <t>0046124061</t>
  </si>
  <si>
    <t>PRXML EXT THOR AORTA ADD</t>
  </si>
  <si>
    <t>REPR THOR AORTA</t>
  </si>
  <si>
    <t>0046125035</t>
  </si>
  <si>
    <t>REM PCMKR PULS GEN ONLY</t>
  </si>
  <si>
    <t>REM PM PULS GEN</t>
  </si>
  <si>
    <t>0046125050</t>
  </si>
  <si>
    <t>INS/PMGEN W/EXISDUALLDS</t>
  </si>
  <si>
    <t>INS PM DUAL</t>
  </si>
  <si>
    <t>0046125076</t>
  </si>
  <si>
    <t>INSRT TRAN ELCTRD DUAL</t>
  </si>
  <si>
    <t>INS TR ELC DUAL</t>
  </si>
  <si>
    <t>0046125100</t>
  </si>
  <si>
    <t>INSRT TRAN ELCTRD SNGL</t>
  </si>
  <si>
    <t>INS TR ELC SNGL</t>
  </si>
  <si>
    <t>0046125159</t>
  </si>
  <si>
    <t>REM TRANSV PM ELCTD SNGL</t>
  </si>
  <si>
    <t>REM PM ELCTD</t>
  </si>
  <si>
    <t>0046125555</t>
  </si>
  <si>
    <t>THORACENTSIS W/IMAGING</t>
  </si>
  <si>
    <t>THORACENT W/IMG</t>
  </si>
  <si>
    <t>0046125563</t>
  </si>
  <si>
    <t>INSERT CATH PLEURA W/O I</t>
  </si>
  <si>
    <t>INS CATH PLEUR</t>
  </si>
  <si>
    <t>0046125571</t>
  </si>
  <si>
    <t>PLEURAL DRAINAGE PERC</t>
  </si>
  <si>
    <t>PLEU DRAIN PERC</t>
  </si>
  <si>
    <t>0046125613</t>
  </si>
  <si>
    <t>INSTL AGNT VIA CHEST TBE INIT</t>
  </si>
  <si>
    <t xml:space="preserve">INSTL AGNT VIA </t>
  </si>
  <si>
    <t>0046128054</t>
  </si>
  <si>
    <t>ABG ANALYSIS</t>
  </si>
  <si>
    <t>0046129193</t>
  </si>
  <si>
    <t>COR ANGPLSTY INIT</t>
  </si>
  <si>
    <t>COR ANGPLS INT</t>
  </si>
  <si>
    <t>0046129201</t>
  </si>
  <si>
    <t>IVUS CORONARY INIT VESSL</t>
  </si>
  <si>
    <t>IVUS INIT VESSL</t>
  </si>
  <si>
    <t>0046129219</t>
  </si>
  <si>
    <t>COR ANGPLSTY ADD</t>
  </si>
  <si>
    <t>COR ANGPLS ADD</t>
  </si>
  <si>
    <t>0046129227</t>
  </si>
  <si>
    <t>IVUS CORONARY EA ADD</t>
  </si>
  <si>
    <t>IVUS EA ADD</t>
  </si>
  <si>
    <t>0046129243</t>
  </si>
  <si>
    <t>COR ATHERECT APLAS INIT</t>
  </si>
  <si>
    <t>PTCA</t>
  </si>
  <si>
    <t>0046129284</t>
  </si>
  <si>
    <t>COR STNT ANGIO INIT</t>
  </si>
  <si>
    <t>COR ST INIT</t>
  </si>
  <si>
    <t>0046129292</t>
  </si>
  <si>
    <t>COR STNT ANGIO ADD</t>
  </si>
  <si>
    <t>COR ST ADD</t>
  </si>
  <si>
    <t>0046129334</t>
  </si>
  <si>
    <t>COR ATHER STNT APLST INI</t>
  </si>
  <si>
    <t>PTCA ST ATH SGL</t>
  </si>
  <si>
    <t>0046129342</t>
  </si>
  <si>
    <t>COR ATHER STNT APLST ADD</t>
  </si>
  <si>
    <t>PTCA ST ATH ADD</t>
  </si>
  <si>
    <t>0046129375</t>
  </si>
  <si>
    <t>REVAS PERC TRANS SGL VES</t>
  </si>
  <si>
    <t>REVAS BYPASS SG</t>
  </si>
  <si>
    <t>0046129417</t>
  </si>
  <si>
    <t>REVAS PERC TRANS OCCL MI</t>
  </si>
  <si>
    <t>REVAS BYPAS MI</t>
  </si>
  <si>
    <t>0046129433</t>
  </si>
  <si>
    <t>REVAS PERC TRANS TOT OCC</t>
  </si>
  <si>
    <t>REVAS BYPAS OCC</t>
  </si>
  <si>
    <t>0046129730</t>
  </si>
  <si>
    <t>PERC CORON THROMBECT</t>
  </si>
  <si>
    <t>PRC CORON THRMB</t>
  </si>
  <si>
    <t>0046129755</t>
  </si>
  <si>
    <t>COR THROMBLYS-INTRA COR</t>
  </si>
  <si>
    <t>THROMB-INTR COR</t>
  </si>
  <si>
    <t>0046130167</t>
  </si>
  <si>
    <t>PERICARDIOCENTESIS W/IMG GUIDE</t>
  </si>
  <si>
    <t>PERICARDIOCENTE</t>
  </si>
  <si>
    <t>0046130175</t>
  </si>
  <si>
    <t>0046130191</t>
  </si>
  <si>
    <t>PERC PERICRD DRNG INSRT CATH&gt;6</t>
  </si>
  <si>
    <t>PERC PERICRD DR</t>
  </si>
  <si>
    <t>0046130407</t>
  </si>
  <si>
    <t>SHOULDER ARTHROGRAPHY</t>
  </si>
  <si>
    <t>SHOULDER ARTHRG</t>
  </si>
  <si>
    <t>0046132023</t>
  </si>
  <si>
    <t>INSERT THORACOSTMY TUBE</t>
  </si>
  <si>
    <t>INSRT CHST TUBE</t>
  </si>
  <si>
    <t>0046132072</t>
  </si>
  <si>
    <t>INS/RPL PM W/TRNSV LD VE</t>
  </si>
  <si>
    <t>PM W/TRNSV LD V</t>
  </si>
  <si>
    <t>0046132080</t>
  </si>
  <si>
    <t>INS/RPL PMW/TRNSV LD A-V</t>
  </si>
  <si>
    <t>PM W/TRNSV LD A</t>
  </si>
  <si>
    <t>0046132122</t>
  </si>
  <si>
    <t>INS/PM GEN W/EXIST LD</t>
  </si>
  <si>
    <t>INS PM GEN W/LD</t>
  </si>
  <si>
    <t>0046132148</t>
  </si>
  <si>
    <t>UPGRADE TO DUAL CHAMBER</t>
  </si>
  <si>
    <t>UPGR SNG/DLCHMB</t>
  </si>
  <si>
    <t>0046132155</t>
  </si>
  <si>
    <t>REPS TRNSV LD RT ATR/VNT</t>
  </si>
  <si>
    <t>REPOS TRANSV LD</t>
  </si>
  <si>
    <t>0046132171</t>
  </si>
  <si>
    <t>INSRT PULSE GEN MULT LDS</t>
  </si>
  <si>
    <t>GEN MULT LDS</t>
  </si>
  <si>
    <t>0046132189</t>
  </si>
  <si>
    <t>P/M AICD ELECTRD RPR</t>
  </si>
  <si>
    <t>REPAIR ELCT</t>
  </si>
  <si>
    <t>0046132221</t>
  </si>
  <si>
    <t>REVSN/RELOC PM SKN POCKT</t>
  </si>
  <si>
    <t>REL/REV SKP PM</t>
  </si>
  <si>
    <t>0046132239</t>
  </si>
  <si>
    <t>RELOCATE SKIN PKT AICD</t>
  </si>
  <si>
    <t>RELOC PKT AICD</t>
  </si>
  <si>
    <t>0046132247</t>
  </si>
  <si>
    <t>P/M AICD ELECT REPR LDS</t>
  </si>
  <si>
    <t>REPR P/M AICD L</t>
  </si>
  <si>
    <t>0046132254</t>
  </si>
  <si>
    <t>INS LV LD W/PM OR AICD</t>
  </si>
  <si>
    <t>INSRT LD LTVENT</t>
  </si>
  <si>
    <t>0046132262</t>
  </si>
  <si>
    <t>REPS PREV LD VEN LTVENT</t>
  </si>
  <si>
    <t>REPOS LD LTVENT</t>
  </si>
  <si>
    <t>0046132270</t>
  </si>
  <si>
    <t>REM/REPL PM GEN SGL LD</t>
  </si>
  <si>
    <t>REM/REPL GEN</t>
  </si>
  <si>
    <t>0046132288</t>
  </si>
  <si>
    <t>REM/REPL PM GEN DUAL LD</t>
  </si>
  <si>
    <t>REM/REPL PM LD</t>
  </si>
  <si>
    <t>0046132296</t>
  </si>
  <si>
    <t>REM/REPL PM MULT LDS</t>
  </si>
  <si>
    <t>REM/REPL PM LDS</t>
  </si>
  <si>
    <t>0046132403</t>
  </si>
  <si>
    <t>INSRT AICD W/EXIS LD</t>
  </si>
  <si>
    <t>INS AICD EX LD</t>
  </si>
  <si>
    <t>0046132411</t>
  </si>
  <si>
    <t>REM AICD PULS GEN</t>
  </si>
  <si>
    <t>RMV AICD GEN</t>
  </si>
  <si>
    <t>0046132494</t>
  </si>
  <si>
    <t>INSRT/RPLC AICD &amp; LDS</t>
  </si>
  <si>
    <t>INS/RPL AICD&amp;LD</t>
  </si>
  <si>
    <t>0046132627</t>
  </si>
  <si>
    <t>REM/REPL AICD SINGL LD</t>
  </si>
  <si>
    <t>REM/REPL AICD</t>
  </si>
  <si>
    <t>0046132718</t>
  </si>
  <si>
    <t>INSRT SUBQ CAR RHYTHM MNTR</t>
  </si>
  <si>
    <t xml:space="preserve">INSRT SUBQ CAR </t>
  </si>
  <si>
    <t>0046132734</t>
  </si>
  <si>
    <t>RMVL SUBQ CAR RHYTHM MNTR</t>
  </si>
  <si>
    <t>RMVL SUBQ CAR R</t>
  </si>
  <si>
    <t>0046134516</t>
  </si>
  <si>
    <t>CATH RIGHT HEART</t>
  </si>
  <si>
    <t>CATH RT HEART</t>
  </si>
  <si>
    <t>0046134532</t>
  </si>
  <si>
    <t>CATH R&amp;L HRT W/VENTRICLG</t>
  </si>
  <si>
    <t>CATH R&amp;L W/VENT</t>
  </si>
  <si>
    <t>0046134540</t>
  </si>
  <si>
    <t>CATH CORONARY ARTERY S&amp;I</t>
  </si>
  <si>
    <t>COR ART ANG S&amp;I</t>
  </si>
  <si>
    <t>0046134557</t>
  </si>
  <si>
    <t>CATH COR ART/GRFT S&amp;I</t>
  </si>
  <si>
    <t>ART/GFT ANG S&amp;I</t>
  </si>
  <si>
    <t>0046134565</t>
  </si>
  <si>
    <t>CATH R HRT COR ART ANG</t>
  </si>
  <si>
    <t>RT HRT COR ART</t>
  </si>
  <si>
    <t>0046134581</t>
  </si>
  <si>
    <t>CATH L HRT ARTERY/VENTR</t>
  </si>
  <si>
    <t>LT HRT/VENT</t>
  </si>
  <si>
    <t>0046134599</t>
  </si>
  <si>
    <t>CATH L HRT ART/GRFT</t>
  </si>
  <si>
    <t>LT HRT ART/GRFT</t>
  </si>
  <si>
    <t>0046134607</t>
  </si>
  <si>
    <t>CATH R&amp;L HRT ART/VENT</t>
  </si>
  <si>
    <t>R/L HT ART/VENT</t>
  </si>
  <si>
    <t>0046134615</t>
  </si>
  <si>
    <t>CATH R&amp;L HRT AR/VNT BPGF</t>
  </si>
  <si>
    <t>R/L ART/VNT GFT</t>
  </si>
  <si>
    <t>0046134631</t>
  </si>
  <si>
    <t>CATH LT HRT/TRSEPTPUNCT</t>
  </si>
  <si>
    <t>CATH LT HRT/TRN</t>
  </si>
  <si>
    <t>0046135059</t>
  </si>
  <si>
    <t>ENDOMYOCARDIAL BIOPSY</t>
  </si>
  <si>
    <t>BX ENDOCARDIAL</t>
  </si>
  <si>
    <t>0046135356</t>
  </si>
  <si>
    <t>INSERT SWANGANZ CATHETER</t>
  </si>
  <si>
    <t>CATH SWGZ INSRT</t>
  </si>
  <si>
    <t>0046135406</t>
  </si>
  <si>
    <t>ANGIO SELECT EA ADD VESL</t>
  </si>
  <si>
    <t>ANGIO ADD VESSL</t>
  </si>
  <si>
    <t>0046135661</t>
  </si>
  <si>
    <t>CATH L VENTRICAL/ATRIAL</t>
  </si>
  <si>
    <t>L VENT/ATR ANG</t>
  </si>
  <si>
    <t>0046135687</t>
  </si>
  <si>
    <t>CATH INJ R VENTRIC/ATRIA</t>
  </si>
  <si>
    <t>R VENT/ATR ANG</t>
  </si>
  <si>
    <t>0046135695</t>
  </si>
  <si>
    <t>CATH INJ SUPRVLV AORTOGR</t>
  </si>
  <si>
    <t>INJ SUPRVL AORT</t>
  </si>
  <si>
    <t>0046135893</t>
  </si>
  <si>
    <t>THROMBECT ART/VEN GRFT</t>
  </si>
  <si>
    <t>THROMB ART/VEN</t>
  </si>
  <si>
    <t>0046135950</t>
  </si>
  <si>
    <t>INSRT/REPL TEMP PM LEAD</t>
  </si>
  <si>
    <t>INSRT TEMP PM</t>
  </si>
  <si>
    <t>0046136131</t>
  </si>
  <si>
    <t>INTRCRD EP 3DMAP</t>
  </si>
  <si>
    <t>INTRCRD 3D MAP</t>
  </si>
  <si>
    <t>0046136537</t>
  </si>
  <si>
    <t>COMP EP IND/ABLA INTR EP3D SVT</t>
  </si>
  <si>
    <t xml:space="preserve">COM EP ABL INT </t>
  </si>
  <si>
    <t>0046136545</t>
  </si>
  <si>
    <t>COMP EP/ABLAT INTRA V-TACH 3D</t>
  </si>
  <si>
    <t>COMP EP ABL INT</t>
  </si>
  <si>
    <t>0046136578</t>
  </si>
  <si>
    <t>DOPP FLW/PR MSMNT INIT</t>
  </si>
  <si>
    <t>FLW/MSMNT INIT</t>
  </si>
  <si>
    <t>0046136594</t>
  </si>
  <si>
    <t>INTRACARD ABL ARRHY</t>
  </si>
  <si>
    <t>INT CRD ABL ARR</t>
  </si>
  <si>
    <t>0046136628</t>
  </si>
  <si>
    <t>INTRACARD ECHO</t>
  </si>
  <si>
    <t>0046136636</t>
  </si>
  <si>
    <t>CMP EP ABL INTRA AFIB PVI EP3D</t>
  </si>
  <si>
    <t xml:space="preserve">CMP EP ABL AFB </t>
  </si>
  <si>
    <t>0046136644</t>
  </si>
  <si>
    <t>COMP EP ABL AFIB ADTNL</t>
  </si>
  <si>
    <t>COMP EP ABL AD</t>
  </si>
  <si>
    <t>0046137527</t>
  </si>
  <si>
    <t>PLC NG TUBE W FLUORO</t>
  </si>
  <si>
    <t>PLC NG TUBE</t>
  </si>
  <si>
    <t>0046138020</t>
  </si>
  <si>
    <t>PULM ASST DVC CARDMEMS</t>
  </si>
  <si>
    <t>0046138814</t>
  </si>
  <si>
    <t>REPR THOR AORTA N SUBCLV</t>
  </si>
  <si>
    <t>0046139671</t>
  </si>
  <si>
    <t>PERC INSERT IABP DEV</t>
  </si>
  <si>
    <t>PERC INSRT IABP</t>
  </si>
  <si>
    <t>0046139689</t>
  </si>
  <si>
    <t>PERC IABP REMOVAL</t>
  </si>
  <si>
    <t>IABP REMOVAL</t>
  </si>
  <si>
    <t>0046139861</t>
  </si>
  <si>
    <t>INS VAD LEFT HRT PERC ART</t>
  </si>
  <si>
    <t xml:space="preserve">INS VAD LT HRT </t>
  </si>
  <si>
    <t>0046139929</t>
  </si>
  <si>
    <t>REMOVE PERC LEFT HEART VAD</t>
  </si>
  <si>
    <t>REMOVE LFT HEAR</t>
  </si>
  <si>
    <t>0046140018</t>
  </si>
  <si>
    <t>PERC PERICARDIAL DRAIN</t>
  </si>
  <si>
    <t>PERC PERICARDIA</t>
  </si>
  <si>
    <t>0046141909</t>
  </si>
  <si>
    <t>PERITONEOGRAM</t>
  </si>
  <si>
    <t>0046142410</t>
  </si>
  <si>
    <t>REPOSITN CV CATH W/FLURO</t>
  </si>
  <si>
    <t>REPS CVCATH W/F</t>
  </si>
  <si>
    <t>0046142436</t>
  </si>
  <si>
    <t>PLC PRXML EXT THOR AORTA</t>
  </si>
  <si>
    <t>EXTN THOR ANEUR</t>
  </si>
  <si>
    <t>0046143632</t>
  </si>
  <si>
    <t>BILIARY DIL W/WO STENT</t>
  </si>
  <si>
    <t>BILIARY DUCT DL</t>
  </si>
  <si>
    <t>0046144259</t>
  </si>
  <si>
    <t>ANTEGRADE NEPHROSTOGRAM</t>
  </si>
  <si>
    <t>ANTE NEPHRSTGRM</t>
  </si>
  <si>
    <t>0046144309</t>
  </si>
  <si>
    <t>CYSTOGRAPHY 3VW MIN</t>
  </si>
  <si>
    <t>CYSTOGRAM COMP</t>
  </si>
  <si>
    <t>0046144937</t>
  </si>
  <si>
    <t>L SP FACET INJ+IMAG LVL1</t>
  </si>
  <si>
    <t>INJ LUMB/SACR</t>
  </si>
  <si>
    <t>0046144945</t>
  </si>
  <si>
    <t>L SP FACET INJ+IMAG LVL2</t>
  </si>
  <si>
    <t>INJ LUMB/SACR A</t>
  </si>
  <si>
    <t>0046146403</t>
  </si>
  <si>
    <t>DILATE IC VASOSPM INITL</t>
  </si>
  <si>
    <t>IC VASOSPM INIT</t>
  </si>
  <si>
    <t>0046147013</t>
  </si>
  <si>
    <t>ENDO RPR AA ENDOGRT NO RUP+S&amp;I</t>
  </si>
  <si>
    <t>ENDO RPR AA GRF</t>
  </si>
  <si>
    <t>0046147021</t>
  </si>
  <si>
    <t>ENDO RPR AA ENDOGRFT W/RUP+S&amp;I</t>
  </si>
  <si>
    <t>0046147039</t>
  </si>
  <si>
    <t>ENDO RPR AORT-UNI-ILIAC NO RUP</t>
  </si>
  <si>
    <t xml:space="preserve">ENDO RPR ILIAC </t>
  </si>
  <si>
    <t>0046147047</t>
  </si>
  <si>
    <t>ENDO RPR AORT-UNI-ILIAC W/RUP</t>
  </si>
  <si>
    <t>ENDO RPR UNI IL</t>
  </si>
  <si>
    <t>0046147054</t>
  </si>
  <si>
    <t>ENDO RPR AORT-BI-ILIAC NO/RUP</t>
  </si>
  <si>
    <t>ENDO RPR BI ILI</t>
  </si>
  <si>
    <t>0046147088</t>
  </si>
  <si>
    <t>ENDO RPR ILIO-ILIA GFT W/RUP</t>
  </si>
  <si>
    <t>ENDO RPR GFT W/</t>
  </si>
  <si>
    <t>0046147096</t>
  </si>
  <si>
    <t>PLC EXT PROS RPR FOR ANEUR+S&amp;I</t>
  </si>
  <si>
    <t>PLC EXT PROS AN</t>
  </si>
  <si>
    <t>0046147104</t>
  </si>
  <si>
    <t>DELAY PLC PROX ANEU INIT+S&amp;I</t>
  </si>
  <si>
    <t xml:space="preserve">DELAY PLC PROX </t>
  </si>
  <si>
    <t>0046147112</t>
  </si>
  <si>
    <t>DLAY PLC PROX ANEU EA ADDL+S&amp;I</t>
  </si>
  <si>
    <t>DLAY PLC PROX E</t>
  </si>
  <si>
    <t>0046147138</t>
  </si>
  <si>
    <t>PERC ACCES+DEL GFT+US/UNI</t>
  </si>
  <si>
    <t>PER ACES+DEL GF</t>
  </si>
  <si>
    <t>0046148128</t>
  </si>
  <si>
    <t>EXPOSE ENDOPROS UNILAT</t>
  </si>
  <si>
    <t>ENDPRO FEM/ART</t>
  </si>
  <si>
    <t>0046148458</t>
  </si>
  <si>
    <t>VISC &amp; INFR ABD 1 PROS</t>
  </si>
  <si>
    <t>VIS/INF AB1PROS</t>
  </si>
  <si>
    <t>0046148466</t>
  </si>
  <si>
    <t>VISC &amp; INFR ABD 2 PROS</t>
  </si>
  <si>
    <t>VIS/INF AB2PROS</t>
  </si>
  <si>
    <t>0046153714</t>
  </si>
  <si>
    <t>THROMBOENDARTERECTOMY</t>
  </si>
  <si>
    <t>THROMBOEND ECTM</t>
  </si>
  <si>
    <t>0046156014</t>
  </si>
  <si>
    <t>THORACIC W/O SERL COMP</t>
  </si>
  <si>
    <t>THORACIC WO SRL</t>
  </si>
  <si>
    <t>0046156055</t>
  </si>
  <si>
    <t>THORACIC W/SERL COMPLT</t>
  </si>
  <si>
    <t>THORACIC W/SERL</t>
  </si>
  <si>
    <t>0046156279</t>
  </si>
  <si>
    <t>ABD AORTOGRPHY BY SERIAL</t>
  </si>
  <si>
    <t>ABD CATH W/SERL</t>
  </si>
  <si>
    <t>0046156311</t>
  </si>
  <si>
    <t>ABD AORTA W/BI LWR EXT</t>
  </si>
  <si>
    <t>ABD W/BI ILIFEM</t>
  </si>
  <si>
    <t>0046157061</t>
  </si>
  <si>
    <t>ANGIO SPINAL SELECTIVE</t>
  </si>
  <si>
    <t>SPINL SELECTV</t>
  </si>
  <si>
    <t>0046157129</t>
  </si>
  <si>
    <t>ANGIO EXTREMITY UNILAT</t>
  </si>
  <si>
    <t>ANGIO EXT UNI</t>
  </si>
  <si>
    <t>0046157186</t>
  </si>
  <si>
    <t>ANGIO EXTREMITY BILAT</t>
  </si>
  <si>
    <t>ANGIO EXT BI</t>
  </si>
  <si>
    <t>0046157277</t>
  </si>
  <si>
    <t>ANGIO VISCERAL SEL/SUPSEL</t>
  </si>
  <si>
    <t>VISCRL SEL/SUP</t>
  </si>
  <si>
    <t>0046157327</t>
  </si>
  <si>
    <t>ANGIO ADRENAL UNILAT SEL</t>
  </si>
  <si>
    <t>ADRENL SEL UNI</t>
  </si>
  <si>
    <t>0046157343</t>
  </si>
  <si>
    <t>ANGIO ADRENAL BILAT SEL</t>
  </si>
  <si>
    <t>ADRENL SEL BI</t>
  </si>
  <si>
    <t>0046157376</t>
  </si>
  <si>
    <t>ANGIO PELVIC SELECT/SUP</t>
  </si>
  <si>
    <t>PELVIC SEL/SUP</t>
  </si>
  <si>
    <t>0046157426</t>
  </si>
  <si>
    <t>ANGIO PULMONARY UNI SLCT</t>
  </si>
  <si>
    <t>PULM UNI SELECT</t>
  </si>
  <si>
    <t>0046157442</t>
  </si>
  <si>
    <t>ANGIO PULM SEL BI</t>
  </si>
  <si>
    <t>PULM BI SELECT</t>
  </si>
  <si>
    <t>0046157574</t>
  </si>
  <si>
    <t>ANGIO INTERNAL MAMMARY</t>
  </si>
  <si>
    <t>MAMMARY INTERNL</t>
  </si>
  <si>
    <t>0046158218</t>
  </si>
  <si>
    <t>VENOGRAM EXTREMITY UNI</t>
  </si>
  <si>
    <t>VENGRM EXT UNI</t>
  </si>
  <si>
    <t>0046158234</t>
  </si>
  <si>
    <t>VENOGRAM EXTREMITY BI</t>
  </si>
  <si>
    <t>VENGRM EXT BI</t>
  </si>
  <si>
    <t>0046158267</t>
  </si>
  <si>
    <t>INFERIOR VENACAVAGRAM</t>
  </si>
  <si>
    <t>INF VENACAVAGRM</t>
  </si>
  <si>
    <t>0046158283</t>
  </si>
  <si>
    <t>SUPERIOR VENACAVAGRAM</t>
  </si>
  <si>
    <t>SUP VENACAVAGRM</t>
  </si>
  <si>
    <t>0046158325</t>
  </si>
  <si>
    <t>VENOGRAPHY RENAL UNILAT</t>
  </si>
  <si>
    <t>VENOGPHY RENL U</t>
  </si>
  <si>
    <t>0046158341</t>
  </si>
  <si>
    <t>VENOGRAPHY RENAL BILAT</t>
  </si>
  <si>
    <t>VENOGPHY RENL B</t>
  </si>
  <si>
    <t>0046158408</t>
  </si>
  <si>
    <t>VENOGRAPHY ADRENAL UNI</t>
  </si>
  <si>
    <t>VENOGPH ADRNL U</t>
  </si>
  <si>
    <t>0046158432</t>
  </si>
  <si>
    <t>VENOGRAPHY ADRENAL BI</t>
  </si>
  <si>
    <t>VENOGPH ADRNL B</t>
  </si>
  <si>
    <t>0046158606</t>
  </si>
  <si>
    <t>INJ IV AGNT BLOOD FLOW G</t>
  </si>
  <si>
    <t>INJ IV AGNT GRF</t>
  </si>
  <si>
    <t>0046158614</t>
  </si>
  <si>
    <t>VENOGRM VNUS SINUS/JUGUL</t>
  </si>
  <si>
    <t>VNOGRM SNUS/JUG</t>
  </si>
  <si>
    <t>0046158853</t>
  </si>
  <si>
    <t>PERC TRNSHEP PORT W/EVL</t>
  </si>
  <si>
    <t>PERC HEP PORT W</t>
  </si>
  <si>
    <t>0046158879</t>
  </si>
  <si>
    <t>PERC TRSHEP PORT WO/EVL</t>
  </si>
  <si>
    <t>PERC HEP PRT WO</t>
  </si>
  <si>
    <t>0046158895</t>
  </si>
  <si>
    <t>HEPATIC VENGRPHY W/EVAL</t>
  </si>
  <si>
    <t>HEP VENGPHY W/E</t>
  </si>
  <si>
    <t>0046158929</t>
  </si>
  <si>
    <t>HEPATIC VENGPHY WO/EVAL</t>
  </si>
  <si>
    <t>HEP VENGPHY WO/</t>
  </si>
  <si>
    <t>0046158937</t>
  </si>
  <si>
    <t>VENOUS SAMPLING VIA CATH</t>
  </si>
  <si>
    <t>CATH VEN SAMPLE</t>
  </si>
  <si>
    <t>0046158986</t>
  </si>
  <si>
    <t>ANGIO EXIST CATH F/U STU</t>
  </si>
  <si>
    <t>ANGIO F/U STUDY</t>
  </si>
  <si>
    <t>0046159018</t>
  </si>
  <si>
    <t>REM PERICTH OBST CV CATH</t>
  </si>
  <si>
    <t>REM OBST CV CTH</t>
  </si>
  <si>
    <t>0046159026</t>
  </si>
  <si>
    <t>REM INTRLMNL OBST CV CTH</t>
  </si>
  <si>
    <t>0046159448</t>
  </si>
  <si>
    <t>IVUS NON CORONARY INITL</t>
  </si>
  <si>
    <t>IVUS INITL VESL</t>
  </si>
  <si>
    <t>0046159562</t>
  </si>
  <si>
    <t>ENDO RPR THOR AO WO/SCA+S&amp;I</t>
  </si>
  <si>
    <t>THOR AORTA RPR</t>
  </si>
  <si>
    <t>0046159711</t>
  </si>
  <si>
    <t>TRNSCTH BIOPSY S&amp;I</t>
  </si>
  <si>
    <t>TCATH BX</t>
  </si>
  <si>
    <t>0046159851</t>
  </si>
  <si>
    <t>CHANGE PERC DRAIN CATH</t>
  </si>
  <si>
    <t>CHNG PERC D CTH</t>
  </si>
  <si>
    <t>0046159901</t>
  </si>
  <si>
    <t>PERC DRAIN W CATH PLC</t>
  </si>
  <si>
    <t>PERC DRAIN W CA</t>
  </si>
  <si>
    <t>0046159976</t>
  </si>
  <si>
    <t>FLUOROGUID FOR VEIN DVCE</t>
  </si>
  <si>
    <t>FLUORO CVA DVCE</t>
  </si>
  <si>
    <t>0046159984</t>
  </si>
  <si>
    <t>FLUOROSCOPY &lt;1HOUR</t>
  </si>
  <si>
    <t>FLUOR (&lt;) 1HR</t>
  </si>
  <si>
    <t>0046160024</t>
  </si>
  <si>
    <t>INJ PERC EXT PSEUDANYSM</t>
  </si>
  <si>
    <t>INJ PSEUDOANYSM</t>
  </si>
  <si>
    <t>0046160032</t>
  </si>
  <si>
    <t>FLUORO BX/ASP/INJ/GUIDE</t>
  </si>
  <si>
    <t>FLUORO GUIDANCE</t>
  </si>
  <si>
    <t>0046160057</t>
  </si>
  <si>
    <t>TRNSCTH EMBOLIZATN</t>
  </si>
  <si>
    <t>TCATH TRPY EMBL</t>
  </si>
  <si>
    <t>0046160107</t>
  </si>
  <si>
    <t>FLUORO GUIDE SPINE INJ</t>
  </si>
  <si>
    <t>FLUOR SPINE INJ</t>
  </si>
  <si>
    <t>0046160115</t>
  </si>
  <si>
    <t>PLC CATH VEIN 1ST ORDR</t>
  </si>
  <si>
    <t>PLC CATH VEIN</t>
  </si>
  <si>
    <t>0046160123</t>
  </si>
  <si>
    <t>PLC CATH VEIN 2ND ORDR</t>
  </si>
  <si>
    <t>0046160826</t>
  </si>
  <si>
    <t>FISTULA-SINUS TRCT STDY</t>
  </si>
  <si>
    <t>FISTL/SINUS TRC</t>
  </si>
  <si>
    <t>0046161006</t>
  </si>
  <si>
    <t>PLC NDL/CATH CAR/VERT AR</t>
  </si>
  <si>
    <t>PLC ND/CATH ART</t>
  </si>
  <si>
    <t>0046162210</t>
  </si>
  <si>
    <t>ARTEROGRAM ARCH NON SEL</t>
  </si>
  <si>
    <t>ARTEROGRAM ARCH</t>
  </si>
  <si>
    <t>0046162228</t>
  </si>
  <si>
    <t>ARTERIOGR CAR NK SEL</t>
  </si>
  <si>
    <t>ARTER CC SEL</t>
  </si>
  <si>
    <t>0046162244</t>
  </si>
  <si>
    <t>ARTERIOGR CAR HD SEL</t>
  </si>
  <si>
    <t>ARTER CAR/HD</t>
  </si>
  <si>
    <t>0046162269</t>
  </si>
  <si>
    <t>ARTERIOG CAR NKHD SEL</t>
  </si>
  <si>
    <t>ARTERIO IC NKHD</t>
  </si>
  <si>
    <t>0046162301</t>
  </si>
  <si>
    <t>ARTERIOG VERT SEL</t>
  </si>
  <si>
    <t>ARTER VERT SEL</t>
  </si>
  <si>
    <t>0046162327</t>
  </si>
  <si>
    <t>ARTERIOG EXT CAR SEL</t>
  </si>
  <si>
    <t>ARTER EXT CAR</t>
  </si>
  <si>
    <t>0046162343</t>
  </si>
  <si>
    <t>ANGIO IC VERT SEL</t>
  </si>
  <si>
    <t>ANGIO IC VERT</t>
  </si>
  <si>
    <t>0046162517</t>
  </si>
  <si>
    <t>INS CATH REN ART 1ST UNI</t>
  </si>
  <si>
    <t>INS CATH RENAL</t>
  </si>
  <si>
    <t>0046162525</t>
  </si>
  <si>
    <t>INS CATH REN ART 1ST BIL</t>
  </si>
  <si>
    <t>0046162533</t>
  </si>
  <si>
    <t>INS CATH REN ART 2ND UNI</t>
  </si>
  <si>
    <t>0046162632</t>
  </si>
  <si>
    <t>REM/REPL AICD DUAL LD</t>
  </si>
  <si>
    <t>REMV/REPL AICD</t>
  </si>
  <si>
    <t>0046162640</t>
  </si>
  <si>
    <t>REM/REPL AICD MULT LD</t>
  </si>
  <si>
    <t>0046163770</t>
  </si>
  <si>
    <t>0046164505</t>
  </si>
  <si>
    <t>CHEMO ADM CNS</t>
  </si>
  <si>
    <t>0046164653</t>
  </si>
  <si>
    <t>INJ FOAM SCLEROSAN W/US SGL VN</t>
  </si>
  <si>
    <t>INJ FOAM SCLERO</t>
  </si>
  <si>
    <t>0046164661</t>
  </si>
  <si>
    <t>INJ FOAM SCLEROSAN MULTI VN</t>
  </si>
  <si>
    <t>0046164752</t>
  </si>
  <si>
    <t>ENDO RF/ABLAT PERC INIT VN</t>
  </si>
  <si>
    <t>ENDO RF/ABLAT I</t>
  </si>
  <si>
    <t>0046164786</t>
  </si>
  <si>
    <t>ENDO LASER/ABLAT EXT INIT VN</t>
  </si>
  <si>
    <t>ENDO LASER/ABLA</t>
  </si>
  <si>
    <t>0046164836</t>
  </si>
  <si>
    <t>PERC CATH PORTAL VEIN</t>
  </si>
  <si>
    <t>CATH PORT VEIN</t>
  </si>
  <si>
    <t>0046164851</t>
  </si>
  <si>
    <t>ENDO CHEM/ABLAT PERC INIT VN</t>
  </si>
  <si>
    <t>ENDO CHEM/ABLAT</t>
  </si>
  <si>
    <t>0046165379</t>
  </si>
  <si>
    <t>0046165569</t>
  </si>
  <si>
    <t>INSRT NONTUNNL CV CTH 5&gt;</t>
  </si>
  <si>
    <t>INSRT CV CATH</t>
  </si>
  <si>
    <t>0046165585</t>
  </si>
  <si>
    <t>INSRT TNL CV CTH5&gt;WO PMP</t>
  </si>
  <si>
    <t>0046165619</t>
  </si>
  <si>
    <t>INSRT TUNNL VAD 5&gt;W PORT</t>
  </si>
  <si>
    <t>INSRT CVA DVICE</t>
  </si>
  <si>
    <t>0046165692</t>
  </si>
  <si>
    <t>INSRT PICC NO PRT/PMP&gt;5 NO IMG</t>
  </si>
  <si>
    <t>INSRT PICC &gt;5</t>
  </si>
  <si>
    <t>0046165718</t>
  </si>
  <si>
    <t>INSRT CVAD W PRT 5YRS &gt;</t>
  </si>
  <si>
    <t>0046165734</t>
  </si>
  <si>
    <t>INSRT PICC W/IMG 5+YR</t>
  </si>
  <si>
    <t>INSRT PICC W/IM</t>
  </si>
  <si>
    <t>0046165809</t>
  </si>
  <si>
    <t>REPLCE NON-TUNNL CV CATH</t>
  </si>
  <si>
    <t>REPLC CV CATH</t>
  </si>
  <si>
    <t>0046165817</t>
  </si>
  <si>
    <t>REPLACE TUNNELED CV CATH</t>
  </si>
  <si>
    <t>0046165841</t>
  </si>
  <si>
    <t>RPLC PICC NO PRT/PMP W/IMG</t>
  </si>
  <si>
    <t>RPLC PICC NO PR</t>
  </si>
  <si>
    <t>0046165890</t>
  </si>
  <si>
    <t>REMV TUNL CVC WO PMP/PRT</t>
  </si>
  <si>
    <t>REMV CV CATH</t>
  </si>
  <si>
    <t>0046165908</t>
  </si>
  <si>
    <t>RMV TUNLD CVAD W SQ PORT</t>
  </si>
  <si>
    <t>REMV CVA DVICE</t>
  </si>
  <si>
    <t>0046165932</t>
  </si>
  <si>
    <t>DCLOT CVAD THROMBL AGNT</t>
  </si>
  <si>
    <t>DECLOT CVAD</t>
  </si>
  <si>
    <t>0046165981</t>
  </si>
  <si>
    <t>CONTRST EVAL EXISTNG CVD</t>
  </si>
  <si>
    <t>CVD CNTRST EVAL</t>
  </si>
  <si>
    <t>0046169017</t>
  </si>
  <si>
    <t>INTRO NDL DIAL-CIRC+S&amp;I</t>
  </si>
  <si>
    <t>INTRO NDL S&amp;I</t>
  </si>
  <si>
    <t>0046169025</t>
  </si>
  <si>
    <t>DIAL-CIRC BAL-PLASTY+S&amp;I</t>
  </si>
  <si>
    <t>BAL-PLASTY+S&amp;I</t>
  </si>
  <si>
    <t>0046169033</t>
  </si>
  <si>
    <t>DIAL-CIRC STNT+PLSTY+S&amp;I</t>
  </si>
  <si>
    <t>STNT+PLASTY+S&amp;I</t>
  </si>
  <si>
    <t>0046169041</t>
  </si>
  <si>
    <t>DIA-CIR THRO+IMG+S&amp;I</t>
  </si>
  <si>
    <t>THRO+IMG+S&amp;I</t>
  </si>
  <si>
    <t>0046169058</t>
  </si>
  <si>
    <t>DIA-CIR THRO+PLST+IMG+S&amp;I</t>
  </si>
  <si>
    <t>THRO+PLST+IMG</t>
  </si>
  <si>
    <t>0046169066</t>
  </si>
  <si>
    <t>DIA-CIR THRO+STN+IMG+S&amp;I</t>
  </si>
  <si>
    <t>THRO+STN+IMG</t>
  </si>
  <si>
    <t>0046169074</t>
  </si>
  <si>
    <t>DIA-CIR APLAS+IMG+S&amp;I</t>
  </si>
  <si>
    <t>APLAS+IMG+S&amp;I</t>
  </si>
  <si>
    <t>0046169082</t>
  </si>
  <si>
    <t>DIA-CIR STENT+IMG+S&amp;I</t>
  </si>
  <si>
    <t>STENT+IMG+S&amp;I</t>
  </si>
  <si>
    <t>0046169371</t>
  </si>
  <si>
    <t>US GUIDE VASCULAR ACCESS</t>
  </si>
  <si>
    <t>US GUIDANCE VA</t>
  </si>
  <si>
    <t>0046169421</t>
  </si>
  <si>
    <t>US GUIDE NEEDLE PLACEMNT</t>
  </si>
  <si>
    <t>US GUIDANCE</t>
  </si>
  <si>
    <t>0046170932</t>
  </si>
  <si>
    <t>INJ HIP ARTHRO W/O ANES</t>
  </si>
  <si>
    <t>INJ HIP ARTHRG</t>
  </si>
  <si>
    <t>0046170965</t>
  </si>
  <si>
    <t>INJECT PROC SACRO JNT</t>
  </si>
  <si>
    <t>INJ SACRO JNT</t>
  </si>
  <si>
    <t>0046171823</t>
  </si>
  <si>
    <t>TRNSVN INTRHEP PORT SHNT</t>
  </si>
  <si>
    <t>PORTOSYST SHUNT</t>
  </si>
  <si>
    <t>0046171831</t>
  </si>
  <si>
    <t>REVSN INTRHEP PORTO SHNT</t>
  </si>
  <si>
    <t>REVS PORTO SHNT</t>
  </si>
  <si>
    <t>0046171849</t>
  </si>
  <si>
    <t>THROMB NONCOR INITL VSL</t>
  </si>
  <si>
    <t>THROMBECTMY ART</t>
  </si>
  <si>
    <t>0046171856</t>
  </si>
  <si>
    <t>THROMB NONCOR ADD VESSLS</t>
  </si>
  <si>
    <t>THROMB ADD ART</t>
  </si>
  <si>
    <t>0046171864</t>
  </si>
  <si>
    <t>THROMB NONCOR SECONDARY</t>
  </si>
  <si>
    <t>THROM ART 2ND</t>
  </si>
  <si>
    <t>0046171872</t>
  </si>
  <si>
    <t>PERC MECH THROMBECTMY VN</t>
  </si>
  <si>
    <t>THROMBECTMY VN</t>
  </si>
  <si>
    <t>0046171880</t>
  </si>
  <si>
    <t>MECH THRMBCTMY VN RPEAT</t>
  </si>
  <si>
    <t>THRMBCTMY VEIN</t>
  </si>
  <si>
    <t>0046171898</t>
  </si>
  <si>
    <t>MECH REMVL OBSTRTN GTUBE</t>
  </si>
  <si>
    <t>REM OBSTR GTUB</t>
  </si>
  <si>
    <t>0046171914</t>
  </si>
  <si>
    <t>INS ENDOVA VENACAVA FILT</t>
  </si>
  <si>
    <t>INS ENDO FILTER</t>
  </si>
  <si>
    <t>0046171930</t>
  </si>
  <si>
    <t>REM ENDO VENA CAVA FILTR</t>
  </si>
  <si>
    <t>REM VENCAVA FIL</t>
  </si>
  <si>
    <t>0046172003</t>
  </si>
  <si>
    <t>TRNSCTH BIOPSY</t>
  </si>
  <si>
    <t>0046172110</t>
  </si>
  <si>
    <t>TCATH TX INIT NONCOR ART</t>
  </si>
  <si>
    <t>TCATH NONCOR</t>
  </si>
  <si>
    <t>0046172128</t>
  </si>
  <si>
    <t>TCATH TX INIT NONCOR VEN</t>
  </si>
  <si>
    <t>0046172136</t>
  </si>
  <si>
    <t>TCATH TX A/V NONCOR SUBS</t>
  </si>
  <si>
    <t>0046172144</t>
  </si>
  <si>
    <t>TCATH TX CESSATION</t>
  </si>
  <si>
    <t>TCATH CESSATION</t>
  </si>
  <si>
    <t>0046172151</t>
  </si>
  <si>
    <t>PLC CERV CAROTD W/PRD</t>
  </si>
  <si>
    <t>PL STNT CAROTID</t>
  </si>
  <si>
    <t>0046172169</t>
  </si>
  <si>
    <t>PL ST CERV CAROTD WO/PRD</t>
  </si>
  <si>
    <t>0046172367</t>
  </si>
  <si>
    <t>OPEN/PERC PL ST 1ST AR</t>
  </si>
  <si>
    <t>OP PERC ST 1ST</t>
  </si>
  <si>
    <t>0046172383</t>
  </si>
  <si>
    <t>OPEN/PERC PL ST 1ST VN</t>
  </si>
  <si>
    <t>OP PER ST SAME</t>
  </si>
  <si>
    <t>0046172391</t>
  </si>
  <si>
    <t>OPEN/PERC PL ST E/ADD VN</t>
  </si>
  <si>
    <t>OP PER ST ADD</t>
  </si>
  <si>
    <t>0046172417</t>
  </si>
  <si>
    <t>VASC EMB/OCC VENOUS</t>
  </si>
  <si>
    <t>VSC EMB/OCC VEN</t>
  </si>
  <si>
    <t>0046172425</t>
  </si>
  <si>
    <t>VASC EMB/OCC ARTERY</t>
  </si>
  <si>
    <t>VSC EMB/OCC ART</t>
  </si>
  <si>
    <t>0046172433</t>
  </si>
  <si>
    <t>VASC EMB/OCC ORGAN</t>
  </si>
  <si>
    <t>VSC EMB/OCC ORG</t>
  </si>
  <si>
    <t>0046172441</t>
  </si>
  <si>
    <t>VASC EMB/OCC BLEED</t>
  </si>
  <si>
    <t>VSC EMB/OCC BLD</t>
  </si>
  <si>
    <t>0046172466</t>
  </si>
  <si>
    <t>ANGIPLASTY ART INIT+S&amp;I</t>
  </si>
  <si>
    <t>ANGIPLASTY ART</t>
  </si>
  <si>
    <t>0046172474</t>
  </si>
  <si>
    <t>ANGIPLASTY ART EA ADDL</t>
  </si>
  <si>
    <t>ANGPLASTY ART</t>
  </si>
  <si>
    <t>0046172482</t>
  </si>
  <si>
    <t>ANGIPLASTY VEN INIT+S&amp;I</t>
  </si>
  <si>
    <t>ANGIPLASTY VEN</t>
  </si>
  <si>
    <t>0046172490</t>
  </si>
  <si>
    <t>ANGIPLASTY VEN EA ADDL</t>
  </si>
  <si>
    <t>0046173712</t>
  </si>
  <si>
    <t>INJ PROC KNEE ARTHROGRM</t>
  </si>
  <si>
    <t>INJ PROC KNEE A</t>
  </si>
  <si>
    <t>0046174603</t>
  </si>
  <si>
    <t>ASPIR BLADDR W/INS CATH</t>
  </si>
  <si>
    <t>ASP BLDR W/INS</t>
  </si>
  <si>
    <t>0046175154</t>
  </si>
  <si>
    <t>CHANGE BILIARY DRAIN CTH</t>
  </si>
  <si>
    <t>CHNG BILI CATH</t>
  </si>
  <si>
    <t>0046175204</t>
  </si>
  <si>
    <t>CHANGE NEPHROSTOMY TUBE</t>
  </si>
  <si>
    <t>CHNG NEPHR TUBE</t>
  </si>
  <si>
    <t>0046175311</t>
  </si>
  <si>
    <t>CHOLANGIO+INJ EXIST CTH</t>
  </si>
  <si>
    <t>CHOL+INJ CATH</t>
  </si>
  <si>
    <t>0046175329</t>
  </si>
  <si>
    <t>CHOLANGIO+INJ NEW</t>
  </si>
  <si>
    <t>INJ PERC CHOLE</t>
  </si>
  <si>
    <t>0046175345</t>
  </si>
  <si>
    <t>INSRT BILI DRAIN INT/EXT</t>
  </si>
  <si>
    <t>BIL DRN INT/EXT</t>
  </si>
  <si>
    <t>0046175378</t>
  </si>
  <si>
    <t>REMOVE BILI DRAIN CATH</t>
  </si>
  <si>
    <t>REM BILI CATH</t>
  </si>
  <si>
    <t>0046175386</t>
  </si>
  <si>
    <t>PL STNT BIL EXIS ACCESS</t>
  </si>
  <si>
    <t>STNT EXIS ACCES</t>
  </si>
  <si>
    <t>0046175394</t>
  </si>
  <si>
    <t>PL STNT BIL W/O DRN</t>
  </si>
  <si>
    <t>PL STNT W/O DRN</t>
  </si>
  <si>
    <t>0046175402</t>
  </si>
  <si>
    <t>PL STNT INT/EXT BILE DRN</t>
  </si>
  <si>
    <t>PLC STNT W/DRN</t>
  </si>
  <si>
    <t>0046175527</t>
  </si>
  <si>
    <t>PERC BILIARY BRUSH BIOPS</t>
  </si>
  <si>
    <t>PER BIL BRSH BX</t>
  </si>
  <si>
    <t>0046176004</t>
  </si>
  <si>
    <t>PERC CHOLECYSTOSTOMY</t>
  </si>
  <si>
    <t>PERC CHOLECYSTM</t>
  </si>
  <si>
    <t>0046176616</t>
  </si>
  <si>
    <t>INJ ANESTH LUMB/CAUD SGL</t>
  </si>
  <si>
    <t>INJ ANES SGL LV</t>
  </si>
  <si>
    <t>0046176632</t>
  </si>
  <si>
    <t>INJ LUMB/CAUD EA ADD LVL</t>
  </si>
  <si>
    <t>INJ ANES ADD LV</t>
  </si>
  <si>
    <t>0046176657</t>
  </si>
  <si>
    <t>INJ NEPHROGRM EXIS ACC</t>
  </si>
  <si>
    <t>0046176806</t>
  </si>
  <si>
    <t>INJ EPID CERV/THORC</t>
  </si>
  <si>
    <t>INJ CRV/THR</t>
  </si>
  <si>
    <t>0046176822</t>
  </si>
  <si>
    <t>INJ EPID LUMB/CAUD</t>
  </si>
  <si>
    <t>INJ EPID LUMB</t>
  </si>
  <si>
    <t>0046176905</t>
  </si>
  <si>
    <t>INJ VENOGRPHY EXTRMTY</t>
  </si>
  <si>
    <t>INJ VENO EXTRM</t>
  </si>
  <si>
    <t>0046177002</t>
  </si>
  <si>
    <t>INJ SHOULDER ARTHROGRAM</t>
  </si>
  <si>
    <t>INJ SHLDER ARTH</t>
  </si>
  <si>
    <t>0046177051</t>
  </si>
  <si>
    <t>INJ SINUS TRACT DIAGNSTC</t>
  </si>
  <si>
    <t>INJ SINUS TRACT</t>
  </si>
  <si>
    <t>0046177606</t>
  </si>
  <si>
    <t>INSRT BILI DRAIN EXT</t>
  </si>
  <si>
    <t>INSRT BILI EXT</t>
  </si>
  <si>
    <t>0046177903</t>
  </si>
  <si>
    <t>OCCLSN/EMBL CATH NON-CNS</t>
  </si>
  <si>
    <t>OCCLSN/EMBL CTH</t>
  </si>
  <si>
    <t>0046177952</t>
  </si>
  <si>
    <t>OCCLSN/EMBL CATH CNS</t>
  </si>
  <si>
    <t>0046178000</t>
  </si>
  <si>
    <t>PLC CATH AORTA</t>
  </si>
  <si>
    <t>PLC CATH AORT</t>
  </si>
  <si>
    <t>0046178109</t>
  </si>
  <si>
    <t>PLC CATH ART ABD ADD</t>
  </si>
  <si>
    <t>PLC CATH ARTR</t>
  </si>
  <si>
    <t>0046178158</t>
  </si>
  <si>
    <t>PLC CATH ART ABD 1ST</t>
  </si>
  <si>
    <t>0046178208</t>
  </si>
  <si>
    <t>PLC CATH ART ABD 2ND</t>
  </si>
  <si>
    <t>0046178257</t>
  </si>
  <si>
    <t>PLC CATH ART ABD 3RD</t>
  </si>
  <si>
    <t>0046178307</t>
  </si>
  <si>
    <t>PLC CATH ART ADD ORDR</t>
  </si>
  <si>
    <t>0046178356</t>
  </si>
  <si>
    <t>PLC CATH ART 1ST ORDR</t>
  </si>
  <si>
    <t>0046178406</t>
  </si>
  <si>
    <t>PLC CATH ART 2ND ORDR</t>
  </si>
  <si>
    <t>0046178455</t>
  </si>
  <si>
    <t>PLC CATH ART 3RD ORDR</t>
  </si>
  <si>
    <t>0046178604</t>
  </si>
  <si>
    <t>PLC CATH EXTRM ARTERY</t>
  </si>
  <si>
    <t>0046178703</t>
  </si>
  <si>
    <t>PLC CATH VENACAVA</t>
  </si>
  <si>
    <t>PL CTH VENACAVA</t>
  </si>
  <si>
    <t>0046179867</t>
  </si>
  <si>
    <t>CONVERT EXT BILI DRAIN</t>
  </si>
  <si>
    <t>CONVERT EXT DRA</t>
  </si>
  <si>
    <t>0046182002</t>
  </si>
  <si>
    <t>BILIARY DUCT STONE EXTR</t>
  </si>
  <si>
    <t>BIL STONE EXTRC</t>
  </si>
  <si>
    <t>0046182051</t>
  </si>
  <si>
    <t>BILIARY ENDO DIL WO STNT</t>
  </si>
  <si>
    <t>BIL ENDO DILATN</t>
  </si>
  <si>
    <t>0046182101</t>
  </si>
  <si>
    <t>BILIARY ENDO DIL W/STENT</t>
  </si>
  <si>
    <t>BIL END DIL STN</t>
  </si>
  <si>
    <t>0046182309</t>
  </si>
  <si>
    <t>PLC CATH SEGMNTL ARTR</t>
  </si>
  <si>
    <t>0046189015</t>
  </si>
  <si>
    <t>SPINAL PUNCTR LUMB DIAG</t>
  </si>
  <si>
    <t>0046190823</t>
  </si>
  <si>
    <t>ABD PARACENTESIS W/OIMAG</t>
  </si>
  <si>
    <t>ABDPARAW/OIMAG</t>
  </si>
  <si>
    <t>0046190831</t>
  </si>
  <si>
    <t>ABD PARACENTESIS W/IMAGE</t>
  </si>
  <si>
    <t>ABD PARA W/IMAG</t>
  </si>
  <si>
    <t>0046191300</t>
  </si>
  <si>
    <t>CPR</t>
  </si>
  <si>
    <t>0046191524</t>
  </si>
  <si>
    <t>MOD SED SAME&gt;5YRS INIT15</t>
  </si>
  <si>
    <t>MOD SED INIT15</t>
  </si>
  <si>
    <t>0046191532</t>
  </si>
  <si>
    <t>MOD SED SAME EA ADD15</t>
  </si>
  <si>
    <t>MOD SED ADD15</t>
  </si>
  <si>
    <t>0046191565</t>
  </si>
  <si>
    <t>MOD SED OTH&gt;5YRS INIT15</t>
  </si>
  <si>
    <t>0046191573</t>
  </si>
  <si>
    <t>MOD SED OTH EA ADD15</t>
  </si>
  <si>
    <t>0046191805</t>
  </si>
  <si>
    <t>BX ABD/RETROPER PERC NDL</t>
  </si>
  <si>
    <t>BX ABD MASS</t>
  </si>
  <si>
    <t>0046194015</t>
  </si>
  <si>
    <t>INJ AIR/CM PERITNL CAV</t>
  </si>
  <si>
    <t>INJ PERITONEAL</t>
  </si>
  <si>
    <t>0046194064</t>
  </si>
  <si>
    <t>IMG CATH FLUID PERI/RETR</t>
  </si>
  <si>
    <t>CATH FL COLL</t>
  </si>
  <si>
    <t>0046194189</t>
  </si>
  <si>
    <t>INS TUNN INTRAPER CATH</t>
  </si>
  <si>
    <t>INS TUN INTRAP</t>
  </si>
  <si>
    <t>0046194197</t>
  </si>
  <si>
    <t>REM TUNNLD INTRAPER CATH</t>
  </si>
  <si>
    <t>REM INTRAPER CA</t>
  </si>
  <si>
    <t>0046194213</t>
  </si>
  <si>
    <t>INSRT PERM INTRAPTNL CTH</t>
  </si>
  <si>
    <t>INSRT DRAIN CTH</t>
  </si>
  <si>
    <t>0046194239</t>
  </si>
  <si>
    <t>EXCH ABSC/CYST DRN CATH</t>
  </si>
  <si>
    <t>EXCH ABS DRN CA</t>
  </si>
  <si>
    <t>0046194403</t>
  </si>
  <si>
    <t>PL GASTRO TUBE W/FLUORO</t>
  </si>
  <si>
    <t>PLC GASTR TUBE</t>
  </si>
  <si>
    <t>0046194411</t>
  </si>
  <si>
    <t>PL DUODNOSTMY TBE WFLUOR</t>
  </si>
  <si>
    <t>PLC DUODEN TUBE</t>
  </si>
  <si>
    <t>0046194429</t>
  </si>
  <si>
    <t>PL JEJUNOSTMYTBE WFLUORO</t>
  </si>
  <si>
    <t>PLC JEJUNO TUBE</t>
  </si>
  <si>
    <t>0046194460</t>
  </si>
  <si>
    <t>CH GTUBE TO GJTUBE W/FLU</t>
  </si>
  <si>
    <t>GTUBE TO GJTUBE</t>
  </si>
  <si>
    <t>0046194502</t>
  </si>
  <si>
    <t>REPL GASTRO TUBE W/FLUOR</t>
  </si>
  <si>
    <t>REPLACE G TUBE</t>
  </si>
  <si>
    <t>0046194528</t>
  </si>
  <si>
    <t>REPL J-TUBE W/FLUOR</t>
  </si>
  <si>
    <t>REPLACE J TUBE</t>
  </si>
  <si>
    <t>0046194536</t>
  </si>
  <si>
    <t>REPL GJ TUBE W/FLUOR</t>
  </si>
  <si>
    <t>REPLACE GJ TUBE</t>
  </si>
  <si>
    <t>0046194650</t>
  </si>
  <si>
    <t>INJ CM EVAL GTUBE</t>
  </si>
  <si>
    <t>CM EVAL G TUBE</t>
  </si>
  <si>
    <t>0046194676</t>
  </si>
  <si>
    <t>INJ CM EVAL JTUBE</t>
  </si>
  <si>
    <t>CM EVAL J TUBE</t>
  </si>
  <si>
    <t>0046194684</t>
  </si>
  <si>
    <t>INJ CM EVAL GJTUBE</t>
  </si>
  <si>
    <t>CM EVAL GJ TUBE</t>
  </si>
  <si>
    <t>0046196002</t>
  </si>
  <si>
    <t>PERC COR DRUG-ELUT STNT</t>
  </si>
  <si>
    <t>PERC DRG-EL ST</t>
  </si>
  <si>
    <t>0046196010</t>
  </si>
  <si>
    <t>PERC DRUG-ELUT STNT ADDL</t>
  </si>
  <si>
    <t>PERC STNT ADDL</t>
  </si>
  <si>
    <t>0046196028</t>
  </si>
  <si>
    <t>PERC COR ATH D-E STNT</t>
  </si>
  <si>
    <t>PERC COR ATHER</t>
  </si>
  <si>
    <t>0046196036</t>
  </si>
  <si>
    <t>PERC COR ATHER STNT ADD</t>
  </si>
  <si>
    <t>PER ATHER ADDL</t>
  </si>
  <si>
    <t>0046196044</t>
  </si>
  <si>
    <t>PERC COR REVASC D-E CABG</t>
  </si>
  <si>
    <t>PER REVAS CABG</t>
  </si>
  <si>
    <t>0046196051</t>
  </si>
  <si>
    <t>PER COR REVAS CABG ADDL</t>
  </si>
  <si>
    <t>PER REVAS ADDL</t>
  </si>
  <si>
    <t>0046196069</t>
  </si>
  <si>
    <t>PER COR REVAS D-E W/AMI</t>
  </si>
  <si>
    <t>PER REVAS W/AMI</t>
  </si>
  <si>
    <t>0046196077</t>
  </si>
  <si>
    <t>PER COR REVAS CHRONC SNG</t>
  </si>
  <si>
    <t>PER REVAS CHRON</t>
  </si>
  <si>
    <t>0046197182</t>
  </si>
  <si>
    <t>PERC AUG 1 BD THOR/IMG</t>
  </si>
  <si>
    <t>PERC AUGM THOR</t>
  </si>
  <si>
    <t>0046197208</t>
  </si>
  <si>
    <t>PERC AUG 1 BD LUMB/IMG</t>
  </si>
  <si>
    <t>PERC AUGM LUMB</t>
  </si>
  <si>
    <t>0046197646</t>
  </si>
  <si>
    <t>REVASC INTRAVASC LITHOTRIP</t>
  </si>
  <si>
    <t>REVASC INTRVASC</t>
  </si>
  <si>
    <t>0046197653</t>
  </si>
  <si>
    <t>REVASC INTRAVASC LITHO+STENT</t>
  </si>
  <si>
    <t>INTRAVASC LITHO</t>
  </si>
  <si>
    <t>0046197661</t>
  </si>
  <si>
    <t>REVASC INTRAVASC LITHO+ATHER</t>
  </si>
  <si>
    <t>0046197679</t>
  </si>
  <si>
    <t>REVASC INTVASC LITH+STNT+ATHER</t>
  </si>
  <si>
    <t>REVASC LITHO+ST</t>
  </si>
  <si>
    <t>0046197729</t>
  </si>
  <si>
    <t>REVASC INTRAVASC LITHO+PLASTY</t>
  </si>
  <si>
    <t>REVASC LITHO+PL</t>
  </si>
  <si>
    <t>0046197737</t>
  </si>
  <si>
    <t>REVASC INTRAVASC LITHO+STNT</t>
  </si>
  <si>
    <t>0046197745</t>
  </si>
  <si>
    <t>REVASC LITHO+AT</t>
  </si>
  <si>
    <t>0046197752</t>
  </si>
  <si>
    <t>REVASC LITH+STN</t>
  </si>
  <si>
    <t>0046205522</t>
  </si>
  <si>
    <t>INJ TRIGGER PTS 1/2 MUSC</t>
  </si>
  <si>
    <t>INJ TRIGGER PTS</t>
  </si>
  <si>
    <t>0046222709</t>
  </si>
  <si>
    <t>0046222725</t>
  </si>
  <si>
    <t>0046222733</t>
  </si>
  <si>
    <t>0046223103</t>
  </si>
  <si>
    <t>0046223111</t>
  </si>
  <si>
    <t>0046244158</t>
  </si>
  <si>
    <t>INJ BRACH PLEX SNGL W/WO IMG</t>
  </si>
  <si>
    <t xml:space="preserve">INJ BRACH PLEX </t>
  </si>
  <si>
    <t>0046244216</t>
  </si>
  <si>
    <t>INJ INTERCOSTL NERV SNGL</t>
  </si>
  <si>
    <t>INJ INTRCOSTL N</t>
  </si>
  <si>
    <t>0046244224</t>
  </si>
  <si>
    <t>INJ INTERCOSTL NRV EA ADDL LVL</t>
  </si>
  <si>
    <t xml:space="preserve">INJ INTERCOSTL </t>
  </si>
  <si>
    <t>0046244257</t>
  </si>
  <si>
    <t>INJ ANES ILIOING/HYPO NR</t>
  </si>
  <si>
    <t>INJ ILIOING/HYP</t>
  </si>
  <si>
    <t>0046244836</t>
  </si>
  <si>
    <t>0046244844</t>
  </si>
  <si>
    <t>0046244901</t>
  </si>
  <si>
    <t>C/T FACET INJ+IMAGE LVL1</t>
  </si>
  <si>
    <t>CRVL/THORC FACE</t>
  </si>
  <si>
    <t>0046244919</t>
  </si>
  <si>
    <t>C/T FACET INJ+IMAGE LVL2</t>
  </si>
  <si>
    <t>CRVL/THORC ADDL</t>
  </si>
  <si>
    <t>0046244935</t>
  </si>
  <si>
    <t>0046245205</t>
  </si>
  <si>
    <t>INJ LUMB/THOR SYMP BLK</t>
  </si>
  <si>
    <t>LUMB SYMP BLK</t>
  </si>
  <si>
    <t>0046245304</t>
  </si>
  <si>
    <t>INJ CELIAC PLEXUS NRV</t>
  </si>
  <si>
    <t>INJ CELIAC PLEX</t>
  </si>
  <si>
    <t>0046246807</t>
  </si>
  <si>
    <t>DESTR CELIAC PLEX W/AGNT</t>
  </si>
  <si>
    <t>DEST CELIAC PLX</t>
  </si>
  <si>
    <t>0046249942</t>
  </si>
  <si>
    <t>INJ LUMB/SAC A</t>
  </si>
  <si>
    <t>0046262341</t>
  </si>
  <si>
    <t>0046265757</t>
  </si>
  <si>
    <t>REPAIR CV CATH WO SQ PMP</t>
  </si>
  <si>
    <t>REPAIR CV CATH</t>
  </si>
  <si>
    <t>0046270039</t>
  </si>
  <si>
    <t>0046275145</t>
  </si>
  <si>
    <t>BX RENAL PERC NDL</t>
  </si>
  <si>
    <t>BX RENAL PERC</t>
  </si>
  <si>
    <t>0046300406</t>
  </si>
  <si>
    <t>ART IN/VEN OUTF</t>
  </si>
  <si>
    <t>0046300810</t>
  </si>
  <si>
    <t>0046300851</t>
  </si>
  <si>
    <t>0046300869</t>
  </si>
  <si>
    <t>NONINVS PHYS STDY LE ART</t>
  </si>
  <si>
    <t>ART STUDY LE W/</t>
  </si>
  <si>
    <t>0046333035</t>
  </si>
  <si>
    <t>ECHOCARDIOGRAM/MMODE/LTD</t>
  </si>
  <si>
    <t>ECHO M LTD</t>
  </si>
  <si>
    <t>0046333068</t>
  </si>
  <si>
    <t>0046333258</t>
  </si>
  <si>
    <t>0046333308</t>
  </si>
  <si>
    <t>0046333506</t>
  </si>
  <si>
    <t>0046334009</t>
  </si>
  <si>
    <t>TRANSESOPHAGEAL ECHO</t>
  </si>
  <si>
    <t>0046339768</t>
  </si>
  <si>
    <t>ART/VEN FLW LTD</t>
  </si>
  <si>
    <t>0046360004</t>
  </si>
  <si>
    <t>0046360103</t>
  </si>
  <si>
    <t>DUPLX UE ARTERY</t>
  </si>
  <si>
    <t>0046360152</t>
  </si>
  <si>
    <t>CARTD DPLX IMAG</t>
  </si>
  <si>
    <t>0046360269</t>
  </si>
  <si>
    <t>CAROTID DOP LTD</t>
  </si>
  <si>
    <t>0046360400</t>
  </si>
  <si>
    <t>DUPLX LE ARTERY</t>
  </si>
  <si>
    <t>0046360467</t>
  </si>
  <si>
    <t>0046360483</t>
  </si>
  <si>
    <t>DUPLX UE LTD FU</t>
  </si>
  <si>
    <t>0046363768</t>
  </si>
  <si>
    <t>0046366068</t>
  </si>
  <si>
    <t>ECHO TRANSTHORACIC COMP</t>
  </si>
  <si>
    <t>ECHO TT COMP</t>
  </si>
  <si>
    <t>0046370128</t>
  </si>
  <si>
    <t>EXT VEINS LTD</t>
  </si>
  <si>
    <t>0046389235</t>
  </si>
  <si>
    <t>0046389243</t>
  </si>
  <si>
    <t>0046389250</t>
  </si>
  <si>
    <t>TEE W/CONTR</t>
  </si>
  <si>
    <t>0046630174</t>
  </si>
  <si>
    <t>0046632253</t>
  </si>
  <si>
    <t>0046632261</t>
  </si>
  <si>
    <t>0048058176</t>
  </si>
  <si>
    <t>EEG AWAKE/DROWSY</t>
  </si>
  <si>
    <t>EEG AWAKE/DRWSY</t>
  </si>
  <si>
    <t>0048058184</t>
  </si>
  <si>
    <t>EEG AWAKE/SLEEP</t>
  </si>
  <si>
    <t>0048058242</t>
  </si>
  <si>
    <t>EEG CEREBRAL DEATH EVAL</t>
  </si>
  <si>
    <t>EEG CEREB EVAL</t>
  </si>
  <si>
    <t>0048058606</t>
  </si>
  <si>
    <t>EMG ONE EXTREMITY</t>
  </si>
  <si>
    <t>EMG 1 EXTREMITY</t>
  </si>
  <si>
    <t>0048058614</t>
  </si>
  <si>
    <t>EMG TWO EXTREMITIES</t>
  </si>
  <si>
    <t>EMG 2 EXTRMTIES</t>
  </si>
  <si>
    <t>0048058630</t>
  </si>
  <si>
    <t>EMG THREE EXTREMITIES</t>
  </si>
  <si>
    <t>EMG 3 EXTRMTIES</t>
  </si>
  <si>
    <t>0048058648</t>
  </si>
  <si>
    <t>EMG FOUR EXTREMITIES</t>
  </si>
  <si>
    <t>EMG 4 EXTRMTIES</t>
  </si>
  <si>
    <t>0048058671</t>
  </si>
  <si>
    <t>EMG CRAN MUSC(S) UNI</t>
  </si>
  <si>
    <t>EMG CRAN MUS(S)</t>
  </si>
  <si>
    <t>0048058713</t>
  </si>
  <si>
    <t>VISUAL EVOKED POTENTIAL</t>
  </si>
  <si>
    <t>VIS EVKD POTNL</t>
  </si>
  <si>
    <t>0048058739</t>
  </si>
  <si>
    <t>EMG CRANIAL BILATERAL</t>
  </si>
  <si>
    <t>EMG CRANIAL BI</t>
  </si>
  <si>
    <t>0048059265</t>
  </si>
  <si>
    <t>CNT MTR EP T/CRAN U/L</t>
  </si>
  <si>
    <t>CNT M EP T/C UL</t>
  </si>
  <si>
    <t>0048059299</t>
  </si>
  <si>
    <t>CNT MTR EP T/CRAN L/L</t>
  </si>
  <si>
    <t>CNT M EP T/C LL</t>
  </si>
  <si>
    <t>0048059380</t>
  </si>
  <si>
    <t>SOMATOSEN STDY UPPR/LWER</t>
  </si>
  <si>
    <t>SOMATO UPP/LWR</t>
  </si>
  <si>
    <t>0048059406</t>
  </si>
  <si>
    <t>IONM IN OR 15 MIN</t>
  </si>
  <si>
    <t>IONM OR 15 MIN</t>
  </si>
  <si>
    <t>0048059497</t>
  </si>
  <si>
    <t>EEG SURG NON-INTRACRANL</t>
  </si>
  <si>
    <t>EEG SURG</t>
  </si>
  <si>
    <t>0048060404</t>
  </si>
  <si>
    <t>SOMATOSENSORY EP U/LIMB</t>
  </si>
  <si>
    <t>SENSORY EPU/LMB</t>
  </si>
  <si>
    <t>0048060420</t>
  </si>
  <si>
    <t>SOMATOSENSORY EP L/LIMB</t>
  </si>
  <si>
    <t>SENSORY EPL/LMB</t>
  </si>
  <si>
    <t>0049000300</t>
  </si>
  <si>
    <t>EYE DETECTION OF FOR/BDY</t>
  </si>
  <si>
    <t>EYE DTCT FRBDY</t>
  </si>
  <si>
    <t>0049001001</t>
  </si>
  <si>
    <t>MANDIBLE &lt; 4 VIEWS</t>
  </si>
  <si>
    <t>MANDIBLE UNI</t>
  </si>
  <si>
    <t>0049001100</t>
  </si>
  <si>
    <t>MANDIBLE 4VW MIN</t>
  </si>
  <si>
    <t>MANDIBLE CMPL</t>
  </si>
  <si>
    <t>0049001126</t>
  </si>
  <si>
    <t>FNA BX FLUOR GUIDANCE 1ST LES</t>
  </si>
  <si>
    <t>FNA BX FLUOR 1S</t>
  </si>
  <si>
    <t>0049001407</t>
  </si>
  <si>
    <t>FACIAL BONES 2VW MAX</t>
  </si>
  <si>
    <t>FACL BONES LTD</t>
  </si>
  <si>
    <t>0049001506</t>
  </si>
  <si>
    <t>FACIAL BONES 3VW MIN</t>
  </si>
  <si>
    <t>FACL BONES COMP</t>
  </si>
  <si>
    <t>0049001522</t>
  </si>
  <si>
    <t>ORBITS 4VW MIN</t>
  </si>
  <si>
    <t>ORBITS COMPLETE</t>
  </si>
  <si>
    <t>0049001605</t>
  </si>
  <si>
    <t>NASAL BONES 3VW MIN</t>
  </si>
  <si>
    <t>NASL BONES ONLY</t>
  </si>
  <si>
    <t>0049002108</t>
  </si>
  <si>
    <t>SINUSES 2VW MAX</t>
  </si>
  <si>
    <t>SINUSES LIMITED</t>
  </si>
  <si>
    <t>0049002207</t>
  </si>
  <si>
    <t>SINUSES 3VW MIN</t>
  </si>
  <si>
    <t>SINUSES COMPL</t>
  </si>
  <si>
    <t>0049002504</t>
  </si>
  <si>
    <t>SKULL &lt; 4 VIEWS</t>
  </si>
  <si>
    <t>0049002603</t>
  </si>
  <si>
    <t>SKULL 4VW MIN</t>
  </si>
  <si>
    <t>SKULL COMPLETE</t>
  </si>
  <si>
    <t>0049003304</t>
  </si>
  <si>
    <t>TM JOINTS BILATERAL</t>
  </si>
  <si>
    <t>TM JOINTS BI</t>
  </si>
  <si>
    <t>0049003601</t>
  </si>
  <si>
    <t>NECK FOR SOFT TISSUES</t>
  </si>
  <si>
    <t>NECK SOFT TISS</t>
  </si>
  <si>
    <t>0049004039</t>
  </si>
  <si>
    <t>0049005507</t>
  </si>
  <si>
    <t>INJ SNGL TENDON/LIGAMENT</t>
  </si>
  <si>
    <t>INJ SNGL TENDON</t>
  </si>
  <si>
    <t>0049006109</t>
  </si>
  <si>
    <t>ASP/INJ MJR JNT</t>
  </si>
  <si>
    <t>0049010309</t>
  </si>
  <si>
    <t>CHEST 4+ VIEWS</t>
  </si>
  <si>
    <t>0049010408</t>
  </si>
  <si>
    <t>BRONCHOGRAPHY UNILATERAL</t>
  </si>
  <si>
    <t>BRONCHOGRPH UNI</t>
  </si>
  <si>
    <t>0049010457</t>
  </si>
  <si>
    <t>CHEST 1 VIEW</t>
  </si>
  <si>
    <t>0049010465</t>
  </si>
  <si>
    <t>CHEST 2 VIEWS</t>
  </si>
  <si>
    <t>0049010473</t>
  </si>
  <si>
    <t>CHEST 3 VIEWS</t>
  </si>
  <si>
    <t>0049011000</t>
  </si>
  <si>
    <t>RIBS UNILAT 2VW</t>
  </si>
  <si>
    <t>RIBS UNILATERAL</t>
  </si>
  <si>
    <t>0049011018</t>
  </si>
  <si>
    <t>RIBS UNI 3V MIN W/PA CXR</t>
  </si>
  <si>
    <t>UNIRIBS W/PA CH</t>
  </si>
  <si>
    <t>0049011117</t>
  </si>
  <si>
    <t>RIBS BI 4V MIN W/PA CXR</t>
  </si>
  <si>
    <t>BI RIB W/PA CH</t>
  </si>
  <si>
    <t>0049011208</t>
  </si>
  <si>
    <t>STERNUM 2VW MIN</t>
  </si>
  <si>
    <t>STERNUM</t>
  </si>
  <si>
    <t>0049011307</t>
  </si>
  <si>
    <t>STERNCLAVR JNTS 3VW MIN</t>
  </si>
  <si>
    <t>STERNOCLAVC JNT</t>
  </si>
  <si>
    <t>0049017056</t>
  </si>
  <si>
    <t>0049020209</t>
  </si>
  <si>
    <t>SPINE ANY LEVEL SNGL VW</t>
  </si>
  <si>
    <t>SPINE SNGL VIEW</t>
  </si>
  <si>
    <t>0049020407</t>
  </si>
  <si>
    <t>SPINE CERVICAL 2 VIEWS</t>
  </si>
  <si>
    <t>SPINE CERV 2VWS</t>
  </si>
  <si>
    <t>0049020506</t>
  </si>
  <si>
    <t>SPINE CERVICAL 4 OR 5 VW</t>
  </si>
  <si>
    <t>SPINE CRV 4/5VW</t>
  </si>
  <si>
    <t>0049020522</t>
  </si>
  <si>
    <t>SPINE CERV 6 &gt; VWS</t>
  </si>
  <si>
    <t>SPINE CERV 6&gt;</t>
  </si>
  <si>
    <t>0049020704</t>
  </si>
  <si>
    <t>SPINE THORACIC 2 VIEWS</t>
  </si>
  <si>
    <t>SPINE THOR 2VWS</t>
  </si>
  <si>
    <t>0049020712</t>
  </si>
  <si>
    <t>SPINE THORACIC 3 VIEWS</t>
  </si>
  <si>
    <t>SPINE THOR 3VWS</t>
  </si>
  <si>
    <t>0049020720</t>
  </si>
  <si>
    <t>SPINE THORACIC 4VW MIN</t>
  </si>
  <si>
    <t>SPINE THORC 4VW</t>
  </si>
  <si>
    <t>0049020803</t>
  </si>
  <si>
    <t>SPINE THORACO-LUMBAR JCT</t>
  </si>
  <si>
    <t>SPINE THOR/LUMB</t>
  </si>
  <si>
    <t>0049020811</t>
  </si>
  <si>
    <t>SPINE THORACOLMBR 1 VW</t>
  </si>
  <si>
    <t>SPINE THOR 1VW</t>
  </si>
  <si>
    <t>0049020829</t>
  </si>
  <si>
    <t>SPINE THORACOLMBR 2-3VW</t>
  </si>
  <si>
    <t>SPIN THOR 2-3VW</t>
  </si>
  <si>
    <t>0049021009</t>
  </si>
  <si>
    <t>SPINE LUMBAR 2 VIEWS</t>
  </si>
  <si>
    <t>SPINE LUMB 2VWS</t>
  </si>
  <si>
    <t>0049021108</t>
  </si>
  <si>
    <t>SPINE LUMBAR MIN 4VWS</t>
  </si>
  <si>
    <t>SPINE L/S MIN4V</t>
  </si>
  <si>
    <t>0049021140</t>
  </si>
  <si>
    <t>SP LUMBAR MIN 6 VWS</t>
  </si>
  <si>
    <t>SPINE L/S 6VWS</t>
  </si>
  <si>
    <t>0049021215</t>
  </si>
  <si>
    <t>LUMB BENDNG 2 OR 3 VWS</t>
  </si>
  <si>
    <t>SPINE BEND ONLY</t>
  </si>
  <si>
    <t>0049021702</t>
  </si>
  <si>
    <t>PELVIS 1 VIEW</t>
  </si>
  <si>
    <t>0049021751</t>
  </si>
  <si>
    <t>PELVIS 2 VIEWS</t>
  </si>
  <si>
    <t>0049021900</t>
  </si>
  <si>
    <t>PELVIS MIN 3 VWS</t>
  </si>
  <si>
    <t>PELVIS MIN 3VWS</t>
  </si>
  <si>
    <t>0049022023</t>
  </si>
  <si>
    <t>SACROILIAC JOINTS 3 VWS</t>
  </si>
  <si>
    <t>SACROILIAC JNTS</t>
  </si>
  <si>
    <t>0049022205</t>
  </si>
  <si>
    <t>SACRUM COCCYX 2 VWS</t>
  </si>
  <si>
    <t>SACRUM &amp; COCCYX</t>
  </si>
  <si>
    <t>0049022403</t>
  </si>
  <si>
    <t>0049022502</t>
  </si>
  <si>
    <t>0049022601</t>
  </si>
  <si>
    <t>MYELOGRAM THORACIC S&amp;I</t>
  </si>
  <si>
    <t>MYELOGRAM THORC</t>
  </si>
  <si>
    <t>0049022718</t>
  </si>
  <si>
    <t>MYELOGRAM 2 OR&gt;</t>
  </si>
  <si>
    <t>0049022908</t>
  </si>
  <si>
    <t>0049023013</t>
  </si>
  <si>
    <t>CERVICAL MYELO LUMB INJ</t>
  </si>
  <si>
    <t>MYELO CERV</t>
  </si>
  <si>
    <t>0049023047</t>
  </si>
  <si>
    <t>L/S MYELO W/INJ</t>
  </si>
  <si>
    <t>0049023054</t>
  </si>
  <si>
    <t>MYELOGRAM C/T/L LUMB INJ</t>
  </si>
  <si>
    <t>MYELO 2+REG</t>
  </si>
  <si>
    <t>0049023211</t>
  </si>
  <si>
    <t>0049023328</t>
  </si>
  <si>
    <t>SPINE PUNC DRN CSF W/FLUOR/CT</t>
  </si>
  <si>
    <t>SPINE DRN CSF W</t>
  </si>
  <si>
    <t>0049030000</t>
  </si>
  <si>
    <t>CLAVICLE COMPLETE</t>
  </si>
  <si>
    <t>CLAVICLE COMP</t>
  </si>
  <si>
    <t>0049030109</t>
  </si>
  <si>
    <t>SCAPULA COMPLETE</t>
  </si>
  <si>
    <t>SCAPULA COMP</t>
  </si>
  <si>
    <t>0049030208</t>
  </si>
  <si>
    <t>SHOULDER SINGLE VIEW</t>
  </si>
  <si>
    <t>SHOULDER 1 VW</t>
  </si>
  <si>
    <t>0049030307</t>
  </si>
  <si>
    <t>SHOULDER 2 VWS MINIMUM</t>
  </si>
  <si>
    <t>SHOULDER COMPLT</t>
  </si>
  <si>
    <t>0049030406</t>
  </si>
  <si>
    <t>0049030505</t>
  </si>
  <si>
    <t>ACROMIOCLAVICULAR JTS BI</t>
  </si>
  <si>
    <t>A/C JOINTS BI</t>
  </si>
  <si>
    <t>0049030604</t>
  </si>
  <si>
    <t>HUMERUS 2 VIEW MINIMUM</t>
  </si>
  <si>
    <t>HUMERUS</t>
  </si>
  <si>
    <t>0049030703</t>
  </si>
  <si>
    <t>ELBOW 2 VIEWS</t>
  </si>
  <si>
    <t>0049030802</t>
  </si>
  <si>
    <t>ELBOW 3 VIEW MINIMUM</t>
  </si>
  <si>
    <t>ELBOW COMPLETE</t>
  </si>
  <si>
    <t>0049030919</t>
  </si>
  <si>
    <t>FOREARM 2 VIEWS</t>
  </si>
  <si>
    <t>FOREARM 2 VWS</t>
  </si>
  <si>
    <t>0049030927</t>
  </si>
  <si>
    <t>UPPER EXTREMITY INFANT</t>
  </si>
  <si>
    <t>UPPER EXT INFNT</t>
  </si>
  <si>
    <t>0049031008</t>
  </si>
  <si>
    <t>WRIST 2 VIEWS</t>
  </si>
  <si>
    <t>WRIST 2 VWS</t>
  </si>
  <si>
    <t>0049031107</t>
  </si>
  <si>
    <t>WRIST 3 VIEWS MINIMUM</t>
  </si>
  <si>
    <t>WRIST 3VWS</t>
  </si>
  <si>
    <t>0049031156</t>
  </si>
  <si>
    <t>WRIST ARTHROGRAPHY</t>
  </si>
  <si>
    <t>WRIST ARTHRG</t>
  </si>
  <si>
    <t>0049031206</t>
  </si>
  <si>
    <t>HAND 2 VIEWS</t>
  </si>
  <si>
    <t>HAND 2 VWS</t>
  </si>
  <si>
    <t>0049031305</t>
  </si>
  <si>
    <t>HAND 3 VIEWS MINIMUM</t>
  </si>
  <si>
    <t>HAND 3 VWS</t>
  </si>
  <si>
    <t>0049031404</t>
  </si>
  <si>
    <t>FINGER(S) 2 VIEWS</t>
  </si>
  <si>
    <t>FINGER(S) 2 VWS</t>
  </si>
  <si>
    <t>0049035009</t>
  </si>
  <si>
    <t>HIP UNI SINGLE VIEW</t>
  </si>
  <si>
    <t>HIP UNI LIMITED</t>
  </si>
  <si>
    <t>0049035017</t>
  </si>
  <si>
    <t>HIP UNI W/PELVIS 1VW</t>
  </si>
  <si>
    <t>HIP/PELVIS 1 VW</t>
  </si>
  <si>
    <t>0049035033</t>
  </si>
  <si>
    <t>HIP UNI W/PEL 4+VWS</t>
  </si>
  <si>
    <t>HIP/PEL 4+VWS</t>
  </si>
  <si>
    <t>0049035058</t>
  </si>
  <si>
    <t>HIP UNI W/PELV 2-3 VWS</t>
  </si>
  <si>
    <t>HIP/PEL 2-3 VWS</t>
  </si>
  <si>
    <t>0049035108</t>
  </si>
  <si>
    <t>HIP UNILATERAL 2-3 VWS</t>
  </si>
  <si>
    <t>HIP UNI 2-3 VWS</t>
  </si>
  <si>
    <t>0049035207</t>
  </si>
  <si>
    <t>HIP BI W/PEL 2WS</t>
  </si>
  <si>
    <t>HIP BI W/PEL 2V</t>
  </si>
  <si>
    <t>0049035223</t>
  </si>
  <si>
    <t>HIP BI W/PEL 3-4 VWS</t>
  </si>
  <si>
    <t>HIP BI W/PEL</t>
  </si>
  <si>
    <t>0049035231</t>
  </si>
  <si>
    <t>HIP BI W/PEL 5VWS</t>
  </si>
  <si>
    <t>HIP BI 5VWS</t>
  </si>
  <si>
    <t>0049035256</t>
  </si>
  <si>
    <t>HIP ARTHROGRAPHY</t>
  </si>
  <si>
    <t>HIP ARTHRG</t>
  </si>
  <si>
    <t>0049035512</t>
  </si>
  <si>
    <t>FEMUR 2 VIEWS MIN</t>
  </si>
  <si>
    <t>FEMUR 2 VWS</t>
  </si>
  <si>
    <t>0049035520</t>
  </si>
  <si>
    <t>FEMUR 1 VW</t>
  </si>
  <si>
    <t>0049035603</t>
  </si>
  <si>
    <t>KNEE 1-2 VIEWS</t>
  </si>
  <si>
    <t>KNEE 1-2VWS</t>
  </si>
  <si>
    <t>0049035611</t>
  </si>
  <si>
    <t>KNEES/BILAT AP STANDING</t>
  </si>
  <si>
    <t>KNEES BI STAND</t>
  </si>
  <si>
    <t>0049035629</t>
  </si>
  <si>
    <t>KNEE 3 VIEWS</t>
  </si>
  <si>
    <t>KNEE 3 VW</t>
  </si>
  <si>
    <t>0049035702</t>
  </si>
  <si>
    <t>KNEE COMP 4 VW MIN</t>
  </si>
  <si>
    <t>KNEE 4 VW MIN</t>
  </si>
  <si>
    <t>0049035801</t>
  </si>
  <si>
    <t>KNEE ARTHROGRAPHY</t>
  </si>
  <si>
    <t>KNEE ARTHRG</t>
  </si>
  <si>
    <t>0049035900</t>
  </si>
  <si>
    <t>TIBIA/FIBULA 2 VIEWS</t>
  </si>
  <si>
    <t>TIB/FIB 2 VWS</t>
  </si>
  <si>
    <t>0049035918</t>
  </si>
  <si>
    <t>LOWER EXT INFANT AP&amp;LAT</t>
  </si>
  <si>
    <t>LWR EXT INFANT</t>
  </si>
  <si>
    <t>0049036007</t>
  </si>
  <si>
    <t>ANKLE 2 VIEWS</t>
  </si>
  <si>
    <t>ANKLE 2 VWS</t>
  </si>
  <si>
    <t>0049036106</t>
  </si>
  <si>
    <t>ANKLE 3 VIEWS MINIMUM</t>
  </si>
  <si>
    <t>ANKLE 3 VWS MIN</t>
  </si>
  <si>
    <t>0049036155</t>
  </si>
  <si>
    <t>ANKLE ARTHROGRAPHY</t>
  </si>
  <si>
    <t>ANKLE ARTHRG</t>
  </si>
  <si>
    <t>0049036205</t>
  </si>
  <si>
    <t>FOOT 2 VIEWS</t>
  </si>
  <si>
    <t>FOOT 2VWS</t>
  </si>
  <si>
    <t>0049036304</t>
  </si>
  <si>
    <t>FOOT 3 VIEWS MINIMUM</t>
  </si>
  <si>
    <t>FOOT 3 VWS MIN</t>
  </si>
  <si>
    <t>0049036502</t>
  </si>
  <si>
    <t>OS CALCIS 2 VIEWS</t>
  </si>
  <si>
    <t>OS CALCIS 2VWS</t>
  </si>
  <si>
    <t>0049036601</t>
  </si>
  <si>
    <t>TOE(S) 2 VIEWS</t>
  </si>
  <si>
    <t>TOE(S) 2 VWS</t>
  </si>
  <si>
    <t>0049040181</t>
  </si>
  <si>
    <t>ABDOMEN 1 VIEW</t>
  </si>
  <si>
    <t>0049040199</t>
  </si>
  <si>
    <t>ABDOMEN 2 VIEWS</t>
  </si>
  <si>
    <t>0049040215</t>
  </si>
  <si>
    <t>ABDOMEN 3/+ VIEWS</t>
  </si>
  <si>
    <t>ABDOMEN 3/+ VIE</t>
  </si>
  <si>
    <t>0049040223</t>
  </si>
  <si>
    <t>ABDOMEN 2+VWS SNGL VW CHEST</t>
  </si>
  <si>
    <t>ABDOMEN 2+VWS S</t>
  </si>
  <si>
    <t>0049040306</t>
  </si>
  <si>
    <t>ABDOMEN/CHEST DET FORBDY</t>
  </si>
  <si>
    <t>ABD/CHST FORBDY</t>
  </si>
  <si>
    <t>0049042005</t>
  </si>
  <si>
    <t>ERCP BILIARY&amp;PANCREATIC</t>
  </si>
  <si>
    <t>ERCP</t>
  </si>
  <si>
    <t>0049042203</t>
  </si>
  <si>
    <t>X-RAY ESOPHAGUS SNGL CM STDY</t>
  </si>
  <si>
    <t xml:space="preserve">ESOPHAGUS SNGL </t>
  </si>
  <si>
    <t>0049042211</t>
  </si>
  <si>
    <t>ESOPHAGUS W/DBL CONTRAST</t>
  </si>
  <si>
    <t>ESOPHAGUS W/CON</t>
  </si>
  <si>
    <t>0049042302</t>
  </si>
  <si>
    <t>SWAL FUNC W/CINE/VIDEO+CM STDY</t>
  </si>
  <si>
    <t>SWAL FUNC W CIN</t>
  </si>
  <si>
    <t>0049042351</t>
  </si>
  <si>
    <t>REMOVE FB W/FLUORO</t>
  </si>
  <si>
    <t>FB RMOVAL FLUOR</t>
  </si>
  <si>
    <t>0049042427</t>
  </si>
  <si>
    <t>UPPER GI W/SNGL CM STDY</t>
  </si>
  <si>
    <t>UPPER GI W/SNGL</t>
  </si>
  <si>
    <t>0049042443</t>
  </si>
  <si>
    <t>UPPER GI DOUBLE CM STDY</t>
  </si>
  <si>
    <t>UPPER GI DBL CM</t>
  </si>
  <si>
    <t>0049042484</t>
  </si>
  <si>
    <t>UPPER GI SM INT F-THRU STD</t>
  </si>
  <si>
    <t>UPPER GI SM INT</t>
  </si>
  <si>
    <t>0049042500</t>
  </si>
  <si>
    <t>SM BOWEL SNGL CM STDY</t>
  </si>
  <si>
    <t>SM BOWEL SNGL C</t>
  </si>
  <si>
    <t>0049042518</t>
  </si>
  <si>
    <t>ENTERCOLYSIS SM BOWEL DBL CM</t>
  </si>
  <si>
    <t>SM BOWEL DBL CO</t>
  </si>
  <si>
    <t>0049042708</t>
  </si>
  <si>
    <t>COLON SNGL CM STUDY</t>
  </si>
  <si>
    <t>COLON BARIUM EN</t>
  </si>
  <si>
    <t>0049042807</t>
  </si>
  <si>
    <t>COLON DBL CM STUDY INCLD GLUC</t>
  </si>
  <si>
    <t>COLON DBL CM IN</t>
  </si>
  <si>
    <t>0049042831</t>
  </si>
  <si>
    <t>BARIUM ENEMA THERAPEUTIC</t>
  </si>
  <si>
    <t>BARIUM ENEMA RX</t>
  </si>
  <si>
    <t>0049043003</t>
  </si>
  <si>
    <t>CHOLANGIO INTRAOP S&amp;I INIT</t>
  </si>
  <si>
    <t>CHOLANGIO INTRA</t>
  </si>
  <si>
    <t>0049043409</t>
  </si>
  <si>
    <t>GI TUBE INTRO W/FLUORO</t>
  </si>
  <si>
    <t>GI TUBE LOCALZT</t>
  </si>
  <si>
    <t>0049044001</t>
  </si>
  <si>
    <t>UROGRAPHY EXCRETORY(IVP)</t>
  </si>
  <si>
    <t>UROGRAM IVP</t>
  </si>
  <si>
    <t>0049044209</t>
  </si>
  <si>
    <t>UROG/PYELOGRAPHY RETRO</t>
  </si>
  <si>
    <t>PYELOGRAM RETRO</t>
  </si>
  <si>
    <t>0049044258</t>
  </si>
  <si>
    <t>0049044340</t>
  </si>
  <si>
    <t>0049044506</t>
  </si>
  <si>
    <t>URETHROCYSTOGRAPHY RETR</t>
  </si>
  <si>
    <t>URETHROGRM RETR</t>
  </si>
  <si>
    <t>0049044555</t>
  </si>
  <si>
    <t>URETHROCYSTOGRAPHY VOID</t>
  </si>
  <si>
    <t>URETHROGRM VOID</t>
  </si>
  <si>
    <t>0049047400</t>
  </si>
  <si>
    <t>HYSTEROSALPINGOGRAPHY</t>
  </si>
  <si>
    <t>HYSTEROSALPNGDG</t>
  </si>
  <si>
    <t>0049058092</t>
  </si>
  <si>
    <t>SHUNTOGRAM PREV NONVASC</t>
  </si>
  <si>
    <t>SHUNTOGRAM</t>
  </si>
  <si>
    <t>0049059702</t>
  </si>
  <si>
    <t>0049059710</t>
  </si>
  <si>
    <t>0049059850</t>
  </si>
  <si>
    <t>0049059975</t>
  </si>
  <si>
    <t>0049059983</t>
  </si>
  <si>
    <t>0049060049</t>
  </si>
  <si>
    <t>0049060106</t>
  </si>
  <si>
    <t>0049060114</t>
  </si>
  <si>
    <t>0049060205</t>
  </si>
  <si>
    <t>BONE AGE STUDIES</t>
  </si>
  <si>
    <t>BN AGE STUDIES</t>
  </si>
  <si>
    <t>0049060403</t>
  </si>
  <si>
    <t>BONE LENGTH STUDIES</t>
  </si>
  <si>
    <t>BONE LGTH STUDY</t>
  </si>
  <si>
    <t>0049060601</t>
  </si>
  <si>
    <t>BONE SURVEY LIMITED</t>
  </si>
  <si>
    <t>BONE SURVEY</t>
  </si>
  <si>
    <t>0049060635</t>
  </si>
  <si>
    <t>BONE SURVEY COMPLETE</t>
  </si>
  <si>
    <t>BONE STUDY COMP</t>
  </si>
  <si>
    <t>0049060650</t>
  </si>
  <si>
    <t>BONE SURVEY INFANT</t>
  </si>
  <si>
    <t>BONE SURV INFNT</t>
  </si>
  <si>
    <t>0049060825</t>
  </si>
  <si>
    <t>0049064504</t>
  </si>
  <si>
    <t>0049065980</t>
  </si>
  <si>
    <t>0049075203</t>
  </si>
  <si>
    <t>0049075310</t>
  </si>
  <si>
    <t>0049075849</t>
  </si>
  <si>
    <t>DRN HEPATOMY ABSC/CYST</t>
  </si>
  <si>
    <t>ABSC DRN LIVER</t>
  </si>
  <si>
    <t>0049075856</t>
  </si>
  <si>
    <t>ASP/INJ RENL CYST/PELVIS</t>
  </si>
  <si>
    <t>ASP RENAL CYST</t>
  </si>
  <si>
    <t>0049076052</t>
  </si>
  <si>
    <t>INJ ANKLE ARTHROGRAM</t>
  </si>
  <si>
    <t>INJ ANKLE ARTHG</t>
  </si>
  <si>
    <t>0049076151</t>
  </si>
  <si>
    <t>INJ BLADDR XRAY</t>
  </si>
  <si>
    <t>0049076201</t>
  </si>
  <si>
    <t>INJ BLADDER RETRO UR</t>
  </si>
  <si>
    <t>INJ BLADDR RETR</t>
  </si>
  <si>
    <t>0049076508</t>
  </si>
  <si>
    <t>INJ HIP ARTHG</t>
  </si>
  <si>
    <t>0049076706</t>
  </si>
  <si>
    <t>0049076854</t>
  </si>
  <si>
    <t>0049077001</t>
  </si>
  <si>
    <t>0049077100</t>
  </si>
  <si>
    <t>INJ SPINE DISK CERV/THOR</t>
  </si>
  <si>
    <t>INJ SPINE DISK</t>
  </si>
  <si>
    <t>0049077159</t>
  </si>
  <si>
    <t>INJECT SPINE DISK LMBR</t>
  </si>
  <si>
    <t>0049077407</t>
  </si>
  <si>
    <t>INJ&amp;CATH HYSTER/SONOHYST</t>
  </si>
  <si>
    <t>INJ HYSTERO/SIS</t>
  </si>
  <si>
    <t>0049077456</t>
  </si>
  <si>
    <t>INJ WRIST ARTHROGRAM</t>
  </si>
  <si>
    <t>INJ WRIST ARTHG</t>
  </si>
  <si>
    <t>0049077720</t>
  </si>
  <si>
    <t>0049079031</t>
  </si>
  <si>
    <t>0049089006</t>
  </si>
  <si>
    <t>0049094279</t>
  </si>
  <si>
    <t>INJ EVAL PREV PV SHUNT</t>
  </si>
  <si>
    <t>INJ EVAL PREV P</t>
  </si>
  <si>
    <t>0049094659</t>
  </si>
  <si>
    <t>CM EVAL GTUBE</t>
  </si>
  <si>
    <t>0049100175</t>
  </si>
  <si>
    <t>0049100258</t>
  </si>
  <si>
    <t>0049100324</t>
  </si>
  <si>
    <t>PLC FIDUCL MRKR LIVER</t>
  </si>
  <si>
    <t>PL FIDUCL LIVER</t>
  </si>
  <si>
    <t>0049101108</t>
  </si>
  <si>
    <t>0049101124</t>
  </si>
  <si>
    <t>0049101355</t>
  </si>
  <si>
    <t>ABLATN RENL TUMORS CRYO</t>
  </si>
  <si>
    <t>ABLATN RENL TUM</t>
  </si>
  <si>
    <t>0049101405</t>
  </si>
  <si>
    <t>0049101603</t>
  </si>
  <si>
    <t>0049101637</t>
  </si>
  <si>
    <t>0049102692</t>
  </si>
  <si>
    <t>PLC CLOSE DEVC</t>
  </si>
  <si>
    <t>0049103641</t>
  </si>
  <si>
    <t>DX BONE MARROW ASP/BX MULTI</t>
  </si>
  <si>
    <t xml:space="preserve">DX BONE ASP/BX </t>
  </si>
  <si>
    <t>0049104045</t>
  </si>
  <si>
    <t>0049105521</t>
  </si>
  <si>
    <t>0049106081</t>
  </si>
  <si>
    <t>ASP/INJ INTERM JT WO/US</t>
  </si>
  <si>
    <t>ASP/INJ INT JT</t>
  </si>
  <si>
    <t>0049106107</t>
  </si>
  <si>
    <t>0049110307</t>
  </si>
  <si>
    <t>0049119902</t>
  </si>
  <si>
    <t>DX BONE MARROW ASPIRATION(S)</t>
  </si>
  <si>
    <t xml:space="preserve">DX BONE MARROW </t>
  </si>
  <si>
    <t>0049120009</t>
  </si>
  <si>
    <t>CHEM PLEURODESIS W/THORACOSCPY</t>
  </si>
  <si>
    <t>PLEURODESIS W/T</t>
  </si>
  <si>
    <t>0049120058</t>
  </si>
  <si>
    <t>0049120199</t>
  </si>
  <si>
    <t>0049120991</t>
  </si>
  <si>
    <t>0049122401</t>
  </si>
  <si>
    <t>MYELO CERV S&amp;I</t>
  </si>
  <si>
    <t>0049122500</t>
  </si>
  <si>
    <t>MYELO LUMB S&amp;I</t>
  </si>
  <si>
    <t>0049122609</t>
  </si>
  <si>
    <t>MYELO THORC S&amp;I</t>
  </si>
  <si>
    <t>0049122716</t>
  </si>
  <si>
    <t>0049122724</t>
  </si>
  <si>
    <t>0049122732</t>
  </si>
  <si>
    <t>0049122831</t>
  </si>
  <si>
    <t>PERC DISC REMOVAL W/IMAG</t>
  </si>
  <si>
    <t>PERC DISC REMOV</t>
  </si>
  <si>
    <t>0049122989</t>
  </si>
  <si>
    <t>0049122997</t>
  </si>
  <si>
    <t>0049123011</t>
  </si>
  <si>
    <t>0049123037</t>
  </si>
  <si>
    <t>THORACIC MYELO LUMB INJ</t>
  </si>
  <si>
    <t>MYELO THORACIC</t>
  </si>
  <si>
    <t>0049123052</t>
  </si>
  <si>
    <t>0049123136</t>
  </si>
  <si>
    <t>INJ ANESTH CERV/THOR SGL</t>
  </si>
  <si>
    <t>0049123151</t>
  </si>
  <si>
    <t>0049123169</t>
  </si>
  <si>
    <t>0049123508</t>
  </si>
  <si>
    <t>IMP TUNLD INTRATHCL CATH</t>
  </si>
  <si>
    <t>IMP TUNLD CATH</t>
  </si>
  <si>
    <t>0049124019</t>
  </si>
  <si>
    <t>BX SALIVARY GLAND NDL</t>
  </si>
  <si>
    <t>BX SAIVRY GLND</t>
  </si>
  <si>
    <t>0049125552</t>
  </si>
  <si>
    <t>0049125578</t>
  </si>
  <si>
    <t>0049129943</t>
  </si>
  <si>
    <t>CRYOABLATE SGL PULM TUMOR UNI</t>
  </si>
  <si>
    <t>CRYOABLATE PULM</t>
  </si>
  <si>
    <t>0049130404</t>
  </si>
  <si>
    <t>0049131154</t>
  </si>
  <si>
    <t>0049134539</t>
  </si>
  <si>
    <t>ESOPH DILATION OVER G/W</t>
  </si>
  <si>
    <t>ESOPH DIL GDWR</t>
  </si>
  <si>
    <t>0049135254</t>
  </si>
  <si>
    <t>0049135809</t>
  </si>
  <si>
    <t>0049137524</t>
  </si>
  <si>
    <t>0049137615</t>
  </si>
  <si>
    <t>0049141005</t>
  </si>
  <si>
    <t>0049141013</t>
  </si>
  <si>
    <t>0049141021</t>
  </si>
  <si>
    <t>0049141047</t>
  </si>
  <si>
    <t>0049142003</t>
  </si>
  <si>
    <t>0049142383</t>
  </si>
  <si>
    <t>0049142409</t>
  </si>
  <si>
    <t>0049143068</t>
  </si>
  <si>
    <t>0049143407</t>
  </si>
  <si>
    <t>GI TUBE INTRO</t>
  </si>
  <si>
    <t>0049143605</t>
  </si>
  <si>
    <t>INTRALUMINL DILATN ESOPH</t>
  </si>
  <si>
    <t>DIL STRICT/OBST</t>
  </si>
  <si>
    <t>0049143639</t>
  </si>
  <si>
    <t>0049144165</t>
  </si>
  <si>
    <t>0049144207</t>
  </si>
  <si>
    <t>0049144223</t>
  </si>
  <si>
    <t>0049144256</t>
  </si>
  <si>
    <t>0049144264</t>
  </si>
  <si>
    <t>INJILIOINGHYPGS</t>
  </si>
  <si>
    <t>0049144405</t>
  </si>
  <si>
    <t>INJ ANES PUDENDAL NERVE</t>
  </si>
  <si>
    <t>INJ PUDENDL NRV</t>
  </si>
  <si>
    <t>0049144868</t>
  </si>
  <si>
    <t>DILAT NEPHRO/URETR/URETH</t>
  </si>
  <si>
    <t>DIL NEPHRO/URET</t>
  </si>
  <si>
    <t>0049144934</t>
  </si>
  <si>
    <t>0049144942</t>
  </si>
  <si>
    <t>0049145204</t>
  </si>
  <si>
    <t>INJ NERVE BLK</t>
  </si>
  <si>
    <t>0049150089</t>
  </si>
  <si>
    <t>PERC NEPH/PYELO 0-2CM</t>
  </si>
  <si>
    <t>PERC NEPH/PYELO</t>
  </si>
  <si>
    <t>0049156011</t>
  </si>
  <si>
    <t>0049156060</t>
  </si>
  <si>
    <t>0049156276</t>
  </si>
  <si>
    <t>0049156318</t>
  </si>
  <si>
    <t>0049157068</t>
  </si>
  <si>
    <t>SPINAL SELECTIV</t>
  </si>
  <si>
    <t>0049157126</t>
  </si>
  <si>
    <t>0049157183</t>
  </si>
  <si>
    <t>0049157290</t>
  </si>
  <si>
    <t>0049157340</t>
  </si>
  <si>
    <t>0049157373</t>
  </si>
  <si>
    <t>0049157423</t>
  </si>
  <si>
    <t>ANGIO PULMO UNI</t>
  </si>
  <si>
    <t>0049157449</t>
  </si>
  <si>
    <t>0049157472</t>
  </si>
  <si>
    <t>ANGIO PULM NON-SEL CATH</t>
  </si>
  <si>
    <t>PULM CATH NON-S</t>
  </si>
  <si>
    <t>0049157571</t>
  </si>
  <si>
    <t>0049157753</t>
  </si>
  <si>
    <t>0049158116</t>
  </si>
  <si>
    <t>SPLENOPORTOGRAPHY</t>
  </si>
  <si>
    <t>SPLENOPORTOGRAM</t>
  </si>
  <si>
    <t>0049158215</t>
  </si>
  <si>
    <t>0049158231</t>
  </si>
  <si>
    <t>0049158264</t>
  </si>
  <si>
    <t>0049158280</t>
  </si>
  <si>
    <t>0049158322</t>
  </si>
  <si>
    <t>0049158348</t>
  </si>
  <si>
    <t>0049158611</t>
  </si>
  <si>
    <t>0049158710</t>
  </si>
  <si>
    <t>VENOGRAPHY SUP SAGITTAL</t>
  </si>
  <si>
    <t>VENOGPHY SUP SG</t>
  </si>
  <si>
    <t>0049158868</t>
  </si>
  <si>
    <t>0049158884</t>
  </si>
  <si>
    <t>0049158900</t>
  </si>
  <si>
    <t>0049158926</t>
  </si>
  <si>
    <t>0049158959</t>
  </si>
  <si>
    <t>0049158983</t>
  </si>
  <si>
    <t>0049159015</t>
  </si>
  <si>
    <t>0049159023</t>
  </si>
  <si>
    <t>0049159445</t>
  </si>
  <si>
    <t>0049159585</t>
  </si>
  <si>
    <t>0049159718</t>
  </si>
  <si>
    <t>TCATH BX S&amp;I</t>
  </si>
  <si>
    <t>0049159858</t>
  </si>
  <si>
    <t>0049159908</t>
  </si>
  <si>
    <t>0049159973</t>
  </si>
  <si>
    <t>0049160021</t>
  </si>
  <si>
    <t>0049160054</t>
  </si>
  <si>
    <t>0049160088</t>
  </si>
  <si>
    <t>0049160104</t>
  </si>
  <si>
    <t>0049160112</t>
  </si>
  <si>
    <t>0049160823</t>
  </si>
  <si>
    <t>0049161052</t>
  </si>
  <si>
    <t>CISTRNL LAT CERVCL PUNCT</t>
  </si>
  <si>
    <t>CERVICAL PUNCTR</t>
  </si>
  <si>
    <t>0049162217</t>
  </si>
  <si>
    <t>0049162225</t>
  </si>
  <si>
    <t>0049162241</t>
  </si>
  <si>
    <t>0049162266</t>
  </si>
  <si>
    <t>0049162282</t>
  </si>
  <si>
    <t>ARTERIOG SUBC/INOM</t>
  </si>
  <si>
    <t>ARTER SUBC/INOM</t>
  </si>
  <si>
    <t>0049162308</t>
  </si>
  <si>
    <t>0049162324</t>
  </si>
  <si>
    <t>0049162340</t>
  </si>
  <si>
    <t>0049162514</t>
  </si>
  <si>
    <t>0049162522</t>
  </si>
  <si>
    <t>0049162530</t>
  </si>
  <si>
    <t>0049162548</t>
  </si>
  <si>
    <t>INS CATH REN ART 2ND BIL</t>
  </si>
  <si>
    <t>0049164452</t>
  </si>
  <si>
    <t>INJ ANES PERIPH NERVE</t>
  </si>
  <si>
    <t>ANES PERIPH NRV</t>
  </si>
  <si>
    <t>0049164502</t>
  </si>
  <si>
    <t>0049164759</t>
  </si>
  <si>
    <t>0049164783</t>
  </si>
  <si>
    <t>0049165368</t>
  </si>
  <si>
    <t>0049165376</t>
  </si>
  <si>
    <t>0049165566</t>
  </si>
  <si>
    <t>0049165582</t>
  </si>
  <si>
    <t>0049165616</t>
  </si>
  <si>
    <t>INSRT CV DVICE</t>
  </si>
  <si>
    <t>0049165681</t>
  </si>
  <si>
    <t>INSRT PICC NO PRT/PMP&lt;5 NO IMG</t>
  </si>
  <si>
    <t>INSRT PICC &lt;5</t>
  </si>
  <si>
    <t>0049165699</t>
  </si>
  <si>
    <t>0049165715</t>
  </si>
  <si>
    <t>INSRT CVAD W PRT 5YRS&gt;</t>
  </si>
  <si>
    <t>0049165756</t>
  </si>
  <si>
    <t>0049165780</t>
  </si>
  <si>
    <t>REPLCE CATH ONLY CVAD</t>
  </si>
  <si>
    <t>REPLC CVAD CATH</t>
  </si>
  <si>
    <t>0049165806</t>
  </si>
  <si>
    <t>0049165814</t>
  </si>
  <si>
    <t>0049165822</t>
  </si>
  <si>
    <t>RPLC TUNNL CVAD W PORT</t>
  </si>
  <si>
    <t>REPLC CVA DVICE</t>
  </si>
  <si>
    <t>0049165848</t>
  </si>
  <si>
    <t>0049165855</t>
  </si>
  <si>
    <t>REPLC COMP CVAD W SQ PRT</t>
  </si>
  <si>
    <t>0049165897</t>
  </si>
  <si>
    <t>0049165905</t>
  </si>
  <si>
    <t>0049165939</t>
  </si>
  <si>
    <t>0049165988</t>
  </si>
  <si>
    <t>0049169378</t>
  </si>
  <si>
    <t>0049169428</t>
  </si>
  <si>
    <t>0049170129</t>
  </si>
  <si>
    <t>CT GUIDANCE NDL PLACEMNT</t>
  </si>
  <si>
    <t>CT GUIDE NDL PL</t>
  </si>
  <si>
    <t>0049170137</t>
  </si>
  <si>
    <t>CT GDE PARENCHYM ABLAT</t>
  </si>
  <si>
    <t>CT GD PAREN ABL</t>
  </si>
  <si>
    <t>0049170962</t>
  </si>
  <si>
    <t>0049171820</t>
  </si>
  <si>
    <t>0049171838</t>
  </si>
  <si>
    <t>0049171911</t>
  </si>
  <si>
    <t>0049171937</t>
  </si>
  <si>
    <t>0049171952</t>
  </si>
  <si>
    <t>THROMBOLYSIS CEREB IV</t>
  </si>
  <si>
    <t>THROMB CEREB IV</t>
  </si>
  <si>
    <t>0049171978</t>
  </si>
  <si>
    <t>TCATH RETRV INTRAVASC FB+IMG</t>
  </si>
  <si>
    <t>TCATH RETRV FB</t>
  </si>
  <si>
    <t>0049172117</t>
  </si>
  <si>
    <t>0049172125</t>
  </si>
  <si>
    <t>0049172133</t>
  </si>
  <si>
    <t>0049172141</t>
  </si>
  <si>
    <t>0049172158</t>
  </si>
  <si>
    <t>0049172182</t>
  </si>
  <si>
    <t>PERC ANTEGR STENT CAR</t>
  </si>
  <si>
    <t>PERC ANTE STNT</t>
  </si>
  <si>
    <t>0049172364</t>
  </si>
  <si>
    <t>0049172380</t>
  </si>
  <si>
    <t>0049172422</t>
  </si>
  <si>
    <t>0049172430</t>
  </si>
  <si>
    <t>0049172448</t>
  </si>
  <si>
    <t>0049174006</t>
  </si>
  <si>
    <t>ASPIR/INJ THYROID CYST</t>
  </si>
  <si>
    <t>ASP/INJ THYROID</t>
  </si>
  <si>
    <t>0049174600</t>
  </si>
  <si>
    <t>0049175029</t>
  </si>
  <si>
    <t>0049175037</t>
  </si>
  <si>
    <t>BIOPSY BONE DEEP</t>
  </si>
  <si>
    <t>BX BONE DEEP</t>
  </si>
  <si>
    <t>0049175045</t>
  </si>
  <si>
    <t>BIOPSY BONE SUPERFICIAL</t>
  </si>
  <si>
    <t>BX BONE SUPRFCL</t>
  </si>
  <si>
    <t>0049175052</t>
  </si>
  <si>
    <t>0049175094</t>
  </si>
  <si>
    <t>BX THYROID PERC NDL</t>
  </si>
  <si>
    <t>BX THYROID PERC</t>
  </si>
  <si>
    <t>0049175102</t>
  </si>
  <si>
    <t>BX LUNG/MEDIAST PERC NDL</t>
  </si>
  <si>
    <t>BX LUNG/MEDIAST</t>
  </si>
  <si>
    <t>0049175110</t>
  </si>
  <si>
    <t>BX MUSCLE PERC NDL</t>
  </si>
  <si>
    <t>BX MUSCLE PERC</t>
  </si>
  <si>
    <t>0049175128</t>
  </si>
  <si>
    <t>BX PANCREAS PERC NDL</t>
  </si>
  <si>
    <t>BX PANCRS PERC</t>
  </si>
  <si>
    <t>0049175144</t>
  </si>
  <si>
    <t>0049175151</t>
  </si>
  <si>
    <t>0049175201</t>
  </si>
  <si>
    <t>0049175268</t>
  </si>
  <si>
    <t>0049175284</t>
  </si>
  <si>
    <t>0049175300</t>
  </si>
  <si>
    <t>CHNG EXT/INT URETR STENT</t>
  </si>
  <si>
    <t>CHNG URETR STNT</t>
  </si>
  <si>
    <t>0049175508</t>
  </si>
  <si>
    <t>DIL URETHRA STRICT INIT</t>
  </si>
  <si>
    <t>DIL URTH STR IN</t>
  </si>
  <si>
    <t>0049175821</t>
  </si>
  <si>
    <t>DRAIN PERITONEAL ABSCESS</t>
  </si>
  <si>
    <t>DRN PERIT ABSC</t>
  </si>
  <si>
    <t>0049175854</t>
  </si>
  <si>
    <t>0049176001</t>
  </si>
  <si>
    <t>0049176100</t>
  </si>
  <si>
    <t>0049176506</t>
  </si>
  <si>
    <t>0049176654</t>
  </si>
  <si>
    <t>0049176704</t>
  </si>
  <si>
    <t>0049176852</t>
  </si>
  <si>
    <t>0049176902</t>
  </si>
  <si>
    <t>0049177009</t>
  </si>
  <si>
    <t>0049177603</t>
  </si>
  <si>
    <t>0049177702</t>
  </si>
  <si>
    <t>0049177728</t>
  </si>
  <si>
    <t>0049177827</t>
  </si>
  <si>
    <t>INTRO LONG GI TUBE</t>
  </si>
  <si>
    <t>INTRO GI TUBE</t>
  </si>
  <si>
    <t>0049177900</t>
  </si>
  <si>
    <t>0049177959</t>
  </si>
  <si>
    <t>0049177975</t>
  </si>
  <si>
    <t>0049178007</t>
  </si>
  <si>
    <t>0049178106</t>
  </si>
  <si>
    <t>0049178155</t>
  </si>
  <si>
    <t>0049178205</t>
  </si>
  <si>
    <t>0049178254</t>
  </si>
  <si>
    <t>0049178304</t>
  </si>
  <si>
    <t>0049178353</t>
  </si>
  <si>
    <t>0049178403</t>
  </si>
  <si>
    <t>0049178452</t>
  </si>
  <si>
    <t>0049178650</t>
  </si>
  <si>
    <t>0049178700</t>
  </si>
  <si>
    <t>CATH VENACAVA</t>
  </si>
  <si>
    <t>0049178858</t>
  </si>
  <si>
    <t>0049178908</t>
  </si>
  <si>
    <t>0049179864</t>
  </si>
  <si>
    <t>0049180052</t>
  </si>
  <si>
    <t>0049181258</t>
  </si>
  <si>
    <t>PLC CATH LT/RT ARTERY</t>
  </si>
  <si>
    <t>0049181720</t>
  </si>
  <si>
    <t>0049181787</t>
  </si>
  <si>
    <t>0049181803</t>
  </si>
  <si>
    <t>0049182009</t>
  </si>
  <si>
    <t>0049182058</t>
  </si>
  <si>
    <t>0049182108</t>
  </si>
  <si>
    <t>BIL ENDO DIL ST</t>
  </si>
  <si>
    <t>0049182157</t>
  </si>
  <si>
    <t>BX LIVER PERC NDL</t>
  </si>
  <si>
    <t>BX LIVR PERC ND</t>
  </si>
  <si>
    <t>0049182207</t>
  </si>
  <si>
    <t>LIVER BX W/OTHER PROC</t>
  </si>
  <si>
    <t>LIVER BX W/OTHR</t>
  </si>
  <si>
    <t>0049182215</t>
  </si>
  <si>
    <t>DX BONE MARROW BIOPSIES</t>
  </si>
  <si>
    <t>0049182306</t>
  </si>
  <si>
    <t>0049185002</t>
  </si>
  <si>
    <t>0049189004</t>
  </si>
  <si>
    <t>0049190820</t>
  </si>
  <si>
    <t>0049190838</t>
  </si>
  <si>
    <t>0049194061</t>
  </si>
  <si>
    <t>0049194111</t>
  </si>
  <si>
    <t>PLC FIDUCL MRKR ABD/PEL</t>
  </si>
  <si>
    <t>PL FIDUCIAL MKR</t>
  </si>
  <si>
    <t>0049194152</t>
  </si>
  <si>
    <t>IMG CATH FLUID COL VISC</t>
  </si>
  <si>
    <t>CATH FL COLL VI</t>
  </si>
  <si>
    <t>0049194186</t>
  </si>
  <si>
    <t>INS INTRAPER CA</t>
  </si>
  <si>
    <t>0049194210</t>
  </si>
  <si>
    <t>0049194228</t>
  </si>
  <si>
    <t>REM INTRAPERTNL</t>
  </si>
  <si>
    <t>0049194236</t>
  </si>
  <si>
    <t>0049194244</t>
  </si>
  <si>
    <t>INJ ABSC/CYST PREV CATH</t>
  </si>
  <si>
    <t>INJ PREV CATH</t>
  </si>
  <si>
    <t>0049194277</t>
  </si>
  <si>
    <t>INJ SHUNT EXIST</t>
  </si>
  <si>
    <t>0049194400</t>
  </si>
  <si>
    <t>0049194418</t>
  </si>
  <si>
    <t>0049194426</t>
  </si>
  <si>
    <t>0049194467</t>
  </si>
  <si>
    <t>0049194509</t>
  </si>
  <si>
    <t>0049194525</t>
  </si>
  <si>
    <t>0049194533</t>
  </si>
  <si>
    <t>0049194608</t>
  </si>
  <si>
    <t>0049194657</t>
  </si>
  <si>
    <t>0049194673</t>
  </si>
  <si>
    <t>CM EVAL JTUBE</t>
  </si>
  <si>
    <t>0049194681</t>
  </si>
  <si>
    <t>0050500420</t>
  </si>
  <si>
    <t>CT CEREBRAL PERF W CONT</t>
  </si>
  <si>
    <t>CT CEREBRL PERF</t>
  </si>
  <si>
    <t>0050500602</t>
  </si>
  <si>
    <t>I&amp;D ABSCESS SIMP/SNGL</t>
  </si>
  <si>
    <t>I&amp;D ABSC SMPL/S</t>
  </si>
  <si>
    <t>0050501147</t>
  </si>
  <si>
    <t>FNA BX CT GUIDANCE 1ST LES</t>
  </si>
  <si>
    <t>FNA BX CT GUIDE</t>
  </si>
  <si>
    <t>0050501154</t>
  </si>
  <si>
    <t>FNA BX CT GUIDANCE EA ADL LES</t>
  </si>
  <si>
    <t>0050501600</t>
  </si>
  <si>
    <t>0050502004</t>
  </si>
  <si>
    <t>CT SINUS WITH CONTRAST</t>
  </si>
  <si>
    <t>CT SINUS W/CM</t>
  </si>
  <si>
    <t>0050502020</t>
  </si>
  <si>
    <t>CT SINUS W/O CONTRAST</t>
  </si>
  <si>
    <t>CT SINUS W/O CM</t>
  </si>
  <si>
    <t>0050502046</t>
  </si>
  <si>
    <t>CT SINUS WO/W CONTRAST</t>
  </si>
  <si>
    <t>CT SINUS WO/W</t>
  </si>
  <si>
    <t>0050502061</t>
  </si>
  <si>
    <t>CT SINUS W/O CM LTD</t>
  </si>
  <si>
    <t>0050502137</t>
  </si>
  <si>
    <t>CT HRT STRUCT MORPH W CM</t>
  </si>
  <si>
    <t>CT CARD W CONT</t>
  </si>
  <si>
    <t>0050502152</t>
  </si>
  <si>
    <t>CTA HEART W CONTRAST</t>
  </si>
  <si>
    <t>CTA HEART W CM</t>
  </si>
  <si>
    <t>0050503648</t>
  </si>
  <si>
    <t>0050504505</t>
  </si>
  <si>
    <t>CT HEAD/BRAIN WO CONTRST</t>
  </si>
  <si>
    <t>CT HD/BRN WO CM</t>
  </si>
  <si>
    <t>0050504604</t>
  </si>
  <si>
    <t>CT HEAD/BRAIN W CONTRAST</t>
  </si>
  <si>
    <t>CT HD/BRN W/CM</t>
  </si>
  <si>
    <t>0050504612</t>
  </si>
  <si>
    <t>CTA CHEST (NONCOR) WO/W</t>
  </si>
  <si>
    <t>CTA CHST WO/W</t>
  </si>
  <si>
    <t>0050504703</t>
  </si>
  <si>
    <t>CT HEAD/BRAIN WO/W CONTR</t>
  </si>
  <si>
    <t>CT HD/BRN WO/W</t>
  </si>
  <si>
    <t>0050504869</t>
  </si>
  <si>
    <t>CT MAXILLOFACIAL W/O CM</t>
  </si>
  <si>
    <t>CT FACIAL WO CM</t>
  </si>
  <si>
    <t>0050504877</t>
  </si>
  <si>
    <t>CT MAXILLOFACIAL W/CM</t>
  </si>
  <si>
    <t>CT FACIAL W/CM</t>
  </si>
  <si>
    <t>0050504885</t>
  </si>
  <si>
    <t>CT MAXILLOFACIAL WO/W CM</t>
  </si>
  <si>
    <t>CT FACIAL WO/W</t>
  </si>
  <si>
    <t>0050504901</t>
  </si>
  <si>
    <t>CT SOFT TISS NECK WO CM</t>
  </si>
  <si>
    <t>CT NECK W/O CM</t>
  </si>
  <si>
    <t>0050504919</t>
  </si>
  <si>
    <t>CT SOFT TISS NECK W CM</t>
  </si>
  <si>
    <t>CT NECK W/CM</t>
  </si>
  <si>
    <t>0050504927</t>
  </si>
  <si>
    <t>CT SFT TISS NECK WO/W CM</t>
  </si>
  <si>
    <t>CT NECK WO/W CM</t>
  </si>
  <si>
    <t>0050504968</t>
  </si>
  <si>
    <t>CTA ABD LE RO WO/W CONT</t>
  </si>
  <si>
    <t>CTA ABD LE RO</t>
  </si>
  <si>
    <t>0050504976</t>
  </si>
  <si>
    <t>CTA HEAD W CONTRAST ONLY</t>
  </si>
  <si>
    <t>CTA HEAD W CONT</t>
  </si>
  <si>
    <t>0050504984</t>
  </si>
  <si>
    <t>CTA ABDOMEN WO/W CM</t>
  </si>
  <si>
    <t>CTA ABD WO/W CM</t>
  </si>
  <si>
    <t>0050504992</t>
  </si>
  <si>
    <t>CTA NECK W CONTRAST ONLY</t>
  </si>
  <si>
    <t>CTA NECK W CONT</t>
  </si>
  <si>
    <t>0050505007</t>
  </si>
  <si>
    <t>CTA HEAD WO/W CONTRAST</t>
  </si>
  <si>
    <t>CTA HEAD WO/W</t>
  </si>
  <si>
    <t>0050505023</t>
  </si>
  <si>
    <t>CTA NECK WO/W CONTRAST</t>
  </si>
  <si>
    <t>CTA NK WO/W</t>
  </si>
  <si>
    <t>0050505049</t>
  </si>
  <si>
    <t>CTA PELVIS WO/W CONTRAST</t>
  </si>
  <si>
    <t>CTA PELVIS WO/W</t>
  </si>
  <si>
    <t>0050505080</t>
  </si>
  <si>
    <t>CTA UP EXTREMITY WO/W CM</t>
  </si>
  <si>
    <t>CTA UE WO/W CM</t>
  </si>
  <si>
    <t>0050505106</t>
  </si>
  <si>
    <t>CTA LOWR EXTRMTY WO/W CM</t>
  </si>
  <si>
    <t>CTA LE WO/W CM</t>
  </si>
  <si>
    <t>0050505205</t>
  </si>
  <si>
    <t>CT ORB/EAR/FOSSA W/O CM</t>
  </si>
  <si>
    <t>CT ORB/EAR/PFOS</t>
  </si>
  <si>
    <t>0050505247</t>
  </si>
  <si>
    <t>CT ORB/EAR/FOSSA W/CM</t>
  </si>
  <si>
    <t>0050505288</t>
  </si>
  <si>
    <t>CT ORB/EAR/FOSSA WO/W CM</t>
  </si>
  <si>
    <t>0050505528</t>
  </si>
  <si>
    <t>0050505924</t>
  </si>
  <si>
    <t>PERC RF ABLATE RENL TUMR</t>
  </si>
  <si>
    <t>RF ABLATE RENL</t>
  </si>
  <si>
    <t>0050505932</t>
  </si>
  <si>
    <t>ABLAT RENL TUMR</t>
  </si>
  <si>
    <t>0050506070</t>
  </si>
  <si>
    <t>0050506104</t>
  </si>
  <si>
    <t>0050509827</t>
  </si>
  <si>
    <t>PERC RF ABLATE BONE TUMR</t>
  </si>
  <si>
    <t>RF ABLATE BONE</t>
  </si>
  <si>
    <t>0050510205</t>
  </si>
  <si>
    <t>CT SUBDURAL DRAIN CATH</t>
  </si>
  <si>
    <t>CT DRAIN CATH</t>
  </si>
  <si>
    <t>0050510304</t>
  </si>
  <si>
    <t>0050512508</t>
  </si>
  <si>
    <t>CT THORAX W/O CONTRAST</t>
  </si>
  <si>
    <t>CT THORAX WO CM</t>
  </si>
  <si>
    <t>0050512607</t>
  </si>
  <si>
    <t>CT THORAX WITH CONTRAST</t>
  </si>
  <si>
    <t>CT THORAX W/CM</t>
  </si>
  <si>
    <t>0050512706</t>
  </si>
  <si>
    <t>CT THORAX WO/W CONTRAST</t>
  </si>
  <si>
    <t>CT THORAX WO/W</t>
  </si>
  <si>
    <t>0050512748</t>
  </si>
  <si>
    <t>CTA CHEST (NONCOR) W CM</t>
  </si>
  <si>
    <t>CTA CHEST WCONT</t>
  </si>
  <si>
    <t>0050512755</t>
  </si>
  <si>
    <t>CT LUNG SCREENING</t>
  </si>
  <si>
    <t>CT LUNG SCRN</t>
  </si>
  <si>
    <t>0050516004</t>
  </si>
  <si>
    <t>0050521251</t>
  </si>
  <si>
    <t>CT SPINE CERVICAL W/O CM</t>
  </si>
  <si>
    <t>CT SP CERV W/O</t>
  </si>
  <si>
    <t>0050521269</t>
  </si>
  <si>
    <t>CT SPINE CERVICAL W/CM</t>
  </si>
  <si>
    <t>CT SP CERV W/CM</t>
  </si>
  <si>
    <t>0050521277</t>
  </si>
  <si>
    <t>CT SPINE CERVICL WO/W CM</t>
  </si>
  <si>
    <t>CT SP CERV WO/W</t>
  </si>
  <si>
    <t>0050521285</t>
  </si>
  <si>
    <t>CT SPINE THORACIC W/O CM</t>
  </si>
  <si>
    <t>CT SP THOR W/O</t>
  </si>
  <si>
    <t>0050521293</t>
  </si>
  <si>
    <t>CT SPINE THORACIC W/CM</t>
  </si>
  <si>
    <t>CT SP THOR W/CM</t>
  </si>
  <si>
    <t>0050521301</t>
  </si>
  <si>
    <t>CT SPINE THORACIC WO/W</t>
  </si>
  <si>
    <t>CT SP THOR WO/W</t>
  </si>
  <si>
    <t>0050521319</t>
  </si>
  <si>
    <t>CT SPINE LUMBAR W/O CM</t>
  </si>
  <si>
    <t>CT SP LUMB W/O</t>
  </si>
  <si>
    <t>0050521327</t>
  </si>
  <si>
    <t>CT SPINE LUMBAR W/CM</t>
  </si>
  <si>
    <t>CT SP LUMB W/CM</t>
  </si>
  <si>
    <t>0050521335</t>
  </si>
  <si>
    <t>CT SPINE LUMBAR WO/W CM</t>
  </si>
  <si>
    <t>CT SP LUMB WO/W</t>
  </si>
  <si>
    <t>0050521921</t>
  </si>
  <si>
    <t>CT PELVIS W/O CONTRAST</t>
  </si>
  <si>
    <t>CT PELVIS WO CM</t>
  </si>
  <si>
    <t>0050521939</t>
  </si>
  <si>
    <t>CT PELVIS WITH CONTRAST</t>
  </si>
  <si>
    <t>CT PELVIS W/CM</t>
  </si>
  <si>
    <t>0050521947</t>
  </si>
  <si>
    <t>CT PELVIS WO/W CM</t>
  </si>
  <si>
    <t>CT PELVIS WO/W</t>
  </si>
  <si>
    <t>0050521962</t>
  </si>
  <si>
    <t>CTA PELVS W CONTRST ONLY</t>
  </si>
  <si>
    <t>CTA PELV W CONT</t>
  </si>
  <si>
    <t>0050522689</t>
  </si>
  <si>
    <t>ASPIR NDLE SPINAL CORD</t>
  </si>
  <si>
    <t>ASP NDL SPNL CR</t>
  </si>
  <si>
    <t>0050522705</t>
  </si>
  <si>
    <t>0050522721</t>
  </si>
  <si>
    <t>0050522895</t>
  </si>
  <si>
    <t>0050523109</t>
  </si>
  <si>
    <t>INJ CER/THR</t>
  </si>
  <si>
    <t>0050525559</t>
  </si>
  <si>
    <t>0050525575</t>
  </si>
  <si>
    <t>0050528538</t>
  </si>
  <si>
    <t>PLC FIDUCL MRKR SPINE</t>
  </si>
  <si>
    <t>0050528546</t>
  </si>
  <si>
    <t>PLC FIDUCL MRKR LUNG</t>
  </si>
  <si>
    <t>PLC FIDUCIAL</t>
  </si>
  <si>
    <t>0050528561</t>
  </si>
  <si>
    <t>0050529973</t>
  </si>
  <si>
    <t>PERC ASP VRT DISC FOR DX</t>
  </si>
  <si>
    <t>ASP DISC FOR DX</t>
  </si>
  <si>
    <t>0050532001</t>
  </si>
  <si>
    <t>CT UPPER EXTRMTY W/O CM</t>
  </si>
  <si>
    <t>CT UE W/O CM</t>
  </si>
  <si>
    <t>0050532019</t>
  </si>
  <si>
    <t>CT UPPER EXTRMTY W/ CM</t>
  </si>
  <si>
    <t>CT UE W/ CM</t>
  </si>
  <si>
    <t>0050532027</t>
  </si>
  <si>
    <t>CT UPPER EXTRMTY WO/W CM</t>
  </si>
  <si>
    <t>CT UE WO/W CM</t>
  </si>
  <si>
    <t>0050532068</t>
  </si>
  <si>
    <t>CTA UP EXT W CONTRST ONL</t>
  </si>
  <si>
    <t>CTA UE W CONT</t>
  </si>
  <si>
    <t>0050537000</t>
  </si>
  <si>
    <t>CT LOWER EXTRMTY W/O CM</t>
  </si>
  <si>
    <t>CT LE W/O CM</t>
  </si>
  <si>
    <t>0050537018</t>
  </si>
  <si>
    <t>CT LOWER EXTRMTY W/ CM</t>
  </si>
  <si>
    <t>CT LE W/ CM</t>
  </si>
  <si>
    <t>0050537026</t>
  </si>
  <si>
    <t>CT LOWER EXTRMTY WO/W CM</t>
  </si>
  <si>
    <t>CT LE WO/W CM</t>
  </si>
  <si>
    <t>0050537067</t>
  </si>
  <si>
    <t>CTA LOW EXT W CNTRST ONL</t>
  </si>
  <si>
    <t>CTA LE W CONT</t>
  </si>
  <si>
    <t>0050541507</t>
  </si>
  <si>
    <t>CT ABDOMEN W/O CM</t>
  </si>
  <si>
    <t>CT ABD W/O CM</t>
  </si>
  <si>
    <t>0050541606</t>
  </si>
  <si>
    <t>CT ABDOMEN W/ CM</t>
  </si>
  <si>
    <t>CT ABD W/ CM</t>
  </si>
  <si>
    <t>0050541705</t>
  </si>
  <si>
    <t>CT ABDOMEN WO/W CM</t>
  </si>
  <si>
    <t>CT ABD WO/W CM</t>
  </si>
  <si>
    <t>0050541747</t>
  </si>
  <si>
    <t>CTA ABD/PEL WO/W CM</t>
  </si>
  <si>
    <t>CTA ABDPEL WO/W</t>
  </si>
  <si>
    <t>0050541754</t>
  </si>
  <si>
    <t>CTA ABD W CONTRAST ONLY</t>
  </si>
  <si>
    <t>CTA ABD W CONT</t>
  </si>
  <si>
    <t>0050541770</t>
  </si>
  <si>
    <t>CT ABD &amp; PELVIS W/CM</t>
  </si>
  <si>
    <t>CT AB/PEL W/CM</t>
  </si>
  <si>
    <t>0050541788</t>
  </si>
  <si>
    <t>CT ABD &amp; PELVIS WO/W CM</t>
  </si>
  <si>
    <t>CT ABD/PEL WO/W</t>
  </si>
  <si>
    <t>0050541796</t>
  </si>
  <si>
    <t>CT ABD &amp; PELVIS W/O CM</t>
  </si>
  <si>
    <t>CT AB/PEL WO CM</t>
  </si>
  <si>
    <t>0050541804</t>
  </si>
  <si>
    <t>CTA ABD/PEL W CONTRAST</t>
  </si>
  <si>
    <t>CTA ABDPEL W</t>
  </si>
  <si>
    <t>0050544907</t>
  </si>
  <si>
    <t>0050544915</t>
  </si>
  <si>
    <t>0050544923</t>
  </si>
  <si>
    <t>C/T FACET INJ+IMAGE LV3+</t>
  </si>
  <si>
    <t>0050544931</t>
  </si>
  <si>
    <t>0050544949</t>
  </si>
  <si>
    <t>0050544956</t>
  </si>
  <si>
    <t>L SP FACET INJ+IMAG LV3+</t>
  </si>
  <si>
    <t>0050545201</t>
  </si>
  <si>
    <t>0050556356</t>
  </si>
  <si>
    <t>CTA ABD LE RO W CONT ONL</t>
  </si>
  <si>
    <t>CTA ABD LE RO W</t>
  </si>
  <si>
    <t>0050559905</t>
  </si>
  <si>
    <t>DRN ABSC W/CATH</t>
  </si>
  <si>
    <t>0050560697</t>
  </si>
  <si>
    <t>BX ADRENAL GLAND</t>
  </si>
  <si>
    <t>BX ADRENAL</t>
  </si>
  <si>
    <t>0050560705</t>
  </si>
  <si>
    <t>CT BONE DENS AXIAL 1OR&gt;</t>
  </si>
  <si>
    <t>CT BONE DENSITY</t>
  </si>
  <si>
    <t>0050563550</t>
  </si>
  <si>
    <t>CT STEREOTACTIC LOCALZTN</t>
  </si>
  <si>
    <t>CT STEREOTACTIC</t>
  </si>
  <si>
    <t>0050563618</t>
  </si>
  <si>
    <t>0050565001</t>
  </si>
  <si>
    <t>CT CARD SCORING WO CONT</t>
  </si>
  <si>
    <t>CT CARD SCORING</t>
  </si>
  <si>
    <t>0050565050</t>
  </si>
  <si>
    <t>CT LTD OR LOC F/U STUDY</t>
  </si>
  <si>
    <t>CT LTD/LOC F/U</t>
  </si>
  <si>
    <t>0050570134</t>
  </si>
  <si>
    <t>0050570407</t>
  </si>
  <si>
    <t>BX SOFT PELVIS/HIP SPFC</t>
  </si>
  <si>
    <t>BX SFT PLVS/HIP</t>
  </si>
  <si>
    <t>0050570969</t>
  </si>
  <si>
    <t>0050573823</t>
  </si>
  <si>
    <t>PERC RF ABLATE LIVR TUMR</t>
  </si>
  <si>
    <t>RF ABLATE TUMR</t>
  </si>
  <si>
    <t>0050574904</t>
  </si>
  <si>
    <t>0050575026</t>
  </si>
  <si>
    <t>0050575034</t>
  </si>
  <si>
    <t>0050575042</t>
  </si>
  <si>
    <t>0050575059</t>
  </si>
  <si>
    <t>0050575109</t>
  </si>
  <si>
    <t>0050575117</t>
  </si>
  <si>
    <t>0050575125</t>
  </si>
  <si>
    <t>0050575141</t>
  </si>
  <si>
    <t>0050575166</t>
  </si>
  <si>
    <t>0050575760</t>
  </si>
  <si>
    <t>0050575844</t>
  </si>
  <si>
    <t>0050575851</t>
  </si>
  <si>
    <t>0050575869</t>
  </si>
  <si>
    <t>ABSC DRN PERIT</t>
  </si>
  <si>
    <t>0050576057</t>
  </si>
  <si>
    <t>0050576107</t>
  </si>
  <si>
    <t>0050576370</t>
  </si>
  <si>
    <t>0050582154</t>
  </si>
  <si>
    <t>0050582212</t>
  </si>
  <si>
    <t>0050585751</t>
  </si>
  <si>
    <t>BX SOFT TISSUE NECK/THOR</t>
  </si>
  <si>
    <t>BX SFT TIS NK/T</t>
  </si>
  <si>
    <t>0050590835</t>
  </si>
  <si>
    <t>0050594050</t>
  </si>
  <si>
    <t>0050594068</t>
  </si>
  <si>
    <t>0050594233</t>
  </si>
  <si>
    <t>0050600105</t>
  </si>
  <si>
    <t>0050600352</t>
  </si>
  <si>
    <t>PLC SFT TISS DEV PERC 1ST+IMG</t>
  </si>
  <si>
    <t>PLC SFT TISS DE</t>
  </si>
  <si>
    <t>0050600600</t>
  </si>
  <si>
    <t>0050601103</t>
  </si>
  <si>
    <t>0050601111</t>
  </si>
  <si>
    <t>FNA BX US GUIDANCE EA ADD LES</t>
  </si>
  <si>
    <t>0050606086</t>
  </si>
  <si>
    <t>0050606102</t>
  </si>
  <si>
    <t>0050606110</t>
  </si>
  <si>
    <t>0050610104</t>
  </si>
  <si>
    <t>0050610302</t>
  </si>
  <si>
    <t>0050611607</t>
  </si>
  <si>
    <t>0050620152</t>
  </si>
  <si>
    <t>ART/VEN FLW COM</t>
  </si>
  <si>
    <t>0050620178</t>
  </si>
  <si>
    <t>0050620202</t>
  </si>
  <si>
    <t>AORT/INF/IV/BPG COMP</t>
  </si>
  <si>
    <t>0050622729</t>
  </si>
  <si>
    <t>LUMBAR PUNCTUR</t>
  </si>
  <si>
    <t>0050624006</t>
  </si>
  <si>
    <t>BX SALIVRY GLND</t>
  </si>
  <si>
    <t>0050625557</t>
  </si>
  <si>
    <t>0050625573</t>
  </si>
  <si>
    <t>0050638865</t>
  </si>
  <si>
    <t>TRANSCRANIAL DOPP COMP</t>
  </si>
  <si>
    <t>TRANSCRNL COMP</t>
  </si>
  <si>
    <t>0050645001</t>
  </si>
  <si>
    <t>BIOPSY TESTIS</t>
  </si>
  <si>
    <t>0050660026</t>
  </si>
  <si>
    <t>0050665108</t>
  </si>
  <si>
    <t>OPHTHALMIC A-MODE ECHO</t>
  </si>
  <si>
    <t>OPHTH AMODE ECH</t>
  </si>
  <si>
    <t>0050665124</t>
  </si>
  <si>
    <t>OPHTHALMIC CONT B-SCAN</t>
  </si>
  <si>
    <t>OPHTH CONT BSCN</t>
  </si>
  <si>
    <t>0050665363</t>
  </si>
  <si>
    <t>US SOFT TISSUE HEAD/NECK</t>
  </si>
  <si>
    <t>US SOFT HEAD/NK</t>
  </si>
  <si>
    <t>0050666049</t>
  </si>
  <si>
    <t>US CHEST INCLD MEDIASTNM</t>
  </si>
  <si>
    <t>US CHEST B-SCAN</t>
  </si>
  <si>
    <t>0050666395</t>
  </si>
  <si>
    <t>0050666452</t>
  </si>
  <si>
    <t>0050666502</t>
  </si>
  <si>
    <t>0050667005</t>
  </si>
  <si>
    <t>US ABDOMEN COMPLETE</t>
  </si>
  <si>
    <t>US ABD COMPLETE</t>
  </si>
  <si>
    <t>0050667054</t>
  </si>
  <si>
    <t>US ABD LTD SNGLE/QUAD/FU</t>
  </si>
  <si>
    <t>US ABD LTD/FU</t>
  </si>
  <si>
    <t>0050667708</t>
  </si>
  <si>
    <t>US RETROPERITONEAL COMP</t>
  </si>
  <si>
    <t>US RETROPL COMP</t>
  </si>
  <si>
    <t>0050667757</t>
  </si>
  <si>
    <t>US RETROPERITONEAL LTD</t>
  </si>
  <si>
    <t>US RETROPL LTD</t>
  </si>
  <si>
    <t>0050667781</t>
  </si>
  <si>
    <t>US TRANSPLANT KIDNEY</t>
  </si>
  <si>
    <t>US TRNSP KIDNEY</t>
  </si>
  <si>
    <t>0050667823</t>
  </si>
  <si>
    <t>US SCROTUM CONTENTS</t>
  </si>
  <si>
    <t>US SCROTUM</t>
  </si>
  <si>
    <t>0050668003</t>
  </si>
  <si>
    <t>US SPINAL CANAL</t>
  </si>
  <si>
    <t>0050668011</t>
  </si>
  <si>
    <t>US OB COMP&lt;14WKS 1STGEST</t>
  </si>
  <si>
    <t>US OB&lt;14WKS</t>
  </si>
  <si>
    <t>0050668029</t>
  </si>
  <si>
    <t>US OB COMP&lt;14WK ADD GEST</t>
  </si>
  <si>
    <t>US OB&lt;14WKS ADD</t>
  </si>
  <si>
    <t>0050668102</t>
  </si>
  <si>
    <t>0050668169</t>
  </si>
  <si>
    <t>US OB TRANSVAGINAL</t>
  </si>
  <si>
    <t>US OB TRANSVAG</t>
  </si>
  <si>
    <t>0050668185</t>
  </si>
  <si>
    <t>0050668250</t>
  </si>
  <si>
    <t>0050668268</t>
  </si>
  <si>
    <t>US OB F/U PER FETUS</t>
  </si>
  <si>
    <t>US OB F/U PER</t>
  </si>
  <si>
    <t>0050668284</t>
  </si>
  <si>
    <t>INFANT HEAD ECHO</t>
  </si>
  <si>
    <t>INFANT HD ECHO</t>
  </si>
  <si>
    <t>0050668300</t>
  </si>
  <si>
    <t>US TRANSVAGINAL NOT OB</t>
  </si>
  <si>
    <t>US TRANSVAGINAL</t>
  </si>
  <si>
    <t>0050668433</t>
  </si>
  <si>
    <t>US OB COMP&gt;14WK ADD GEST</t>
  </si>
  <si>
    <t>US OB&gt;14WK ADD</t>
  </si>
  <si>
    <t>0050668516</t>
  </si>
  <si>
    <t>PENILE ART/VEN FLOW COMP</t>
  </si>
  <si>
    <t>ART/VEN PENILE</t>
  </si>
  <si>
    <t>0050668565</t>
  </si>
  <si>
    <t>US PELVIC COMPLETE</t>
  </si>
  <si>
    <t>US PELVIC COMP</t>
  </si>
  <si>
    <t>0050668581</t>
  </si>
  <si>
    <t>US PELVIC LTD/FU</t>
  </si>
  <si>
    <t>US PELVC LTD/FU</t>
  </si>
  <si>
    <t>0050668615</t>
  </si>
  <si>
    <t>US XTR JOINT COMPLETE</t>
  </si>
  <si>
    <t>US JOINT COMPLE</t>
  </si>
  <si>
    <t>0050668623</t>
  </si>
  <si>
    <t>AMNIOCENTESIS</t>
  </si>
  <si>
    <t>0050668631</t>
  </si>
  <si>
    <t>US XTR JOINT LMTD</t>
  </si>
  <si>
    <t>US XTR JOINT LM</t>
  </si>
  <si>
    <t>0050668649</t>
  </si>
  <si>
    <t>US XTR SOFT TISSUE LMTD</t>
  </si>
  <si>
    <t>US XTR SFT TISS</t>
  </si>
  <si>
    <t>0050668730</t>
  </si>
  <si>
    <t>US TRANSRECTAL</t>
  </si>
  <si>
    <t>0050668854</t>
  </si>
  <si>
    <t>US INFANT HIPS DYNAMIC</t>
  </si>
  <si>
    <t>US INF HIPS DYN</t>
  </si>
  <si>
    <t>0050668862</t>
  </si>
  <si>
    <t>US INFANT HIPS LTD STATC</t>
  </si>
  <si>
    <t>US INF HIPS STA</t>
  </si>
  <si>
    <t>0050669373</t>
  </si>
  <si>
    <t>0050669431</t>
  </si>
  <si>
    <t>US GDE PARENCHYM ABLT</t>
  </si>
  <si>
    <t>US BD PAREN ABL</t>
  </si>
  <si>
    <t>0050669605</t>
  </si>
  <si>
    <t>0050669860</t>
  </si>
  <si>
    <t>US GUIDANCE INTRAOPERATV</t>
  </si>
  <si>
    <t>US GD INTRAOPTV</t>
  </si>
  <si>
    <t>0050670405</t>
  </si>
  <si>
    <t>BX SFT PVLS/HIP</t>
  </si>
  <si>
    <t>0050674001</t>
  </si>
  <si>
    <t>0050674902</t>
  </si>
  <si>
    <t>0050675057</t>
  </si>
  <si>
    <t>0050675107</t>
  </si>
  <si>
    <t>0050675156</t>
  </si>
  <si>
    <t>0050675206</t>
  </si>
  <si>
    <t>0050675255</t>
  </si>
  <si>
    <t>0050675305</t>
  </si>
  <si>
    <t>0050675354</t>
  </si>
  <si>
    <t>0050675404</t>
  </si>
  <si>
    <t>BX PROSTATE NEEDLE/PUNCH</t>
  </si>
  <si>
    <t>BX PROSTATE NDL</t>
  </si>
  <si>
    <t>0050675453</t>
  </si>
  <si>
    <t>BX THY PERC NDL</t>
  </si>
  <si>
    <t>0050675909</t>
  </si>
  <si>
    <t>0050676105</t>
  </si>
  <si>
    <t>0050676139</t>
  </si>
  <si>
    <t>BX SOFT TISSUE LEG/ANKLE</t>
  </si>
  <si>
    <t>BX SFT LEG/ANKL</t>
  </si>
  <si>
    <t>0050676303</t>
  </si>
  <si>
    <t>0050685056</t>
  </si>
  <si>
    <t>0050685759</t>
  </si>
  <si>
    <t>0050688050</t>
  </si>
  <si>
    <t>DRN OVARY CYST ABDOMINAL</t>
  </si>
  <si>
    <t>DRN OVARY CYST</t>
  </si>
  <si>
    <t>0050690825</t>
  </si>
  <si>
    <t>0050690833</t>
  </si>
  <si>
    <t>0050691831</t>
  </si>
  <si>
    <t>0050694058</t>
  </si>
  <si>
    <t>0050694066</t>
  </si>
  <si>
    <t>0050694231</t>
  </si>
  <si>
    <t>0050710623</t>
  </si>
  <si>
    <t>ESOPH MOTILITY STUDY</t>
  </si>
  <si>
    <t>ESOMOT STD</t>
  </si>
  <si>
    <t>0050735505</t>
  </si>
  <si>
    <t>GI SURG LVL I INT 30MIN</t>
  </si>
  <si>
    <t>GI LVL I INT 30</t>
  </si>
  <si>
    <t>0050735513</t>
  </si>
  <si>
    <t>GI SURG LVL I EA ADD 15</t>
  </si>
  <si>
    <t>GI LVL I EA 15</t>
  </si>
  <si>
    <t>0050735521</t>
  </si>
  <si>
    <t>GI SURG LVL II INT 30MIN</t>
  </si>
  <si>
    <t>GI LVL II INT30</t>
  </si>
  <si>
    <t>0050735539</t>
  </si>
  <si>
    <t>GI SURG LVL II EA ADD 15</t>
  </si>
  <si>
    <t>GI LVL II EA15</t>
  </si>
  <si>
    <t>0050735547</t>
  </si>
  <si>
    <t>GI SURG LVL III INT 30M</t>
  </si>
  <si>
    <t>GI LV III INT30</t>
  </si>
  <si>
    <t>0050735554</t>
  </si>
  <si>
    <t>GI SURG LVL III EA ADD15</t>
  </si>
  <si>
    <t>GI LVL III EA15</t>
  </si>
  <si>
    <t>0050735703</t>
  </si>
  <si>
    <t>GI RECOVERY INIT 30 MIN</t>
  </si>
  <si>
    <t>0050735711</t>
  </si>
  <si>
    <t>GI RECOVERY EA ADD 15MIN</t>
  </si>
  <si>
    <t>RECOVERY EA 15</t>
  </si>
  <si>
    <t>0050791532</t>
  </si>
  <si>
    <t>0050791565</t>
  </si>
  <si>
    <t>0050791573</t>
  </si>
  <si>
    <t>0050791581</t>
  </si>
  <si>
    <t>MOD SED GI &gt;5YRS INIT15</t>
  </si>
  <si>
    <t>MODSED GI INT15</t>
  </si>
  <si>
    <t>0051914000</t>
  </si>
  <si>
    <t>GA67 CITRATE 1MCI</t>
  </si>
  <si>
    <t>GA67 CITRTE1MCI</t>
  </si>
  <si>
    <t>0051917243</t>
  </si>
  <si>
    <t>IN111 DTPA .5MCI</t>
  </si>
  <si>
    <t>IN111 DTPA.5MCI</t>
  </si>
  <si>
    <t>0051917292</t>
  </si>
  <si>
    <t>IN111 OXINE .5MCI</t>
  </si>
  <si>
    <t>IN111OXINE.5MCI</t>
  </si>
  <si>
    <t>0051940104</t>
  </si>
  <si>
    <t>TC99 MEDRONAT UPTO 30MCI</t>
  </si>
  <si>
    <t>TC99MEDRMT30MCI</t>
  </si>
  <si>
    <t>0051940260</t>
  </si>
  <si>
    <t>TC99 EXAMETAZIME DOSE</t>
  </si>
  <si>
    <t>TC99 EXMTZM DOS</t>
  </si>
  <si>
    <t>0051941706</t>
  </si>
  <si>
    <t>TC99 SESTAMIBI DOSE</t>
  </si>
  <si>
    <t>TC99 SESTAM DOS</t>
  </si>
  <si>
    <t>0051941904</t>
  </si>
  <si>
    <t>TC99 TETROFOSMIN DOSE</t>
  </si>
  <si>
    <t>TC99 TETRFS DOS</t>
  </si>
  <si>
    <t>0051948008</t>
  </si>
  <si>
    <t>TL201 CHLORIDE 1MCI</t>
  </si>
  <si>
    <t>TL201 CHLRD1MCI</t>
  </si>
  <si>
    <t>0051951002</t>
  </si>
  <si>
    <t>XENON 133 10 MCI</t>
  </si>
  <si>
    <t>XENON 133 10MCI</t>
  </si>
  <si>
    <t>0051995124</t>
  </si>
  <si>
    <t>TC99 PERTECHN PER MCI</t>
  </si>
  <si>
    <t>TC99 PERTECHNET</t>
  </si>
  <si>
    <t>0051995165</t>
  </si>
  <si>
    <t>I 123 SOD CAP PER 100UCI</t>
  </si>
  <si>
    <t>I 123 SOD CAP</t>
  </si>
  <si>
    <t>0051995371</t>
  </si>
  <si>
    <t>TC99 MEBROFENIN DOSE</t>
  </si>
  <si>
    <t>TC99 MEBROFENIN</t>
  </si>
  <si>
    <t>0051995405</t>
  </si>
  <si>
    <t>TC99 ALBUMIN MAA DOSE</t>
  </si>
  <si>
    <t>TC99ALBUMIN MAA</t>
  </si>
  <si>
    <t>0051995413</t>
  </si>
  <si>
    <t>TC99 SULFUR COLLOID DOSE</t>
  </si>
  <si>
    <t>TC99 SULFRCOLLD</t>
  </si>
  <si>
    <t>0051995603</t>
  </si>
  <si>
    <t>TC99 RBC DOSE</t>
  </si>
  <si>
    <t>0051995629</t>
  </si>
  <si>
    <t>TC99 MERTIATIDE DOSE</t>
  </si>
  <si>
    <t>TC99 MERTIATIDE</t>
  </si>
  <si>
    <t>0051996031</t>
  </si>
  <si>
    <t>DX I131 SOD CAP PER MCI</t>
  </si>
  <si>
    <t>I 131 SOD CAP</t>
  </si>
  <si>
    <t>0052020021</t>
  </si>
  <si>
    <t>TUMOR LOCAL PLANAR SNGL AREA</t>
  </si>
  <si>
    <t>TUMOR LOCAL SNG</t>
  </si>
  <si>
    <t>0052020120</t>
  </si>
  <si>
    <t>TUMOR LOCAL 2+ AREA 1+DAYS</t>
  </si>
  <si>
    <t xml:space="preserve">TUMOR LOCAL 2+ </t>
  </si>
  <si>
    <t>0052020229</t>
  </si>
  <si>
    <t>TUMOR LOCAL PLANAR WHOLEBDY</t>
  </si>
  <si>
    <t>TUMOR LOCAL WHO</t>
  </si>
  <si>
    <t>0052043007</t>
  </si>
  <si>
    <t>MC PERF SPECT WM EF SNGL</t>
  </si>
  <si>
    <t>MC PERF SNGLE</t>
  </si>
  <si>
    <t>0052043015</t>
  </si>
  <si>
    <t>MC PERF SPECT WM EF MULT</t>
  </si>
  <si>
    <t>MC PERF MULTI</t>
  </si>
  <si>
    <t>0052043023</t>
  </si>
  <si>
    <t>MC PERF WM EF SINGLE STD</t>
  </si>
  <si>
    <t>0052043031</t>
  </si>
  <si>
    <t>MC PERF WM EF MULTI STDY</t>
  </si>
  <si>
    <t>0052080124</t>
  </si>
  <si>
    <t>THYROID UPTK SNG/MULT</t>
  </si>
  <si>
    <t>THYRD UP SNGMLT</t>
  </si>
  <si>
    <t>0052080140</t>
  </si>
  <si>
    <t>THYROID IMG VSCFI SG/MLT</t>
  </si>
  <si>
    <t>THYROID SG/MLT</t>
  </si>
  <si>
    <t>0052080181</t>
  </si>
  <si>
    <t>THYROID C/M IMG WHOL BDY</t>
  </si>
  <si>
    <t>THY C/M WHL BDY</t>
  </si>
  <si>
    <t>0052080314</t>
  </si>
  <si>
    <t>PARATHYROID IMAGING</t>
  </si>
  <si>
    <t>PARATHYROID IMG</t>
  </si>
  <si>
    <t>0052080710</t>
  </si>
  <si>
    <t>PARATHYRD IMG W/SPECT</t>
  </si>
  <si>
    <t>PARATHYRD SPECT</t>
  </si>
  <si>
    <t>0052081957</t>
  </si>
  <si>
    <t>LYMPHATICS &amp; LYMPH NODES</t>
  </si>
  <si>
    <t>LYMPH NODES IMG</t>
  </si>
  <si>
    <t>0052082153</t>
  </si>
  <si>
    <t>LIVER/SPLEEN IMAG STATIC</t>
  </si>
  <si>
    <t>LIV/SPLEEN IMAG</t>
  </si>
  <si>
    <t>0052082260</t>
  </si>
  <si>
    <t>HEPATOBILIARY SYSTEM IMG</t>
  </si>
  <si>
    <t>HEPATOB IMG</t>
  </si>
  <si>
    <t>0052082278</t>
  </si>
  <si>
    <t>HEPATOBIL IMAGE W/DRUG</t>
  </si>
  <si>
    <t>HEPAT IMG W/DRG</t>
  </si>
  <si>
    <t>0052082658</t>
  </si>
  <si>
    <t>GASTRIC EMP SM BOWEL</t>
  </si>
  <si>
    <t>GASTR EMPTYING</t>
  </si>
  <si>
    <t>0052082666</t>
  </si>
  <si>
    <t>GASTRIC SM BOWEL+COL</t>
  </si>
  <si>
    <t>0052082765</t>
  </si>
  <si>
    <t>GASTRIC EMPTYING STUDY</t>
  </si>
  <si>
    <t>GAST EMPT STDY</t>
  </si>
  <si>
    <t>0052082781</t>
  </si>
  <si>
    <t>GASTROESOPH REFLUX STUDY</t>
  </si>
  <si>
    <t>GASTROESPH STDY</t>
  </si>
  <si>
    <t>0052082807</t>
  </si>
  <si>
    <t>ACUTE GI BLOOD LOSS IMG</t>
  </si>
  <si>
    <t>GI BLOOD LOSS</t>
  </si>
  <si>
    <t>0052082906</t>
  </si>
  <si>
    <t>INTESTINE IMAGING</t>
  </si>
  <si>
    <t>INTESTINE IMAG</t>
  </si>
  <si>
    <t>0052083003</t>
  </si>
  <si>
    <t>BONE IMAGING LIMITED</t>
  </si>
  <si>
    <t>BONE IMG LTD</t>
  </si>
  <si>
    <t>0052083078</t>
  </si>
  <si>
    <t>BONE IMAGING WHOLE BODY</t>
  </si>
  <si>
    <t>BONE IMG WH/BDY</t>
  </si>
  <si>
    <t>0052083151</t>
  </si>
  <si>
    <t>BONE IMAG 3 PHASE STUDY</t>
  </si>
  <si>
    <t>BONE IMG 3PHASE</t>
  </si>
  <si>
    <t>0052084027</t>
  </si>
  <si>
    <t>GATED HEART PLANAR SNGL</t>
  </si>
  <si>
    <t>GATED HRT PLANR</t>
  </si>
  <si>
    <t>0052084068</t>
  </si>
  <si>
    <t>MYOCARDIUM IMG INFARCT</t>
  </si>
  <si>
    <t>MYOCRD IMG INFR</t>
  </si>
  <si>
    <t>0052084084</t>
  </si>
  <si>
    <t>GATED HEART PLANAR MULT</t>
  </si>
  <si>
    <t>0052084316</t>
  </si>
  <si>
    <t>CARD GATED 1ST PASS REST</t>
  </si>
  <si>
    <t>CARD GTD1ST RST</t>
  </si>
  <si>
    <t>0052084589</t>
  </si>
  <si>
    <t>VENOGRAM BILATERAL</t>
  </si>
  <si>
    <t>VENOGRAM BILAT</t>
  </si>
  <si>
    <t>0052085792</t>
  </si>
  <si>
    <t>LUNG VENTILATION IMAGING</t>
  </si>
  <si>
    <t>LUNG VENT IMG</t>
  </si>
  <si>
    <t>0052085800</t>
  </si>
  <si>
    <t>LUNG PERF PARTICULATE</t>
  </si>
  <si>
    <t>PULM PERFS IMAG</t>
  </si>
  <si>
    <t>0052085834</t>
  </si>
  <si>
    <t>LUNG VENT&amp;PERF IMAGING</t>
  </si>
  <si>
    <t>PERF/VENT IMG</t>
  </si>
  <si>
    <t>0052085982</t>
  </si>
  <si>
    <t>LUNG PERFUSION DIFFER</t>
  </si>
  <si>
    <t>LUNG PERF DIFF</t>
  </si>
  <si>
    <t>0052086006</t>
  </si>
  <si>
    <t>BRAIN IMAGING &lt; 4 VIEWS</t>
  </si>
  <si>
    <t>BRAIN &lt; 4VIEWS</t>
  </si>
  <si>
    <t>0052086014</t>
  </si>
  <si>
    <t>BRAIN &lt; 4VWS W VASC FLOW</t>
  </si>
  <si>
    <t>BRAIN &lt;4VWS VF</t>
  </si>
  <si>
    <t>0052086303</t>
  </si>
  <si>
    <t>CISTERNOGRAM</t>
  </si>
  <si>
    <t>0052087061</t>
  </si>
  <si>
    <t>KID IMG FL/FUN SNG W RX</t>
  </si>
  <si>
    <t>KID IMG W RX</t>
  </si>
  <si>
    <t>0052087079</t>
  </si>
  <si>
    <t>KID IMG FL/FUN SNG WO RX</t>
  </si>
  <si>
    <t>KID IMG WO RX</t>
  </si>
  <si>
    <t>0052087095</t>
  </si>
  <si>
    <t>KIDNEY IMG FLW/FNCT W/WO</t>
  </si>
  <si>
    <t>KID IMG FLW WWO</t>
  </si>
  <si>
    <t>0052087400</t>
  </si>
  <si>
    <t>URETERAL REFLUX STUDY</t>
  </si>
  <si>
    <t>URE REFLUX STDY</t>
  </si>
  <si>
    <t>0052088044</t>
  </si>
  <si>
    <t>TUMOR LOC 2D WHOLE BDY 2+DAYS</t>
  </si>
  <si>
    <t xml:space="preserve">TUMOR LOC WHLE </t>
  </si>
  <si>
    <t>0052090057</t>
  </si>
  <si>
    <t>RADPHARM TX ORAL</t>
  </si>
  <si>
    <t>RADPHAR TX ORAL</t>
  </si>
  <si>
    <t>0052502309</t>
  </si>
  <si>
    <t>MRI SPINE CERV WO/W CM</t>
  </si>
  <si>
    <t>SP CERV WO/W CM</t>
  </si>
  <si>
    <t>0052502341</t>
  </si>
  <si>
    <t>MRI SPINE THOR WO/W CM</t>
  </si>
  <si>
    <t>SP THOR WO/W CM</t>
  </si>
  <si>
    <t>0052502382</t>
  </si>
  <si>
    <t>MRI SPINE LUMBAR WO/W CM</t>
  </si>
  <si>
    <t>SP LUMB WO/W CM</t>
  </si>
  <si>
    <t>0052506011</t>
  </si>
  <si>
    <t>MRA HEAD W/O CONTRAST</t>
  </si>
  <si>
    <t>MRA HD W/O</t>
  </si>
  <si>
    <t>0052506029</t>
  </si>
  <si>
    <t>MRA HEAD W/CONTRAST</t>
  </si>
  <si>
    <t>MRA HD W/CONT</t>
  </si>
  <si>
    <t>0052506060</t>
  </si>
  <si>
    <t>MRA NECK W/O CONTRAST</t>
  </si>
  <si>
    <t>MRA NECK WO CM</t>
  </si>
  <si>
    <t>0052506078</t>
  </si>
  <si>
    <t>MRA NECK W CONTRAST</t>
  </si>
  <si>
    <t>MRA NECK W/CM</t>
  </si>
  <si>
    <t>0052506623</t>
  </si>
  <si>
    <t>MRI SPINE CERVICL W/O CM</t>
  </si>
  <si>
    <t>SP CERV W/O CM</t>
  </si>
  <si>
    <t>0052506763</t>
  </si>
  <si>
    <t>MRI SPINE THORAC W/O CM</t>
  </si>
  <si>
    <t>SP THOR W/O CM</t>
  </si>
  <si>
    <t>0052506920</t>
  </si>
  <si>
    <t>MRI SPINE LUMBAR W/O CM</t>
  </si>
  <si>
    <t>MRI SP LUMB W/O</t>
  </si>
  <si>
    <t>0052508025</t>
  </si>
  <si>
    <t>MRI BRAIN W/O CONTRAST</t>
  </si>
  <si>
    <t>MRI BRAIN WO CM</t>
  </si>
  <si>
    <t>0052508108</t>
  </si>
  <si>
    <t>MRI BRAIN WITH CONTRAST</t>
  </si>
  <si>
    <t>MRI BRAIN W/CM</t>
  </si>
  <si>
    <t>0052508165</t>
  </si>
  <si>
    <t>MRI BRAIN WO/W CONTRAST</t>
  </si>
  <si>
    <t>MRI BRAIN WO/W</t>
  </si>
  <si>
    <t>0052508215</t>
  </si>
  <si>
    <t>MRI ORB/FACE/NECK W/CM</t>
  </si>
  <si>
    <t>MRI ORB/FCE/NK</t>
  </si>
  <si>
    <t>0052508223</t>
  </si>
  <si>
    <t>MRI ORB/FACE/NECK WO/W C</t>
  </si>
  <si>
    <t>MRI ORD/FCE/NK</t>
  </si>
  <si>
    <t>0052508405</t>
  </si>
  <si>
    <t>MRI UP EXT NONJNT W/O CM</t>
  </si>
  <si>
    <t>MRI UE W/O CM</t>
  </si>
  <si>
    <t>0052508421</t>
  </si>
  <si>
    <t>MRI UP EXT NONJNT W/ CM</t>
  </si>
  <si>
    <t>MRI UE W/ CM</t>
  </si>
  <si>
    <t>0052508447</t>
  </si>
  <si>
    <t>MRI UP EXT JNT W/ CM</t>
  </si>
  <si>
    <t>MRI UE/JNT W/CM</t>
  </si>
  <si>
    <t>0052508462</t>
  </si>
  <si>
    <t>MRI UP EXT JNT WO/W CM</t>
  </si>
  <si>
    <t>MRI UE/JNT WO/W</t>
  </si>
  <si>
    <t>0052508504</t>
  </si>
  <si>
    <t>MRI PELVIS W/O CONTRAST</t>
  </si>
  <si>
    <t>MRI PELVIS W/O</t>
  </si>
  <si>
    <t>0052508520</t>
  </si>
  <si>
    <t>MRI PELVIS WO/W CONTRAST</t>
  </si>
  <si>
    <t>MRI PELVIS WO/W</t>
  </si>
  <si>
    <t>0052509718</t>
  </si>
  <si>
    <t>MRI CHEST W/CONTRAST</t>
  </si>
  <si>
    <t>MRI CHEST W/CM</t>
  </si>
  <si>
    <t>0052509726</t>
  </si>
  <si>
    <t>MRI CHEST WO/W CONTRAST</t>
  </si>
  <si>
    <t>MRI CHEST WO/W</t>
  </si>
  <si>
    <t>0052509742</t>
  </si>
  <si>
    <t>MRI ABDOMEN W/ CM</t>
  </si>
  <si>
    <t>MRI ABD W/ CM</t>
  </si>
  <si>
    <t>0052510005</t>
  </si>
  <si>
    <t>MRI ABDOMEN WO/W CM</t>
  </si>
  <si>
    <t>MRI ABD WO/W CM</t>
  </si>
  <si>
    <t>0052510039</t>
  </si>
  <si>
    <t>MRI LE NONJNT W/CM</t>
  </si>
  <si>
    <t>MRI LE NJ W/CM</t>
  </si>
  <si>
    <t>0052510047</t>
  </si>
  <si>
    <t>MRI LE NONJNT W/O CM</t>
  </si>
  <si>
    <t>MRI LE NJ WO CM</t>
  </si>
  <si>
    <t>0052510062</t>
  </si>
  <si>
    <t>MRI LOWR EXT JNT W/ CM</t>
  </si>
  <si>
    <t>MRI LE JNT W/CM</t>
  </si>
  <si>
    <t>0052510070</t>
  </si>
  <si>
    <t>MRI LE JNT WO/W CM</t>
  </si>
  <si>
    <t>MRI LE JNT WO/W</t>
  </si>
  <si>
    <t>0052510252</t>
  </si>
  <si>
    <t>MRI ORB/FACE/NECK WO CM</t>
  </si>
  <si>
    <t>0052510351</t>
  </si>
  <si>
    <t>MRI TMJ</t>
  </si>
  <si>
    <t>0052510401</t>
  </si>
  <si>
    <t>MRI CHEST W/O CONTRAST</t>
  </si>
  <si>
    <t>MRI CHEST WO CM</t>
  </si>
  <si>
    <t>0052510500</t>
  </si>
  <si>
    <t>MRI PELVIS W/ CONTRAST</t>
  </si>
  <si>
    <t>MRI PELVIS W/CM</t>
  </si>
  <si>
    <t>0052510559</t>
  </si>
  <si>
    <t>MRI UP EXT NONJNT WO/WCM</t>
  </si>
  <si>
    <t>MRI UE/NONJNT</t>
  </si>
  <si>
    <t>0052510609</t>
  </si>
  <si>
    <t>MRI UP EXT JNT W/O CM</t>
  </si>
  <si>
    <t>MRI UE/JNT W/O</t>
  </si>
  <si>
    <t>0052510658</t>
  </si>
  <si>
    <t>MRI LE NONJNT WO/W CM</t>
  </si>
  <si>
    <t>MRI LE NNJ WO/W</t>
  </si>
  <si>
    <t>0052510708</t>
  </si>
  <si>
    <t>MRI LOWR EXT JNT W/O CM</t>
  </si>
  <si>
    <t>MRI LE JNT W/O</t>
  </si>
  <si>
    <t>0052510757</t>
  </si>
  <si>
    <t>MRI ABDOMEN W/O CM</t>
  </si>
  <si>
    <t>MRI ABD W/O CM</t>
  </si>
  <si>
    <t>0052521424</t>
  </si>
  <si>
    <t>MRI SPINE CERVICAL W/CM</t>
  </si>
  <si>
    <t>SP CERV W/CM</t>
  </si>
  <si>
    <t>0052521473</t>
  </si>
  <si>
    <t>MRI SPINE THORACIC W/CM</t>
  </si>
  <si>
    <t>SP THOR W/CM</t>
  </si>
  <si>
    <t>0052521499</t>
  </si>
  <si>
    <t>MRI SPINE LUMBAR W/CM</t>
  </si>
  <si>
    <t>SP LUMB W/CM</t>
  </si>
  <si>
    <t>0052555570</t>
  </si>
  <si>
    <t>CMRI MORPH FUNCT WO CONT</t>
  </si>
  <si>
    <t>MRI CARD MORPH</t>
  </si>
  <si>
    <t>0052555612</t>
  </si>
  <si>
    <t>CMRI MORPH FUNCT WO/W</t>
  </si>
  <si>
    <t>0052588993</t>
  </si>
  <si>
    <t>MRA ABDOMEN W/ CM</t>
  </si>
  <si>
    <t>MRA ABD W/ CM</t>
  </si>
  <si>
    <t>0052589017</t>
  </si>
  <si>
    <t>MRA ABDOMEN W/O CM</t>
  </si>
  <si>
    <t>MRA ABD WO CM</t>
  </si>
  <si>
    <t>0052589033</t>
  </si>
  <si>
    <t>MRI BREAST UNI W/ CM</t>
  </si>
  <si>
    <t>MRI BRST UNI W</t>
  </si>
  <si>
    <t>0052589090</t>
  </si>
  <si>
    <t>MRA CHEST W/CONTRAST</t>
  </si>
  <si>
    <t>MRA CHEST W/CM</t>
  </si>
  <si>
    <t>0052589108</t>
  </si>
  <si>
    <t>MRA CHEST W/O CONTRAST</t>
  </si>
  <si>
    <t>MRA CHEST WO CM</t>
  </si>
  <si>
    <t>0052589124</t>
  </si>
  <si>
    <t>MRA LOWR EXTRMTY W/ CM</t>
  </si>
  <si>
    <t>MRA LWR EXT W</t>
  </si>
  <si>
    <t>0052589132</t>
  </si>
  <si>
    <t>MRA LOWR EXTRMTY W/O CM</t>
  </si>
  <si>
    <t>MRA LWR EXT WO</t>
  </si>
  <si>
    <t>0052589140</t>
  </si>
  <si>
    <t>MRA LOWR EXTRMTY WO/W CM</t>
  </si>
  <si>
    <t>MRA LWR EX WO/W</t>
  </si>
  <si>
    <t>0053000030</t>
  </si>
  <si>
    <t>ABACAVIR 300MG TB</t>
  </si>
  <si>
    <t>ABACAVIR 300 TB</t>
  </si>
  <si>
    <t>0053000113</t>
  </si>
  <si>
    <t>APA/ASA/CAF ES TB</t>
  </si>
  <si>
    <t>APAP/AS/C ES TB</t>
  </si>
  <si>
    <t>0053000139</t>
  </si>
  <si>
    <t>APAP 500MG ES CP</t>
  </si>
  <si>
    <t xml:space="preserve">APAP 500 ES CP </t>
  </si>
  <si>
    <t>0053000147</t>
  </si>
  <si>
    <t>APAP 500MG ES TB</t>
  </si>
  <si>
    <t xml:space="preserve">APAP 500 ES TB </t>
  </si>
  <si>
    <t>0053000170</t>
  </si>
  <si>
    <t>APAP 325MG TB</t>
  </si>
  <si>
    <t xml:space="preserve">APAP 325MG TB  </t>
  </si>
  <si>
    <t>0053000949</t>
  </si>
  <si>
    <t>ACETAZOLAMIDE 125MG TB</t>
  </si>
  <si>
    <t xml:space="preserve">ACETZOLAM125TB </t>
  </si>
  <si>
    <t>0053000980</t>
  </si>
  <si>
    <t>ACETAZOLAMIDE 250MG TB</t>
  </si>
  <si>
    <t xml:space="preserve">ACETZOLAM250TB </t>
  </si>
  <si>
    <t>0053001020</t>
  </si>
  <si>
    <t>ACETAZOLAMID 500MG XR CP</t>
  </si>
  <si>
    <t>ACETAZOL500XRCP</t>
  </si>
  <si>
    <t>0053001608</t>
  </si>
  <si>
    <t>ACYCLOVIR 200MG CP</t>
  </si>
  <si>
    <t>ACYCLOVIR 200CP</t>
  </si>
  <si>
    <t>0053001616</t>
  </si>
  <si>
    <t>ACYCLOVIR 800MG TB</t>
  </si>
  <si>
    <t>ACYCLOVIR 800TB</t>
  </si>
  <si>
    <t>0053001707</t>
  </si>
  <si>
    <t>ADEFOVIR 10MG TB</t>
  </si>
  <si>
    <t>ADEFOVIR10MG TB</t>
  </si>
  <si>
    <t>0053002010</t>
  </si>
  <si>
    <t>ALBENDAZOLE 200MG TB</t>
  </si>
  <si>
    <t>ALBENDAZOL200TB</t>
  </si>
  <si>
    <t>0053002218</t>
  </si>
  <si>
    <t>ALBUTEROL 2MG TB</t>
  </si>
  <si>
    <t>ALBUTEROL 2MGTB</t>
  </si>
  <si>
    <t>0053002226</t>
  </si>
  <si>
    <t>ALBUTEROL 4MG XR TB</t>
  </si>
  <si>
    <t>ALBUTEROL 4XRTB</t>
  </si>
  <si>
    <t>0053002408</t>
  </si>
  <si>
    <t>ALFUZOSIN 10MG XR TB</t>
  </si>
  <si>
    <t>ALFUZOSIN10XRTB</t>
  </si>
  <si>
    <t>0053002424</t>
  </si>
  <si>
    <t>ALISKIREN 150MG TB</t>
  </si>
  <si>
    <t>ALISKIREN150 TB</t>
  </si>
  <si>
    <t>0053002440</t>
  </si>
  <si>
    <t>ALLOPURINOL100MG TB</t>
  </si>
  <si>
    <t>ALLOPURINL100TB</t>
  </si>
  <si>
    <t>0053002481</t>
  </si>
  <si>
    <t>ALLOPURINOL300MG TB</t>
  </si>
  <si>
    <t>ALLOPURINL300TB</t>
  </si>
  <si>
    <t>0053002945</t>
  </si>
  <si>
    <t>ALPRAZOLAM .25MG TB</t>
  </si>
  <si>
    <t>ALPRAZOL .25 TB</t>
  </si>
  <si>
    <t>0053002986</t>
  </si>
  <si>
    <t>ALPRAZOLAM .5MG TB</t>
  </si>
  <si>
    <t xml:space="preserve">ALPRAZOL .5 TB </t>
  </si>
  <si>
    <t>0053003026</t>
  </si>
  <si>
    <t>ALPRAZOLAM 1MG TB</t>
  </si>
  <si>
    <t>ALPRAZOL 1MG TB</t>
  </si>
  <si>
    <t>0053004024</t>
  </si>
  <si>
    <t>AL/MG OH/SIMETH TB</t>
  </si>
  <si>
    <t>AL/MG OH/SIM TB</t>
  </si>
  <si>
    <t>0053004206</t>
  </si>
  <si>
    <t>ALVIMOPAN 12MG CP</t>
  </si>
  <si>
    <t>ALVIMOPA12MG CP</t>
  </si>
  <si>
    <t>0053004768</t>
  </si>
  <si>
    <t>AMANTADINE 100MG CP</t>
  </si>
  <si>
    <t>AMANTADINE100CP</t>
  </si>
  <si>
    <t>0053005229</t>
  </si>
  <si>
    <t>AMILORIDE 5MG TB</t>
  </si>
  <si>
    <t xml:space="preserve">AMILORIDE5MGTB </t>
  </si>
  <si>
    <t>0053005492</t>
  </si>
  <si>
    <t>AMINOCAPROIC ACID500MGTB</t>
  </si>
  <si>
    <t xml:space="preserve">AMINOCAPR500TB </t>
  </si>
  <si>
    <t>0053006243</t>
  </si>
  <si>
    <t>AMIODARONE 100MG TB</t>
  </si>
  <si>
    <t>AMIODARONE100TB</t>
  </si>
  <si>
    <t>0053006250</t>
  </si>
  <si>
    <t>AMIODARONE 200MG TB</t>
  </si>
  <si>
    <t>AMIODARONE200TB</t>
  </si>
  <si>
    <t>0053006342</t>
  </si>
  <si>
    <t>AMITRIPTYLINE 10MG TB</t>
  </si>
  <si>
    <t xml:space="preserve">AMTRIPTYL 10TB </t>
  </si>
  <si>
    <t>0053006359</t>
  </si>
  <si>
    <t>AMITRIPTYLINE 12.5MG TB</t>
  </si>
  <si>
    <t>AMTRIPTYL12.5TB</t>
  </si>
  <si>
    <t>0053006383</t>
  </si>
  <si>
    <t>AMITRIPTYLINE 25MG TB</t>
  </si>
  <si>
    <t xml:space="preserve">AMTRIPTYL 25TB </t>
  </si>
  <si>
    <t>0053006425</t>
  </si>
  <si>
    <t>AMITRIPTYLINE 50MG TB</t>
  </si>
  <si>
    <t xml:space="preserve">AMTRIPTYL 50TB </t>
  </si>
  <si>
    <t>0053006466</t>
  </si>
  <si>
    <t>AMITRIPTYLINE 75MG TB</t>
  </si>
  <si>
    <t xml:space="preserve">AMTRIPTYL 75TB </t>
  </si>
  <si>
    <t>0053006482</t>
  </si>
  <si>
    <t>RISPERIDONE 0.25MG TB</t>
  </si>
  <si>
    <t>RISPERIDON.25TB</t>
  </si>
  <si>
    <t>0053006490</t>
  </si>
  <si>
    <t>RISPERIDONE 0.5MG TB</t>
  </si>
  <si>
    <t>RISPERIDON .5TB</t>
  </si>
  <si>
    <t>0053006607</t>
  </si>
  <si>
    <t>AMLODIPINE 2.5MG TB</t>
  </si>
  <si>
    <t>AMLODIPNE2.5 TB</t>
  </si>
  <si>
    <t>0053006615</t>
  </si>
  <si>
    <t>AMLODIPINE 5MG TB</t>
  </si>
  <si>
    <t>AMLODIPINE 5 TB</t>
  </si>
  <si>
    <t>0053007126</t>
  </si>
  <si>
    <t>AMOXICILLIN/CLAV 250MGTB</t>
  </si>
  <si>
    <t xml:space="preserve">AMOX/CLA250TB  </t>
  </si>
  <si>
    <t>0053007134</t>
  </si>
  <si>
    <t>AMOXICILLIN/CLAV 875MGTB</t>
  </si>
  <si>
    <t xml:space="preserve">AMOX/CLAV875TB </t>
  </si>
  <si>
    <t>0053007159</t>
  </si>
  <si>
    <t>AMOXICILLIN/CLAV 500MGTB</t>
  </si>
  <si>
    <t xml:space="preserve">AMOX/CLAV500TB </t>
  </si>
  <si>
    <t>0053007233</t>
  </si>
  <si>
    <t>AMOXICILLIN 250MG CP</t>
  </si>
  <si>
    <t>AMOXICILN250 CP</t>
  </si>
  <si>
    <t>0053007258</t>
  </si>
  <si>
    <t>AMOXICILLIN 500MG CP</t>
  </si>
  <si>
    <t>AMOXICILN500 CP</t>
  </si>
  <si>
    <t>0053007506</t>
  </si>
  <si>
    <t>AMPICILLIN 500MG CP</t>
  </si>
  <si>
    <t>AMPICILLIN500CP</t>
  </si>
  <si>
    <t>0053007555</t>
  </si>
  <si>
    <t>ANAGRELIDE 0.5MG CP</t>
  </si>
  <si>
    <t>ANAGRELID .5 CP</t>
  </si>
  <si>
    <t>0053007621</t>
  </si>
  <si>
    <t>ANASTROZOLE 1MG TB</t>
  </si>
  <si>
    <t>ANASTRZOLE1MGTB</t>
  </si>
  <si>
    <t>0053007712</t>
  </si>
  <si>
    <t>APIXABAN 5MG TB</t>
  </si>
  <si>
    <t>0053007720</t>
  </si>
  <si>
    <t>APIXABAN 2.5MG TB</t>
  </si>
  <si>
    <t>APIXABAN2.5MGTB</t>
  </si>
  <si>
    <t>0053007779</t>
  </si>
  <si>
    <t>ARIPIPRAZOLE 2MG TB</t>
  </si>
  <si>
    <t>ARIPIPRAZL2MGTB</t>
  </si>
  <si>
    <t>0053007803</t>
  </si>
  <si>
    <t>ARIPIPRAZOLE 15MG TB</t>
  </si>
  <si>
    <t xml:space="preserve">ARIPIPRAZL15TB </t>
  </si>
  <si>
    <t>0053007837</t>
  </si>
  <si>
    <t>ARIPIPRAZOLE 5MG TB</t>
  </si>
  <si>
    <t xml:space="preserve">ARIPIPRAZ5MGTB </t>
  </si>
  <si>
    <t>0053007845</t>
  </si>
  <si>
    <t>ARIPIPRAZOLE 10MG TB</t>
  </si>
  <si>
    <t>ARIPIPRAZ10MGTB</t>
  </si>
  <si>
    <t>0053007860</t>
  </si>
  <si>
    <t>ARIPIPRAZOLE 30MG TB</t>
  </si>
  <si>
    <t>ARIPIPRAZ30MGTB</t>
  </si>
  <si>
    <t>0053008736</t>
  </si>
  <si>
    <t>SOTALOL 40MG TB</t>
  </si>
  <si>
    <t>0053010575</t>
  </si>
  <si>
    <t>ASCORBIC ACID 250MG TB</t>
  </si>
  <si>
    <t xml:space="preserve">ASCORB AC250TB </t>
  </si>
  <si>
    <t>0053010617</t>
  </si>
  <si>
    <t>ASCORBIC ACID 500MG TB</t>
  </si>
  <si>
    <t xml:space="preserve">ASCORB AC500TB </t>
  </si>
  <si>
    <t>0053010799</t>
  </si>
  <si>
    <t>ASENAPINE 2.5MG TB</t>
  </si>
  <si>
    <t>ASENAPINE 2.5MG</t>
  </si>
  <si>
    <t>0053010807</t>
  </si>
  <si>
    <t>ASENAPINE 5MG TB</t>
  </si>
  <si>
    <t>ASENAPINE 5MGTB</t>
  </si>
  <si>
    <t>0053011086</t>
  </si>
  <si>
    <t>ASA 325MG EC TB</t>
  </si>
  <si>
    <t>0053011094</t>
  </si>
  <si>
    <t>ASA 81MG EC TB</t>
  </si>
  <si>
    <t xml:space="preserve">ASA 81MG EC TB </t>
  </si>
  <si>
    <t>0053011102</t>
  </si>
  <si>
    <t>ASA 81MG CTB</t>
  </si>
  <si>
    <t xml:space="preserve">ASA 81MG CTB   </t>
  </si>
  <si>
    <t>0053011136</t>
  </si>
  <si>
    <t>ASA 325MG TB</t>
  </si>
  <si>
    <t xml:space="preserve">ASA 325MG TB   </t>
  </si>
  <si>
    <t>0053011219</t>
  </si>
  <si>
    <t>ATAZANAVIR 150MG CP</t>
  </si>
  <si>
    <t>ATAZANAVIR150CP</t>
  </si>
  <si>
    <t>0053011227</t>
  </si>
  <si>
    <t>ATAZANAVIR 200MG CP</t>
  </si>
  <si>
    <t>ATAZANAVIR200CP</t>
  </si>
  <si>
    <t>0053011334</t>
  </si>
  <si>
    <t>ATENOLOL 12.5MG TB</t>
  </si>
  <si>
    <t xml:space="preserve">ATENOLOL12.5TB </t>
  </si>
  <si>
    <t>0053011375</t>
  </si>
  <si>
    <t>ATENOLOL 25MG TB</t>
  </si>
  <si>
    <t>ATENOLOL25MG TB</t>
  </si>
  <si>
    <t>0053011441</t>
  </si>
  <si>
    <t>ATORVASTATIN 5MG TB</t>
  </si>
  <si>
    <t xml:space="preserve">ATORVASTAT5TB  </t>
  </si>
  <si>
    <t>0053011458</t>
  </si>
  <si>
    <t>ATORVASTATIN 10MG TB</t>
  </si>
  <si>
    <t xml:space="preserve">ATORVASTAT10TB </t>
  </si>
  <si>
    <t>0053011474</t>
  </si>
  <si>
    <t>ATORVASTATIN 40MG TB</t>
  </si>
  <si>
    <t xml:space="preserve">ATORVASTAT40TB </t>
  </si>
  <si>
    <t>0053011516</t>
  </si>
  <si>
    <t>ATOVAQ/PROGUAN250/100 TB</t>
  </si>
  <si>
    <t xml:space="preserve">ATOV/PRO250TB  </t>
  </si>
  <si>
    <t>0053012142</t>
  </si>
  <si>
    <t>AZATHIOPRINE 25MG TB</t>
  </si>
  <si>
    <t>AZATHIOPRIN25TB</t>
  </si>
  <si>
    <t>0053012159</t>
  </si>
  <si>
    <t>AZATHIOPRINE 50MG TB</t>
  </si>
  <si>
    <t>AZATHIOPRIN50TB</t>
  </si>
  <si>
    <t>0053012209</t>
  </si>
  <si>
    <t>AZITHROMYCIN 250MG TB</t>
  </si>
  <si>
    <t>AZITHROMYC250TB</t>
  </si>
  <si>
    <t>0053012233</t>
  </si>
  <si>
    <t>AZITHROMYCIN 600MG TB</t>
  </si>
  <si>
    <t>AZITHROMYC600TB</t>
  </si>
  <si>
    <t>0053013561</t>
  </si>
  <si>
    <t>BACLOFEN 5MG TB</t>
  </si>
  <si>
    <t>0053013579</t>
  </si>
  <si>
    <t>BACLOFEN 10MG TB</t>
  </si>
  <si>
    <t>BACLOFEN10MG TB</t>
  </si>
  <si>
    <t>0053013611</t>
  </si>
  <si>
    <t>BACLOFEN 20MG TB</t>
  </si>
  <si>
    <t>BACLOFEN20MG TB</t>
  </si>
  <si>
    <t>0053013652</t>
  </si>
  <si>
    <t>BARICITINIB 1MG TB</t>
  </si>
  <si>
    <t>BARICITINIB 1MG</t>
  </si>
  <si>
    <t>0053013660</t>
  </si>
  <si>
    <t>BARICITINIB 2MG TB</t>
  </si>
  <si>
    <t>BARICITINIB 2MG</t>
  </si>
  <si>
    <t>0053013702</t>
  </si>
  <si>
    <t>BALSALAZIDE 750MG CP</t>
  </si>
  <si>
    <t>BALSALAZID750CP</t>
  </si>
  <si>
    <t>0053014296</t>
  </si>
  <si>
    <t>BENAZEPRIL 2.5MG TB</t>
  </si>
  <si>
    <t>BENAZEPRL 2.5TB</t>
  </si>
  <si>
    <t>0053014304</t>
  </si>
  <si>
    <t>BENAZEPRIL 5MG TB</t>
  </si>
  <si>
    <t>BENAZEPRIL 5 TB</t>
  </si>
  <si>
    <t>0053014312</t>
  </si>
  <si>
    <t>BENAZEPRIL 10MG TB</t>
  </si>
  <si>
    <t>BENAZEPRIL10 TB</t>
  </si>
  <si>
    <t>0053014320</t>
  </si>
  <si>
    <t>BENAZEPRIL 20MG TB</t>
  </si>
  <si>
    <t>BENAZEPRIL20 TB</t>
  </si>
  <si>
    <t>0053014783</t>
  </si>
  <si>
    <t>BENZOCAINE 6MG LZ</t>
  </si>
  <si>
    <t xml:space="preserve">BENZOCAIN6MGLZ </t>
  </si>
  <si>
    <t>0053014817</t>
  </si>
  <si>
    <t>BENZOCAINE-MENTH 8PK LZ</t>
  </si>
  <si>
    <t xml:space="preserve">BENZ-MENT 8 LZ </t>
  </si>
  <si>
    <t>0053014999</t>
  </si>
  <si>
    <t>BENZONATATE 100MG CP</t>
  </si>
  <si>
    <t>BENZONTATE100CP</t>
  </si>
  <si>
    <t>0053015202</t>
  </si>
  <si>
    <t>BENZTROPINE 0.5MG TB</t>
  </si>
  <si>
    <t>BENZTROPINE.5TB</t>
  </si>
  <si>
    <t>0053015228</t>
  </si>
  <si>
    <t>BENZTROPINE 1MG TB</t>
  </si>
  <si>
    <t>BENZTROPINE 1TB</t>
  </si>
  <si>
    <t>0053015269</t>
  </si>
  <si>
    <t>BENZTROPINE 2MG TB</t>
  </si>
  <si>
    <t>BENZTROPINE 2TB</t>
  </si>
  <si>
    <t>0053015723</t>
  </si>
  <si>
    <t>BETHANECHOL 5MG TB</t>
  </si>
  <si>
    <t xml:space="preserve">BETHANECHOL5TB </t>
  </si>
  <si>
    <t>0053015764</t>
  </si>
  <si>
    <t>BETHANECHOL 10MG TB</t>
  </si>
  <si>
    <t>BETHANECHOL10TB</t>
  </si>
  <si>
    <t>0053015806</t>
  </si>
  <si>
    <t>BETHANECHOL 25MG TB</t>
  </si>
  <si>
    <t>BETHANECHOL25TB</t>
  </si>
  <si>
    <t>0053015814</t>
  </si>
  <si>
    <t>BICTEG/EMTRIC/TENOF50/200/25TB</t>
  </si>
  <si>
    <t>BICTEG/EMTRIC/T</t>
  </si>
  <si>
    <t>0053015905</t>
  </si>
  <si>
    <t>BICALUTAMIDE 50MG TB</t>
  </si>
  <si>
    <t>BICALUTAMID50TB</t>
  </si>
  <si>
    <t>0053016010</t>
  </si>
  <si>
    <t>ORAL CONTRACEP 1MNTH TB</t>
  </si>
  <si>
    <t>ORAL CONT 1MNTH</t>
  </si>
  <si>
    <t>0053016028</t>
  </si>
  <si>
    <t>BISACODYL 5MG EC TB</t>
  </si>
  <si>
    <t>BISCODYL 5 ECTB</t>
  </si>
  <si>
    <t>0053016036</t>
  </si>
  <si>
    <t>BISOPROLOL 2.5MG TB</t>
  </si>
  <si>
    <t>BISPROL 2.5MGTB</t>
  </si>
  <si>
    <t>0053016051</t>
  </si>
  <si>
    <t>BISOPROLOL 5MG TB</t>
  </si>
  <si>
    <t xml:space="preserve">BISPROLOL5MGTB </t>
  </si>
  <si>
    <t>0053016168</t>
  </si>
  <si>
    <t>BISMUTH SUBSLCY262MG CTB</t>
  </si>
  <si>
    <t>BISMTH/SU262CTB</t>
  </si>
  <si>
    <t>0053016804</t>
  </si>
  <si>
    <t>BROMOCRIPTINE 2.5MG TB</t>
  </si>
  <si>
    <t>BROMOCRIPT2.5TB</t>
  </si>
  <si>
    <t>0053017257</t>
  </si>
  <si>
    <t>BUDESONIDE 3MG XR CP</t>
  </si>
  <si>
    <t>BUDESONIDE3XRCP</t>
  </si>
  <si>
    <t>0053017380</t>
  </si>
  <si>
    <t>BUMETANIDE 0.5MG TB</t>
  </si>
  <si>
    <t>BUMETANIDE.5 TB</t>
  </si>
  <si>
    <t>0053017422</t>
  </si>
  <si>
    <t>BUMETANIDE 1MG TB</t>
  </si>
  <si>
    <t>BUMETANIDE 1 TB</t>
  </si>
  <si>
    <t>0053017448</t>
  </si>
  <si>
    <t>BUPROPION 300MG XR24 TB</t>
  </si>
  <si>
    <t>BUPROP300 XR TB</t>
  </si>
  <si>
    <t>0053017455</t>
  </si>
  <si>
    <t>BUPROPION 75MG TB</t>
  </si>
  <si>
    <t xml:space="preserve">BUPROPION75 TB </t>
  </si>
  <si>
    <t>0053017463</t>
  </si>
  <si>
    <t>BUPROPION 100MG TB</t>
  </si>
  <si>
    <t>BUPROPION100 TB</t>
  </si>
  <si>
    <t>0053017489</t>
  </si>
  <si>
    <t>BUPROPION 100MG XR TB</t>
  </si>
  <si>
    <t>BUPROP100 XR TB</t>
  </si>
  <si>
    <t>0053017497</t>
  </si>
  <si>
    <t>BUPROPION 150MG XR TB</t>
  </si>
  <si>
    <t>BUPROP150 XR TB</t>
  </si>
  <si>
    <t>0053017539</t>
  </si>
  <si>
    <t>BUPROPION 150MG XR24 TB</t>
  </si>
  <si>
    <t>BUPROP150XR24TB</t>
  </si>
  <si>
    <t>0053017547</t>
  </si>
  <si>
    <t>BUPRENORPHINE 2MG TB</t>
  </si>
  <si>
    <t>BUPRENORPH 2 TB</t>
  </si>
  <si>
    <t>0053017554</t>
  </si>
  <si>
    <t>BUPRENORPHINE 8MG TB</t>
  </si>
  <si>
    <t>BUPRENORPH 8 TB</t>
  </si>
  <si>
    <t>0053017562</t>
  </si>
  <si>
    <t>BUPRENRPH/NALX 2/.5MG TB</t>
  </si>
  <si>
    <t>BUPR/NALX2/.5TB</t>
  </si>
  <si>
    <t>0053017570</t>
  </si>
  <si>
    <t>BUPRENRPH/NALOX 8/2MG TB</t>
  </si>
  <si>
    <t xml:space="preserve">BUPR/NALX8/2TB </t>
  </si>
  <si>
    <t>0053017588</t>
  </si>
  <si>
    <t>BUPREN/NALOX 8/2MG SL FM</t>
  </si>
  <si>
    <t>BUP/NALX8/2FILM</t>
  </si>
  <si>
    <t>0053017596</t>
  </si>
  <si>
    <t>BUSPIRONE 2.5MG TB</t>
  </si>
  <si>
    <t>BUSPRIONE2.5 TB</t>
  </si>
  <si>
    <t>0053017604</t>
  </si>
  <si>
    <t>BUSPIRONE 5MG TB</t>
  </si>
  <si>
    <t xml:space="preserve">BUSPRIONE5 TB  </t>
  </si>
  <si>
    <t>0053017612</t>
  </si>
  <si>
    <t>BUSPIRONE 10MG TB</t>
  </si>
  <si>
    <t xml:space="preserve">BUSPIRONE10 TB </t>
  </si>
  <si>
    <t>0053017638</t>
  </si>
  <si>
    <t>BUPREN/NALOX2/.5MG SL FM</t>
  </si>
  <si>
    <t>BUP/NALX 2/.5FM</t>
  </si>
  <si>
    <t>0053017919</t>
  </si>
  <si>
    <t>CALCITRIOL .25MCG CP</t>
  </si>
  <si>
    <t xml:space="preserve">CALCITROL.25CP </t>
  </si>
  <si>
    <t>0053017935</t>
  </si>
  <si>
    <t>CALCITRIOL .5MCG CP</t>
  </si>
  <si>
    <t xml:space="preserve">CALCITROL.5 CP </t>
  </si>
  <si>
    <t>0053017943</t>
  </si>
  <si>
    <t>CAFFEINE 200MG TB</t>
  </si>
  <si>
    <t xml:space="preserve">CAFFEINE200 TB </t>
  </si>
  <si>
    <t>0053018107</t>
  </si>
  <si>
    <t>CALCIUM ACETATE 667MG TB</t>
  </si>
  <si>
    <t xml:space="preserve">CA ACET 667 TB </t>
  </si>
  <si>
    <t>0053018131</t>
  </si>
  <si>
    <t>CALCIUM CARB 1.25GM TB</t>
  </si>
  <si>
    <t>CA CARB 1.25 TB</t>
  </si>
  <si>
    <t>0053018198</t>
  </si>
  <si>
    <t>CALCIUM CARBONATE CTB</t>
  </si>
  <si>
    <t xml:space="preserve">CA CARB CTB    </t>
  </si>
  <si>
    <t>0053018313</t>
  </si>
  <si>
    <t>CALCIUM CITRATE 950MG TB</t>
  </si>
  <si>
    <t>CA CITRAT950 TB</t>
  </si>
  <si>
    <t>0053018339</t>
  </si>
  <si>
    <t>CA CARB VITD 250/125TB</t>
  </si>
  <si>
    <t>CALC/D250/125TB</t>
  </si>
  <si>
    <t>0053018347</t>
  </si>
  <si>
    <t>CA CARB VITD 500/200TB</t>
  </si>
  <si>
    <t>CALC/D500/200TB</t>
  </si>
  <si>
    <t>0053019121</t>
  </si>
  <si>
    <t>CANDESARTAN 4MG TB</t>
  </si>
  <si>
    <t xml:space="preserve">CANDESART4MGTB </t>
  </si>
  <si>
    <t>0053019139</t>
  </si>
  <si>
    <t>CANDESARTAN 8MG TB</t>
  </si>
  <si>
    <t xml:space="preserve">CANDESART8MGTB </t>
  </si>
  <si>
    <t>0053019196</t>
  </si>
  <si>
    <t>CAPECITABINE PER 50MG TB</t>
  </si>
  <si>
    <t>CAPECITABINE PE</t>
  </si>
  <si>
    <t>0053019212</t>
  </si>
  <si>
    <t>CAPTOPRIL 6.25MG TB</t>
  </si>
  <si>
    <t>CAPTOPRIL6.25TB</t>
  </si>
  <si>
    <t>0053019220</t>
  </si>
  <si>
    <t>CAPTOPRIL 12.5MG TB</t>
  </si>
  <si>
    <t>CAPTOPRIL12.5TB</t>
  </si>
  <si>
    <t>0053019238</t>
  </si>
  <si>
    <t>CAPTOPRIL 25MG TB</t>
  </si>
  <si>
    <t>CAPTOPRIL25MGTB</t>
  </si>
  <si>
    <t>0053019279</t>
  </si>
  <si>
    <t>CAPTOPRIL 50MG TB</t>
  </si>
  <si>
    <t>CAPTOPRIL50MGTB</t>
  </si>
  <si>
    <t>0053019758</t>
  </si>
  <si>
    <t>CARBAMAZEPINE 100MG CTB</t>
  </si>
  <si>
    <t>CARBMAZEP100CTB</t>
  </si>
  <si>
    <t>0053019766</t>
  </si>
  <si>
    <t>CARBAMAZEPINE 100MG XRTB</t>
  </si>
  <si>
    <t>CARBMAZE100XRTB</t>
  </si>
  <si>
    <t>0053019774</t>
  </si>
  <si>
    <t>CARBAMAZEPINE 200MG XRTB</t>
  </si>
  <si>
    <t>CARBMAZE200XRTB</t>
  </si>
  <si>
    <t>0053019816</t>
  </si>
  <si>
    <t>CARBAMAZEPINE 200MG TB</t>
  </si>
  <si>
    <t xml:space="preserve">CARBMAZEP200TB </t>
  </si>
  <si>
    <t>0053020251</t>
  </si>
  <si>
    <t>CARBIDOPA/LEVD 61.25/245 XRCP</t>
  </si>
  <si>
    <t>CARB/LEV 61.25/</t>
  </si>
  <si>
    <t>0053020269</t>
  </si>
  <si>
    <t>CARBIDOPA/LEVD 48.75/195 XRCP</t>
  </si>
  <si>
    <t>CARB/LEV 48.75/</t>
  </si>
  <si>
    <t>0053020277</t>
  </si>
  <si>
    <t>CARBIDOPA/LEVD 10/100 TB</t>
  </si>
  <si>
    <t>CAR/LEV10/100TB</t>
  </si>
  <si>
    <t>0053020293</t>
  </si>
  <si>
    <t>CARBIDOPA/LEVD 12/50 TB</t>
  </si>
  <si>
    <t xml:space="preserve">CAR/LEV12/50TB </t>
  </si>
  <si>
    <t>0053020319</t>
  </si>
  <si>
    <t>CARBIDOPA/LEVD 25/100 TB</t>
  </si>
  <si>
    <t>CAR/LEV25/100TB</t>
  </si>
  <si>
    <t>0053020327</t>
  </si>
  <si>
    <t>CARBIDOPA/LEVD25/100XRTB</t>
  </si>
  <si>
    <t>CAR/L25/100XRTB</t>
  </si>
  <si>
    <t>0053020350</t>
  </si>
  <si>
    <t>CARBIDOPA/LEVD 25/250 TB</t>
  </si>
  <si>
    <t>CAR/LEV25/250TB</t>
  </si>
  <si>
    <t>0053020368</t>
  </si>
  <si>
    <t>CARBIDOPA/LEVD50/200XRTB</t>
  </si>
  <si>
    <t>CAR/L50/200XRTB</t>
  </si>
  <si>
    <t>0053020582</t>
  </si>
  <si>
    <t>CARISOPRODOL 350MG TB</t>
  </si>
  <si>
    <t>CARISPRDL350 TB</t>
  </si>
  <si>
    <t>0053020707</t>
  </si>
  <si>
    <t>LEVOCARNITINE 330MG TB</t>
  </si>
  <si>
    <t>LEVOCARN330MGCP</t>
  </si>
  <si>
    <t>0053020749</t>
  </si>
  <si>
    <t>CARVEDILOL 1.563MG TB</t>
  </si>
  <si>
    <t>CARVEDL1.563 TB</t>
  </si>
  <si>
    <t>0053020772</t>
  </si>
  <si>
    <t>CARVEDILOL 3.125MG TB</t>
  </si>
  <si>
    <t>CARVEDL3.125 TB</t>
  </si>
  <si>
    <t>0053020780</t>
  </si>
  <si>
    <t>CARVEDILOL 6.25MG TB</t>
  </si>
  <si>
    <t xml:space="preserve">CARVEDL6.25 TB </t>
  </si>
  <si>
    <t>0053020798</t>
  </si>
  <si>
    <t>CARVEDILOL 12.5MG TB</t>
  </si>
  <si>
    <t xml:space="preserve">CARVEDL12.5 TB </t>
  </si>
  <si>
    <t>0053020806</t>
  </si>
  <si>
    <t>CARVEDILOL 25MG TB</t>
  </si>
  <si>
    <t xml:space="preserve">CARVEDL25 TB   </t>
  </si>
  <si>
    <t>0053020814</t>
  </si>
  <si>
    <t>CARVEDILOL 10MG XR CP</t>
  </si>
  <si>
    <t>CARVEDL10 XR CP</t>
  </si>
  <si>
    <t>0053020855</t>
  </si>
  <si>
    <t>CEFACLOR 250MG CP</t>
  </si>
  <si>
    <t>CEFACLOR250MGCP</t>
  </si>
  <si>
    <t>0053020897</t>
  </si>
  <si>
    <t>CEFACLOR 500MG CP</t>
  </si>
  <si>
    <t>CEFACLOR500MGCP</t>
  </si>
  <si>
    <t>0053021002</t>
  </si>
  <si>
    <t>CEFDINIR 300MG CP</t>
  </si>
  <si>
    <t xml:space="preserve">CEFDINIR300 CP </t>
  </si>
  <si>
    <t>0053021184</t>
  </si>
  <si>
    <t>CEFIXIME 400MG TB</t>
  </si>
  <si>
    <t>CEFIXIME 400 TB</t>
  </si>
  <si>
    <t>0053021218</t>
  </si>
  <si>
    <t>CEFUROXIME 250MG TB</t>
  </si>
  <si>
    <t>CEFUROXIME250TB</t>
  </si>
  <si>
    <t>0053021226</t>
  </si>
  <si>
    <t>CEFUROXIME 500MG TB</t>
  </si>
  <si>
    <t>CEFUROXIME500TB</t>
  </si>
  <si>
    <t>0053021234</t>
  </si>
  <si>
    <t>CEFPODOXIME 100MG TB</t>
  </si>
  <si>
    <t>CEFPODOXM100 TB</t>
  </si>
  <si>
    <t>0053021242</t>
  </si>
  <si>
    <t>CEFPODOXIME 200MG TB</t>
  </si>
  <si>
    <t>CEFPODOXM200 TB</t>
  </si>
  <si>
    <t>0053021291</t>
  </si>
  <si>
    <t>CELECOXIB 100MG CP</t>
  </si>
  <si>
    <t>CELECOXIB100 CP</t>
  </si>
  <si>
    <t>0053021309</t>
  </si>
  <si>
    <t>CELECOXIB 200MG CP</t>
  </si>
  <si>
    <t>CELECOXIB200 CP</t>
  </si>
  <si>
    <t>0053022042</t>
  </si>
  <si>
    <t>CEPHALEXIN 250MG CP</t>
  </si>
  <si>
    <t>CEPHALEXN250 CP</t>
  </si>
  <si>
    <t>0053022083</t>
  </si>
  <si>
    <t>CEPHALEXIN 500MG CP</t>
  </si>
  <si>
    <t>CEPHALEXN500 CP</t>
  </si>
  <si>
    <t>0053022463</t>
  </si>
  <si>
    <t>CETIRIZINE 10MG TB</t>
  </si>
  <si>
    <t>CETIRIZINE10 TB</t>
  </si>
  <si>
    <t>0053023313</t>
  </si>
  <si>
    <t>CHLORAMBUCIL 2MG TB</t>
  </si>
  <si>
    <t>CHLORAMBUCL2 TB</t>
  </si>
  <si>
    <t>0053023859</t>
  </si>
  <si>
    <t>CHLORDIAZEPOXIDE 5MG CP</t>
  </si>
  <si>
    <t>CHLORIDIAZEP5CP</t>
  </si>
  <si>
    <t>0053023891</t>
  </si>
  <si>
    <t>CHLORDIAZEPOXIDE 10MG CP</t>
  </si>
  <si>
    <t>CHLORIDIAZE10CP</t>
  </si>
  <si>
    <t>0053023933</t>
  </si>
  <si>
    <t>CHLORDIAZEPOXIDE 25MG CP</t>
  </si>
  <si>
    <t>CHLORIDIAZE25CP</t>
  </si>
  <si>
    <t>0053025904</t>
  </si>
  <si>
    <t>CHLORPROMAZINE 10MG TB</t>
  </si>
  <si>
    <t>CHLORPROMAZ10TB</t>
  </si>
  <si>
    <t>0053025946</t>
  </si>
  <si>
    <t>CHLORPROMAZINE 25MG TB</t>
  </si>
  <si>
    <t>CHLORPROMAZ25TB</t>
  </si>
  <si>
    <t>0053025987</t>
  </si>
  <si>
    <t>CHLORPROMAZINE 50MG TB</t>
  </si>
  <si>
    <t>CHLORPROMAZ50TB</t>
  </si>
  <si>
    <t>0053026001</t>
  </si>
  <si>
    <t>CHLORPROMAZINE 100MG TB</t>
  </si>
  <si>
    <t>CHLORPROMA100TB</t>
  </si>
  <si>
    <t>0053026647</t>
  </si>
  <si>
    <t>CHLORTHALIDONE 25MG TB</t>
  </si>
  <si>
    <t>CHLORTHALID25TB</t>
  </si>
  <si>
    <t>0053026688</t>
  </si>
  <si>
    <t>CHLORTHALIDONE 50MG TB</t>
  </si>
  <si>
    <t>CHLORTHALID50TB</t>
  </si>
  <si>
    <t>0053027306</t>
  </si>
  <si>
    <t>CILOSTAZOL 50MG TB</t>
  </si>
  <si>
    <t>CILOSTZL50MG TB</t>
  </si>
  <si>
    <t>0053027314</t>
  </si>
  <si>
    <t>CILOSTAZOL 100MG TB</t>
  </si>
  <si>
    <t>CILOSTZL 100 TB</t>
  </si>
  <si>
    <t>0053027629</t>
  </si>
  <si>
    <t>CINACALCET 30MG TB</t>
  </si>
  <si>
    <t>CINACALCET30 TB</t>
  </si>
  <si>
    <t>0053027710</t>
  </si>
  <si>
    <t>CITALOPRAM 10MG TB</t>
  </si>
  <si>
    <t>CITALOPRA10MGTB</t>
  </si>
  <si>
    <t>0053027736</t>
  </si>
  <si>
    <t>CITALOPRAM 20MG TB</t>
  </si>
  <si>
    <t>CITALOPRA20MGTB</t>
  </si>
  <si>
    <t>0053027751</t>
  </si>
  <si>
    <t>CIPROFLOXACIN 250MG TB</t>
  </si>
  <si>
    <t>CIPROFLOX250 TB</t>
  </si>
  <si>
    <t>0053027769</t>
  </si>
  <si>
    <t>CIPROFLOXACIN 500MGTB</t>
  </si>
  <si>
    <t>CIPROFLOX500 TB</t>
  </si>
  <si>
    <t>0053027801</t>
  </si>
  <si>
    <t>CLARITHROMYCIN 250MG TB</t>
  </si>
  <si>
    <t>CLARITHROM250TB</t>
  </si>
  <si>
    <t>0053028148</t>
  </si>
  <si>
    <t>CLINDAMYCIN 150MG CP</t>
  </si>
  <si>
    <t>CLINDAMYAC150CP</t>
  </si>
  <si>
    <t>0053028502</t>
  </si>
  <si>
    <t>CLOBAZAM 5MG TB</t>
  </si>
  <si>
    <t>0053028510</t>
  </si>
  <si>
    <t>CLOBAZAM 10MG TB</t>
  </si>
  <si>
    <t>CLOBAZAM 10MGTB</t>
  </si>
  <si>
    <t>0053028940</t>
  </si>
  <si>
    <t>CLOTRIMAZOLE 10MG LZ</t>
  </si>
  <si>
    <t>CLOTRIMAZOL10LZ</t>
  </si>
  <si>
    <t>0053029070</t>
  </si>
  <si>
    <t>CLONAZEPAM .25MG TB</t>
  </si>
  <si>
    <t>CLONAZEPAM.25TB</t>
  </si>
  <si>
    <t>0053029104</t>
  </si>
  <si>
    <t>CLONAZEPAM .5MG TB</t>
  </si>
  <si>
    <t>CLONAZEPAM.5 TB</t>
  </si>
  <si>
    <t>0053029146</t>
  </si>
  <si>
    <t>CLONAZEPAM 1MG TB</t>
  </si>
  <si>
    <t>CLONAZEPAM 1 TB</t>
  </si>
  <si>
    <t>0053029419</t>
  </si>
  <si>
    <t>CLONIDINE 0.1MG TB</t>
  </si>
  <si>
    <t>CLONIDINE.1MGTB</t>
  </si>
  <si>
    <t>0053029450</t>
  </si>
  <si>
    <t>CLONIDINE 0.2MG TB</t>
  </si>
  <si>
    <t>CLONIDINE.2MGTB</t>
  </si>
  <si>
    <t>0053029658</t>
  </si>
  <si>
    <t>CLOPIDOGREL 75MG TB</t>
  </si>
  <si>
    <t xml:space="preserve">CLOPIDOG75MGTB </t>
  </si>
  <si>
    <t>0053029708</t>
  </si>
  <si>
    <t>CLOPIDOGREL 300MG TB</t>
  </si>
  <si>
    <t>CLOPIDOG300MGTB</t>
  </si>
  <si>
    <t>0053030169</t>
  </si>
  <si>
    <t>CLOZAPINE 25MG TB</t>
  </si>
  <si>
    <t>CLOZAPIN25MG TB</t>
  </si>
  <si>
    <t>0053030177</t>
  </si>
  <si>
    <t>CLOZAPINE 100MG TB</t>
  </si>
  <si>
    <t>CLOZAPIN100MGTB</t>
  </si>
  <si>
    <t>0053030409</t>
  </si>
  <si>
    <t>COLCHICINE .6MG CP</t>
  </si>
  <si>
    <t>COLCHICINE .6CP</t>
  </si>
  <si>
    <t>0053030425</t>
  </si>
  <si>
    <t>COLCHICINE .6MG TB</t>
  </si>
  <si>
    <t>COLCHICINE.6 TB</t>
  </si>
  <si>
    <t>0053030433</t>
  </si>
  <si>
    <t>COLESEVELAM 625MG TB</t>
  </si>
  <si>
    <t>COLESEVELM625TB</t>
  </si>
  <si>
    <t>0053030441</t>
  </si>
  <si>
    <t>COLESTIPOL 1GM TB</t>
  </si>
  <si>
    <t xml:space="preserve">COLESTIPOL1 TB </t>
  </si>
  <si>
    <t>0053030557</t>
  </si>
  <si>
    <t>CONJ ESTROG SYN1.25MG TB</t>
  </si>
  <si>
    <t>ESTR CJ SY1.25T</t>
  </si>
  <si>
    <t>0053030656</t>
  </si>
  <si>
    <t>CONJ ESTROGEN .3MG TB</t>
  </si>
  <si>
    <t xml:space="preserve">ESTROG CJ .3TB </t>
  </si>
  <si>
    <t>0053030664</t>
  </si>
  <si>
    <t>CONJ ESTROGEN .45MG TB</t>
  </si>
  <si>
    <t>ESTROG CJ .45TB</t>
  </si>
  <si>
    <t>0053030698</t>
  </si>
  <si>
    <t>CONJ ESTROGEN .625MG TB</t>
  </si>
  <si>
    <t>ESTROG CJ.625TB</t>
  </si>
  <si>
    <t>0053030706</t>
  </si>
  <si>
    <t>CONJ ESTROGEN .9MG TB</t>
  </si>
  <si>
    <t xml:space="preserve">ESTROG CJ .9TB </t>
  </si>
  <si>
    <t>0053030730</t>
  </si>
  <si>
    <t>CONJUGATED ESTR 1.25MG</t>
  </si>
  <si>
    <t>ESTROG CJ1.25TB</t>
  </si>
  <si>
    <t>0053030896</t>
  </si>
  <si>
    <t>CORTISONE 25MG TB</t>
  </si>
  <si>
    <t xml:space="preserve">CORTISONE25 TB </t>
  </si>
  <si>
    <t>0053032538</t>
  </si>
  <si>
    <t>CYCLOBENZAPRINE 5MG TB</t>
  </si>
  <si>
    <t>CYCLOBENZAPR5TB</t>
  </si>
  <si>
    <t>0053032546</t>
  </si>
  <si>
    <t>CYCLOBENZAPRINE 10MG TB</t>
  </si>
  <si>
    <t>CYCLOBENZAP10TB</t>
  </si>
  <si>
    <t>0053032785</t>
  </si>
  <si>
    <t>CYCLOPHOSPHAMIDE 25MG CP</t>
  </si>
  <si>
    <t>CYCLOPHOS25MGCP</t>
  </si>
  <si>
    <t>0053032868</t>
  </si>
  <si>
    <t>CYCLOSPORIN 25MG CP</t>
  </si>
  <si>
    <t>CYCLOSPOR25MGCP</t>
  </si>
  <si>
    <t>0053032892</t>
  </si>
  <si>
    <t>CYCLOSPORINE 25MG GEL CP</t>
  </si>
  <si>
    <t>CYCLOSPOR25GLCP</t>
  </si>
  <si>
    <t>0053032926</t>
  </si>
  <si>
    <t>CYCLOSPORIN 100MG CP</t>
  </si>
  <si>
    <t>CYCLOSPR100MGCP</t>
  </si>
  <si>
    <t>0053032934</t>
  </si>
  <si>
    <t>CYCLOSPORINE 100MG MODIFIED CP</t>
  </si>
  <si>
    <t>CYCLOSPORIN100M</t>
  </si>
  <si>
    <t>0053033049</t>
  </si>
  <si>
    <t>CYPROHEPTADINE 4MG TB</t>
  </si>
  <si>
    <t>CYPROHEPTADN4TB</t>
  </si>
  <si>
    <t>0053033197</t>
  </si>
  <si>
    <t>DABIGATRAN 75MG CP</t>
  </si>
  <si>
    <t>DABIGATRA75MGCP</t>
  </si>
  <si>
    <t>0053033205</t>
  </si>
  <si>
    <t>DABIGATRAN 150MG CP</t>
  </si>
  <si>
    <t>DABIGATR150MGCP</t>
  </si>
  <si>
    <t>0053033213</t>
  </si>
  <si>
    <t>DABIGATRAN 110MG CAP</t>
  </si>
  <si>
    <t>DABIGATRAN 110M</t>
  </si>
  <si>
    <t>0053033502</t>
  </si>
  <si>
    <t>DANAZOL 100MG TB</t>
  </si>
  <si>
    <t xml:space="preserve">DANAZOL100 TB  </t>
  </si>
  <si>
    <t>0053034195</t>
  </si>
  <si>
    <t>DANTROLENE 25MG CP</t>
  </si>
  <si>
    <t>DANTROLENE25 CP</t>
  </si>
  <si>
    <t>0053034229</t>
  </si>
  <si>
    <t>DANTROLENE 50MG CP</t>
  </si>
  <si>
    <t>DANTROLENE50 CP</t>
  </si>
  <si>
    <t>0053034302</t>
  </si>
  <si>
    <t>DAPAGLIFLOZIN 5MG TB</t>
  </si>
  <si>
    <t>DAPAGLIFLOZ 5TB</t>
  </si>
  <si>
    <t>0053034310</t>
  </si>
  <si>
    <t>DAPAGLIFLOZIN 10MG TB</t>
  </si>
  <si>
    <t>DAPAGLIFLOZ 10T</t>
  </si>
  <si>
    <t>0053034427</t>
  </si>
  <si>
    <t>DAPSONE 25MG TB</t>
  </si>
  <si>
    <t xml:space="preserve">DAPSONE 25 TB  </t>
  </si>
  <si>
    <t>0053034435</t>
  </si>
  <si>
    <t>DAPSONE 100MG TB</t>
  </si>
  <si>
    <t xml:space="preserve">DAPSONE 100 TB </t>
  </si>
  <si>
    <t>0053034443</t>
  </si>
  <si>
    <t>DARUNAVIR 400MG TB</t>
  </si>
  <si>
    <t>DARUNAVIR 400TB</t>
  </si>
  <si>
    <t>0053034476</t>
  </si>
  <si>
    <t>DARUNAVIR 600MG TB</t>
  </si>
  <si>
    <t>DARUNAVIR 600TB</t>
  </si>
  <si>
    <t>0053034492</t>
  </si>
  <si>
    <t>DASATINIB 70MG TB</t>
  </si>
  <si>
    <t xml:space="preserve">DASATINIB70 TB </t>
  </si>
  <si>
    <t>0053034559</t>
  </si>
  <si>
    <t>DIDANOSINE 125MG XR CP</t>
  </si>
  <si>
    <t>DIDANO125 XR CP</t>
  </si>
  <si>
    <t>0053034575</t>
  </si>
  <si>
    <t>DIDANOSINE 250MG XR CP</t>
  </si>
  <si>
    <t>DIDANO250 XR CP</t>
  </si>
  <si>
    <t>0053034609</t>
  </si>
  <si>
    <t>DASATINIB 20MG TB</t>
  </si>
  <si>
    <t>DASATINIB20MGTB</t>
  </si>
  <si>
    <t>0053034633</t>
  </si>
  <si>
    <t>DARUNAVIR 800MG TB</t>
  </si>
  <si>
    <t>DARUNAVIR 800TB</t>
  </si>
  <si>
    <t>0053035150</t>
  </si>
  <si>
    <t>DEMECLOCYCLINE 150MG TB</t>
  </si>
  <si>
    <t xml:space="preserve">DECLOMYC150 TB </t>
  </si>
  <si>
    <t>0053035259</t>
  </si>
  <si>
    <t>DEMECLOCYCLINE 300MG TB</t>
  </si>
  <si>
    <t xml:space="preserve">DECLOMYC300 TB </t>
  </si>
  <si>
    <t>0053035689</t>
  </si>
  <si>
    <t>DESIPRAMINE 10MG TB</t>
  </si>
  <si>
    <t>DESIPRAMIN10 TB</t>
  </si>
  <si>
    <t>0053035697</t>
  </si>
  <si>
    <t>DESIPRAMINE 25MG TB</t>
  </si>
  <si>
    <t>DESIPRAMIN25 TB</t>
  </si>
  <si>
    <t>0053035739</t>
  </si>
  <si>
    <t>DESIPRAMINE 50MG TB</t>
  </si>
  <si>
    <t>DESIPRAMIN50 TB</t>
  </si>
  <si>
    <t>0053035853</t>
  </si>
  <si>
    <t>DESMOPRESSIN .1MG TB</t>
  </si>
  <si>
    <t xml:space="preserve">DESMOPRESS.1TB </t>
  </si>
  <si>
    <t>0053035861</t>
  </si>
  <si>
    <t>DESMOPRESSIN .2MG TB</t>
  </si>
  <si>
    <t xml:space="preserve">DESMOPRESS.2TB </t>
  </si>
  <si>
    <t>0053035903</t>
  </si>
  <si>
    <t>DESVENLAFAXINE 50MG XRTB</t>
  </si>
  <si>
    <t>DESVEN 50MGXRTB</t>
  </si>
  <si>
    <t>0053035960</t>
  </si>
  <si>
    <t>DEXAMETHASONE .5MG TB</t>
  </si>
  <si>
    <t>DEXAMETH.5MG TB</t>
  </si>
  <si>
    <t>0053036026</t>
  </si>
  <si>
    <t>DEXAMETHASONE 1.5MG TB</t>
  </si>
  <si>
    <t>DEXAMETH1.5MGTB</t>
  </si>
  <si>
    <t>0053036034</t>
  </si>
  <si>
    <t>DEXAMETHASONE 2MG TB</t>
  </si>
  <si>
    <t>DEXAMETH 2MG TB</t>
  </si>
  <si>
    <t>0053036042</t>
  </si>
  <si>
    <t>DEXAMETHASONE 4MG TB</t>
  </si>
  <si>
    <t>DEXAMETH 4MG TB</t>
  </si>
  <si>
    <t>0053036067</t>
  </si>
  <si>
    <t>DEXAMETHASONE 6MG TB</t>
  </si>
  <si>
    <t>DEXAMETH 6MG TB</t>
  </si>
  <si>
    <t>0053036109</t>
  </si>
  <si>
    <t>DEXAMETHASONE 1MG TB</t>
  </si>
  <si>
    <t>DEXAMETH 1MG TB</t>
  </si>
  <si>
    <t>0053037065</t>
  </si>
  <si>
    <t>DIAZEPAM 1MG TB</t>
  </si>
  <si>
    <t>0053037081</t>
  </si>
  <si>
    <t>DIAZEPAM 2MG TB</t>
  </si>
  <si>
    <t xml:space="preserve">DIAZEPAM 2 TB  </t>
  </si>
  <si>
    <t>0053037107</t>
  </si>
  <si>
    <t>DIAZEPAM 2.5MG TB</t>
  </si>
  <si>
    <t xml:space="preserve">DIAZEPAM 2.5TB </t>
  </si>
  <si>
    <t>0053037123</t>
  </si>
  <si>
    <t>DIAZEPAM 5MG TB</t>
  </si>
  <si>
    <t xml:space="preserve">DIAZEPAM 5 TB  </t>
  </si>
  <si>
    <t>0053037453</t>
  </si>
  <si>
    <t>DICLOFENAC NA 25MG XRTB</t>
  </si>
  <si>
    <t>DICLOFENC25XRTB</t>
  </si>
  <si>
    <t>0053037461</t>
  </si>
  <si>
    <t>DICLOFENAC NA 50MG XRTB</t>
  </si>
  <si>
    <t>DICLOFENC50XRTB</t>
  </si>
  <si>
    <t>0053037479</t>
  </si>
  <si>
    <t>DICLOFENAC NA 75MG XRTB</t>
  </si>
  <si>
    <t>DICLOFENC75XRTB</t>
  </si>
  <si>
    <t>0053037669</t>
  </si>
  <si>
    <t>DICLOXACIL 250MG CP</t>
  </si>
  <si>
    <t>DICLOXACIL250CP</t>
  </si>
  <si>
    <t>0053038204</t>
  </si>
  <si>
    <t>DICYCLOMINE 10MG CP</t>
  </si>
  <si>
    <t>DICYCLOMINE10CP</t>
  </si>
  <si>
    <t>0053038246</t>
  </si>
  <si>
    <t>DICYCLOMINE 20MG TB</t>
  </si>
  <si>
    <t>DICYCLOMINE20TB</t>
  </si>
  <si>
    <t>0053039442</t>
  </si>
  <si>
    <t>DIGOXIN 0.125MG TB</t>
  </si>
  <si>
    <t>DIGOXIN.125MGTB</t>
  </si>
  <si>
    <t>0053039525</t>
  </si>
  <si>
    <t>DIGOXIN 0.25MG TB</t>
  </si>
  <si>
    <t>DIGOXIN.25MG TB</t>
  </si>
  <si>
    <t>0053040333</t>
  </si>
  <si>
    <t>DILTIAZEM 30MG TB</t>
  </si>
  <si>
    <t>DILTIAZEM 30 TB</t>
  </si>
  <si>
    <t>0053040374</t>
  </si>
  <si>
    <t>DILTIAZEM 60MG TB</t>
  </si>
  <si>
    <t>DILTIAZEM 60 TB</t>
  </si>
  <si>
    <t>0053040382</t>
  </si>
  <si>
    <t>DILTIAZEM 90MG TB</t>
  </si>
  <si>
    <t xml:space="preserve">DILTIAZEM 90MG </t>
  </si>
  <si>
    <t>0053040408</t>
  </si>
  <si>
    <t>DILTIAZEM 90MG XR CP</t>
  </si>
  <si>
    <t>DILTIAZ90 XR CP</t>
  </si>
  <si>
    <t>0053040416</t>
  </si>
  <si>
    <t>DILTIAZEM 120MG XR CP</t>
  </si>
  <si>
    <t>DILTIAZEM 120MG</t>
  </si>
  <si>
    <t>0053040424</t>
  </si>
  <si>
    <t>DILTIAZEM 60MG XR CP</t>
  </si>
  <si>
    <t>DILTIAZ60MGXRCP</t>
  </si>
  <si>
    <t>0053040432</t>
  </si>
  <si>
    <t>DILTIAZEM 120MG XR24 CP</t>
  </si>
  <si>
    <t>DILTIAZ120X24CP</t>
  </si>
  <si>
    <t>0053040440</t>
  </si>
  <si>
    <t>DILTIAZEM 180MG XR24 CP</t>
  </si>
  <si>
    <t>DILTIAZ180X24CP</t>
  </si>
  <si>
    <t>0053040465</t>
  </si>
  <si>
    <t>DILTIAZEM 300MG XR24 CP</t>
  </si>
  <si>
    <t>DILTIAZ300X24CP</t>
  </si>
  <si>
    <t>0053040606</t>
  </si>
  <si>
    <t>DIMENHYDRINATE 50MG TB</t>
  </si>
  <si>
    <t>DIMENHYDRIN50TB</t>
  </si>
  <si>
    <t>0053040879</t>
  </si>
  <si>
    <t>DIPHENHYDRAMINE 25MG CP</t>
  </si>
  <si>
    <t>DIPHENHYDRA25CP</t>
  </si>
  <si>
    <t>0053040911</t>
  </si>
  <si>
    <t>DIPHENHYDRAMINE 50MG CP</t>
  </si>
  <si>
    <t>DIPHENHYDRA50CP</t>
  </si>
  <si>
    <t>0053040986</t>
  </si>
  <si>
    <t>DIPHENOX/ATROP 2.5 TB</t>
  </si>
  <si>
    <t>DIPHENX/ATRP TB</t>
  </si>
  <si>
    <t>0053041141</t>
  </si>
  <si>
    <t>DIPYRIDAMOLE 25MG TB</t>
  </si>
  <si>
    <t>DIPYRIDAMO25 TB</t>
  </si>
  <si>
    <t>0053041182</t>
  </si>
  <si>
    <t>DIPYRIDAMOLE 50MG TB</t>
  </si>
  <si>
    <t>DIPYRIDAMO50 TB</t>
  </si>
  <si>
    <t>0053041232</t>
  </si>
  <si>
    <t>DIPYRDAML/ASA200/25 XRCP</t>
  </si>
  <si>
    <t>DP/AS200/25XRCP</t>
  </si>
  <si>
    <t>0053041430</t>
  </si>
  <si>
    <t>DISOPYRAMIDE 100MG CP</t>
  </si>
  <si>
    <t>DISOPYRAMIDE 10</t>
  </si>
  <si>
    <t>0053041455</t>
  </si>
  <si>
    <t>DISOPYRAMIDE 100MG TB</t>
  </si>
  <si>
    <t xml:space="preserve">DISOPYRAM100TB </t>
  </si>
  <si>
    <t>0053041497</t>
  </si>
  <si>
    <t>DISOPYRAMIDE 150MG TB</t>
  </si>
  <si>
    <t>DISOPYRAMD150TB</t>
  </si>
  <si>
    <t>0053041570</t>
  </si>
  <si>
    <t>DISOPYRAMIDE 150MG XR CP</t>
  </si>
  <si>
    <t>DISOPYRA150XRCP</t>
  </si>
  <si>
    <t>0053041901</t>
  </si>
  <si>
    <t>DIVALPROX NA 125MG EC TB</t>
  </si>
  <si>
    <t>DIVALP125 EC TB</t>
  </si>
  <si>
    <t>0053041919</t>
  </si>
  <si>
    <t>DIVALPROX NA 250MG EC TB</t>
  </si>
  <si>
    <t>DIVALP250 EC TB</t>
  </si>
  <si>
    <t>0053041935</t>
  </si>
  <si>
    <t>DIVALPROX NA 500MG EC TB</t>
  </si>
  <si>
    <t>DIVALP500 EC TB</t>
  </si>
  <si>
    <t>0053041950</t>
  </si>
  <si>
    <t>DIVALPROX NA 500MG XR TB</t>
  </si>
  <si>
    <t>DIVALP500 XR TB</t>
  </si>
  <si>
    <t>0053041968</t>
  </si>
  <si>
    <t>DIVALPROX NA 250MG XR TB</t>
  </si>
  <si>
    <t>DIVALP250 XR TB</t>
  </si>
  <si>
    <t>0053042198</t>
  </si>
  <si>
    <t>DOCUSATE 100MG CP</t>
  </si>
  <si>
    <t xml:space="preserve">DOCUSATE100 CP </t>
  </si>
  <si>
    <t>0053042230</t>
  </si>
  <si>
    <t>DOCUSATE 250MG CP</t>
  </si>
  <si>
    <t xml:space="preserve">DOCUSATE250 CP </t>
  </si>
  <si>
    <t>0053042503</t>
  </si>
  <si>
    <t>DONEPEZIL 5MG TB</t>
  </si>
  <si>
    <t xml:space="preserve">DONEPEZIL5MGTB </t>
  </si>
  <si>
    <t>0053042578</t>
  </si>
  <si>
    <t>DOLUTEGRAVIR 50MG TB</t>
  </si>
  <si>
    <t>DOLUTEGRAV 50TB</t>
  </si>
  <si>
    <t>0053043352</t>
  </si>
  <si>
    <t>DOXAZOSIN 1MG TB</t>
  </si>
  <si>
    <t xml:space="preserve">DOXAZOSIN 1 TB </t>
  </si>
  <si>
    <t>0053043378</t>
  </si>
  <si>
    <t>DOXAZOSIN 4MG TB</t>
  </si>
  <si>
    <t xml:space="preserve">DOXAZOSIN 4 TB </t>
  </si>
  <si>
    <t>0053043428</t>
  </si>
  <si>
    <t>DOXEPIN 10MG CP</t>
  </si>
  <si>
    <t>0053043659</t>
  </si>
  <si>
    <t>DOXEPIN 25MG CP</t>
  </si>
  <si>
    <t>0053043790</t>
  </si>
  <si>
    <t>DOXERCALCIFEROL .5MCG CP</t>
  </si>
  <si>
    <t>DOXERCALCF.5 CP</t>
  </si>
  <si>
    <t>0053043881</t>
  </si>
  <si>
    <t>DOXYCYCLINE 50MG CP</t>
  </si>
  <si>
    <t>DOXYCYCLINE50CP</t>
  </si>
  <si>
    <t>0053043964</t>
  </si>
  <si>
    <t>DOXYCYCLINE 100MG TB</t>
  </si>
  <si>
    <t>DOXYCYCLIN100TB</t>
  </si>
  <si>
    <t>0053044046</t>
  </si>
  <si>
    <t>DRONEDARONE 200MG TB</t>
  </si>
  <si>
    <t>DRONEDAR200MGTB</t>
  </si>
  <si>
    <t>0053044053</t>
  </si>
  <si>
    <t>DRONEDARONE 400MG TB</t>
  </si>
  <si>
    <t>DRONEDAR400MGTB</t>
  </si>
  <si>
    <t>0053044087</t>
  </si>
  <si>
    <t>DROXIDOPA 100MG CP</t>
  </si>
  <si>
    <t>DROXIDOPA 100CP</t>
  </si>
  <si>
    <t>0053044103</t>
  </si>
  <si>
    <t>DULOXETINE 20MG XR CP</t>
  </si>
  <si>
    <t>DULOXETIN20XRCP</t>
  </si>
  <si>
    <t>0053044111</t>
  </si>
  <si>
    <t>DULOXETINE 30MG XR CP</t>
  </si>
  <si>
    <t>DULOXETIN30XRCP</t>
  </si>
  <si>
    <t>0053044202</t>
  </si>
  <si>
    <t>ELTROMBOPAG 50MG TB</t>
  </si>
  <si>
    <t>ELTROMBO 50MGTB</t>
  </si>
  <si>
    <t>0053044210</t>
  </si>
  <si>
    <t>PANCRELIP 24-76-120 XRCP</t>
  </si>
  <si>
    <t>DIG ENZ24K XRCP</t>
  </si>
  <si>
    <t>0053044319</t>
  </si>
  <si>
    <t>EFAVIRENZ 200MG CP</t>
  </si>
  <si>
    <t>EFAVIRENZ200 CP</t>
  </si>
  <si>
    <t>0053044343</t>
  </si>
  <si>
    <t>ENALAPRIL 2.5MG TB</t>
  </si>
  <si>
    <t>ENALAPRIL2.5 TB</t>
  </si>
  <si>
    <t>0053044376</t>
  </si>
  <si>
    <t>ENALAPRIL 5MG TB</t>
  </si>
  <si>
    <t xml:space="preserve">ENALAPRIL 5 TB </t>
  </si>
  <si>
    <t>0053044392</t>
  </si>
  <si>
    <t>ENALAPRIL 10MG TB</t>
  </si>
  <si>
    <t>ENALAPRIL 10 TB</t>
  </si>
  <si>
    <t>0053044400</t>
  </si>
  <si>
    <t>ENALAPRIL 20MG TB</t>
  </si>
  <si>
    <t>ENALAPRIL 20 TB</t>
  </si>
  <si>
    <t>0053044558</t>
  </si>
  <si>
    <t>EMTRICITBINE/TENFOVIR TB</t>
  </si>
  <si>
    <t>EMTRICIT/TEN TB</t>
  </si>
  <si>
    <t>0053044566</t>
  </si>
  <si>
    <t>EMTRICITABINE 200MG CP</t>
  </si>
  <si>
    <t>EMTRICITAB200CP</t>
  </si>
  <si>
    <t>0053044582</t>
  </si>
  <si>
    <t>ENTECAVIR .5MG TB</t>
  </si>
  <si>
    <t xml:space="preserve">ENTECAVIR.5 TB </t>
  </si>
  <si>
    <t>0053044590</t>
  </si>
  <si>
    <t>ENTECAVIR 1MG TB</t>
  </si>
  <si>
    <t xml:space="preserve">ENTECAVIR 1 TB </t>
  </si>
  <si>
    <t>0053044608</t>
  </si>
  <si>
    <t>ENTACAPONE 200MG TB</t>
  </si>
  <si>
    <t>ENTACAPONE200TB</t>
  </si>
  <si>
    <t>0053044616</t>
  </si>
  <si>
    <t>EPLERENONE 25MG TB</t>
  </si>
  <si>
    <t>EPLERENONE25 TB</t>
  </si>
  <si>
    <t>0053044640</t>
  </si>
  <si>
    <t>EFAVIR/EMTRICT/TENOFV TB</t>
  </si>
  <si>
    <t>EFAV/EMT/TEN TB</t>
  </si>
  <si>
    <t>0053044699</t>
  </si>
  <si>
    <t>ERGOCALCIFEROL 50000U CP</t>
  </si>
  <si>
    <t>ERGOCA50000U CP</t>
  </si>
  <si>
    <t>0053046009</t>
  </si>
  <si>
    <t>ERLOTINIB 25MG TB</t>
  </si>
  <si>
    <t>ERLOTINIB 25 TB</t>
  </si>
  <si>
    <t>0053046017</t>
  </si>
  <si>
    <t>ERLOTINIB 100MG TB</t>
  </si>
  <si>
    <t>ERLOTINIB100 TB</t>
  </si>
  <si>
    <t>0053046025</t>
  </si>
  <si>
    <t>ERLOTINIB 150MG TB</t>
  </si>
  <si>
    <t>ERLOTINIB150 TB</t>
  </si>
  <si>
    <t>0053046355</t>
  </si>
  <si>
    <t>ERYTHROMYCIN 250MG XR CP</t>
  </si>
  <si>
    <t>ERYTHR250 XR CP</t>
  </si>
  <si>
    <t>0053046470</t>
  </si>
  <si>
    <t>ERYTHROMYC BASE 250MG TB</t>
  </si>
  <si>
    <t>ERYTH BASE250TB</t>
  </si>
  <si>
    <t>0053046538</t>
  </si>
  <si>
    <t>ERYTHROMYC BASE 500MG TB</t>
  </si>
  <si>
    <t>ERYTH BASE500TB</t>
  </si>
  <si>
    <t>0053046587</t>
  </si>
  <si>
    <t>ESOMEPRAZOLE 20MG XR CP</t>
  </si>
  <si>
    <t>ESOMEPRAZ20XRCP</t>
  </si>
  <si>
    <t>0053046595</t>
  </si>
  <si>
    <t>ESOMEPRAZOLE 40MG XR CP</t>
  </si>
  <si>
    <t>ESOMEPRAZ40XRCP</t>
  </si>
  <si>
    <t>0053046645</t>
  </si>
  <si>
    <t>ESCITALOPRAM 5MG TB</t>
  </si>
  <si>
    <t>ESCITALOPAM 5TB</t>
  </si>
  <si>
    <t>0053046652</t>
  </si>
  <si>
    <t>ESCITALOPRAM 10MG TB</t>
  </si>
  <si>
    <t>ESCITALOPAM10TB</t>
  </si>
  <si>
    <t>0053046736</t>
  </si>
  <si>
    <t>ESTRADIOL 0.5MG TB</t>
  </si>
  <si>
    <t>ESTRADIOL .5 TB</t>
  </si>
  <si>
    <t>0053046744</t>
  </si>
  <si>
    <t>ESTRADIOL 1MG TB</t>
  </si>
  <si>
    <t xml:space="preserve">ESTRADIOL 1 TB </t>
  </si>
  <si>
    <t>0053046751</t>
  </si>
  <si>
    <t>ESTRADIOL 2MG TB</t>
  </si>
  <si>
    <t xml:space="preserve">ESTRADIOL 2 TB </t>
  </si>
  <si>
    <t>0053047080</t>
  </si>
  <si>
    <t>ESTROGEN ESTRFD.625MG TB</t>
  </si>
  <si>
    <t>ESTROG EST.62TB</t>
  </si>
  <si>
    <t>0053047296</t>
  </si>
  <si>
    <t>ESTROPIPATE 0.75MG TB</t>
  </si>
  <si>
    <t>ESTROPIPAT.75TB</t>
  </si>
  <si>
    <t>0053047437</t>
  </si>
  <si>
    <t>ETHACRYNIC ACID 25MG TB</t>
  </si>
  <si>
    <t>ETHACRY AC25 TB</t>
  </si>
  <si>
    <t>0053047700</t>
  </si>
  <si>
    <t>ETHAMBUTOL 100MG TB</t>
  </si>
  <si>
    <t>ETHAMBUTL100 TB</t>
  </si>
  <si>
    <t>0053047742</t>
  </si>
  <si>
    <t>ETHAMBUTOL 400MG TB</t>
  </si>
  <si>
    <t>ETHAMBUTL400 TB</t>
  </si>
  <si>
    <t>0053048708</t>
  </si>
  <si>
    <t>EXEMESTANE 25MG TB</t>
  </si>
  <si>
    <t>EXEMESTAN 25 TB</t>
  </si>
  <si>
    <t>0053048740</t>
  </si>
  <si>
    <t>EZETIMIBE 5MG TB</t>
  </si>
  <si>
    <t>EZETIMIBE 5MGTB</t>
  </si>
  <si>
    <t>0053048757</t>
  </si>
  <si>
    <t>EZETIMIBE 10MG TB</t>
  </si>
  <si>
    <t>EZETIMIBE 10 TB</t>
  </si>
  <si>
    <t>0053048989</t>
  </si>
  <si>
    <t>FAMCICLOVIR 500MG TB</t>
  </si>
  <si>
    <t>FAMCICLVR500 TB</t>
  </si>
  <si>
    <t>0053048997</t>
  </si>
  <si>
    <t>FAMOTIDINE 10MG TB</t>
  </si>
  <si>
    <t>FAMOTIDINE 10TB</t>
  </si>
  <si>
    <t>0053049003</t>
  </si>
  <si>
    <t>FAMOTIDINE 20MG TB</t>
  </si>
  <si>
    <t>FAMOTIDINE 20TB</t>
  </si>
  <si>
    <t>0053049029</t>
  </si>
  <si>
    <t>FAMCICLOVIR 250MG TB</t>
  </si>
  <si>
    <t>FAMCICLVR250 TB</t>
  </si>
  <si>
    <t>0053049110</t>
  </si>
  <si>
    <t>FEBUXOSTAT 40MG TB</t>
  </si>
  <si>
    <t>FEBUXOS 40MG TB</t>
  </si>
  <si>
    <t>0053049151</t>
  </si>
  <si>
    <t>FELBAMATE 400MG TB</t>
  </si>
  <si>
    <t>FELBAMATE400 TB</t>
  </si>
  <si>
    <t>0053049193</t>
  </si>
  <si>
    <t>FELODIPINE 2.5MG XR TB</t>
  </si>
  <si>
    <t>FELODIPN2.5XRTB</t>
  </si>
  <si>
    <t>0053049201</t>
  </si>
  <si>
    <t>FELODIPINE 5MG XR TB</t>
  </si>
  <si>
    <t>FELODIPINE5XRTB</t>
  </si>
  <si>
    <t>0053049219</t>
  </si>
  <si>
    <t>FELODIPINE 10MG XR TB</t>
  </si>
  <si>
    <t>FELODIPIN10XRTB</t>
  </si>
  <si>
    <t>0053049359</t>
  </si>
  <si>
    <t>FENOFIBRATE 54MG TB</t>
  </si>
  <si>
    <t xml:space="preserve">FENOFIBRT54 TB </t>
  </si>
  <si>
    <t>0053049375</t>
  </si>
  <si>
    <t>FENOFIBRATE 160MG TB</t>
  </si>
  <si>
    <t>FENOFIBRT160 TB</t>
  </si>
  <si>
    <t>0053050134</t>
  </si>
  <si>
    <t>FERROUS GLUCONT 325MG TB</t>
  </si>
  <si>
    <t xml:space="preserve">FE GLUC 325 TB </t>
  </si>
  <si>
    <t>0053050423</t>
  </si>
  <si>
    <t>FERROUS SULF 160MG XR TB</t>
  </si>
  <si>
    <t>FE SULF 160XRTB</t>
  </si>
  <si>
    <t>0053050449</t>
  </si>
  <si>
    <t>FERROUS SULFATE 325MG TB</t>
  </si>
  <si>
    <t xml:space="preserve">FE SULF 325TB  </t>
  </si>
  <si>
    <t>0053050662</t>
  </si>
  <si>
    <t>FINASTERIDE 5MG TB</t>
  </si>
  <si>
    <t>FINASTERIDE5 TB</t>
  </si>
  <si>
    <t>0053050696</t>
  </si>
  <si>
    <t>FIDAXOMICIN 200MG TB</t>
  </si>
  <si>
    <t>FIDAXOM 200MGTB</t>
  </si>
  <si>
    <t>0053050845</t>
  </si>
  <si>
    <t>FLECAINIDE 50MG TB</t>
  </si>
  <si>
    <t>FLECAINIDE 50TB</t>
  </si>
  <si>
    <t>0053050852</t>
  </si>
  <si>
    <t>FLECAINIDE 100MG TB</t>
  </si>
  <si>
    <t>FLECAINIDE100TB</t>
  </si>
  <si>
    <t>0053050969</t>
  </si>
  <si>
    <t>FLUCONAZOLE 100MG TB</t>
  </si>
  <si>
    <t>FLUCONAZL100 TB</t>
  </si>
  <si>
    <t>0053050977</t>
  </si>
  <si>
    <t>FLUCONAZOLE 200MG TB</t>
  </si>
  <si>
    <t>FLUCONAZL200 TB</t>
  </si>
  <si>
    <t>0053050985</t>
  </si>
  <si>
    <t>FLUCONAZOLE 150MG TB</t>
  </si>
  <si>
    <t>FLUCONAZL150 TB</t>
  </si>
  <si>
    <t>0053051025</t>
  </si>
  <si>
    <t>FLUCYTOSINE 250MG CP</t>
  </si>
  <si>
    <t>FLUCYTOSIN250CP</t>
  </si>
  <si>
    <t>0053051066</t>
  </si>
  <si>
    <t>FLUCYTOSINE 500MG CP</t>
  </si>
  <si>
    <t>FLUCYTOSIN500CP</t>
  </si>
  <si>
    <t>0053051280</t>
  </si>
  <si>
    <t>FLUDROCORTISONE.05MG TB</t>
  </si>
  <si>
    <t>FLUDROCORT.05TB</t>
  </si>
  <si>
    <t>0053051298</t>
  </si>
  <si>
    <t>FLUDROCORTISONE .1MG TB</t>
  </si>
  <si>
    <t>FLUDROCORT.1 TB</t>
  </si>
  <si>
    <t>0053051595</t>
  </si>
  <si>
    <t>FLUOXETINE 10MG CP</t>
  </si>
  <si>
    <t>FLUOXETIN10MGCP</t>
  </si>
  <si>
    <t>0053051603</t>
  </si>
  <si>
    <t>FLUOXETINE 20MG CP</t>
  </si>
  <si>
    <t>FLUOXETIN20MGCP</t>
  </si>
  <si>
    <t>0053052049</t>
  </si>
  <si>
    <t>FLUPHENAZINE 2.5MG TB</t>
  </si>
  <si>
    <t>FLUPHENAZ2.5 TB</t>
  </si>
  <si>
    <t>0053052064</t>
  </si>
  <si>
    <t>FLUPHENAZINE 1MG TB</t>
  </si>
  <si>
    <t>FLUPHENAZ 1MGTB</t>
  </si>
  <si>
    <t>0053052072</t>
  </si>
  <si>
    <t>FLUPHENAZINE 5MG TB</t>
  </si>
  <si>
    <t>FLUPHENAZ 5MGTB</t>
  </si>
  <si>
    <t>0053052221</t>
  </si>
  <si>
    <t>FLUVOXAMINE 150MG XR CP</t>
  </si>
  <si>
    <t>FLUXOVAM150XRCP</t>
  </si>
  <si>
    <t>0053052288</t>
  </si>
  <si>
    <t>FLUTAMIDE 125MG CP</t>
  </si>
  <si>
    <t>FLUTAMIDE125 CP</t>
  </si>
  <si>
    <t>0053052338</t>
  </si>
  <si>
    <t>FOLIC ACID 1MG TB</t>
  </si>
  <si>
    <t xml:space="preserve">FOLIC AC 1 TB  </t>
  </si>
  <si>
    <t>0053052353</t>
  </si>
  <si>
    <t>FLUVOXAMINE 50MG TB</t>
  </si>
  <si>
    <t>FLUXOVAMINE50TB</t>
  </si>
  <si>
    <t>0053052361</t>
  </si>
  <si>
    <t>FLUVOXAMINE 100MG TB</t>
  </si>
  <si>
    <t>FLUXOVAMIN100TB</t>
  </si>
  <si>
    <t>0053052395</t>
  </si>
  <si>
    <t>FOSFOMYCIN 3GM PWLQ</t>
  </si>
  <si>
    <t>FOSFOMYC3GMPWLQ</t>
  </si>
  <si>
    <t>0053052452</t>
  </si>
  <si>
    <t>FOSAMPRENAVIR 700MG TB</t>
  </si>
  <si>
    <t>FOSAMPRENV700TB</t>
  </si>
  <si>
    <t>0053052783</t>
  </si>
  <si>
    <t>FUROSEMIDE 10MG TB</t>
  </si>
  <si>
    <t>FUROSEMIDE10 TB</t>
  </si>
  <si>
    <t>0053052791</t>
  </si>
  <si>
    <t>FUROSEMIDE 20MG TB</t>
  </si>
  <si>
    <t>FUROSEMIDE20 TB</t>
  </si>
  <si>
    <t>0053052833</t>
  </si>
  <si>
    <t>FUROSEMIDE 40MG TB</t>
  </si>
  <si>
    <t>FUROSEMIDE40 TB</t>
  </si>
  <si>
    <t>0053052874</t>
  </si>
  <si>
    <t>FUROSEMIDE 80MG TB</t>
  </si>
  <si>
    <t>FUROSEMIDE80 TB</t>
  </si>
  <si>
    <t>0053052908</t>
  </si>
  <si>
    <t>GABAPENTIN 100MG CP</t>
  </si>
  <si>
    <t>GABAPENTN100 CP</t>
  </si>
  <si>
    <t>0053052916</t>
  </si>
  <si>
    <t>GABAPENTIN 300MG CP</t>
  </si>
  <si>
    <t>GABAPENTN300 CP</t>
  </si>
  <si>
    <t>0053052924</t>
  </si>
  <si>
    <t>GABAPENTIN 400MG CP</t>
  </si>
  <si>
    <t>GABAPENTN400 CP</t>
  </si>
  <si>
    <t>0053052957</t>
  </si>
  <si>
    <t>GANCICLOVIR 250MG CP</t>
  </si>
  <si>
    <t>GANCICLVR250 CP</t>
  </si>
  <si>
    <t>0053052999</t>
  </si>
  <si>
    <t>GALANTAMINE 4MG TB</t>
  </si>
  <si>
    <t>GALANTAMIN4MGTB</t>
  </si>
  <si>
    <t>0053053112</t>
  </si>
  <si>
    <t>GEMFIBROZIL 600MG TB</t>
  </si>
  <si>
    <t>GEMFIBROZL600TB</t>
  </si>
  <si>
    <t>0053053195</t>
  </si>
  <si>
    <t>GLIMEPIRIDE 0.5MG TB</t>
  </si>
  <si>
    <t>GLIMEPIRIDE.5TB</t>
  </si>
  <si>
    <t>0053053203</t>
  </si>
  <si>
    <t>GLIMEPIRIDE 1MG TB</t>
  </si>
  <si>
    <t>GLIMEPIRIDE 1TB</t>
  </si>
  <si>
    <t>0053053229</t>
  </si>
  <si>
    <t>GLIMEPIRIDE 4MG TB</t>
  </si>
  <si>
    <t>GLIMEPIRIDE 4TB</t>
  </si>
  <si>
    <t>0053053435</t>
  </si>
  <si>
    <t>GLIPIZIDE 2.5MG TB</t>
  </si>
  <si>
    <t>GLIPIZIDE2.5 TB</t>
  </si>
  <si>
    <t>0053053443</t>
  </si>
  <si>
    <t>GLIPIZIDE 2.5MG XR TB</t>
  </si>
  <si>
    <t>GLIPZIDE2.5XRTB</t>
  </si>
  <si>
    <t>0053053450</t>
  </si>
  <si>
    <t>GLIPIZIDE 5MG TB</t>
  </si>
  <si>
    <t>GLIPIZIDE 5MGTB</t>
  </si>
  <si>
    <t>0053053468</t>
  </si>
  <si>
    <t>GLIPIZID5MGXRTB</t>
  </si>
  <si>
    <t>0053053476</t>
  </si>
  <si>
    <t>GLIPIZIDE 10MG TB</t>
  </si>
  <si>
    <t>GLIPIZIDE10MGTB</t>
  </si>
  <si>
    <t>0053053484</t>
  </si>
  <si>
    <t>GLIPIZIDE 10MG XR TB</t>
  </si>
  <si>
    <t xml:space="preserve">GLIPIZDE10XRTB </t>
  </si>
  <si>
    <t>0053054078</t>
  </si>
  <si>
    <t>GLYBURIDE MIC 3MG TB</t>
  </si>
  <si>
    <t>GLYBUR MC3MG TB</t>
  </si>
  <si>
    <t>0053054094</t>
  </si>
  <si>
    <t>GLYBURIDE 1.25MG TB</t>
  </si>
  <si>
    <t>GLYBUR1.25MG TB</t>
  </si>
  <si>
    <t>0053054110</t>
  </si>
  <si>
    <t>GLYBURIDE 2.5MG TB</t>
  </si>
  <si>
    <t>GLYBUR 2.5MG TB</t>
  </si>
  <si>
    <t>0053054136</t>
  </si>
  <si>
    <t>GLYBURIDE 5MG TB</t>
  </si>
  <si>
    <t xml:space="preserve">GLYBUR 5MG TB  </t>
  </si>
  <si>
    <t>0053054292</t>
  </si>
  <si>
    <t>GLYCOPYRROLATE 1MG TB</t>
  </si>
  <si>
    <t>GLYCOPYRROL1 TB</t>
  </si>
  <si>
    <t>0053054805</t>
  </si>
  <si>
    <t>GUAIFENESIN 200MG TB</t>
  </si>
  <si>
    <t xml:space="preserve">GUAF 200MG TB  </t>
  </si>
  <si>
    <t>0053054813</t>
  </si>
  <si>
    <t>GUAIFENESIN 600MG XR TB</t>
  </si>
  <si>
    <t>GUAF 600MG X TB</t>
  </si>
  <si>
    <t>0053054904</t>
  </si>
  <si>
    <t>GUAIFENESIN/DM 600/30 TB</t>
  </si>
  <si>
    <t>GUAI/DM600/30TB</t>
  </si>
  <si>
    <t>0053055406</t>
  </si>
  <si>
    <t>GUANFACINE 1MG TB</t>
  </si>
  <si>
    <t xml:space="preserve">GUANFACIN1MGTB </t>
  </si>
  <si>
    <t>0053056107</t>
  </si>
  <si>
    <t>HALOPERIDOL .5MG TB</t>
  </si>
  <si>
    <t>HALOPERD.5MG TB</t>
  </si>
  <si>
    <t>0053056149</t>
  </si>
  <si>
    <t>HALOPERIDOL 1MG TB</t>
  </si>
  <si>
    <t>HALOPERD 1MG TB</t>
  </si>
  <si>
    <t>0053056180</t>
  </si>
  <si>
    <t>HALOPERIDOL 2MG TB</t>
  </si>
  <si>
    <t>HALOPERD 2MG TB</t>
  </si>
  <si>
    <t>0053056222</t>
  </si>
  <si>
    <t>HALOPERIDOL 5MG TB</t>
  </si>
  <si>
    <t>HALOPERD 5MG TB</t>
  </si>
  <si>
    <t>0053056719</t>
  </si>
  <si>
    <t>HYDRALAZINE 5MG TB</t>
  </si>
  <si>
    <t>HYDRALAZINE 5TB</t>
  </si>
  <si>
    <t>0053056727</t>
  </si>
  <si>
    <t>HYDRALAZINE 10MG TB</t>
  </si>
  <si>
    <t>HYDRALAZINE10TB</t>
  </si>
  <si>
    <t>0053056750</t>
  </si>
  <si>
    <t>HYDRALAZINE 12.5MG TB</t>
  </si>
  <si>
    <t>HYDRALAZN12.5TB</t>
  </si>
  <si>
    <t>0053056768</t>
  </si>
  <si>
    <t>HYDRALAZINE 25MG TB</t>
  </si>
  <si>
    <t>HYDRALAZINE25TB</t>
  </si>
  <si>
    <t>0053056800</t>
  </si>
  <si>
    <t>HYDRALAZINE 50MG TB</t>
  </si>
  <si>
    <t>HYDRALAZINE50TB</t>
  </si>
  <si>
    <t>0053057121</t>
  </si>
  <si>
    <t>HCTZ 6.25MG TB</t>
  </si>
  <si>
    <t xml:space="preserve">HCTZ 6.25MG TB </t>
  </si>
  <si>
    <t>0053057139</t>
  </si>
  <si>
    <t>HCTZ 12.5MG TB</t>
  </si>
  <si>
    <t xml:space="preserve">HCTZ 12.5MG TB </t>
  </si>
  <si>
    <t>0053057147</t>
  </si>
  <si>
    <t>HCTZ 12.5MG CP</t>
  </si>
  <si>
    <t xml:space="preserve">HCTZ 12.5MG CP </t>
  </si>
  <si>
    <t>0053057154</t>
  </si>
  <si>
    <t>HCTZ 25MG TB</t>
  </si>
  <si>
    <t xml:space="preserve">HCTZ 25MG TB   </t>
  </si>
  <si>
    <t>0053057394</t>
  </si>
  <si>
    <t>HYDROCORTISONE 5MG TB</t>
  </si>
  <si>
    <t>HYDROCORTIS 5TB</t>
  </si>
  <si>
    <t>0053057428</t>
  </si>
  <si>
    <t>HYDROCORTISONE 10MG TB</t>
  </si>
  <si>
    <t>HYDROCORTIS10TB</t>
  </si>
  <si>
    <t>0053057451</t>
  </si>
  <si>
    <t>HYDROCORTISONE 20MG TB</t>
  </si>
  <si>
    <t>HYDROCORTIS20TB</t>
  </si>
  <si>
    <t>0053057881</t>
  </si>
  <si>
    <t>HYDROXYCHLOROQUN200MG TB</t>
  </si>
  <si>
    <t>HYDROXYCHQ200TB</t>
  </si>
  <si>
    <t>0053058111</t>
  </si>
  <si>
    <t>HYDROXYUREA 500MG CP</t>
  </si>
  <si>
    <t>HYDROXYURE500CP</t>
  </si>
  <si>
    <t>0053058301</t>
  </si>
  <si>
    <t>HYDROXYZINE 10MG TB</t>
  </si>
  <si>
    <t xml:space="preserve">HYDROXYZIN10TB </t>
  </si>
  <si>
    <t>0053058350</t>
  </si>
  <si>
    <t>HYDROXYZINE 25MG TB</t>
  </si>
  <si>
    <t xml:space="preserve">HYDROXYZIN25TB </t>
  </si>
  <si>
    <t>0053058657</t>
  </si>
  <si>
    <t>HYOSCYAMINE .125MG TB</t>
  </si>
  <si>
    <t xml:space="preserve">HYOSCYAM.125TB </t>
  </si>
  <si>
    <t>0053059093</t>
  </si>
  <si>
    <t>IBUPROFEN 200MG TB</t>
  </si>
  <si>
    <t>IBUPROF200MG TB</t>
  </si>
  <si>
    <t>0053059150</t>
  </si>
  <si>
    <t>IBUPROFEN 400MG TB</t>
  </si>
  <si>
    <t>IBUPROF400MG TB</t>
  </si>
  <si>
    <t>0053059192</t>
  </si>
  <si>
    <t>IBUPROFEN 600MG TB</t>
  </si>
  <si>
    <t>IBUPROF600MG TB</t>
  </si>
  <si>
    <t>0053059200</t>
  </si>
  <si>
    <t>IBUPROFEN 800MG TB</t>
  </si>
  <si>
    <t>IBUPROF800MG TB</t>
  </si>
  <si>
    <t>0053059309</t>
  </si>
  <si>
    <t>IMATINIB 100MG TB</t>
  </si>
  <si>
    <t xml:space="preserve">IMATINIB100TB  </t>
  </si>
  <si>
    <t>0053059317</t>
  </si>
  <si>
    <t>IMATINIB 400MG TB</t>
  </si>
  <si>
    <t xml:space="preserve">IMATINIB400TB  </t>
  </si>
  <si>
    <t>0053059499</t>
  </si>
  <si>
    <t>IMIPRAMINE 10MG TB</t>
  </si>
  <si>
    <t xml:space="preserve">IMIPRAMINE10TB </t>
  </si>
  <si>
    <t>0053059507</t>
  </si>
  <si>
    <t>IMIPRAMINE 25MG TB</t>
  </si>
  <si>
    <t xml:space="preserve">IMIPRAMINE25TB </t>
  </si>
  <si>
    <t>0053059549</t>
  </si>
  <si>
    <t>IMIPRAMINE 50MG TB</t>
  </si>
  <si>
    <t xml:space="preserve">IMIPRAMINE50TB </t>
  </si>
  <si>
    <t>0053059788</t>
  </si>
  <si>
    <t>INDAPAMIDE 1.25MG TB</t>
  </si>
  <si>
    <t>INDAPAM1.25MGTB</t>
  </si>
  <si>
    <t>0053060000</t>
  </si>
  <si>
    <t>INDOMETHACIN 25MG CP</t>
  </si>
  <si>
    <t xml:space="preserve">INDOMETHAC25CP </t>
  </si>
  <si>
    <t>0053060042</t>
  </si>
  <si>
    <t>INDOMETHACIN 50MG CP</t>
  </si>
  <si>
    <t xml:space="preserve">INDOMETHAC50CP </t>
  </si>
  <si>
    <t>0053060976</t>
  </si>
  <si>
    <t>ISONIAZID 100MGTB</t>
  </si>
  <si>
    <t>ISONIAZID100 TB</t>
  </si>
  <si>
    <t>0053061008</t>
  </si>
  <si>
    <t>ISONIAZID 300MG TB</t>
  </si>
  <si>
    <t>ISONIAZID300 TB</t>
  </si>
  <si>
    <t>0053061735</t>
  </si>
  <si>
    <t>ISOSORBIDE DN 5MG TB</t>
  </si>
  <si>
    <t xml:space="preserve">ISOSOR/DN 5 TB </t>
  </si>
  <si>
    <t>0053061750</t>
  </si>
  <si>
    <t>ISOSORBIDE MN 15MG XR TB</t>
  </si>
  <si>
    <t>ISOSORB MN 15TB</t>
  </si>
  <si>
    <t>0053061768</t>
  </si>
  <si>
    <t>ISOSORBIDE MN 10MG TB</t>
  </si>
  <si>
    <t>ISOSORB MN 10TB</t>
  </si>
  <si>
    <t>0053061776</t>
  </si>
  <si>
    <t>ISOSORBIDE DN 10MG TB</t>
  </si>
  <si>
    <t>ISOSOR DN 10 TB</t>
  </si>
  <si>
    <t>0053061818</t>
  </si>
  <si>
    <t>ISOSORBIDE DN 20MG TB</t>
  </si>
  <si>
    <t>ISOSOR DN 20 TB</t>
  </si>
  <si>
    <t>0053061826</t>
  </si>
  <si>
    <t>ISOSORBIDE MN 20MG TB</t>
  </si>
  <si>
    <t>ISOSORB MN 20TB</t>
  </si>
  <si>
    <t>0053061834</t>
  </si>
  <si>
    <t>ISOSORBIDE DN 30MG TB</t>
  </si>
  <si>
    <t>ISOSOR DN 30 TB</t>
  </si>
  <si>
    <t>0053061842</t>
  </si>
  <si>
    <t>ISOSORBIDE MN 30MG XR TB</t>
  </si>
  <si>
    <t>ISOSORB MN 30TB</t>
  </si>
  <si>
    <t>0053061867</t>
  </si>
  <si>
    <t>ISOSORBIDE MN 60MG XR TB</t>
  </si>
  <si>
    <t xml:space="preserve">IMDUR 60MG     </t>
  </si>
  <si>
    <t>0053061875</t>
  </si>
  <si>
    <t>ISOSORBID MN 120MG XR TB</t>
  </si>
  <si>
    <t>ISOSORB MN120TB</t>
  </si>
  <si>
    <t>0053062576</t>
  </si>
  <si>
    <t>ITRACONAZOLE 100MG CP</t>
  </si>
  <si>
    <t>ITRACONAZL100CP</t>
  </si>
  <si>
    <t>0053062618</t>
  </si>
  <si>
    <t>IVERMECTIN 3MG TB</t>
  </si>
  <si>
    <t>IVERMECTIN3MGTB</t>
  </si>
  <si>
    <t>0053062931</t>
  </si>
  <si>
    <t>KETOCONAZOLE 200MG TB</t>
  </si>
  <si>
    <t xml:space="preserve">KETOCONAZ200TB </t>
  </si>
  <si>
    <t>0053063004</t>
  </si>
  <si>
    <t>KETOROLAC 10MG TB</t>
  </si>
  <si>
    <t>KETORLAC10MG TB</t>
  </si>
  <si>
    <t>0053063202</t>
  </si>
  <si>
    <t>LABETALOL 100MG TB</t>
  </si>
  <si>
    <t>LABETALOL100 TB</t>
  </si>
  <si>
    <t>0053063210</t>
  </si>
  <si>
    <t>LABETALOL 200MG TB</t>
  </si>
  <si>
    <t>LABETALOL200 TB</t>
  </si>
  <si>
    <t>0053063236</t>
  </si>
  <si>
    <t>LAPATINIB 250MG TB</t>
  </si>
  <si>
    <t>LAPATINIB 250TB</t>
  </si>
  <si>
    <t>0053063426</t>
  </si>
  <si>
    <t>LAMIVUDINE 100MG TB</t>
  </si>
  <si>
    <t>LAMIVUDINE100TB</t>
  </si>
  <si>
    <t>0053063434</t>
  </si>
  <si>
    <t>LACTOBACILLUS TB/CP</t>
  </si>
  <si>
    <t>LACTBCLLS TB/CP</t>
  </si>
  <si>
    <t>0053063442</t>
  </si>
  <si>
    <t>ZIDOV/LAMI300MG/150MG TB</t>
  </si>
  <si>
    <t>ZD/LM300/150 TB</t>
  </si>
  <si>
    <t>0053063459</t>
  </si>
  <si>
    <t>LAMIVUDINE 150MG TB</t>
  </si>
  <si>
    <t>LAMIVUDINE150TB</t>
  </si>
  <si>
    <t>0053063467</t>
  </si>
  <si>
    <t>LAMOTRIGINE 25MG TB</t>
  </si>
  <si>
    <t>LAMOTRG 25MG TB</t>
  </si>
  <si>
    <t>0053063475</t>
  </si>
  <si>
    <t>LAMOTRIGINE 100MG TB</t>
  </si>
  <si>
    <t>LAMOTRG100MG TB</t>
  </si>
  <si>
    <t>0053063517</t>
  </si>
  <si>
    <t>LANSOPRAZOLE 15MG XR CP</t>
  </si>
  <si>
    <t>LANSOPRAZ15XRCP</t>
  </si>
  <si>
    <t>0053063525</t>
  </si>
  <si>
    <t>LANSOPRAZOLE 30MG XR CP</t>
  </si>
  <si>
    <t>LANSOPRAZ30XRCP</t>
  </si>
  <si>
    <t>0053063533</t>
  </si>
  <si>
    <t>LAMOTRIGINE 5MG CTB</t>
  </si>
  <si>
    <t>LAMOTRG 5MG CTB</t>
  </si>
  <si>
    <t>0053063616</t>
  </si>
  <si>
    <t>LANTHANUM CARB 500MG CTB</t>
  </si>
  <si>
    <t>LANTHANUM500CTB</t>
  </si>
  <si>
    <t>0053063632</t>
  </si>
  <si>
    <t>LEFLUNOMIDE 10MG TB</t>
  </si>
  <si>
    <t xml:space="preserve">LEFLUNOM10MGTB </t>
  </si>
  <si>
    <t>0053063640</t>
  </si>
  <si>
    <t>LEFLUNOMIDE 20MG TB</t>
  </si>
  <si>
    <t xml:space="preserve">LEFLUNOM20MGTB </t>
  </si>
  <si>
    <t>0053063681</t>
  </si>
  <si>
    <t>LETROZOLE 2.5MG TB</t>
  </si>
  <si>
    <t>LETROZOL2.5MGTB</t>
  </si>
  <si>
    <t>0053063897</t>
  </si>
  <si>
    <t>LEUCOVORIN 5MG TB</t>
  </si>
  <si>
    <t xml:space="preserve">LEUCOVORN5MGTB </t>
  </si>
  <si>
    <t>0053063939</t>
  </si>
  <si>
    <t>LEUCOVORIN 25MG TB</t>
  </si>
  <si>
    <t>LEUCOVORN25MGTB</t>
  </si>
  <si>
    <t>0053064044</t>
  </si>
  <si>
    <t>LEVETIRACETAM 750MG XRTB</t>
  </si>
  <si>
    <t>LEVETIRA750XRTB</t>
  </si>
  <si>
    <t>0053064051</t>
  </si>
  <si>
    <t>LEVETIRACETAM 250MG TB</t>
  </si>
  <si>
    <t>LEVETIRA250MGTB</t>
  </si>
  <si>
    <t>0053064069</t>
  </si>
  <si>
    <t>LEVETIRACETAM 500MG TB</t>
  </si>
  <si>
    <t>LEVETIRA500MGTB</t>
  </si>
  <si>
    <t>0053064085</t>
  </si>
  <si>
    <t>LEVETIRACETAM 500MG XRTB</t>
  </si>
  <si>
    <t>LEVETIRA500XRTB</t>
  </si>
  <si>
    <t>0053064283</t>
  </si>
  <si>
    <t>LEVOFLOXACIN 750MG TB</t>
  </si>
  <si>
    <t>LEVOFLOXAC750TB</t>
  </si>
  <si>
    <t>0053064309</t>
  </si>
  <si>
    <t>LEVOFLOXACIN 250MG TB</t>
  </si>
  <si>
    <t>LEVOFLOXAC250TB</t>
  </si>
  <si>
    <t>0053064317</t>
  </si>
  <si>
    <t>LEVOFLOXACIN 500MG TB</t>
  </si>
  <si>
    <t>LEVOFLOXAC500TB</t>
  </si>
  <si>
    <t>0053064358</t>
  </si>
  <si>
    <t>LEVOTHYROXIN .088MG TB</t>
  </si>
  <si>
    <t>LEVOTHY.088MGTB</t>
  </si>
  <si>
    <t>0053064473</t>
  </si>
  <si>
    <t>LEVOTHYROXIN .025MG TB</t>
  </si>
  <si>
    <t>LEVOTHY.025MGTB</t>
  </si>
  <si>
    <t>0053064515</t>
  </si>
  <si>
    <t>LEVOTHYROXIN .05MG TB</t>
  </si>
  <si>
    <t>LEVOTHY .05MGTB</t>
  </si>
  <si>
    <t>0053064549</t>
  </si>
  <si>
    <t>LEVOTHYROXIN .075MG TB</t>
  </si>
  <si>
    <t>LEVOTHY.075MGTB</t>
  </si>
  <si>
    <t>0053064564</t>
  </si>
  <si>
    <t>LEVOTHYROXIN .112MG TB</t>
  </si>
  <si>
    <t>LEVOTHY.112MGTB</t>
  </si>
  <si>
    <t>0053064580</t>
  </si>
  <si>
    <t>LEVOTHYROXIN .125MG TB</t>
  </si>
  <si>
    <t>LEVOTHY.125MGTB</t>
  </si>
  <si>
    <t>0053064598</t>
  </si>
  <si>
    <t>LEVOTHYROXIN .1MG TB</t>
  </si>
  <si>
    <t xml:space="preserve">LEVOTHY .1MGTB </t>
  </si>
  <si>
    <t>0053064804</t>
  </si>
  <si>
    <t>LINACLOTIDE 145MCG CP</t>
  </si>
  <si>
    <t>LINACLOTID145CP</t>
  </si>
  <si>
    <t>0053065017</t>
  </si>
  <si>
    <t>LINEZOLID 600MG TB</t>
  </si>
  <si>
    <t xml:space="preserve">LINEZOLID600TB </t>
  </si>
  <si>
    <t>0053065132</t>
  </si>
  <si>
    <t>LIOTHYRONINE 5MCG TB</t>
  </si>
  <si>
    <t>LIOTHYRON5MCGTB</t>
  </si>
  <si>
    <t>0053065173</t>
  </si>
  <si>
    <t>LIOTHYRONINE 25MCG TB</t>
  </si>
  <si>
    <t>LIOTHYRO25MCGTB</t>
  </si>
  <si>
    <t>0053066098</t>
  </si>
  <si>
    <t>PANCRELIP 6-19-30 XRCP</t>
  </si>
  <si>
    <t>DIG ENZ 6K XRCP</t>
  </si>
  <si>
    <t>0053066346</t>
  </si>
  <si>
    <t>LISINOPRIL 2.5MG TB</t>
  </si>
  <si>
    <t>LISINOPR2.5MGTB</t>
  </si>
  <si>
    <t>0053066353</t>
  </si>
  <si>
    <t>LISINOPRIL 5MG TB</t>
  </si>
  <si>
    <t>LISINOPRIL5MGTB</t>
  </si>
  <si>
    <t>0053066361</t>
  </si>
  <si>
    <t>LISINOPRIL 10MG TB</t>
  </si>
  <si>
    <t>LISINOPRL10MGTB</t>
  </si>
  <si>
    <t>0053066379</t>
  </si>
  <si>
    <t>LISINOPRIL 20MG TB</t>
  </si>
  <si>
    <t>LISINOPRL20MGTB</t>
  </si>
  <si>
    <t>0053066528</t>
  </si>
  <si>
    <t>LITHIUM 300MG TB</t>
  </si>
  <si>
    <t>LITHIUM300MG TB</t>
  </si>
  <si>
    <t>0053066767</t>
  </si>
  <si>
    <t>LITHIUM 450MG XR TB</t>
  </si>
  <si>
    <t>LITHIU450MGXRTB</t>
  </si>
  <si>
    <t>0053066783</t>
  </si>
  <si>
    <t>LITHIUM CARB 300MG XR TB</t>
  </si>
  <si>
    <t>LITHIUM 300XRTB</t>
  </si>
  <si>
    <t>0053067278</t>
  </si>
  <si>
    <t>LOPERAMIDE 2MG TB</t>
  </si>
  <si>
    <t>LOPERAMIDE2MGTB</t>
  </si>
  <si>
    <t>0053067294</t>
  </si>
  <si>
    <t>LOPERAMIDE 2MG CP</t>
  </si>
  <si>
    <t>LOPERAMIDE2MGCP</t>
  </si>
  <si>
    <t>0053067310</t>
  </si>
  <si>
    <t>LOPINAV/RITONA 200/50 TB</t>
  </si>
  <si>
    <t>LOP/RIT200/50TB</t>
  </si>
  <si>
    <t>0053067328</t>
  </si>
  <si>
    <t>LOPINAV/RITONAV100/25 TB</t>
  </si>
  <si>
    <t>LOP/RIT100/25TB</t>
  </si>
  <si>
    <t>0053067393</t>
  </si>
  <si>
    <t>LORATADINE 5MG CTB</t>
  </si>
  <si>
    <t>LORATADINE 5CTB</t>
  </si>
  <si>
    <t>0053067401</t>
  </si>
  <si>
    <t>LORATADINE 10MG TB</t>
  </si>
  <si>
    <t>LORATADINE 10TB</t>
  </si>
  <si>
    <t>0053067468</t>
  </si>
  <si>
    <t>LORAZEPAM .25MG TB</t>
  </si>
  <si>
    <t>LORAZEPM.25MGTB</t>
  </si>
  <si>
    <t>0053067492</t>
  </si>
  <si>
    <t>LORAZEPAM .5MG TB</t>
  </si>
  <si>
    <t>LORAZEPAM.5MGTB</t>
  </si>
  <si>
    <t>0053067526</t>
  </si>
  <si>
    <t>LORAZEPAM 1MG TB</t>
  </si>
  <si>
    <t>LORAZEPAM1MG TB</t>
  </si>
  <si>
    <t>0053067542</t>
  </si>
  <si>
    <t>LOSARTAN 100MG TB</t>
  </si>
  <si>
    <t>LOSARTAN100MGTB</t>
  </si>
  <si>
    <t>0053067575</t>
  </si>
  <si>
    <t>LOSARTAN 50MG TB</t>
  </si>
  <si>
    <t xml:space="preserve">LOSARTAN50MGTB </t>
  </si>
  <si>
    <t>0053067591</t>
  </si>
  <si>
    <t>LOSARTAN 25MG TB</t>
  </si>
  <si>
    <t xml:space="preserve">LOSARTAN25MGTB </t>
  </si>
  <si>
    <t>0053067948</t>
  </si>
  <si>
    <t>LUBIPROSTONE 8MCG CP</t>
  </si>
  <si>
    <t>LUBIPROST8MCGCP</t>
  </si>
  <si>
    <t>0053067955</t>
  </si>
  <si>
    <t>LUBIPROSTONE 24MCG CP</t>
  </si>
  <si>
    <t>LUBPRST24MCG CP</t>
  </si>
  <si>
    <t>0053067963</t>
  </si>
  <si>
    <t>LURASIDONE 60MG TB</t>
  </si>
  <si>
    <t>LURASIDON60MGTB</t>
  </si>
  <si>
    <t>0053067971</t>
  </si>
  <si>
    <t>LURASIDONE 20MG TB</t>
  </si>
  <si>
    <t>LURASIDON20MGTB</t>
  </si>
  <si>
    <t>0053067989</t>
  </si>
  <si>
    <t>LURASIDONE 40MG TB</t>
  </si>
  <si>
    <t>LURASIDON40MGTB</t>
  </si>
  <si>
    <t>0053068326</t>
  </si>
  <si>
    <t>MG CL 64MG XR TB</t>
  </si>
  <si>
    <t>MAG CL 64MGXRTB</t>
  </si>
  <si>
    <t>0053068342</t>
  </si>
  <si>
    <t>MAGNESIUM OXIDE 200MG TB</t>
  </si>
  <si>
    <t>MG OXID200MG TB</t>
  </si>
  <si>
    <t>0053068557</t>
  </si>
  <si>
    <t>MAGNESIUM OXIDE 400MG TB</t>
  </si>
  <si>
    <t>MG OXID400MG TB</t>
  </si>
  <si>
    <t>0053068565</t>
  </si>
  <si>
    <t>MG GLUCONATE 500MG TB</t>
  </si>
  <si>
    <t>MG GLUC500MG TB</t>
  </si>
  <si>
    <t>0053068581</t>
  </si>
  <si>
    <t>MG GLUCONATE 250MG TB</t>
  </si>
  <si>
    <t>MG GLUC250MG TB</t>
  </si>
  <si>
    <t>0053069688</t>
  </si>
  <si>
    <t>MECLIZINE 12.5MG TB</t>
  </si>
  <si>
    <t>MECLIZINE12.5TB</t>
  </si>
  <si>
    <t>0053069720</t>
  </si>
  <si>
    <t>MECLIZINE TAB 25MG TB</t>
  </si>
  <si>
    <t>MECLIZINE 255TB</t>
  </si>
  <si>
    <t>0053070223</t>
  </si>
  <si>
    <t>MEDROXYPROGEST 2.5MG TB</t>
  </si>
  <si>
    <t>MEDROXYPRO2.5TB</t>
  </si>
  <si>
    <t>0053070231</t>
  </si>
  <si>
    <t>MEDROXYPROGEST 5MG TB</t>
  </si>
  <si>
    <t xml:space="preserve">MEDROXYPROG 5B </t>
  </si>
  <si>
    <t>0053070264</t>
  </si>
  <si>
    <t>MEDROXYPROGEST 10MG TB</t>
  </si>
  <si>
    <t>MEDROXYPROG10TB</t>
  </si>
  <si>
    <t>0053070728</t>
  </si>
  <si>
    <t>MEGESTROL 20MG TB</t>
  </si>
  <si>
    <t>MEGESTROL 20 TB</t>
  </si>
  <si>
    <t>0053070769</t>
  </si>
  <si>
    <t>MEGESTROL 40MG TB</t>
  </si>
  <si>
    <t>MEGESTROL 40 TB</t>
  </si>
  <si>
    <t>0053070793</t>
  </si>
  <si>
    <t>MELATONIN 1MG TB</t>
  </si>
  <si>
    <t xml:space="preserve">MELATONIN1MGTB </t>
  </si>
  <si>
    <t>0053070801</t>
  </si>
  <si>
    <t>MELATONIN 3MG TB</t>
  </si>
  <si>
    <t>MELATONIN3MG TB</t>
  </si>
  <si>
    <t>0053070827</t>
  </si>
  <si>
    <t>MELATONIN 5MG TB</t>
  </si>
  <si>
    <t>MELATONIN 5MGTB</t>
  </si>
  <si>
    <t>0053070959</t>
  </si>
  <si>
    <t>MELOXICAM 7.5MG TB</t>
  </si>
  <si>
    <t>MELOXICAM7.5 TB</t>
  </si>
  <si>
    <t>0053071106</t>
  </si>
  <si>
    <t>MEMANTINE 5MG TB</t>
  </si>
  <si>
    <t xml:space="preserve">MEMANTINE 5 TB </t>
  </si>
  <si>
    <t>0053071114</t>
  </si>
  <si>
    <t>MEMANTINE 10MG TB</t>
  </si>
  <si>
    <t>MEMANTINE 10 TB</t>
  </si>
  <si>
    <t>0053072765</t>
  </si>
  <si>
    <t>MERCAPTOPURINE 50MG TB</t>
  </si>
  <si>
    <t>MERCAPTOPUR50TB</t>
  </si>
  <si>
    <t>0053072781</t>
  </si>
  <si>
    <t>MESALAMINE 400MG XR CP</t>
  </si>
  <si>
    <t>MESALAM400XR CP</t>
  </si>
  <si>
    <t>0053072799</t>
  </si>
  <si>
    <t>MESALAMINE 500MG CP</t>
  </si>
  <si>
    <t xml:space="preserve">MESALAMN500 CP </t>
  </si>
  <si>
    <t>0053072807</t>
  </si>
  <si>
    <t>MESALAMINE 400MG EC TB</t>
  </si>
  <si>
    <t>MESALA400 EC TB</t>
  </si>
  <si>
    <t>0053072815</t>
  </si>
  <si>
    <t>MESALAMINE 250MG XR CP</t>
  </si>
  <si>
    <t>MESALA250 XR CP</t>
  </si>
  <si>
    <t>0053072823</t>
  </si>
  <si>
    <t>MESALAMINE 1.2GM EC TB</t>
  </si>
  <si>
    <t>MESALAM 1.2G TB</t>
  </si>
  <si>
    <t>0053073599</t>
  </si>
  <si>
    <t>METFORMIN 250MG TB</t>
  </si>
  <si>
    <t>METFORMN250MGTB</t>
  </si>
  <si>
    <t>0053073607</t>
  </si>
  <si>
    <t>METFORMIN 500MG TB</t>
  </si>
  <si>
    <t xml:space="preserve">METFORMIN500TB </t>
  </si>
  <si>
    <t>0053073615</t>
  </si>
  <si>
    <t>METFORMIN 850MG TB</t>
  </si>
  <si>
    <t>METFORMIN850 TB</t>
  </si>
  <si>
    <t>0053073623</t>
  </si>
  <si>
    <t>METFORMIN 500MG XR TB</t>
  </si>
  <si>
    <t>METFORMN500XRTB</t>
  </si>
  <si>
    <t>0053073649</t>
  </si>
  <si>
    <t>METFORMIN 750MG XR TB</t>
  </si>
  <si>
    <t>METFORMN750XRTB</t>
  </si>
  <si>
    <t>0053075057</t>
  </si>
  <si>
    <t>METHIMAZOLE 5MG TB</t>
  </si>
  <si>
    <t>METHIMAZOL 5 TB</t>
  </si>
  <si>
    <t>0053075073</t>
  </si>
  <si>
    <t>METHIMAZOLE 10MG TB</t>
  </si>
  <si>
    <t>METHIMAZOL10 TB</t>
  </si>
  <si>
    <t>0053075305</t>
  </si>
  <si>
    <t>METHOCARBAMOL 500MG TB</t>
  </si>
  <si>
    <t>METHOCARB500 TB</t>
  </si>
  <si>
    <t>0053075347</t>
  </si>
  <si>
    <t>METHOCARBAMOL 750MG TB</t>
  </si>
  <si>
    <t>METHOCARB750 TB</t>
  </si>
  <si>
    <t>0053075610</t>
  </si>
  <si>
    <t>METHOTREXATE 2.5MG TB</t>
  </si>
  <si>
    <t>METHOTREX2.5 TB</t>
  </si>
  <si>
    <t>0053076311</t>
  </si>
  <si>
    <t>METHYLERGONOVIN .2MG TB</t>
  </si>
  <si>
    <t>METHYLERGON.2TB</t>
  </si>
  <si>
    <t>0053076584</t>
  </si>
  <si>
    <t>METHYLPRED 4MG TB</t>
  </si>
  <si>
    <t>METHYLPRED4MGTB</t>
  </si>
  <si>
    <t>0053077301</t>
  </si>
  <si>
    <t>METOCLOPRAMIDE 5MG TB</t>
  </si>
  <si>
    <t xml:space="preserve">METOCLOPRAM5TB </t>
  </si>
  <si>
    <t>0053077319</t>
  </si>
  <si>
    <t>METOCLOPRAMIDE 10MG TB</t>
  </si>
  <si>
    <t>METOCLOPRAM10TB</t>
  </si>
  <si>
    <t>0053077582</t>
  </si>
  <si>
    <t>METOLAZONE 2.5MG TB</t>
  </si>
  <si>
    <t>METOLAZON2.5 TB</t>
  </si>
  <si>
    <t>0053077624</t>
  </si>
  <si>
    <t>METOLAZONE 5MG TB</t>
  </si>
  <si>
    <t xml:space="preserve">METOLAZONE5 TB </t>
  </si>
  <si>
    <t>0053077855</t>
  </si>
  <si>
    <t>METOPROLOL 50MG TB</t>
  </si>
  <si>
    <t xml:space="preserve">METOPROLOL50TB </t>
  </si>
  <si>
    <t>0053077863</t>
  </si>
  <si>
    <t>METOPROLOL 50MG XR TB</t>
  </si>
  <si>
    <t xml:space="preserve">METOPROL50XRTB </t>
  </si>
  <si>
    <t>0053077871</t>
  </si>
  <si>
    <t>METOPROLOL 100MG XR TB</t>
  </si>
  <si>
    <t>METOPROL100XRTB</t>
  </si>
  <si>
    <t>0053077889</t>
  </si>
  <si>
    <t>METOPROLOL 12.5MG TB</t>
  </si>
  <si>
    <t xml:space="preserve">METOPROL12.5TB </t>
  </si>
  <si>
    <t>0053077897</t>
  </si>
  <si>
    <t>METOPROLOL 100MG TB</t>
  </si>
  <si>
    <t>METOPROLOL100TB</t>
  </si>
  <si>
    <t>0053077913</t>
  </si>
  <si>
    <t>METOPROLOL 25MG TB</t>
  </si>
  <si>
    <t xml:space="preserve">METOPROLOL25TB </t>
  </si>
  <si>
    <t>0053077921</t>
  </si>
  <si>
    <t>METOPROLOL 25MG XR TB</t>
  </si>
  <si>
    <t xml:space="preserve">METOPROL25XRTB </t>
  </si>
  <si>
    <t>0053077939</t>
  </si>
  <si>
    <t>METOPROLOL 12.5MG XR TB</t>
  </si>
  <si>
    <t>METOPRL12.5XRTB</t>
  </si>
  <si>
    <t>0053077947</t>
  </si>
  <si>
    <t>METOPROLOL 6.25MG TB</t>
  </si>
  <si>
    <t xml:space="preserve">METOPROL6.25TB </t>
  </si>
  <si>
    <t>0053078127</t>
  </si>
  <si>
    <t>METRONIDAZOLE 250MG TB</t>
  </si>
  <si>
    <t>METRONIDZ250 TB</t>
  </si>
  <si>
    <t>0053078150</t>
  </si>
  <si>
    <t>METRONIDAZOLE 500MG TB</t>
  </si>
  <si>
    <t>METRONIDZ500 TB</t>
  </si>
  <si>
    <t>0053078366</t>
  </si>
  <si>
    <t>MEXILETINE 150MG CP</t>
  </si>
  <si>
    <t>MEXILETINE150CP</t>
  </si>
  <si>
    <t>0053078374</t>
  </si>
  <si>
    <t>MEXILETINE 200MG CP</t>
  </si>
  <si>
    <t>MEXILETINE200CP</t>
  </si>
  <si>
    <t>0053078416</t>
  </si>
  <si>
    <t>MIDODRINE 2.5MG TB</t>
  </si>
  <si>
    <t xml:space="preserve">MIDODRINE2.5TB </t>
  </si>
  <si>
    <t>0053078424</t>
  </si>
  <si>
    <t>MIDODRINE 5MG TB</t>
  </si>
  <si>
    <t xml:space="preserve">MIDODRINE5MGTB </t>
  </si>
  <si>
    <t>0053078440</t>
  </si>
  <si>
    <t>MIDODRINE 10MG TB</t>
  </si>
  <si>
    <t>MIDODRINE10MGTB</t>
  </si>
  <si>
    <t>0053078614</t>
  </si>
  <si>
    <t>MINOCYCLINE 100MG CP</t>
  </si>
  <si>
    <t>MINOCYCLIN100CP</t>
  </si>
  <si>
    <t>0053078721</t>
  </si>
  <si>
    <t>MIRTAZAPINE 7.5MG TB</t>
  </si>
  <si>
    <t>MIRTAZAPN7.5 TB</t>
  </si>
  <si>
    <t>0053078762</t>
  </si>
  <si>
    <t>MIRTAZAPINE 30MG DT</t>
  </si>
  <si>
    <t xml:space="preserve">MIRTAZAPN30 DT </t>
  </si>
  <si>
    <t>0053078770</t>
  </si>
  <si>
    <t>MIRTAZAPINE 15MG DT</t>
  </si>
  <si>
    <t xml:space="preserve">MIRTAZAPN15 DT </t>
  </si>
  <si>
    <t>0053078796</t>
  </si>
  <si>
    <t>MIRTAZAPINE 30MG TB</t>
  </si>
  <si>
    <t xml:space="preserve">MIRTAZAPN30 TB </t>
  </si>
  <si>
    <t>0053078804</t>
  </si>
  <si>
    <t>MIRTAZAPINE 15MG TB</t>
  </si>
  <si>
    <t xml:space="preserve">MIRTAZAPN15 TB </t>
  </si>
  <si>
    <t>0053078812</t>
  </si>
  <si>
    <t>MINOXIDIL 2.5MG TB</t>
  </si>
  <si>
    <t xml:space="preserve">MINOXID2.5MGTB </t>
  </si>
  <si>
    <t>0053078838</t>
  </si>
  <si>
    <t>MODAFINIL 100MG TB</t>
  </si>
  <si>
    <t>MODAFINIL 100TB</t>
  </si>
  <si>
    <t>0053078846</t>
  </si>
  <si>
    <t>MODAFINIL 200MG TB</t>
  </si>
  <si>
    <t>MODAFINIL 200TB</t>
  </si>
  <si>
    <t>0053078861</t>
  </si>
  <si>
    <t>MODAFINIL 50MG TB</t>
  </si>
  <si>
    <t xml:space="preserve">MODAFINIL 50TB </t>
  </si>
  <si>
    <t>0053078887</t>
  </si>
  <si>
    <t>MISOPROSTOL 50MCG TB</t>
  </si>
  <si>
    <t xml:space="preserve">MISOPROST 50TB </t>
  </si>
  <si>
    <t>0053078895</t>
  </si>
  <si>
    <t>MINOXIDIL 10MG TB</t>
  </si>
  <si>
    <t>MINOXIDIL10MGTB</t>
  </si>
  <si>
    <t>0053078903</t>
  </si>
  <si>
    <t>MISOPROSTOL 100MCG TB</t>
  </si>
  <si>
    <t>MISOPROST100 TB</t>
  </si>
  <si>
    <t>0053078911</t>
  </si>
  <si>
    <t>MISOPROSTOL 200MCG TB</t>
  </si>
  <si>
    <t>MISOPROST200 TB</t>
  </si>
  <si>
    <t>0053078929</t>
  </si>
  <si>
    <t>MISOPROSTOL 25MCG TB</t>
  </si>
  <si>
    <t xml:space="preserve">MISOPROST 25TB </t>
  </si>
  <si>
    <t>0053079034</t>
  </si>
  <si>
    <t>MONTELUKAST 10MG TB</t>
  </si>
  <si>
    <t>MONTELUK10MG TB</t>
  </si>
  <si>
    <t>0053079042</t>
  </si>
  <si>
    <t>MONTELUKAST 5MG CTB</t>
  </si>
  <si>
    <t>MONTELUK5MG CTB</t>
  </si>
  <si>
    <t>0053079059</t>
  </si>
  <si>
    <t>MONTELUKAST 4MG CTB</t>
  </si>
  <si>
    <t>MONTELUK4MG CTB</t>
  </si>
  <si>
    <t>0053079091</t>
  </si>
  <si>
    <t>MOXIFLOXACIN 400MG TB</t>
  </si>
  <si>
    <t>MOXIFLOXAC400TB</t>
  </si>
  <si>
    <t>0053079125</t>
  </si>
  <si>
    <t>MVI THERAP TB</t>
  </si>
  <si>
    <t xml:space="preserve">MVI THERAP TB  </t>
  </si>
  <si>
    <t>0053079190</t>
  </si>
  <si>
    <t>MVI TB</t>
  </si>
  <si>
    <t xml:space="preserve">MVI TB         </t>
  </si>
  <si>
    <t>0053079257</t>
  </si>
  <si>
    <t>MVI CTB</t>
  </si>
  <si>
    <t xml:space="preserve">MVI CTB        </t>
  </si>
  <si>
    <t>0053079281</t>
  </si>
  <si>
    <t>MVI PRENAT W/FA 0.8MG TB</t>
  </si>
  <si>
    <t xml:space="preserve">MVI PREN FA TB </t>
  </si>
  <si>
    <t>0053079430</t>
  </si>
  <si>
    <t>MVI MIN TB</t>
  </si>
  <si>
    <t xml:space="preserve">MVI MIN TB     </t>
  </si>
  <si>
    <t>0053079562</t>
  </si>
  <si>
    <t>MYCOPHENOLATE 250MG CP</t>
  </si>
  <si>
    <t>MYCOPHEN250MGCP</t>
  </si>
  <si>
    <t>0053079596</t>
  </si>
  <si>
    <t>MYCOPHENOL ACID 180MG TB</t>
  </si>
  <si>
    <t>MYCOPHEN180MGTB</t>
  </si>
  <si>
    <t>0053079703</t>
  </si>
  <si>
    <t>NA/K PHOS 250/280/160 PK</t>
  </si>
  <si>
    <t xml:space="preserve">NA/K PHOS PK   </t>
  </si>
  <si>
    <t>0053079737</t>
  </si>
  <si>
    <t>NADOLOL 20MG TB</t>
  </si>
  <si>
    <t>0053079745</t>
  </si>
  <si>
    <t>NADOLOL 40MG TB</t>
  </si>
  <si>
    <t>0053080784</t>
  </si>
  <si>
    <t>NAPROXEN 250MG TB</t>
  </si>
  <si>
    <t>NAPROX 250MG TB</t>
  </si>
  <si>
    <t>0053080867</t>
  </si>
  <si>
    <t>NAPROXEN 375MG TB</t>
  </si>
  <si>
    <t>NAPROX 375MG TB</t>
  </si>
  <si>
    <t>0053080875</t>
  </si>
  <si>
    <t>NAPROXEN 550MG TB</t>
  </si>
  <si>
    <t>NAPROX 550MG TB</t>
  </si>
  <si>
    <t>0053080883</t>
  </si>
  <si>
    <t>NAPROXEN 500MG TB</t>
  </si>
  <si>
    <t>NAPROX 500MG TB</t>
  </si>
  <si>
    <t>0053080925</t>
  </si>
  <si>
    <t>NATEGLINIDE 60MG TB</t>
  </si>
  <si>
    <t>NATEGLINIDE60TB</t>
  </si>
  <si>
    <t>0053080990</t>
  </si>
  <si>
    <t>NELFINAVIR 250MG TB</t>
  </si>
  <si>
    <t>NELFINAV250MGTB</t>
  </si>
  <si>
    <t>0053081030</t>
  </si>
  <si>
    <t>NEBIVOLOL 2.5MG TB</t>
  </si>
  <si>
    <t>NEBIVO 2.5MG TB</t>
  </si>
  <si>
    <t>0053081048</t>
  </si>
  <si>
    <t>NEBIVOLOL 5MG TB</t>
  </si>
  <si>
    <t>NEBIVOLOL5MG TB</t>
  </si>
  <si>
    <t>0053081055</t>
  </si>
  <si>
    <t>NEOMYCIN 500MG TB</t>
  </si>
  <si>
    <t>NEOMYCN500MG TB</t>
  </si>
  <si>
    <t>0053081741</t>
  </si>
  <si>
    <t>NIACIN 50MG TB</t>
  </si>
  <si>
    <t xml:space="preserve">NIACIN 50MG TB </t>
  </si>
  <si>
    <t>0053081972</t>
  </si>
  <si>
    <t>NIACIN 100MG TB</t>
  </si>
  <si>
    <t>0053082475</t>
  </si>
  <si>
    <t>NIACIN 500MG TB</t>
  </si>
  <si>
    <t>0053082483</t>
  </si>
  <si>
    <t>NIACIN 500MG XR TB</t>
  </si>
  <si>
    <t>NIACN500MGXR TB</t>
  </si>
  <si>
    <t>0053082491</t>
  </si>
  <si>
    <t>NIACIN 750MG XR TB</t>
  </si>
  <si>
    <t>NIACN750MGXR TB</t>
  </si>
  <si>
    <t>0053082715</t>
  </si>
  <si>
    <t>NICARDIPINE 20MG CP</t>
  </si>
  <si>
    <t xml:space="preserve">NICARDIP20MGCP </t>
  </si>
  <si>
    <t>0053082723</t>
  </si>
  <si>
    <t>NICARDIPINE 30MG CP</t>
  </si>
  <si>
    <t xml:space="preserve">NICARDIP30MGCP </t>
  </si>
  <si>
    <t>0053082756</t>
  </si>
  <si>
    <t>NICOTINE GUM 2MG EA</t>
  </si>
  <si>
    <t>NICOT GUM 2MGEA</t>
  </si>
  <si>
    <t>0053082764</t>
  </si>
  <si>
    <t>NICOTINE GUM 4MG EA</t>
  </si>
  <si>
    <t>NICOT GUM 4MGEA</t>
  </si>
  <si>
    <t>0053082798</t>
  </si>
  <si>
    <t>NICOTINE 2MG LZ</t>
  </si>
  <si>
    <t>0053082814</t>
  </si>
  <si>
    <t>NICOTINE 4MG LZ</t>
  </si>
  <si>
    <t>0053083085</t>
  </si>
  <si>
    <t>NIFEDIPINE 90MG XR TB</t>
  </si>
  <si>
    <t>NIFEDIPIN90XRTB</t>
  </si>
  <si>
    <t>0053083093</t>
  </si>
  <si>
    <t>NIFEDIPINE 60MG XR TB</t>
  </si>
  <si>
    <t>NIFEDIPIN60XRTB</t>
  </si>
  <si>
    <t>0053083101</t>
  </si>
  <si>
    <t>NIFEDIPINE 30MG XR TB</t>
  </si>
  <si>
    <t>NIFEDIPIN30XRTB</t>
  </si>
  <si>
    <t>0053083127</t>
  </si>
  <si>
    <t>NIFEDIPINE 10MG CP</t>
  </si>
  <si>
    <t>NIFEDIPIN10MGCP</t>
  </si>
  <si>
    <t>0053083135</t>
  </si>
  <si>
    <t>NIFEDIPINE 20MG CP</t>
  </si>
  <si>
    <t>NIFEDIPIN20MGCP</t>
  </si>
  <si>
    <t>0053083200</t>
  </si>
  <si>
    <t>NIMODIPINE 30MG CP</t>
  </si>
  <si>
    <t>NIMODIPIN30MGCP</t>
  </si>
  <si>
    <t>0053083358</t>
  </si>
  <si>
    <t>NITROFURANTOIN 50MG CP</t>
  </si>
  <si>
    <t xml:space="preserve">NITROFUR 50CP  </t>
  </si>
  <si>
    <t>0053083374</t>
  </si>
  <si>
    <t>NITROFURANTOIN 100MG CP</t>
  </si>
  <si>
    <t xml:space="preserve">NITROFUR 100CP </t>
  </si>
  <si>
    <t>0053083580</t>
  </si>
  <si>
    <t>NITROGLYCERIN 2.5MGXR CP</t>
  </si>
  <si>
    <t xml:space="preserve">NTG 2.5MGXR CP </t>
  </si>
  <si>
    <t>0053083622</t>
  </si>
  <si>
    <t>NITROGLYCERIN 6.5MGXR CP</t>
  </si>
  <si>
    <t xml:space="preserve">NTG 6.5MGXR CP </t>
  </si>
  <si>
    <t>0053083788</t>
  </si>
  <si>
    <t>NITROGLYCERIN .4MG SL TB</t>
  </si>
  <si>
    <t xml:space="preserve">NTG .4MGSL TB  </t>
  </si>
  <si>
    <t>0053083796</t>
  </si>
  <si>
    <t>NITROGLYCERIN.4MGSL 25TB</t>
  </si>
  <si>
    <t xml:space="preserve">NTG.4MGSL 25TB </t>
  </si>
  <si>
    <t>0053084059</t>
  </si>
  <si>
    <t>NORETHINDRONE 5MG TB</t>
  </si>
  <si>
    <t>NORETHINDR5MGTB</t>
  </si>
  <si>
    <t>0053084281</t>
  </si>
  <si>
    <t>NORTRIPTYLINE 10MG CP</t>
  </si>
  <si>
    <t>NORTRIPT10MG CP</t>
  </si>
  <si>
    <t>0053084323</t>
  </si>
  <si>
    <t>NORTRIPTYLINE 25MG CP</t>
  </si>
  <si>
    <t>NORTRIPT25MG CP</t>
  </si>
  <si>
    <t>0053084778</t>
  </si>
  <si>
    <t>OSELTAMIVIR 30MG CP</t>
  </si>
  <si>
    <t>OSELTAMIV30MGCP</t>
  </si>
  <si>
    <t>0053084869</t>
  </si>
  <si>
    <t>OMEPRAZOLE 20MG XR CP</t>
  </si>
  <si>
    <t>OMEPRAZOL20XRCP</t>
  </si>
  <si>
    <t>0053084927</t>
  </si>
  <si>
    <t>ONDANSETRON 4MG DT</t>
  </si>
  <si>
    <t>ONDANSETR 4MGDT</t>
  </si>
  <si>
    <t>0053084950</t>
  </si>
  <si>
    <t>ONDANSETRON 4MG TB</t>
  </si>
  <si>
    <t>ONDANSETR 4MGTB</t>
  </si>
  <si>
    <t>0053084976</t>
  </si>
  <si>
    <t>OLANZAPINE 5MG TB</t>
  </si>
  <si>
    <t>OLANZAPINE 5 TB</t>
  </si>
  <si>
    <t>0053084992</t>
  </si>
  <si>
    <t>OLANZAPINE 10MG TB</t>
  </si>
  <si>
    <t>OLANZAPINE10 TB</t>
  </si>
  <si>
    <t>0053085007</t>
  </si>
  <si>
    <t>OLANZAPINE 2.5MG TB</t>
  </si>
  <si>
    <t>OLANZAPIN2.5 TB</t>
  </si>
  <si>
    <t>0053085049</t>
  </si>
  <si>
    <t>OSELTAMIVIR 75MG CP</t>
  </si>
  <si>
    <t>OSELTAMIVR75 CP</t>
  </si>
  <si>
    <t>0053085064</t>
  </si>
  <si>
    <t>OLANZAPINE 5MG DT</t>
  </si>
  <si>
    <t>OLANZAPINE 5 DT</t>
  </si>
  <si>
    <t>0053085288</t>
  </si>
  <si>
    <t>OMEGA3 ETH ESTERS 1GM CP</t>
  </si>
  <si>
    <t>OMEGA3EE 1000CP</t>
  </si>
  <si>
    <t>0053085304</t>
  </si>
  <si>
    <t>OMEGA3 FISH OIL 1000MGCP</t>
  </si>
  <si>
    <t>OMEGA3FO 1000CP</t>
  </si>
  <si>
    <t>0053085700</t>
  </si>
  <si>
    <t>OXCARBAZEPINE 150MG TB</t>
  </si>
  <si>
    <t>OXCARBAZEP150TB</t>
  </si>
  <si>
    <t>0053086393</t>
  </si>
  <si>
    <t>OXYBUTYNIN 2.5MG TB</t>
  </si>
  <si>
    <t>OXYBUTYN 2.5 TB</t>
  </si>
  <si>
    <t>0053086401</t>
  </si>
  <si>
    <t>OXYBUTYNIN 5MG TB</t>
  </si>
  <si>
    <t>OXYBUTYN 5MG TB</t>
  </si>
  <si>
    <t>0053086419</t>
  </si>
  <si>
    <t>OXYBUTYNIN 5MG XR TB</t>
  </si>
  <si>
    <t>OXYBUTY5MGXR TB</t>
  </si>
  <si>
    <t>0053088704</t>
  </si>
  <si>
    <t>PANTOPRAZOLE 40MG EC TB</t>
  </si>
  <si>
    <t>PANTOPRAZ40ECTB</t>
  </si>
  <si>
    <t>0053088712</t>
  </si>
  <si>
    <t>PANTOPRAZOLE 20MG EC TB</t>
  </si>
  <si>
    <t>PANTOPRAZ20ECTB</t>
  </si>
  <si>
    <t>0053088795</t>
  </si>
  <si>
    <t>PALIPERIDONE 3MG XR TB</t>
  </si>
  <si>
    <t>PALIPERID 3XRTB</t>
  </si>
  <si>
    <t>0053089009</t>
  </si>
  <si>
    <t>PARICALCITOL 1MCG CP</t>
  </si>
  <si>
    <t>PARICALC1MCG CP</t>
  </si>
  <si>
    <t>0053089496</t>
  </si>
  <si>
    <t>PAROXETINE 10MG TB</t>
  </si>
  <si>
    <t>PAROXETIN10MGTB</t>
  </si>
  <si>
    <t>0053089504</t>
  </si>
  <si>
    <t>PAROXETINE 20MG TB</t>
  </si>
  <si>
    <t>PAROXETIN20MGTB</t>
  </si>
  <si>
    <t>0053089538</t>
  </si>
  <si>
    <t>PAROXETINE 12.5MG XR TB</t>
  </si>
  <si>
    <t>PAROXET12.5XRTB</t>
  </si>
  <si>
    <t>0053089603</t>
  </si>
  <si>
    <t>PAZOPANIB 200MG TB</t>
  </si>
  <si>
    <t>PAZOPANB200MGTB</t>
  </si>
  <si>
    <t>0053090254</t>
  </si>
  <si>
    <t>PENICILLIN 250MG TB</t>
  </si>
  <si>
    <t>PEN V K 250MGTB</t>
  </si>
  <si>
    <t>0053090296</t>
  </si>
  <si>
    <t>PENICILLIN 500MG TB</t>
  </si>
  <si>
    <t>PEN V K 500MGTB</t>
  </si>
  <si>
    <t>0053090668</t>
  </si>
  <si>
    <t>PENTOXIFYLLN 400MG XR TB</t>
  </si>
  <si>
    <t>PENTOX400 XR TB</t>
  </si>
  <si>
    <t>0053091062</t>
  </si>
  <si>
    <t>PERPHENAZINE 2MG TB</t>
  </si>
  <si>
    <t>PERPHENAZN 2 TB</t>
  </si>
  <si>
    <t>0053091070</t>
  </si>
  <si>
    <t>PERPHENAZINE 4MG TB</t>
  </si>
  <si>
    <t>PERPHENAZN 4 TB</t>
  </si>
  <si>
    <t>0053091450</t>
  </si>
  <si>
    <t>PHENAZOPYRIDINE 100MG TB</t>
  </si>
  <si>
    <t>PHENAZOPYR100TB</t>
  </si>
  <si>
    <t>0053091492</t>
  </si>
  <si>
    <t>PHENAZOPYRIDINE 200MG TB</t>
  </si>
  <si>
    <t>PHENAZOPYR200TB</t>
  </si>
  <si>
    <t>0053092458</t>
  </si>
  <si>
    <t>PHENOXYBENZAMINE 10MGCP</t>
  </si>
  <si>
    <t>PHENOXYBE10MGCP</t>
  </si>
  <si>
    <t>0053094306</t>
  </si>
  <si>
    <t>PHENYTOIN 30MG XR CP</t>
  </si>
  <si>
    <t xml:space="preserve">PHENYTOIN30CP  </t>
  </si>
  <si>
    <t>0053094348</t>
  </si>
  <si>
    <t>PHENYTOIN 50MG CTB</t>
  </si>
  <si>
    <t xml:space="preserve">PHENYTOIN50CTB </t>
  </si>
  <si>
    <t>0053094389</t>
  </si>
  <si>
    <t>PHENYTOIN 100MG XR CP</t>
  </si>
  <si>
    <t xml:space="preserve">PHENYTOIN100CP </t>
  </si>
  <si>
    <t>0053094702</t>
  </si>
  <si>
    <t>PILOCARPINE 5MG TB</t>
  </si>
  <si>
    <t>PILOCARINE5MGTB</t>
  </si>
  <si>
    <t>0053095006</t>
  </si>
  <si>
    <t>PIOGLITAZONE 15MG TB</t>
  </si>
  <si>
    <t>PIOGLITAZON15TB</t>
  </si>
  <si>
    <t>0053095022</t>
  </si>
  <si>
    <t>PIOGLITAZONE 30MG TB</t>
  </si>
  <si>
    <t>PIOGLITAZON30TB</t>
  </si>
  <si>
    <t>0053096319</t>
  </si>
  <si>
    <t>PONATINIB 45MG TB</t>
  </si>
  <si>
    <t>PONATINIB45MGTB</t>
  </si>
  <si>
    <t>0053096350</t>
  </si>
  <si>
    <t>POSACONAZOLE 100MG XRTB</t>
  </si>
  <si>
    <t>POSACONZ100XRTB</t>
  </si>
  <si>
    <t>0053096418</t>
  </si>
  <si>
    <t>POTASSIUM CIT 5MEQ XRTB</t>
  </si>
  <si>
    <t xml:space="preserve">K CIT 5MEQXRTB </t>
  </si>
  <si>
    <t>0053096574</t>
  </si>
  <si>
    <t>POTASSIUM CL 10MEQ XR CP</t>
  </si>
  <si>
    <t>KCL 10MEQ XR CP</t>
  </si>
  <si>
    <t>0053096582</t>
  </si>
  <si>
    <t>POTASSIUM CL 20MEQ XR TB</t>
  </si>
  <si>
    <t>KCL 20MEQ XR TB</t>
  </si>
  <si>
    <t>0053096806</t>
  </si>
  <si>
    <t>POTASSIUM PHOSPH 500MGTB</t>
  </si>
  <si>
    <t>K PHOS 500MG TB</t>
  </si>
  <si>
    <t>0053096863</t>
  </si>
  <si>
    <t>NA/POT/PHOS NEUT TB</t>
  </si>
  <si>
    <t>NA K PH NEUT TB</t>
  </si>
  <si>
    <t>0053096905</t>
  </si>
  <si>
    <t>PRAVASTATIN 10MG TB</t>
  </si>
  <si>
    <t>PRAVASTIN10MGTB</t>
  </si>
  <si>
    <t>0053096913</t>
  </si>
  <si>
    <t>PRAVASTATIN 20MG TB</t>
  </si>
  <si>
    <t>PRAVASTIN20MGTB</t>
  </si>
  <si>
    <t>0053096921</t>
  </si>
  <si>
    <t>PRAMIPEXOLE .25MG TB</t>
  </si>
  <si>
    <t xml:space="preserve">PRAMIPX.25MGTB </t>
  </si>
  <si>
    <t>0053096939</t>
  </si>
  <si>
    <t>PRAMIPEXOLE .125MG TB</t>
  </si>
  <si>
    <t>PRAMIPX.125MGTB</t>
  </si>
  <si>
    <t>0053096947</t>
  </si>
  <si>
    <t>PRAMIPEXOLE 1MG TB</t>
  </si>
  <si>
    <t xml:space="preserve">PRAMIPX1MGTB   </t>
  </si>
  <si>
    <t>0053097028</t>
  </si>
  <si>
    <t>PRASUGREL 5MG TB</t>
  </si>
  <si>
    <t>PRASUGREL 5MGTB</t>
  </si>
  <si>
    <t>0053097036</t>
  </si>
  <si>
    <t>PRASUGREL 10MG TB</t>
  </si>
  <si>
    <t>PRASUGREL10MGTB</t>
  </si>
  <si>
    <t>0053097234</t>
  </si>
  <si>
    <t>PRAZOSIN 1MG CP</t>
  </si>
  <si>
    <t>0053097275</t>
  </si>
  <si>
    <t>PRAZOSIN 2MG CP</t>
  </si>
  <si>
    <t>0053097317</t>
  </si>
  <si>
    <t>PRAZOSIN 5MG CP</t>
  </si>
  <si>
    <t>0053097770</t>
  </si>
  <si>
    <t>PREDNISONE PER 1MG TB</t>
  </si>
  <si>
    <t>PREDNISONE1MGTB</t>
  </si>
  <si>
    <t>0053097952</t>
  </si>
  <si>
    <t>PREGABALIN 25MG CP</t>
  </si>
  <si>
    <t>PREGABL 25MG CP</t>
  </si>
  <si>
    <t>0053097994</t>
  </si>
  <si>
    <t>PREGABALIN 75MG CP</t>
  </si>
  <si>
    <t>PREGABL 75MG CP</t>
  </si>
  <si>
    <t>0053098026</t>
  </si>
  <si>
    <t>PREGABALIN 100MG CP</t>
  </si>
  <si>
    <t>PREGABL100MG CP</t>
  </si>
  <si>
    <t>0053098091</t>
  </si>
  <si>
    <t>PRIMAQUINE 26.3MG TB</t>
  </si>
  <si>
    <t xml:space="preserve">PRIMAQUINE26TB </t>
  </si>
  <si>
    <t>0053098190</t>
  </si>
  <si>
    <t>PRIMIDONE 25MG TB</t>
  </si>
  <si>
    <t xml:space="preserve">PRIMIDONE25TB  </t>
  </si>
  <si>
    <t>0053098208</t>
  </si>
  <si>
    <t>PRIMIDONE 50MG TB</t>
  </si>
  <si>
    <t xml:space="preserve">PRIMIDONE50TB  </t>
  </si>
  <si>
    <t>0053098240</t>
  </si>
  <si>
    <t>PRIMIDONE 250MG TB</t>
  </si>
  <si>
    <t xml:space="preserve">PRIMIDONE250TB </t>
  </si>
  <si>
    <t>0053098471</t>
  </si>
  <si>
    <t>PROBENECID 500MG TB</t>
  </si>
  <si>
    <t>PROBENEC500MGTB</t>
  </si>
  <si>
    <t>0053099016</t>
  </si>
  <si>
    <t>PROCAINAMIDE 500MG XR TB</t>
  </si>
  <si>
    <t>PROCAINA500XRTB</t>
  </si>
  <si>
    <t>0053099099</t>
  </si>
  <si>
    <t>PROCAINAMIDE 250MG CP</t>
  </si>
  <si>
    <t>PROCAINAM 250CP</t>
  </si>
  <si>
    <t>0053099560</t>
  </si>
  <si>
    <t>PROCARBAZINE 50MG CP</t>
  </si>
  <si>
    <t>PROCARBAZIN50CP</t>
  </si>
  <si>
    <t>0053099792</t>
  </si>
  <si>
    <t>PROCHLORPERAZINE 5MG TB</t>
  </si>
  <si>
    <t>PROCHLRP 5MG TB</t>
  </si>
  <si>
    <t>0053099834</t>
  </si>
  <si>
    <t>PROCHLORPERAZINE 10MG TB</t>
  </si>
  <si>
    <t>PROCHLRP10MG TB</t>
  </si>
  <si>
    <t>0053100301</t>
  </si>
  <si>
    <t>PROGESTERONE 100MG CP</t>
  </si>
  <si>
    <t>PROGESTERN100CP</t>
  </si>
  <si>
    <t>0053100657</t>
  </si>
  <si>
    <t>PROMETHAZINE 12.5MG TB</t>
  </si>
  <si>
    <t>PROMETHAZ12.5TB</t>
  </si>
  <si>
    <t>0053100681</t>
  </si>
  <si>
    <t>PROMETHAZINE 25MG TB</t>
  </si>
  <si>
    <t>PROMETHAZ25MGTB</t>
  </si>
  <si>
    <t>0053100897</t>
  </si>
  <si>
    <t>PROPAFENONE 75MG TB</t>
  </si>
  <si>
    <t>PROPAFEN 75MGTB</t>
  </si>
  <si>
    <t>0053100905</t>
  </si>
  <si>
    <t>PROPAFENONE 150MG TB</t>
  </si>
  <si>
    <t>PROPAFEN150MGTB</t>
  </si>
  <si>
    <t>0053100921</t>
  </si>
  <si>
    <t>PROPAFENONE 225MG TB</t>
  </si>
  <si>
    <t>PROPAFEN225MGTB</t>
  </si>
  <si>
    <t>0053101986</t>
  </si>
  <si>
    <t>PROPRANOLOL 5MG TB</t>
  </si>
  <si>
    <t>PROPRNOL 5MG TB</t>
  </si>
  <si>
    <t>0053101994</t>
  </si>
  <si>
    <t>PROPRANOLOL 10MG TB</t>
  </si>
  <si>
    <t>PROPRNOL10MG TB</t>
  </si>
  <si>
    <t>0053102018</t>
  </si>
  <si>
    <t>PROPRANOLOL 20MG TB</t>
  </si>
  <si>
    <t>PROPRNOL20MG TB</t>
  </si>
  <si>
    <t>0053102034</t>
  </si>
  <si>
    <t>PROPRANOLOL 40MG TB</t>
  </si>
  <si>
    <t>PROPRNOL40MG TB</t>
  </si>
  <si>
    <t>0053102059</t>
  </si>
  <si>
    <t>PROPRANOLOL 60MG TB</t>
  </si>
  <si>
    <t>PROPRNOL60MG TB</t>
  </si>
  <si>
    <t>0053102083</t>
  </si>
  <si>
    <t>PROPRANOLOL 60MG XR CP</t>
  </si>
  <si>
    <t>PROPRNOL60XR CP</t>
  </si>
  <si>
    <t>0053102109</t>
  </si>
  <si>
    <t>PROPRANOLOL 80MG XR CP</t>
  </si>
  <si>
    <t>PROPRNOL80XR CP</t>
  </si>
  <si>
    <t>0053102117</t>
  </si>
  <si>
    <t>PROPRANOLOL 120MG XR CP</t>
  </si>
  <si>
    <t>PROPRNOL120XRCP</t>
  </si>
  <si>
    <t>0053102166</t>
  </si>
  <si>
    <t>PROPYLTHIOURACIL 50MG TB</t>
  </si>
  <si>
    <t>PROPYLTHIOU50TB</t>
  </si>
  <si>
    <t>0053102661</t>
  </si>
  <si>
    <t>PSEUDOEPHED 30MG TB</t>
  </si>
  <si>
    <t xml:space="preserve">PSE 30MG TB    </t>
  </si>
  <si>
    <t>0053102703</t>
  </si>
  <si>
    <t>PSEUDOEPHED 60MG TB</t>
  </si>
  <si>
    <t xml:space="preserve">PSE 60MG TB    </t>
  </si>
  <si>
    <t>0053102943</t>
  </si>
  <si>
    <t>PYRAZINAMIDE 250MG TB</t>
  </si>
  <si>
    <t>PYRAZINA250MGTB</t>
  </si>
  <si>
    <t>0053102950</t>
  </si>
  <si>
    <t>PYRAZINAMIDE 500MG TB</t>
  </si>
  <si>
    <t>PYRAZINA500MGTB</t>
  </si>
  <si>
    <t>0053102976</t>
  </si>
  <si>
    <t>PYRIDOSTIGMINE 60MG TB</t>
  </si>
  <si>
    <t>PYRIDOSTIGM60TB</t>
  </si>
  <si>
    <t>0053103016</t>
  </si>
  <si>
    <t>PYRIDOSTIGMINE180MGXRTB</t>
  </si>
  <si>
    <t>PYRIDOST180XRTB</t>
  </si>
  <si>
    <t>0053103248</t>
  </si>
  <si>
    <t>PYRIDOXINE 25MG TB</t>
  </si>
  <si>
    <t>PYRDOXINE25MGTB</t>
  </si>
  <si>
    <t>0053103289</t>
  </si>
  <si>
    <t>PYRIDOXINE 50MG TB</t>
  </si>
  <si>
    <t>PYRDOXINE50MGTB</t>
  </si>
  <si>
    <t>0053103354</t>
  </si>
  <si>
    <t>PYRIMETHAMINE 25MG TB</t>
  </si>
  <si>
    <t>PYRIMETHAMN25TB</t>
  </si>
  <si>
    <t>0053103685</t>
  </si>
  <si>
    <t>QUETIAPINE 50MG XR TB</t>
  </si>
  <si>
    <t>QUETIAP50MGXRTB</t>
  </si>
  <si>
    <t>0053103693</t>
  </si>
  <si>
    <t>QUETIAPINE 12.5MG TB</t>
  </si>
  <si>
    <t>QUETAP12.5MG TB</t>
  </si>
  <si>
    <t>0053103701</t>
  </si>
  <si>
    <t>QUETIAPINE 25MG TB</t>
  </si>
  <si>
    <t xml:space="preserve">QUETAP 25MG TB </t>
  </si>
  <si>
    <t>0053103719</t>
  </si>
  <si>
    <t>QUETIAPINE 100MG TB</t>
  </si>
  <si>
    <t xml:space="preserve">QUETAP100MG TB </t>
  </si>
  <si>
    <t>0053103735</t>
  </si>
  <si>
    <t>QUETIAPINE 50MG TB</t>
  </si>
  <si>
    <t xml:space="preserve">QUETAP 50MG TB </t>
  </si>
  <si>
    <t>0053103768</t>
  </si>
  <si>
    <t>QUETIAPINE 200MG XR TB</t>
  </si>
  <si>
    <t>QUETAP 200XR TB</t>
  </si>
  <si>
    <t>0053103792</t>
  </si>
  <si>
    <t>QUETIAPINE 150MG XR TB</t>
  </si>
  <si>
    <t>QUETIA150MGXRTB</t>
  </si>
  <si>
    <t>0053104907</t>
  </si>
  <si>
    <t>RAMIPRIL 2.5MG CP</t>
  </si>
  <si>
    <t>RAMIPRIL2.5MGCP</t>
  </si>
  <si>
    <t>0053104915</t>
  </si>
  <si>
    <t>RAMIPRIL 5MG CP</t>
  </si>
  <si>
    <t xml:space="preserve">RAMIPRIL 5MGCP </t>
  </si>
  <si>
    <t>0053104931</t>
  </si>
  <si>
    <t>RALTEGRAVIR 400MG TB</t>
  </si>
  <si>
    <t>RALTEGRAV 400TB</t>
  </si>
  <si>
    <t>0053105052</t>
  </si>
  <si>
    <t>RANITIDINE 150MG TB</t>
  </si>
  <si>
    <t xml:space="preserve">RANITID150MGTB </t>
  </si>
  <si>
    <t>0053105201</t>
  </si>
  <si>
    <t>RANOLAZINE 500MG XR TB</t>
  </si>
  <si>
    <t>RANOLZIN500XRTB</t>
  </si>
  <si>
    <t>0053105243</t>
  </si>
  <si>
    <t>RASAGILINE 0.5MG TB</t>
  </si>
  <si>
    <t>RASAGILIN.5MGTB</t>
  </si>
  <si>
    <t>0053105524</t>
  </si>
  <si>
    <t>REPAGLINIDE 0.5MG TB</t>
  </si>
  <si>
    <t>REPAGLINID0.5TB</t>
  </si>
  <si>
    <t>0053105532</t>
  </si>
  <si>
    <t>REPAGLINIDE 1MG TB</t>
  </si>
  <si>
    <t>REPAGLINID1MGTB</t>
  </si>
  <si>
    <t>0053106167</t>
  </si>
  <si>
    <t>RIBOFLAVIN 100MG TB</t>
  </si>
  <si>
    <t>RIBOFLAVIN100TB</t>
  </si>
  <si>
    <t>0053106209</t>
  </si>
  <si>
    <t>RIFABUTIN 150MG CP</t>
  </si>
  <si>
    <t>RIFABUTN150MGCP</t>
  </si>
  <si>
    <t>0053106241</t>
  </si>
  <si>
    <t>RIVAROXABAN 2.5MG TB</t>
  </si>
  <si>
    <t>RIVAROXABAN 2.5</t>
  </si>
  <si>
    <t>0053106258</t>
  </si>
  <si>
    <t>RIFAXIMIN 200MG TB</t>
  </si>
  <si>
    <t xml:space="preserve">RIFAXIMIN200TB </t>
  </si>
  <si>
    <t>0053106266</t>
  </si>
  <si>
    <t>RIFAXIMIN 550 MG TB</t>
  </si>
  <si>
    <t>RIFAXIMI550MGTB</t>
  </si>
  <si>
    <t>0053106324</t>
  </si>
  <si>
    <t>RIVAROXABAN 15MG TB</t>
  </si>
  <si>
    <t>RIVAROXAB15MGTB</t>
  </si>
  <si>
    <t>0053106340</t>
  </si>
  <si>
    <t>RISPERIDONE 1MG DT</t>
  </si>
  <si>
    <t>RISPERIDON 1 DT</t>
  </si>
  <si>
    <t>0053106357</t>
  </si>
  <si>
    <t>RISPERIDONE 2MG DT</t>
  </si>
  <si>
    <t>RISPERIDON 2 DT</t>
  </si>
  <si>
    <t>0053106365</t>
  </si>
  <si>
    <t>RIFAMPIN 150MG CP</t>
  </si>
  <si>
    <t>RIFAMPIN150MGCP</t>
  </si>
  <si>
    <t>0053106373</t>
  </si>
  <si>
    <t>RIFAMPIN 300MG CP</t>
  </si>
  <si>
    <t>RIFAMPIN300MGCP</t>
  </si>
  <si>
    <t>0053106399</t>
  </si>
  <si>
    <t>RITONAVIR 100 MG TB</t>
  </si>
  <si>
    <t xml:space="preserve">RITONAVIR100TB </t>
  </si>
  <si>
    <t>0053106407</t>
  </si>
  <si>
    <t>RIVAROXABAN 10MG TB</t>
  </si>
  <si>
    <t>RIVAROXAB10MGTB</t>
  </si>
  <si>
    <t>0053106415</t>
  </si>
  <si>
    <t>ROFLUMILAST 500MCG TB</t>
  </si>
  <si>
    <t>ROFLUM 500MCGTB</t>
  </si>
  <si>
    <t>0053106514</t>
  </si>
  <si>
    <t>RISPERIDONE 1MG TB</t>
  </si>
  <si>
    <t>RISPERIDON 1 TB</t>
  </si>
  <si>
    <t>0053106654</t>
  </si>
  <si>
    <t>RIVASTIGMINE 1.5MG CP</t>
  </si>
  <si>
    <t xml:space="preserve">RIVASTIGM1.5CP </t>
  </si>
  <si>
    <t>0053106662</t>
  </si>
  <si>
    <t>RIVASTIGMINE 3MG CP</t>
  </si>
  <si>
    <t>RIVASTIGMINE3CP</t>
  </si>
  <si>
    <t>0053106670</t>
  </si>
  <si>
    <t>RIVASTIGMINE 4.5MG CP</t>
  </si>
  <si>
    <t xml:space="preserve">RIVASTIGM4.5CP </t>
  </si>
  <si>
    <t>0053106704</t>
  </si>
  <si>
    <t>RITONAVIR 100 MG CP</t>
  </si>
  <si>
    <t>RITONAVIR100 CP</t>
  </si>
  <si>
    <t>0053106753</t>
  </si>
  <si>
    <t>ROPINIROLE 0.25MG TB</t>
  </si>
  <si>
    <t>ROPINRL.25MG TB</t>
  </si>
  <si>
    <t>0053106779</t>
  </si>
  <si>
    <t>ROPINIROLE 1MG TB</t>
  </si>
  <si>
    <t xml:space="preserve">ROPINRL 1MG TB </t>
  </si>
  <si>
    <t>0053106837</t>
  </si>
  <si>
    <t>SALSALATE 500MG TB</t>
  </si>
  <si>
    <t>SALSALATE500 TB</t>
  </si>
  <si>
    <t>0053106860</t>
  </si>
  <si>
    <t>SALSALATE 750MG TB</t>
  </si>
  <si>
    <t>SALSALATE750 TB</t>
  </si>
  <si>
    <t>0053106878</t>
  </si>
  <si>
    <t>SACCHAROMYCES BL 250MGCP</t>
  </si>
  <si>
    <t>SACCHARM B250CP</t>
  </si>
  <si>
    <t>0053106902</t>
  </si>
  <si>
    <t>SAQUINAVIR 200MG CP</t>
  </si>
  <si>
    <t>SAQUINAVR200 CP</t>
  </si>
  <si>
    <t>0053106944</t>
  </si>
  <si>
    <t>ROSUVASTATIN 20MG TB</t>
  </si>
  <si>
    <t>ROSUVASTA20MGTB</t>
  </si>
  <si>
    <t>0053106993</t>
  </si>
  <si>
    <t>RUFINAMIDE 200MG TB</t>
  </si>
  <si>
    <t>RUFINAMIDE200TB</t>
  </si>
  <si>
    <t>0053107033</t>
  </si>
  <si>
    <t>SACCHAROMYCES BL 250MGPK</t>
  </si>
  <si>
    <t>SACCHARM B250PK</t>
  </si>
  <si>
    <t>0053107074</t>
  </si>
  <si>
    <t>SACUBIT/VALSAR 24-26MGTB</t>
  </si>
  <si>
    <t>SACUB/VALSAR TB</t>
  </si>
  <si>
    <t>0053107082</t>
  </si>
  <si>
    <t>SACUBIT/VALSAR 49-51MGTB</t>
  </si>
  <si>
    <t>0053107090</t>
  </si>
  <si>
    <t>SACUBIT/VALS 97-103MG TB</t>
  </si>
  <si>
    <t>0053107207</t>
  </si>
  <si>
    <t>SELEGILINE 5MG TB</t>
  </si>
  <si>
    <t>SELEGILIN5MG TB</t>
  </si>
  <si>
    <t>0053107553</t>
  </si>
  <si>
    <t>SENNA 8.6MG TB</t>
  </si>
  <si>
    <t xml:space="preserve">SENNA8.6 TB    </t>
  </si>
  <si>
    <t>0053107561</t>
  </si>
  <si>
    <t>DOCUSATE/SENNA TB</t>
  </si>
  <si>
    <t>DOCUSAT/SENNATB</t>
  </si>
  <si>
    <t>0053107595</t>
  </si>
  <si>
    <t>SERTRALINE 25MG TB</t>
  </si>
  <si>
    <t xml:space="preserve">SERTRALINE25TB </t>
  </si>
  <si>
    <t>0053107603</t>
  </si>
  <si>
    <t>SERTRALINE 50MG TB</t>
  </si>
  <si>
    <t xml:space="preserve">SERTRALINE50TB </t>
  </si>
  <si>
    <t>0053107611</t>
  </si>
  <si>
    <t>SERTRALINE 100MG TB</t>
  </si>
  <si>
    <t>SERTRALINE100TB</t>
  </si>
  <si>
    <t>0053107652</t>
  </si>
  <si>
    <t>SEVELAMER CARB 800MG TB</t>
  </si>
  <si>
    <t>SEVELAM 800MGTB</t>
  </si>
  <si>
    <t>0053107660</t>
  </si>
  <si>
    <t>SERTRALINE 12.5MG TB</t>
  </si>
  <si>
    <t>SERTRALIN12.5TB</t>
  </si>
  <si>
    <t>0053107736</t>
  </si>
  <si>
    <t>SILDENAFIL 25MG TB</t>
  </si>
  <si>
    <t>SILDENAFIL25 TB</t>
  </si>
  <si>
    <t>0053107777</t>
  </si>
  <si>
    <t>SILDENAFIL 20MG TB</t>
  </si>
  <si>
    <t>SILDENAFIL20 TB</t>
  </si>
  <si>
    <t>0053107785</t>
  </si>
  <si>
    <t>SILDENAFIL 10MG TB</t>
  </si>
  <si>
    <t>SILDENAFIL10 TB</t>
  </si>
  <si>
    <t>0053107835</t>
  </si>
  <si>
    <t>SIMETHICONE 80MG TB</t>
  </si>
  <si>
    <t xml:space="preserve">SIMETHICON80TB </t>
  </si>
  <si>
    <t>0053107876</t>
  </si>
  <si>
    <t>SIM/NA BICARB/CIT EFFGR</t>
  </si>
  <si>
    <t xml:space="preserve">ANTACID EFF GR </t>
  </si>
  <si>
    <t>0053107900</t>
  </si>
  <si>
    <t>SIMVASTATIN 5MG TB</t>
  </si>
  <si>
    <t xml:space="preserve">SIMVSTAT5MG TB </t>
  </si>
  <si>
    <t>0053107918</t>
  </si>
  <si>
    <t>SIMVASTATIN 10MG TB</t>
  </si>
  <si>
    <t>SIMVSTAT10MG TB</t>
  </si>
  <si>
    <t>0053107926</t>
  </si>
  <si>
    <t>SIMVASTATIN 20MG TB</t>
  </si>
  <si>
    <t>SIMVSTAT20MG TB</t>
  </si>
  <si>
    <t>0053107959</t>
  </si>
  <si>
    <t>SITAGLIPTIN 25MG TB</t>
  </si>
  <si>
    <t>SITAGLIPT25MGTB</t>
  </si>
  <si>
    <t>0053107975</t>
  </si>
  <si>
    <t>SITAGLIPTIN 50MG TB</t>
  </si>
  <si>
    <t>SITAGLIPT50MGTB</t>
  </si>
  <si>
    <t>0053108007</t>
  </si>
  <si>
    <t>SIROLIMUS PER 1MG TB</t>
  </si>
  <si>
    <t xml:space="preserve">SIROLIMUS 1 TB </t>
  </si>
  <si>
    <t>0053108064</t>
  </si>
  <si>
    <t>NA BICARBONATE 325MG TB</t>
  </si>
  <si>
    <t>NA BICRB325MGTB</t>
  </si>
  <si>
    <t>0053108106</t>
  </si>
  <si>
    <t>NA BICARBONATE 650MG TB</t>
  </si>
  <si>
    <t>NA BICRB650MGTB</t>
  </si>
  <si>
    <t>0053108338</t>
  </si>
  <si>
    <t>NA CL 1GM TB</t>
  </si>
  <si>
    <t xml:space="preserve">NA CL 1GM TB   </t>
  </si>
  <si>
    <t>0053108593</t>
  </si>
  <si>
    <t>SORAFENIB 200MG TB</t>
  </si>
  <si>
    <t xml:space="preserve">SORAFENIB200TB </t>
  </si>
  <si>
    <t>0053108676</t>
  </si>
  <si>
    <t>SOLIFENACIN 5MG TB</t>
  </si>
  <si>
    <t xml:space="preserve">SOLIFENAC5MGTB </t>
  </si>
  <si>
    <t>0053108700</t>
  </si>
  <si>
    <t>SOTALOL 80MG TB</t>
  </si>
  <si>
    <t>0053109013</t>
  </si>
  <si>
    <t>SPIRONOLACTONE 12.5MG TB</t>
  </si>
  <si>
    <t>SPIRONOLA12.5TB</t>
  </si>
  <si>
    <t>0053109104</t>
  </si>
  <si>
    <t>SPIRONOLACTONE 25MG TB</t>
  </si>
  <si>
    <t>SPIRONOLACT25TB</t>
  </si>
  <si>
    <t>0053109179</t>
  </si>
  <si>
    <t>SPIRONOLACTONE 100MG TB</t>
  </si>
  <si>
    <t>SPIRONOLAC100TB</t>
  </si>
  <si>
    <t>0053109500</t>
  </si>
  <si>
    <t>STAVUDINE 40MG CP</t>
  </si>
  <si>
    <t>STAVUDIN40MG CP</t>
  </si>
  <si>
    <t>0053109518</t>
  </si>
  <si>
    <t>STAVUDINE 20MG CP</t>
  </si>
  <si>
    <t>STAVUDIN20MG CP</t>
  </si>
  <si>
    <t>0053109609</t>
  </si>
  <si>
    <t>MVI VIT B&amp;C STRESS TB</t>
  </si>
  <si>
    <t>MVI BC STRESSTB</t>
  </si>
  <si>
    <t>0053110060</t>
  </si>
  <si>
    <t>SUCRALFATE 1GM TB</t>
  </si>
  <si>
    <t>SUCRALFATE1GMTB</t>
  </si>
  <si>
    <t>0053110524</t>
  </si>
  <si>
    <t>SULFADIAZINE 500MG TB</t>
  </si>
  <si>
    <t>SULFADIAZ 500TB</t>
  </si>
  <si>
    <t>0053110912</t>
  </si>
  <si>
    <t>SMX-TMP 400/80MG TB</t>
  </si>
  <si>
    <t xml:space="preserve">SMX-TMP TB     </t>
  </si>
  <si>
    <t>0053110920</t>
  </si>
  <si>
    <t>SMX-TMP 800/160MG TB</t>
  </si>
  <si>
    <t xml:space="preserve">SMX-TMP DS TB  </t>
  </si>
  <si>
    <t>0053111100</t>
  </si>
  <si>
    <t>SULFASALAZINE 500MG TB</t>
  </si>
  <si>
    <t>SULFASALAZ500TB</t>
  </si>
  <si>
    <t>0053111118</t>
  </si>
  <si>
    <t>SULFASALAZIN 500MG EC TB</t>
  </si>
  <si>
    <t>SULFASAL500ECTB</t>
  </si>
  <si>
    <t>0053111902</t>
  </si>
  <si>
    <t>SUMATRIPTAN 25MG TB</t>
  </si>
  <si>
    <t>SUMATRIPTAN25TB</t>
  </si>
  <si>
    <t>0053111910</t>
  </si>
  <si>
    <t>SUMATRIPTAN 50MG TB</t>
  </si>
  <si>
    <t>SUMATRIPTAN50TB</t>
  </si>
  <si>
    <t>0053112041</t>
  </si>
  <si>
    <t>TACROLIMUS PER 1MG CP</t>
  </si>
  <si>
    <t>TACROLIMUS1MGCP</t>
  </si>
  <si>
    <t>0053112066</t>
  </si>
  <si>
    <t>TACROLIMUS 0.5MG CP</t>
  </si>
  <si>
    <t>TACROLIMUS0.5CP</t>
  </si>
  <si>
    <t>0053112108</t>
  </si>
  <si>
    <t>TAMOXIFEN 10MG TB</t>
  </si>
  <si>
    <t>TAMOXIFN10MG TB</t>
  </si>
  <si>
    <t>0053112157</t>
  </si>
  <si>
    <t>TAMSULOSIN .4MG CP</t>
  </si>
  <si>
    <t>TAMSULOS.4MG CP</t>
  </si>
  <si>
    <t>0053112330</t>
  </si>
  <si>
    <t>TEMAZEPAM 15MG CP</t>
  </si>
  <si>
    <t>TEMAZEPAM15MGCP</t>
  </si>
  <si>
    <t>0053112348</t>
  </si>
  <si>
    <t>TEMAZEPAM 7.5MG CP</t>
  </si>
  <si>
    <t>TEMAZEPA7.5MGCP</t>
  </si>
  <si>
    <t>0053112454</t>
  </si>
  <si>
    <t>TENOFOVIR 300MG TB</t>
  </si>
  <si>
    <t xml:space="preserve">TENOFOVIR300TB </t>
  </si>
  <si>
    <t>0053112504</t>
  </si>
  <si>
    <t>TERAZOSIN 1MG CP</t>
  </si>
  <si>
    <t xml:space="preserve">TERAZOSIN1MGCP </t>
  </si>
  <si>
    <t>0053112512</t>
  </si>
  <si>
    <t>TERAZOSIN 2MG CP</t>
  </si>
  <si>
    <t xml:space="preserve">TERAZOSIN2MGCP </t>
  </si>
  <si>
    <t>0053112520</t>
  </si>
  <si>
    <t>TERAZOSIN 5MG CP</t>
  </si>
  <si>
    <t xml:space="preserve">TERAZOSIN5MGCP </t>
  </si>
  <si>
    <t>0053112553</t>
  </si>
  <si>
    <t>TERBINAFINE 250MG TB</t>
  </si>
  <si>
    <t>TERBINAFIN250TB</t>
  </si>
  <si>
    <t>0053112603</t>
  </si>
  <si>
    <t>TERBUTALINE 2.5MG TB</t>
  </si>
  <si>
    <t>TERBUTAL2.5MGTB</t>
  </si>
  <si>
    <t>0053112645</t>
  </si>
  <si>
    <t>TERBUTALINE 5MG TB</t>
  </si>
  <si>
    <t xml:space="preserve">TERBUTAL 5MGTB </t>
  </si>
  <si>
    <t>0053112801</t>
  </si>
  <si>
    <t>TECOVIRIMAT 200MG CP (NO CHRG)</t>
  </si>
  <si>
    <t>TECOVIRIMAT200M</t>
  </si>
  <si>
    <t>Z</t>
  </si>
  <si>
    <t>0053113106</t>
  </si>
  <si>
    <t>TETRACYCLINE 250MG CP</t>
  </si>
  <si>
    <t>TETRACYCL250 CP</t>
  </si>
  <si>
    <t>0053113965</t>
  </si>
  <si>
    <t>THEOPHYLLINE 300MG XR TB</t>
  </si>
  <si>
    <t>THEOPHYL300XRTB</t>
  </si>
  <si>
    <t>0053114054</t>
  </si>
  <si>
    <t>THEOPHYLLINE400MG XR24TB</t>
  </si>
  <si>
    <t>THEOPH400XR24TB</t>
  </si>
  <si>
    <t>0053114088</t>
  </si>
  <si>
    <t>THEOPHYLLINE100MG XR24CP</t>
  </si>
  <si>
    <t>THEOPH100XR24CP</t>
  </si>
  <si>
    <t>0053114096</t>
  </si>
  <si>
    <t>THEOPHYLLINE200MG XR24CP</t>
  </si>
  <si>
    <t>THEOPH200XR24CP</t>
  </si>
  <si>
    <t>0053114674</t>
  </si>
  <si>
    <t>THIAMINE 50MG TB</t>
  </si>
  <si>
    <t>THIAMINE50MG TB</t>
  </si>
  <si>
    <t>0053114716</t>
  </si>
  <si>
    <t>THIAMINE 100MG TB</t>
  </si>
  <si>
    <t>THIAMINE100MGTB</t>
  </si>
  <si>
    <t>0053115176</t>
  </si>
  <si>
    <t>THIOGUANINE 40MG TB</t>
  </si>
  <si>
    <t>THIOGUANINE40TB</t>
  </si>
  <si>
    <t>0053115374</t>
  </si>
  <si>
    <t>THIORIDAZINE 10MG TB</t>
  </si>
  <si>
    <t>THIORIDAZ10MGTB</t>
  </si>
  <si>
    <t>0053115481</t>
  </si>
  <si>
    <t>THIORIDAZINE 25MG TB</t>
  </si>
  <si>
    <t>THIORIDAZ25MGTB</t>
  </si>
  <si>
    <t>0053115564</t>
  </si>
  <si>
    <t>THIORIDAZINE 100MG TB</t>
  </si>
  <si>
    <t>THIORIDA100MGTB</t>
  </si>
  <si>
    <t>0053115838</t>
  </si>
  <si>
    <t>THIOTHIXENE 1MG CP</t>
  </si>
  <si>
    <t>THIOTHIXEN1MGCP</t>
  </si>
  <si>
    <t>0053115879</t>
  </si>
  <si>
    <t>THIOTHIXENE 2MG CP</t>
  </si>
  <si>
    <t>THIOTHIXEN2MGCP</t>
  </si>
  <si>
    <t>0053115911</t>
  </si>
  <si>
    <t>THIOTHIXENE 5MG CP</t>
  </si>
  <si>
    <t>THIOTHIXEN5MGCP</t>
  </si>
  <si>
    <t>0053116307</t>
  </si>
  <si>
    <t>TIAGABINE 4MG TB</t>
  </si>
  <si>
    <t>TIAGABINE4MG TB</t>
  </si>
  <si>
    <t>0053116414</t>
  </si>
  <si>
    <t>THYROID DESICTD 15MG TB</t>
  </si>
  <si>
    <t>THYROID DES15TB</t>
  </si>
  <si>
    <t>0053116455</t>
  </si>
  <si>
    <t>THYROID DESICTED 30MG TB</t>
  </si>
  <si>
    <t>THYROID DES30TB</t>
  </si>
  <si>
    <t>0053116505</t>
  </si>
  <si>
    <t>THYROID DESICTED 90MG TB</t>
  </si>
  <si>
    <t>THYROID DES90TB</t>
  </si>
  <si>
    <t>0053116729</t>
  </si>
  <si>
    <t>THYROID DESICTD 120MG TB</t>
  </si>
  <si>
    <t>THYROID DE120TB</t>
  </si>
  <si>
    <t>0053116752</t>
  </si>
  <si>
    <t>TICAGRELOR 60MG TB</t>
  </si>
  <si>
    <t>TICAGREL 60MGTB</t>
  </si>
  <si>
    <t>0053116760</t>
  </si>
  <si>
    <t>THYROID DESICTD 180MG TB</t>
  </si>
  <si>
    <t>THYROID DE180TB</t>
  </si>
  <si>
    <t>0053116794</t>
  </si>
  <si>
    <t>TICAGRELOR 90MG TB</t>
  </si>
  <si>
    <t>TICAGREL 90MGTB</t>
  </si>
  <si>
    <t>0053116810</t>
  </si>
  <si>
    <t>TIAGABINE 2MG TB</t>
  </si>
  <si>
    <t>TIAGABINE2MG TB</t>
  </si>
  <si>
    <t>0053116927</t>
  </si>
  <si>
    <t>TIZANIDINE 4MG TB</t>
  </si>
  <si>
    <t>TIZANIDINE4MGTB</t>
  </si>
  <si>
    <t>0053116943</t>
  </si>
  <si>
    <t>TIZANIDINE 2MG TB</t>
  </si>
  <si>
    <t>TIZANIDINE2MGTB</t>
  </si>
  <si>
    <t>0053117305</t>
  </si>
  <si>
    <t>TOLVAPTAN 15MG TB</t>
  </si>
  <si>
    <t>TOLVAPTAN15MGTB</t>
  </si>
  <si>
    <t>0053117313</t>
  </si>
  <si>
    <t>TOLVAPTAN 30MG TB</t>
  </si>
  <si>
    <t>TOLVAPTAN30MGTB</t>
  </si>
  <si>
    <t>0053117479</t>
  </si>
  <si>
    <t>TOLTERODINE 2MG XR CP</t>
  </si>
  <si>
    <t>TOLTEROD2MGXRCP</t>
  </si>
  <si>
    <t>0053117511</t>
  </si>
  <si>
    <t>TOLTERODINE 1MG TB</t>
  </si>
  <si>
    <t>TOLTERODIN1MGTB</t>
  </si>
  <si>
    <t>0053117529</t>
  </si>
  <si>
    <t>TOLTERODINE 2MG TB</t>
  </si>
  <si>
    <t>TOLTERODIN2MGTB</t>
  </si>
  <si>
    <t>0053117545</t>
  </si>
  <si>
    <t>TOPIRAMATE 25MG TB</t>
  </si>
  <si>
    <t xml:space="preserve">TOPIRAMATE25TB </t>
  </si>
  <si>
    <t>0053117552</t>
  </si>
  <si>
    <t>TOPIRAMATE 100MG TB</t>
  </si>
  <si>
    <t>TOPIRAMATE100TB</t>
  </si>
  <si>
    <t>0053117578</t>
  </si>
  <si>
    <t>TOPIRAMATE 200MG TB</t>
  </si>
  <si>
    <t>TOPIRAMATE200TB</t>
  </si>
  <si>
    <t>0053117586</t>
  </si>
  <si>
    <t>TOPIRAMATE 15MG SPRK CP</t>
  </si>
  <si>
    <t xml:space="preserve">TOPIRAMATE15CP </t>
  </si>
  <si>
    <t>0053117610</t>
  </si>
  <si>
    <t>TORSEMIDE 10MG TB</t>
  </si>
  <si>
    <t>TORSEMIDE 10 TB</t>
  </si>
  <si>
    <t>0053117628</t>
  </si>
  <si>
    <t>TORSEMIDE 20MG TB</t>
  </si>
  <si>
    <t>TORSEMIDE 20 TB</t>
  </si>
  <si>
    <t>0053117636</t>
  </si>
  <si>
    <t>TORSEMIDE 100MG TB</t>
  </si>
  <si>
    <t>TORSEMIDE100 TB</t>
  </si>
  <si>
    <t>0053117701</t>
  </si>
  <si>
    <t>TRAMADOL 50MG TB</t>
  </si>
  <si>
    <t>TRAMDOL 50MG TB</t>
  </si>
  <si>
    <t>0053117735</t>
  </si>
  <si>
    <t>TRAMADOL 25MG TB</t>
  </si>
  <si>
    <t>TRAMDOL 25MG TB</t>
  </si>
  <si>
    <t>0053117909</t>
  </si>
  <si>
    <t>TRAZODONE 25MG TB</t>
  </si>
  <si>
    <t>TRAZODONE25MGTB</t>
  </si>
  <si>
    <t>0053117917</t>
  </si>
  <si>
    <t>TRAZODONE 50MG TB</t>
  </si>
  <si>
    <t>TRAZODONE 50 TB</t>
  </si>
  <si>
    <t>0053118006</t>
  </si>
  <si>
    <t>TRETINOIN 10MG CP</t>
  </si>
  <si>
    <t>TRETINOIN10MGCP</t>
  </si>
  <si>
    <t>0053118055</t>
  </si>
  <si>
    <t>TRANEXAMIC ACID 650MG TB</t>
  </si>
  <si>
    <t>TRANEXAMIC650TB</t>
  </si>
  <si>
    <t>0053118576</t>
  </si>
  <si>
    <t>TRIAMTERENE 50MG CP</t>
  </si>
  <si>
    <t>TRIAMTERENE50CP</t>
  </si>
  <si>
    <t>0053118626</t>
  </si>
  <si>
    <t>TRIAMTER-HCTZ 37.5/25 CP</t>
  </si>
  <si>
    <t>TRIA/HCZ37/25CP</t>
  </si>
  <si>
    <t>0053118634</t>
  </si>
  <si>
    <t>TRIAMTER-HCTZ 37.5/25 TB</t>
  </si>
  <si>
    <t>TRIA/HCZ37/25TB</t>
  </si>
  <si>
    <t>0053118642</t>
  </si>
  <si>
    <t>TRIAMTER-HCTZ 75/50 TB</t>
  </si>
  <si>
    <t>TRIA/HCZ 75/5TB</t>
  </si>
  <si>
    <t>0053119152</t>
  </si>
  <si>
    <t>TRIFLUOPERAZINE 1MG TB</t>
  </si>
  <si>
    <t>TRIFLUOPERAZ1TB</t>
  </si>
  <si>
    <t>0053119178</t>
  </si>
  <si>
    <t>TRIFLUOPERAZINE 2MG TB</t>
  </si>
  <si>
    <t>TRIFLUOPERAZ2TB</t>
  </si>
  <si>
    <t>0053119194</t>
  </si>
  <si>
    <t>TRIFLUOPERAZINE 5MGTB</t>
  </si>
  <si>
    <t>TRIFLUOPERAZ5TB</t>
  </si>
  <si>
    <t>0053119426</t>
  </si>
  <si>
    <t>TRIHEXYPHENIDYL 2MGTB</t>
  </si>
  <si>
    <t xml:space="preserve">TRIHEXYPHEN2TB </t>
  </si>
  <si>
    <t>0053119467</t>
  </si>
  <si>
    <t>TRIHEXYPHENIDYL 5MGTB</t>
  </si>
  <si>
    <t xml:space="preserve">TRIHEXYPHEN5TB </t>
  </si>
  <si>
    <t>0053120234</t>
  </si>
  <si>
    <t>TRIMETHOBENZAMIDE100MGCP</t>
  </si>
  <si>
    <t>TRIMETHBNZ100CP</t>
  </si>
  <si>
    <t>0053120275</t>
  </si>
  <si>
    <t>TRIMETHOBENZAMIDE250MGCP</t>
  </si>
  <si>
    <t>TRIMETHBNZ250CP</t>
  </si>
  <si>
    <t>0053120283</t>
  </si>
  <si>
    <t>TRIMETHOBENZAMIDE300MGCP</t>
  </si>
  <si>
    <t>TRIMETHBNZ300CP</t>
  </si>
  <si>
    <t>0053120390</t>
  </si>
  <si>
    <t>CDOPA/LDOPA/ENTAC 150 TB</t>
  </si>
  <si>
    <t>CD/LD/ENTC150TB</t>
  </si>
  <si>
    <t>0053120507</t>
  </si>
  <si>
    <t>TRIMETHOPRIM 100MG TB</t>
  </si>
  <si>
    <t>TRIMETHOPR100TB</t>
  </si>
  <si>
    <t>0053122396</t>
  </si>
  <si>
    <t>UBIQUINONE 200MG CP</t>
  </si>
  <si>
    <t>UBIQUIN 200MGCP</t>
  </si>
  <si>
    <t>0053122446</t>
  </si>
  <si>
    <t>UBIQUINONE 100MG CP</t>
  </si>
  <si>
    <t>UBIQUIN 100MGCP</t>
  </si>
  <si>
    <t>0053122545</t>
  </si>
  <si>
    <t>URSODIOL 250MG TB</t>
  </si>
  <si>
    <t>URSODIOL250MGTB</t>
  </si>
  <si>
    <t>0053122552</t>
  </si>
  <si>
    <t>URSODIOL 300MG CP</t>
  </si>
  <si>
    <t>URSODIOL300MGCP</t>
  </si>
  <si>
    <t>0053122586</t>
  </si>
  <si>
    <t>VALACYCLOVIR 500MG TB</t>
  </si>
  <si>
    <t>VALACYCLOV500TB</t>
  </si>
  <si>
    <t>0053122602</t>
  </si>
  <si>
    <t>DIVALPROX NA 125MG XR CP</t>
  </si>
  <si>
    <t>DIVALP125 XR CP</t>
  </si>
  <si>
    <t>0053122610</t>
  </si>
  <si>
    <t>VALPROATE 250MG CP</t>
  </si>
  <si>
    <t>VALPROAT250MGCP</t>
  </si>
  <si>
    <t>0053122628</t>
  </si>
  <si>
    <t>VALSARTAN 40MG TB</t>
  </si>
  <si>
    <t xml:space="preserve">VALSARTAN40TB  </t>
  </si>
  <si>
    <t>0053122636</t>
  </si>
  <si>
    <t>VALGANCICLOVIR 450MG TB</t>
  </si>
  <si>
    <t>VALGANCICV450TB</t>
  </si>
  <si>
    <t>0053122651</t>
  </si>
  <si>
    <t>VALSARTAN 80MG TB</t>
  </si>
  <si>
    <t xml:space="preserve">VALSARTAN80TB  </t>
  </si>
  <si>
    <t>0053122669</t>
  </si>
  <si>
    <t>VALSARTAN 160MG TB</t>
  </si>
  <si>
    <t xml:space="preserve">VALSARTAN160TB </t>
  </si>
  <si>
    <t>0053122735</t>
  </si>
  <si>
    <t>VENLAFAXINE 37.5MG XR CP</t>
  </si>
  <si>
    <t>VENLAFX37.5XRCP</t>
  </si>
  <si>
    <t>0053122743</t>
  </si>
  <si>
    <t>VENLAFAXINE 75MG XR CP</t>
  </si>
  <si>
    <t xml:space="preserve">VENLAFAX75XRCP </t>
  </si>
  <si>
    <t>0053122750</t>
  </si>
  <si>
    <t>VENLAFAXINE 25MG TB</t>
  </si>
  <si>
    <t xml:space="preserve">VENLAFAX25TB   </t>
  </si>
  <si>
    <t>0053122768</t>
  </si>
  <si>
    <t>VENLAFAXINE 37.5MG TB</t>
  </si>
  <si>
    <t xml:space="preserve">VENLAFAX37.5TB </t>
  </si>
  <si>
    <t>0053122834</t>
  </si>
  <si>
    <t>VERAPAMIL 40MG TB</t>
  </si>
  <si>
    <t xml:space="preserve">VERAPAMIL40 TB </t>
  </si>
  <si>
    <t>0053122842</t>
  </si>
  <si>
    <t>VERAPAMIL 80MG TB</t>
  </si>
  <si>
    <t xml:space="preserve">VERAPAMIL80 TB </t>
  </si>
  <si>
    <t>0053122867</t>
  </si>
  <si>
    <t>VERAPAMIL 120MG XR24 CP</t>
  </si>
  <si>
    <t>VERA120 XR24 CP</t>
  </si>
  <si>
    <t>0053122883</t>
  </si>
  <si>
    <t>VERAPAMIL 120MG TB</t>
  </si>
  <si>
    <t xml:space="preserve">VERAPAM 120 TB </t>
  </si>
  <si>
    <t>0053122891</t>
  </si>
  <si>
    <t>VERAPAMIL 240 XR TB</t>
  </si>
  <si>
    <t xml:space="preserve">VERAP240 XR TB </t>
  </si>
  <si>
    <t>0053122909</t>
  </si>
  <si>
    <t>VERAPAMIL 180MG XR TB</t>
  </si>
  <si>
    <t xml:space="preserve">VERAP180 XR TB </t>
  </si>
  <si>
    <t>0053122917</t>
  </si>
  <si>
    <t>VERAPAMIL 120MG XR TB</t>
  </si>
  <si>
    <t xml:space="preserve">VERAP120 XR TB </t>
  </si>
  <si>
    <t>0053123022</t>
  </si>
  <si>
    <t>VERAPAMIL 180MG XR24 CP</t>
  </si>
  <si>
    <t>VERA180 XR24 CP</t>
  </si>
  <si>
    <t>0053123352</t>
  </si>
  <si>
    <t>VITAMIN A 10MU CP</t>
  </si>
  <si>
    <t xml:space="preserve">VIT A 10MU CP  </t>
  </si>
  <si>
    <t>0053123451</t>
  </si>
  <si>
    <t>MVI VIT B COMPLEX CP</t>
  </si>
  <si>
    <t xml:space="preserve">MVI B CMPX CP  </t>
  </si>
  <si>
    <t>0053123634</t>
  </si>
  <si>
    <t>VITAMIN B-12 100MCG TB</t>
  </si>
  <si>
    <t xml:space="preserve">VIT B12 100 TB </t>
  </si>
  <si>
    <t>0053123642</t>
  </si>
  <si>
    <t>VITAMIN B-12 1000MCG TB</t>
  </si>
  <si>
    <t>VIT B12 1000 TB</t>
  </si>
  <si>
    <t>0053123659</t>
  </si>
  <si>
    <t>VITAMIN B-12 250MCG TB</t>
  </si>
  <si>
    <t xml:space="preserve">VIT B12 250 TB </t>
  </si>
  <si>
    <t>0053123758</t>
  </si>
  <si>
    <t>VITAMIN D 1000U TB</t>
  </si>
  <si>
    <t xml:space="preserve">VIT D 1000U TB </t>
  </si>
  <si>
    <t>0053123840</t>
  </si>
  <si>
    <t>VITAMIN D3 2000U CP</t>
  </si>
  <si>
    <t>VIT D3 2000U CP</t>
  </si>
  <si>
    <t>0053123907</t>
  </si>
  <si>
    <t>VITAMIN D3 400U TB</t>
  </si>
  <si>
    <t xml:space="preserve">VIT D3 400U TB </t>
  </si>
  <si>
    <t>0053124053</t>
  </si>
  <si>
    <t>VITAMIN E 200U CP</t>
  </si>
  <si>
    <t xml:space="preserve">VIT E 200U CP  </t>
  </si>
  <si>
    <t>0053124079</t>
  </si>
  <si>
    <t>VITAMIN E 400U CP</t>
  </si>
  <si>
    <t xml:space="preserve">VIT E 400U CP  </t>
  </si>
  <si>
    <t>0053124350</t>
  </si>
  <si>
    <t>MVI RENAL FORMULA TB</t>
  </si>
  <si>
    <t xml:space="preserve">MVI RENAL TB   </t>
  </si>
  <si>
    <t>0053124509</t>
  </si>
  <si>
    <t>VORICONAZOLE 50MG TB</t>
  </si>
  <si>
    <t xml:space="preserve">VORICONAZ50TB  </t>
  </si>
  <si>
    <t>0053124517</t>
  </si>
  <si>
    <t>VORICONAZOLE 200MG TB</t>
  </si>
  <si>
    <t xml:space="preserve">VORICONAZ200TB </t>
  </si>
  <si>
    <t>0053124798</t>
  </si>
  <si>
    <t>WARFARIN 0.5MG TB</t>
  </si>
  <si>
    <t>WARFARIN0.5MGTB</t>
  </si>
  <si>
    <t>0053124806</t>
  </si>
  <si>
    <t>WARFARIN 2.5MG TB</t>
  </si>
  <si>
    <t>WARFARN2.5MG TB</t>
  </si>
  <si>
    <t>0053124814</t>
  </si>
  <si>
    <t>WARFARIN 1MG TB</t>
  </si>
  <si>
    <t xml:space="preserve">WARFARN1MG TB  </t>
  </si>
  <si>
    <t>0053124830</t>
  </si>
  <si>
    <t>WARFARIN 3MG TB</t>
  </si>
  <si>
    <t xml:space="preserve">WARFARN3MG TB  </t>
  </si>
  <si>
    <t>0053124848</t>
  </si>
  <si>
    <t>WARFARIN 2MG TB</t>
  </si>
  <si>
    <t xml:space="preserve">WARFARN2MG TB  </t>
  </si>
  <si>
    <t>0053124855</t>
  </si>
  <si>
    <t>WARFARIN 4MG TB</t>
  </si>
  <si>
    <t xml:space="preserve">WARFARN4MG TB  </t>
  </si>
  <si>
    <t>0053124889</t>
  </si>
  <si>
    <t>WARFARIN 5MG TB</t>
  </si>
  <si>
    <t xml:space="preserve">WARFARN5MG TB  </t>
  </si>
  <si>
    <t>0053124897</t>
  </si>
  <si>
    <t>WARFARIN 6MG TB</t>
  </si>
  <si>
    <t xml:space="preserve">WARFARN6MG TB  </t>
  </si>
  <si>
    <t>0053124921</t>
  </si>
  <si>
    <t>WARFARIN 7.5MG TB</t>
  </si>
  <si>
    <t>WARFARN7.5MG TB</t>
  </si>
  <si>
    <t>0053124962</t>
  </si>
  <si>
    <t>WARFARIN 10MG TB</t>
  </si>
  <si>
    <t xml:space="preserve">WARFARN10MG TB </t>
  </si>
  <si>
    <t>0053125118</t>
  </si>
  <si>
    <t>ZIDOVUDINE 300MG TB</t>
  </si>
  <si>
    <t>ZIDOVUDINE300CP</t>
  </si>
  <si>
    <t>0053125167</t>
  </si>
  <si>
    <t>ZILEUTON 600MG TB</t>
  </si>
  <si>
    <t>ZILEUTON600MGTB</t>
  </si>
  <si>
    <t>0053125233</t>
  </si>
  <si>
    <t>ZINC SULFATE 220MG CP</t>
  </si>
  <si>
    <t xml:space="preserve">ZINC SULF220CP </t>
  </si>
  <si>
    <t>0053125241</t>
  </si>
  <si>
    <t>ZOLPIDEM 2.5MG TB</t>
  </si>
  <si>
    <t>ZOLPIDEM2.5MGTB</t>
  </si>
  <si>
    <t>0053125290</t>
  </si>
  <si>
    <t>ZOLPIDEM 5MG TB</t>
  </si>
  <si>
    <t xml:space="preserve">ZOLPIDEM5MGTB  </t>
  </si>
  <si>
    <t>0053125324</t>
  </si>
  <si>
    <t>ZIPRASIDONE 20MG CP</t>
  </si>
  <si>
    <t>ZIPRASIDONE20CP</t>
  </si>
  <si>
    <t>0053125357</t>
  </si>
  <si>
    <t>ZONISAMIDE 100MG CP</t>
  </si>
  <si>
    <t>ZONISAMIDE100CP</t>
  </si>
  <si>
    <t>0053125373</t>
  </si>
  <si>
    <t>ZONISAMIDE 25MG CP</t>
  </si>
  <si>
    <t>ZONISAMIDE 25CP</t>
  </si>
  <si>
    <t>0053140117</t>
  </si>
  <si>
    <t>APAP 160M/5M 5ML LQ</t>
  </si>
  <si>
    <t>APAP 160/5-5 LQ</t>
  </si>
  <si>
    <t>0053140166</t>
  </si>
  <si>
    <t>APAP 160M/5M 20.3ML LQ</t>
  </si>
  <si>
    <t xml:space="preserve">APAP160/5-20LQ </t>
  </si>
  <si>
    <t>0053140273</t>
  </si>
  <si>
    <t>APAP 160M/5M 2.5ML LQ</t>
  </si>
  <si>
    <t>APAP160/5 2.5LQ</t>
  </si>
  <si>
    <t>0053140315</t>
  </si>
  <si>
    <t>ACYCLOVIR 40MG/ML 1ML LQ</t>
  </si>
  <si>
    <t>ACYCLV40/1-1 LQ</t>
  </si>
  <si>
    <t>0053140331</t>
  </si>
  <si>
    <t>CHAR/SORB25GM/120ML LQ</t>
  </si>
  <si>
    <t>CHR/SRB25-120LQ</t>
  </si>
  <si>
    <t>0053140356</t>
  </si>
  <si>
    <t>ACYCLOVIR 40MG/ML 5ML LQ</t>
  </si>
  <si>
    <t>ACYCLV40/1-5 LQ</t>
  </si>
  <si>
    <t>0053140364</t>
  </si>
  <si>
    <t>CHARCOAL 25GM/120ML LQ</t>
  </si>
  <si>
    <t>CHARCL 25-120LQ</t>
  </si>
  <si>
    <t>0053140398</t>
  </si>
  <si>
    <t>ALBUTEROL2MG/5ML 5ML LQ</t>
  </si>
  <si>
    <t>ALB2/5M/M 5MLLQ</t>
  </si>
  <si>
    <t>0053141198</t>
  </si>
  <si>
    <t>AL/MG OH/SIM 30ML ES LQ</t>
  </si>
  <si>
    <t>AL/MG/SIM30ESLQ</t>
  </si>
  <si>
    <t>0053141768</t>
  </si>
  <si>
    <t>AMANTADINE 10M/M 10ML LQ</t>
  </si>
  <si>
    <t>AMANTADINE 10LQ</t>
  </si>
  <si>
    <t>0053141776</t>
  </si>
  <si>
    <t>AMANTADINE 10M/M 5ML LQ</t>
  </si>
  <si>
    <t>AMANTADIN5ML LQ</t>
  </si>
  <si>
    <t>0053142253</t>
  </si>
  <si>
    <t>AMOXIC/CLAV200/5 5MLPWLQ</t>
  </si>
  <si>
    <t>AMOX/CLV200 5LQ</t>
  </si>
  <si>
    <t>0053142261</t>
  </si>
  <si>
    <t>AMOXIC/CLAV400/5 5MLPWLQ</t>
  </si>
  <si>
    <t>AMOX/CLV400 5LQ</t>
  </si>
  <si>
    <t>0053142279</t>
  </si>
  <si>
    <t>AMOXIC/CLAV400/5 50PWLQ</t>
  </si>
  <si>
    <t>AMOX/CLV40050LQ</t>
  </si>
  <si>
    <t>0053142337</t>
  </si>
  <si>
    <t>AMOXIC/CLAV125/5 5MLPWLQ</t>
  </si>
  <si>
    <t>AMOX/CLV125 5LQ</t>
  </si>
  <si>
    <t>0053142352</t>
  </si>
  <si>
    <t>AMOXIC/CLAV125/5 75PWLQ</t>
  </si>
  <si>
    <t>AMOX/CLV12575LQ</t>
  </si>
  <si>
    <t>0053142378</t>
  </si>
  <si>
    <t>AMOXIC/CLAV250/5 5MLPWLQ</t>
  </si>
  <si>
    <t>AMOX/CLV250 5LQ</t>
  </si>
  <si>
    <t>0053142394</t>
  </si>
  <si>
    <t>AMOXIC/CLAV250/5 75PWLQ</t>
  </si>
  <si>
    <t xml:space="preserve">AMOX/CLV75PWLQ </t>
  </si>
  <si>
    <t>0053142436</t>
  </si>
  <si>
    <t>AMOXIC/CLAV600/5 5MLPWLQ</t>
  </si>
  <si>
    <t>AMOX/CLV600 5LQ</t>
  </si>
  <si>
    <t>0053142493</t>
  </si>
  <si>
    <t>AMOXICILLIN 125/5 5ML LQ</t>
  </si>
  <si>
    <t xml:space="preserve">AMOXIC 125 5LQ </t>
  </si>
  <si>
    <t>0053142535</t>
  </si>
  <si>
    <t>AMOXICILLIN 250/5 5ML LQ</t>
  </si>
  <si>
    <t xml:space="preserve">AMOXIC 250 5LQ </t>
  </si>
  <si>
    <t>0053142584</t>
  </si>
  <si>
    <t>AMOXICILLN 400/5 5ML LQ</t>
  </si>
  <si>
    <t xml:space="preserve">AMOXIC 400 5LQ </t>
  </si>
  <si>
    <t>0053142808</t>
  </si>
  <si>
    <t>AMPICILLIN 250/5 5ML LQ</t>
  </si>
  <si>
    <t xml:space="preserve">AMPIC250 5LQ   </t>
  </si>
  <si>
    <t>0053142931</t>
  </si>
  <si>
    <t>ATOVAQUONE 750/5 5ML LQ</t>
  </si>
  <si>
    <t>ATOVAQUONE 5 LQ</t>
  </si>
  <si>
    <t>0053143012</t>
  </si>
  <si>
    <t>AZITHROMYC 200/5 15ML LQ</t>
  </si>
  <si>
    <t>AZITHR 200 15LQ</t>
  </si>
  <si>
    <t>0053143020</t>
  </si>
  <si>
    <t>AZITHROMY200/5 22.5ML LQ</t>
  </si>
  <si>
    <t>AZITHROM22.5 LQ</t>
  </si>
  <si>
    <t>0053143046</t>
  </si>
  <si>
    <t>AZITHROMYC 200/5 30ML LQ</t>
  </si>
  <si>
    <t xml:space="preserve">AZITHROMY30 LQ </t>
  </si>
  <si>
    <t>0053143053</t>
  </si>
  <si>
    <t>AZITHROMYC 200/5 5ML LQ</t>
  </si>
  <si>
    <t xml:space="preserve">AZITHROMY 5 LQ </t>
  </si>
  <si>
    <t>0053143061</t>
  </si>
  <si>
    <t>AZITHROMYC100MG/2.5ML LQ</t>
  </si>
  <si>
    <t>AZITHRO2.5ML LQ</t>
  </si>
  <si>
    <t>0053143152</t>
  </si>
  <si>
    <t>BACLOFEN PER 1ML PEDI LQ</t>
  </si>
  <si>
    <t>BACLOFEN 1ML LQ</t>
  </si>
  <si>
    <t>0053143301</t>
  </si>
  <si>
    <t>BELLADNNA PHENBRB5ML LQ</t>
  </si>
  <si>
    <t>BELLDNPHNB5MLLQ</t>
  </si>
  <si>
    <t>0053143608</t>
  </si>
  <si>
    <t>BISMUTH SUBSALI 240ML LQ</t>
  </si>
  <si>
    <t>BISMTHSUBS240LQ</t>
  </si>
  <si>
    <t>0053143814</t>
  </si>
  <si>
    <t>COLONIC LAVAGE 4L PWLQ</t>
  </si>
  <si>
    <t xml:space="preserve">COLONIC LAV 4L </t>
  </si>
  <si>
    <t>0053143889</t>
  </si>
  <si>
    <t>BRIVARACETAM 10MG/ML 5ML LQ</t>
  </si>
  <si>
    <t>BRIVARACETAM 5M</t>
  </si>
  <si>
    <t>0053144382</t>
  </si>
  <si>
    <t>CAFFEINE CIT PED DOSE LQ</t>
  </si>
  <si>
    <t>CAFF CIT PED LQ</t>
  </si>
  <si>
    <t>0053144499</t>
  </si>
  <si>
    <t>CA CARB CMPD PED DOSE LQ</t>
  </si>
  <si>
    <t>CA CARB PEDI LQ</t>
  </si>
  <si>
    <t>0053144507</t>
  </si>
  <si>
    <t>CA CARB1.25GM/5ML 5ML LQ</t>
  </si>
  <si>
    <t>CA CARB1.25 5LQ</t>
  </si>
  <si>
    <t>0053144671</t>
  </si>
  <si>
    <t>CA GLUC NEO DOSE LQ</t>
  </si>
  <si>
    <t xml:space="preserve">CA CLUG NEO LQ </t>
  </si>
  <si>
    <t>0053144705</t>
  </si>
  <si>
    <t>CALCITRIOL1MCG/ML 1ML LQ</t>
  </si>
  <si>
    <t>CALCITROL 1MLLQ</t>
  </si>
  <si>
    <t>0053144770</t>
  </si>
  <si>
    <t>CAPTOPRIL CMPD LQ</t>
  </si>
  <si>
    <t>CAPTOPR CMPD LQ</t>
  </si>
  <si>
    <t>0053144820</t>
  </si>
  <si>
    <t>CARBAMAZEPINE100/5 5MLQ</t>
  </si>
  <si>
    <t xml:space="preserve">CARBAMZP5ML LQ </t>
  </si>
  <si>
    <t>0053144838</t>
  </si>
  <si>
    <t>CARBAMAZEPIN200/10 10MLQ</t>
  </si>
  <si>
    <t>CARBAMZP10ML LQ</t>
  </si>
  <si>
    <t>0053145462</t>
  </si>
  <si>
    <t>CEFIXIME100/5 5ML PWLQ</t>
  </si>
  <si>
    <t>CEFIXIME 5 PWLQ</t>
  </si>
  <si>
    <t>0053145629</t>
  </si>
  <si>
    <t>CEPHALEXIN125/5 5ML PWLQ</t>
  </si>
  <si>
    <t>CEPHALEX125 5LQ</t>
  </si>
  <si>
    <t>0053145645</t>
  </si>
  <si>
    <t>CEPHALEXIN125/5 100 PWLQ</t>
  </si>
  <si>
    <t>CEPHALX125100LQ</t>
  </si>
  <si>
    <t>0053145660</t>
  </si>
  <si>
    <t>CEPHALEXIN250/5 5ML PWLQ</t>
  </si>
  <si>
    <t>CEPHALEX250 5LQ</t>
  </si>
  <si>
    <t>0053145686</t>
  </si>
  <si>
    <t>CEPHALEXIN250/5 100 PWLQ</t>
  </si>
  <si>
    <t>CEPHALX250100LQ</t>
  </si>
  <si>
    <t>0053145785</t>
  </si>
  <si>
    <t>CEFDINIR 250/5 5ML PWLQ</t>
  </si>
  <si>
    <t>CEFDINIR250/5LQ</t>
  </si>
  <si>
    <t>0053145942</t>
  </si>
  <si>
    <t>CETIRIZINE 1MG/ML 5ML LQ</t>
  </si>
  <si>
    <t>CETIRIZINE5MLLQ</t>
  </si>
  <si>
    <t>0053145959</t>
  </si>
  <si>
    <t>CETIRIZINE 1MG/ML 1ML LQ</t>
  </si>
  <si>
    <t>CETIRIZINE1MLLQ</t>
  </si>
  <si>
    <t>0053145975</t>
  </si>
  <si>
    <t>PHENOL 1.4% 180ML SP</t>
  </si>
  <si>
    <t>PHENOL 180ML SP</t>
  </si>
  <si>
    <t>0053146387</t>
  </si>
  <si>
    <t>CHLORHEXIDINE 15ML LQ</t>
  </si>
  <si>
    <t>CHLORHEXIDN15LQ</t>
  </si>
  <si>
    <t>0053146718</t>
  </si>
  <si>
    <t>CHLORTHIAZIDE250 5ML LQ</t>
  </si>
  <si>
    <t>CHLORTHIAZD5 LQ</t>
  </si>
  <si>
    <t>0053146809</t>
  </si>
  <si>
    <t>CHOLESTYRAMINE 4GM PWLQ</t>
  </si>
  <si>
    <t>CHOLESTYR 4PWLQ</t>
  </si>
  <si>
    <t>0053147310</t>
  </si>
  <si>
    <t>CITALOPRAM 10/5 5ML LQ</t>
  </si>
  <si>
    <t>CITALOPRAM 5 LQ</t>
  </si>
  <si>
    <t>0053147542</t>
  </si>
  <si>
    <t>CITRATE MG 300ML LQ</t>
  </si>
  <si>
    <t>CITRATE MG300LQ</t>
  </si>
  <si>
    <t>0053147567</t>
  </si>
  <si>
    <t>CLARITHROMYCI 125/5 PWLQ</t>
  </si>
  <si>
    <t>CLARITHR125/5ML</t>
  </si>
  <si>
    <t>0053147583</t>
  </si>
  <si>
    <t>CLARITHROMYCI 250/5 PWLQ</t>
  </si>
  <si>
    <t>CLARITHR250/5ML</t>
  </si>
  <si>
    <t>0053147690</t>
  </si>
  <si>
    <t>CLINDAMYCIN 75/5 5MLPWLQ</t>
  </si>
  <si>
    <t>CLINDAMYC 5PWLQ</t>
  </si>
  <si>
    <t>0053147815</t>
  </si>
  <si>
    <t>CLONIDINE CMPD LQ</t>
  </si>
  <si>
    <t>CLONIDN CMPD LQ</t>
  </si>
  <si>
    <t>0053148383</t>
  </si>
  <si>
    <t>MVI MIN COENZQ10 1ML LQ</t>
  </si>
  <si>
    <t xml:space="preserve">MVI MIN 1ML LQ </t>
  </si>
  <si>
    <t>0053148458</t>
  </si>
  <si>
    <t>COLESEVELAM 3.75GM PW LQ</t>
  </si>
  <si>
    <t>COLESEV3.7GPWLQ</t>
  </si>
  <si>
    <t>0053148482</t>
  </si>
  <si>
    <t>COLESTIPOL 5GM PK</t>
  </si>
  <si>
    <t>COLESTIPL5GM PK</t>
  </si>
  <si>
    <t>0053148557</t>
  </si>
  <si>
    <t>SMX-TMP 200-40/5 20MLLQ</t>
  </si>
  <si>
    <t xml:space="preserve">SMX-TMP 20 LQ  </t>
  </si>
  <si>
    <t>0053148755</t>
  </si>
  <si>
    <t>CYCLOSPORINE100MG/1ML LQ</t>
  </si>
  <si>
    <t>CYCLOSPOR1ML LQ</t>
  </si>
  <si>
    <t>0053148789</t>
  </si>
  <si>
    <t>CYPROHEPTADINE 2MG/5MLLQ</t>
  </si>
  <si>
    <t>CYPROHETAD 5 LQ</t>
  </si>
  <si>
    <t>0053148813</t>
  </si>
  <si>
    <t>CYPROHEPTAD PER 1ML LQ</t>
  </si>
  <si>
    <t>CYPROHEP 1ML LQ</t>
  </si>
  <si>
    <t>0053148920</t>
  </si>
  <si>
    <t>DEXTROMETHORP60MG/10MLLQ</t>
  </si>
  <si>
    <t>DMETHORPHAN10ML</t>
  </si>
  <si>
    <t>0053148953</t>
  </si>
  <si>
    <t>DEXAMETHASONE PED DS LQ</t>
  </si>
  <si>
    <t>DEXAMETH PED LQ</t>
  </si>
  <si>
    <t>0053149084</t>
  </si>
  <si>
    <t>DEXAMETHASONE .5/5ML LQ</t>
  </si>
  <si>
    <t>DEXAMETHAS 5 LQ</t>
  </si>
  <si>
    <t>0053149100</t>
  </si>
  <si>
    <t>DEXAMETHASONE 1MG/1ML LQ</t>
  </si>
  <si>
    <t>DEXAMET1MG1MLLQ</t>
  </si>
  <si>
    <t>0053149274</t>
  </si>
  <si>
    <t>DIAZEPAM 5MG/5ML LQ</t>
  </si>
  <si>
    <t>DIAZEPAM 5ML LQ</t>
  </si>
  <si>
    <t>0053149332</t>
  </si>
  <si>
    <t>DIAZOXIDE50MG/ML 1ML LQ</t>
  </si>
  <si>
    <t xml:space="preserve">DIAZOXIDE 1 LQ </t>
  </si>
  <si>
    <t>0053149506</t>
  </si>
  <si>
    <t>DICYCLOMINE 10MG/5ML LQ</t>
  </si>
  <si>
    <t>DICYCLOMINE 5LQ</t>
  </si>
  <si>
    <t>0053149662</t>
  </si>
  <si>
    <t>DIGOXIN.05MG/ML 2.5ML LQ</t>
  </si>
  <si>
    <t>DIGOXIN 2.5MLLQ</t>
  </si>
  <si>
    <t>0053149670</t>
  </si>
  <si>
    <t>DIGOXIN PED DS LQ</t>
  </si>
  <si>
    <t xml:space="preserve">DIGOXIN PED LQ </t>
  </si>
  <si>
    <t>0053149985</t>
  </si>
  <si>
    <t>DIPHENHYDRA12.5MG/5ML LQ</t>
  </si>
  <si>
    <t xml:space="preserve">DIPHENHYDR 5LQ </t>
  </si>
  <si>
    <t>0053150017</t>
  </si>
  <si>
    <t>DIPHENHYDRA12.5/5 10 LQ</t>
  </si>
  <si>
    <t>DIPHENHYDR 10LQ</t>
  </si>
  <si>
    <t>0053150488</t>
  </si>
  <si>
    <t>DOCUSATE PED DS LQ</t>
  </si>
  <si>
    <t>DOCUSATE PED LQ</t>
  </si>
  <si>
    <t>0053150546</t>
  </si>
  <si>
    <t>DOCUSATE 100MG/10ML LQ</t>
  </si>
  <si>
    <t>DOCUSATE10ML LQ</t>
  </si>
  <si>
    <t>0053151262</t>
  </si>
  <si>
    <t>ERGOCALCIFERL8000U/ML LQ</t>
  </si>
  <si>
    <t>ERGOCALCIF1MLLQ</t>
  </si>
  <si>
    <t>0053151452</t>
  </si>
  <si>
    <t>ERYTHROMY200MG/5ML LQ</t>
  </si>
  <si>
    <t>ERYTHROM200/5LQ</t>
  </si>
  <si>
    <t>0053151767</t>
  </si>
  <si>
    <t>ETHOSUXAMID 250MG/5ML LQ</t>
  </si>
  <si>
    <t xml:space="preserve">ETHOSUX 5ML LQ </t>
  </si>
  <si>
    <t>0053151833</t>
  </si>
  <si>
    <t>FAMOTIDINE 1ML CMPD LQ</t>
  </si>
  <si>
    <t>FAMOTIDIN 1MLLQ</t>
  </si>
  <si>
    <t>0053151858</t>
  </si>
  <si>
    <t>FAMOTIDINE 40MG/5ML PWLQ</t>
  </si>
  <si>
    <t>FAMOTIDINE5PWLQ</t>
  </si>
  <si>
    <t>0053151908</t>
  </si>
  <si>
    <t>FELBAMATE 600MG/5ML LQ</t>
  </si>
  <si>
    <t>FELBAMA 600/5ML</t>
  </si>
  <si>
    <t>0053151999</t>
  </si>
  <si>
    <t>FERROUS SULF 1ML LQ</t>
  </si>
  <si>
    <t xml:space="preserve">FE SULF 1ML LQ </t>
  </si>
  <si>
    <t>0053152070</t>
  </si>
  <si>
    <t>FERROUS SULF 300MG/5MLLQ</t>
  </si>
  <si>
    <t>FE SULF300/5 LQ</t>
  </si>
  <si>
    <t>0053152096</t>
  </si>
  <si>
    <t>FLUCONAZ 40MG/ML 1MLPWLQ</t>
  </si>
  <si>
    <t xml:space="preserve">FLUCONAZ40 1LQ </t>
  </si>
  <si>
    <t>0053152104</t>
  </si>
  <si>
    <t>FERROUS SULF220MG/5ML LQ</t>
  </si>
  <si>
    <t>FE SULF220/5 LQ</t>
  </si>
  <si>
    <t>0053152203</t>
  </si>
  <si>
    <t>FLUCONAZ 10MG/ML 5MLPWLQ</t>
  </si>
  <si>
    <t xml:space="preserve">FLUCONAZ10 5LQ </t>
  </si>
  <si>
    <t>0053152211</t>
  </si>
  <si>
    <t>FLUCONAZ 40MG/ML 5MLPWLQ</t>
  </si>
  <si>
    <t xml:space="preserve">FLUCONAZ40 5LQ </t>
  </si>
  <si>
    <t>0053152237</t>
  </si>
  <si>
    <t>FLUCYTOSINE CMPD SOL LQ</t>
  </si>
  <si>
    <t xml:space="preserve">FLUCYTOSINE LQ </t>
  </si>
  <si>
    <t>0053152286</t>
  </si>
  <si>
    <t>FLUOXETINE20MG/5ML LQ</t>
  </si>
  <si>
    <t>FLUOXETINE5MLLQ</t>
  </si>
  <si>
    <t>0053152450</t>
  </si>
  <si>
    <t>FUROSEMIDE10MG/ML 4ML LQ</t>
  </si>
  <si>
    <t>FUROSEMID4ML LQ</t>
  </si>
  <si>
    <t>0053152476</t>
  </si>
  <si>
    <t>FUROSEMIDE10MG/ML10ML LQ</t>
  </si>
  <si>
    <t>FUROSEMIDE10 LQ</t>
  </si>
  <si>
    <t>0053152492</t>
  </si>
  <si>
    <t>GABAPENTIN 250MG/5ML LQ</t>
  </si>
  <si>
    <t>GABAPENTIN 5 LQ</t>
  </si>
  <si>
    <t>0053152542</t>
  </si>
  <si>
    <t>GI COCKTAIL LQ</t>
  </si>
  <si>
    <t xml:space="preserve">GI COCKTAIL LQ </t>
  </si>
  <si>
    <t>0053152823</t>
  </si>
  <si>
    <t>GUAF 100MG/5ML 10ML LQ</t>
  </si>
  <si>
    <t xml:space="preserve">GUAF100/5 10LQ </t>
  </si>
  <si>
    <t>0053152856</t>
  </si>
  <si>
    <t>GUAF 100MG/5ML 5ML LQ</t>
  </si>
  <si>
    <t xml:space="preserve">GF 5ML LQ      </t>
  </si>
  <si>
    <t>0053152880</t>
  </si>
  <si>
    <t>GF/CODEINE10-100/5 5MLLQ</t>
  </si>
  <si>
    <t>GF/CODEINE 5 LQ</t>
  </si>
  <si>
    <t>0053153037</t>
  </si>
  <si>
    <t>GF/DM 100-10/5 5ML LQ</t>
  </si>
  <si>
    <t xml:space="preserve">GF/DM 5ML LQ   </t>
  </si>
  <si>
    <t>0053153151</t>
  </si>
  <si>
    <t>HALOPERIDOL2MG/ML15ML LQ</t>
  </si>
  <si>
    <t>HALOPERID15MLLQ</t>
  </si>
  <si>
    <t>0053153250</t>
  </si>
  <si>
    <t>HYDROXYZINE 10MG/5ML LQ</t>
  </si>
  <si>
    <t xml:space="preserve">HYDROXYZINE5LQ </t>
  </si>
  <si>
    <t>0053153342</t>
  </si>
  <si>
    <t>HYOSCYAM.125/ML 15MLDRLQ</t>
  </si>
  <si>
    <t>HYOSCYAMN15DRLQ</t>
  </si>
  <si>
    <t>0053153359</t>
  </si>
  <si>
    <t>IBUPROFEN 100MG/5ML LQ</t>
  </si>
  <si>
    <t>IBUPROFEN 5MLLQ</t>
  </si>
  <si>
    <t>0053153367</t>
  </si>
  <si>
    <t>IBUPROFEN 100/5 120ML LQ</t>
  </si>
  <si>
    <t>IBUPROFEN 120LQ</t>
  </si>
  <si>
    <t>0053153409</t>
  </si>
  <si>
    <t>INDOMETHACIN 25MG/5ML LQ</t>
  </si>
  <si>
    <t>INDOMETHACIN5LQ</t>
  </si>
  <si>
    <t>0053153490</t>
  </si>
  <si>
    <t>IODINE/K IODIDE 30ML LQ</t>
  </si>
  <si>
    <t>LUGOL SOL30MLLQ</t>
  </si>
  <si>
    <t>0053153607</t>
  </si>
  <si>
    <t>IODINE/K IODIDE5% 14MLLQ</t>
  </si>
  <si>
    <t>LUGOL 5% 14MLLQ</t>
  </si>
  <si>
    <t>0053153656</t>
  </si>
  <si>
    <t>GLYCOPYRROLATE .2MG/1ML LQ</t>
  </si>
  <si>
    <t xml:space="preserve">GLYCOPYRROLATE </t>
  </si>
  <si>
    <t>0053153789</t>
  </si>
  <si>
    <t>ISONIAZID 50MG/5ML LQ</t>
  </si>
  <si>
    <t>ISONIAZID 5MLLQ</t>
  </si>
  <si>
    <t>0053153797</t>
  </si>
  <si>
    <t>ISONIAZID PER 1ML LQ</t>
  </si>
  <si>
    <t>ISONIAZD 1ML LQ</t>
  </si>
  <si>
    <t>0053153961</t>
  </si>
  <si>
    <t>ITRACONAZOLE10/1 10ML LQ</t>
  </si>
  <si>
    <t xml:space="preserve">ITRACONAZL10LQ </t>
  </si>
  <si>
    <t>0053154308</t>
  </si>
  <si>
    <t>LACOSAMIDE 10MG/1ML LQ</t>
  </si>
  <si>
    <t>LACOSAMID1ML LQ</t>
  </si>
  <si>
    <t>0053154407</t>
  </si>
  <si>
    <t>LACTOBACILLUS GR 1GM PK</t>
  </si>
  <si>
    <t>LACTOBACL GR1PK</t>
  </si>
  <si>
    <t>0053154597</t>
  </si>
  <si>
    <t>LACTULOSE 10/15 30ML LQ</t>
  </si>
  <si>
    <t>LACTULOSE30MLLQ</t>
  </si>
  <si>
    <t>0053154662</t>
  </si>
  <si>
    <t>LAMIVUDINE 5MG/ML 5ML LQ</t>
  </si>
  <si>
    <t>LAMIVUDINE5MLLQ</t>
  </si>
  <si>
    <t>0053154696</t>
  </si>
  <si>
    <t>LEVOCARNITINE100M/M 1 LQ</t>
  </si>
  <si>
    <t>LEVOCARN 1ML LQ</t>
  </si>
  <si>
    <t>0053154720</t>
  </si>
  <si>
    <t>LEVOCARNITINE100M/M 5 LQ</t>
  </si>
  <si>
    <t xml:space="preserve">LEVOCARNIT 5LQ </t>
  </si>
  <si>
    <t>0053154779</t>
  </si>
  <si>
    <t>LEVOTHYROXIN CMPD LQ</t>
  </si>
  <si>
    <t>LEVOTHYRXCMPDLQ</t>
  </si>
  <si>
    <t>0053154787</t>
  </si>
  <si>
    <t>LEVETIRACETAM500MG/5MLLQ</t>
  </si>
  <si>
    <t>LEVETIRACTAM5LQ</t>
  </si>
  <si>
    <t>0053154803</t>
  </si>
  <si>
    <t>LEVOFLOXACIN 25M/M10MLLQ</t>
  </si>
  <si>
    <t>LEVOFLOXACN10LQ</t>
  </si>
  <si>
    <t>0053154852</t>
  </si>
  <si>
    <t>LITHIUM300MG/5ML 5ML LQ</t>
  </si>
  <si>
    <t xml:space="preserve">LITHIUM 5ML LQ </t>
  </si>
  <si>
    <t>0053154894</t>
  </si>
  <si>
    <t>LANSOPRAZOL CMPD 1ML LQ</t>
  </si>
  <si>
    <t>LANSOPRA 1ML LQ</t>
  </si>
  <si>
    <t>0053154902</t>
  </si>
  <si>
    <t>LANSOPRAZOL SUSP CMPD LQ</t>
  </si>
  <si>
    <t>LANSOPRAZOLE LQ</t>
  </si>
  <si>
    <t>0053155008</t>
  </si>
  <si>
    <t>LOPINAVIR/RITONAVR5ML LQ</t>
  </si>
  <si>
    <t>LOPINA/RITON5LQ</t>
  </si>
  <si>
    <t>0053155032</t>
  </si>
  <si>
    <t>LIDOCAINE VISC 2% 20 LQ</t>
  </si>
  <si>
    <t>LIDOC VISC 20ML</t>
  </si>
  <si>
    <t>0053155057</t>
  </si>
  <si>
    <t>LIDOCAINE VISC 2% 100 LQ</t>
  </si>
  <si>
    <t>LIDOC VISC 100M</t>
  </si>
  <si>
    <t>0053155065</t>
  </si>
  <si>
    <t>LIDOCAINE VISC 2% 15MLLQ</t>
  </si>
  <si>
    <t>LIDOC VISC 15ML</t>
  </si>
  <si>
    <t>0053155081</t>
  </si>
  <si>
    <t>LOPERAMIDE 2MG/15ML LQ</t>
  </si>
  <si>
    <t>LOPERAMID15MLLQ</t>
  </si>
  <si>
    <t>0053155206</t>
  </si>
  <si>
    <t>LINEZOLID100/5 150MLPWLQ</t>
  </si>
  <si>
    <t>LINEZOLD150PWLQ</t>
  </si>
  <si>
    <t>0053155214</t>
  </si>
  <si>
    <t>LINEZOLID100MG/5ML PWLQ</t>
  </si>
  <si>
    <t>LINEZOLD5MLPWLQ</t>
  </si>
  <si>
    <t>0053155271</t>
  </si>
  <si>
    <t>LOPERAMIDE 1/5 10ML LQ</t>
  </si>
  <si>
    <t>LOPERAMIDE 10LQ</t>
  </si>
  <si>
    <t>0053155289</t>
  </si>
  <si>
    <t>LOPERAMIDE 1/5 5ML LQ</t>
  </si>
  <si>
    <t xml:space="preserve">LOPERAMIDE 5LQ </t>
  </si>
  <si>
    <t>0053155388</t>
  </si>
  <si>
    <t>LORAZEPAM2MG/1ML LQ</t>
  </si>
  <si>
    <t>LORAZEPAM1ML LQ</t>
  </si>
  <si>
    <t>0053155396</t>
  </si>
  <si>
    <t>LORATADINE 10MG/10ML LQ</t>
  </si>
  <si>
    <t>LORATADINE 10LQ</t>
  </si>
  <si>
    <t>0053155412</t>
  </si>
  <si>
    <t>MAGIC MOUTHWASH CMPD LQ</t>
  </si>
  <si>
    <t>MAGIC MOUTHWASH</t>
  </si>
  <si>
    <t>0053155446</t>
  </si>
  <si>
    <t>LORATADINE 5MG/5ML LQ</t>
  </si>
  <si>
    <t>LORATADINE5MLLQ</t>
  </si>
  <si>
    <t>0053155503</t>
  </si>
  <si>
    <t>MAGIC MOUTHWASH 1ML LQ</t>
  </si>
  <si>
    <t>MAGIC MWASH 1ML</t>
  </si>
  <si>
    <t>0053155685</t>
  </si>
  <si>
    <t>MEGESTROL40MG/ML 10ML LQ</t>
  </si>
  <si>
    <t xml:space="preserve">MEGESTR40 10LQ </t>
  </si>
  <si>
    <t>0053156683</t>
  </si>
  <si>
    <t>METOCLOPRAM5/5 10ML LQ</t>
  </si>
  <si>
    <t>METOCLOPRAM10LQ</t>
  </si>
  <si>
    <t>0053156725</t>
  </si>
  <si>
    <t>METOCLOPRAM PED DOSE LQ</t>
  </si>
  <si>
    <t>METOCLOP PED LQ</t>
  </si>
  <si>
    <t>0053156741</t>
  </si>
  <si>
    <t>METOCLOPRAM 1ML LQ</t>
  </si>
  <si>
    <t>METOCLOPR 1MLLQ</t>
  </si>
  <si>
    <t>0053156790</t>
  </si>
  <si>
    <t>METRONIDAZOL CMPD 1ML LQ</t>
  </si>
  <si>
    <t>METRONIDZ1ML LQ</t>
  </si>
  <si>
    <t>0053156808</t>
  </si>
  <si>
    <t>METRONIDAZOLE CMPD LQ</t>
  </si>
  <si>
    <t>METRONIDZCMPDLQ</t>
  </si>
  <si>
    <t>0053157145</t>
  </si>
  <si>
    <t>MINERAL OIL 30 ML LQ</t>
  </si>
  <si>
    <t>MINERAL OIL30LQ</t>
  </si>
  <si>
    <t>0053157426</t>
  </si>
  <si>
    <t>MG OH 8% 30ML LQ</t>
  </si>
  <si>
    <t xml:space="preserve">MG OH 30ML LQ  </t>
  </si>
  <si>
    <t>0053157756</t>
  </si>
  <si>
    <t>NIMODIPINE 60MG/10ML LQ</t>
  </si>
  <si>
    <t>NIMODIPINE 60MG</t>
  </si>
  <si>
    <t>0053158077</t>
  </si>
  <si>
    <t>MVI 5ML LQ</t>
  </si>
  <si>
    <t xml:space="preserve">MVI 5ML LQ     </t>
  </si>
  <si>
    <t>0053158143</t>
  </si>
  <si>
    <t>MVI W/FE DROPS 1ML LQ</t>
  </si>
  <si>
    <t>MVI FE DROP 1ML</t>
  </si>
  <si>
    <t>0053158242</t>
  </si>
  <si>
    <t>MYCOPHENOLATE200MG/ML LQ</t>
  </si>
  <si>
    <t>MYCOPHENOL1MLLQ</t>
  </si>
  <si>
    <t>0053158275</t>
  </si>
  <si>
    <t>NA PHOSPHATE NEO CMPD LQ</t>
  </si>
  <si>
    <t>NA PHOSP NEO LQ</t>
  </si>
  <si>
    <t>0053158341</t>
  </si>
  <si>
    <t>NAPROXEN 125MG/5ML LQ</t>
  </si>
  <si>
    <t>NAPROXEN 5ML LQ</t>
  </si>
  <si>
    <t>0053158366</t>
  </si>
  <si>
    <t>NEOMYCIN 125MG/5ML10MLLQ</t>
  </si>
  <si>
    <t>NEOMYCIN 10MLLQ</t>
  </si>
  <si>
    <t>0053158424</t>
  </si>
  <si>
    <t>NEVIRAPINE 10MG/ML 5MLLQ</t>
  </si>
  <si>
    <t>NEVIRAPINE5MLLQ</t>
  </si>
  <si>
    <t>0053158465</t>
  </si>
  <si>
    <t>NIMODIPINE 60MG/20ML LQ</t>
  </si>
  <si>
    <t>NIMODIPN 20MLLQ</t>
  </si>
  <si>
    <t>0053158663</t>
  </si>
  <si>
    <t>NITROFURANTN25M/5M10MLLQ</t>
  </si>
  <si>
    <t>NITROFURANT10LQ</t>
  </si>
  <si>
    <t>0053158689</t>
  </si>
  <si>
    <t>NORTRIPT 10MG/5ML 5ML LQ</t>
  </si>
  <si>
    <t>NORTRIPTYL5MLLQ</t>
  </si>
  <si>
    <t>0053158812</t>
  </si>
  <si>
    <t>NYSTATIN 5ML LQ</t>
  </si>
  <si>
    <t>0053158838</t>
  </si>
  <si>
    <t>NYSTATIN 1ML LQ</t>
  </si>
  <si>
    <t>0053158846</t>
  </si>
  <si>
    <t>NYSTATIN 60ML LQ</t>
  </si>
  <si>
    <t>NYSTATIN60ML LQ</t>
  </si>
  <si>
    <t>0053158895</t>
  </si>
  <si>
    <t>OMEPRAZOLE CMPD LQ</t>
  </si>
  <si>
    <t>OMEPRAZ CMPD LQ</t>
  </si>
  <si>
    <t>0053158911</t>
  </si>
  <si>
    <t>OSELTAMIVIR12/1 1MLPWLQ</t>
  </si>
  <si>
    <t>OSELTAMIV 1PWLQ</t>
  </si>
  <si>
    <t>0053158937</t>
  </si>
  <si>
    <t>OSELTAMIVIR12/1 25MLPWLQ</t>
  </si>
  <si>
    <t>OSELTAMIV25PWLQ</t>
  </si>
  <si>
    <t>0053159018</t>
  </si>
  <si>
    <t>OXCARBAZEPINE 5ML LQ</t>
  </si>
  <si>
    <t>OXCARBAZEP5MLLQ</t>
  </si>
  <si>
    <t>0053159042</t>
  </si>
  <si>
    <t>OSELTAMIVIR 6/1 5ML PWLQ</t>
  </si>
  <si>
    <t>OSELTAM 5MLPWLQ</t>
  </si>
  <si>
    <t>0053159083</t>
  </si>
  <si>
    <t>OMEPRAZOLE 2MG/ML 1ML LQ</t>
  </si>
  <si>
    <t>OMEPRAZL 1ML LQ</t>
  </si>
  <si>
    <t>0053159455</t>
  </si>
  <si>
    <t>PAREGORIC 2MG/5ML LQ</t>
  </si>
  <si>
    <t>PAREGORIC 5MLLQ</t>
  </si>
  <si>
    <t>0053159877</t>
  </si>
  <si>
    <t>PENICILLIN VK125M/5MPWLQ</t>
  </si>
  <si>
    <t xml:space="preserve">PEN VK 125 5LQ </t>
  </si>
  <si>
    <t>0053159919</t>
  </si>
  <si>
    <t>PENICILLIN VK250M/5MPWLQ</t>
  </si>
  <si>
    <t xml:space="preserve">PEN VK 250 5LQ </t>
  </si>
  <si>
    <t>0053160057</t>
  </si>
  <si>
    <t>BISMUTH SUBSALI 30ML LQ</t>
  </si>
  <si>
    <t xml:space="preserve">BISMTHSUBS30LQ </t>
  </si>
  <si>
    <t>0053160073</t>
  </si>
  <si>
    <t>BISMUTH SUBSALI 120ML LQ</t>
  </si>
  <si>
    <t>BISMTHSUBS120LQ</t>
  </si>
  <si>
    <t>0053160081</t>
  </si>
  <si>
    <t>BISMUTH SUBS PED DOSE LQ</t>
  </si>
  <si>
    <t>BISMU SUB PEDLQ</t>
  </si>
  <si>
    <t>0053160594</t>
  </si>
  <si>
    <t>PHENYTOIN 100MG/4ML LQ</t>
  </si>
  <si>
    <t>PHENYTOIN 4MLLQ</t>
  </si>
  <si>
    <t>0053160628</t>
  </si>
  <si>
    <t>PHYTONADIONE CMPD 1ML LQ</t>
  </si>
  <si>
    <t>PHYTONAD 1M LLQ</t>
  </si>
  <si>
    <t>0053160644</t>
  </si>
  <si>
    <t>POLYSTYRENE 15GM PWLQ</t>
  </si>
  <si>
    <t>POLYSTYRE15PWLQ</t>
  </si>
  <si>
    <t>0053160727</t>
  </si>
  <si>
    <t>POLYETHYLE GLYCOL 17GMPW</t>
  </si>
  <si>
    <t>POLYETHGLYC17PW</t>
  </si>
  <si>
    <t>0053160750</t>
  </si>
  <si>
    <t>POLYSTYRENE 60ML LQ</t>
  </si>
  <si>
    <t>POLYSTYRENE60LQ</t>
  </si>
  <si>
    <t>0053160826</t>
  </si>
  <si>
    <t>POSACONAZOLE 5ML LQ</t>
  </si>
  <si>
    <t>POSACONAZOLE5LQ</t>
  </si>
  <si>
    <t>0053160891</t>
  </si>
  <si>
    <t>KCL 10% 30ML LQ</t>
  </si>
  <si>
    <t>0053160933</t>
  </si>
  <si>
    <t>KCL 20% 15ML LQ</t>
  </si>
  <si>
    <t>0053160990</t>
  </si>
  <si>
    <t>KCL EFF 20MEQ PWLQ</t>
  </si>
  <si>
    <t>KCL EFF 20 PWLQ</t>
  </si>
  <si>
    <t>0053161030</t>
  </si>
  <si>
    <t>KCL 20MEQ/15ML LQ</t>
  </si>
  <si>
    <t xml:space="preserve">KCL 15ML LQ    </t>
  </si>
  <si>
    <t>0053161071</t>
  </si>
  <si>
    <t>K IODIDE 1GM/ML 30ML LQ</t>
  </si>
  <si>
    <t>K IODIDE 30MLLQ</t>
  </si>
  <si>
    <t>0053161089</t>
  </si>
  <si>
    <t>KCL 1.33MEQ/ML 1ML LQ</t>
  </si>
  <si>
    <t xml:space="preserve">KCL 1ML LQ     </t>
  </si>
  <si>
    <t>0053161204</t>
  </si>
  <si>
    <t>PREDNISONE 1MG/ML 5ML LQ</t>
  </si>
  <si>
    <t>PREDNISONE5MLLQ</t>
  </si>
  <si>
    <t>0053161220</t>
  </si>
  <si>
    <t>PREDNISOLONE 5/5 5ML LQ</t>
  </si>
  <si>
    <t>PREDNISOLONE5LQ</t>
  </si>
  <si>
    <t>0053161238</t>
  </si>
  <si>
    <t>PREDNISOLONE 15/5 5ML LQ</t>
  </si>
  <si>
    <t>0053161329</t>
  </si>
  <si>
    <t>POTASSIUM 20MEQ EFF TB</t>
  </si>
  <si>
    <t xml:space="preserve">K 20MEQ EFF TB </t>
  </si>
  <si>
    <t>0053161337</t>
  </si>
  <si>
    <t>POTASSIUM 10MEQ EFF TB</t>
  </si>
  <si>
    <t xml:space="preserve">K 10MEQ EFF TB </t>
  </si>
  <si>
    <t>0053161477</t>
  </si>
  <si>
    <t>PROMETHAZIN/COD 5ML LQ</t>
  </si>
  <si>
    <t>PROMETHZ/CD 5LQ</t>
  </si>
  <si>
    <t>0053161501</t>
  </si>
  <si>
    <t>PROMETHAZINE/DM 5ML LQ</t>
  </si>
  <si>
    <t>PROMETH/DM5MLLQ</t>
  </si>
  <si>
    <t>0053161550</t>
  </si>
  <si>
    <t>PROMETHAZ 6.25MG/5ML LQ</t>
  </si>
  <si>
    <t>PROMETHAZ5ML LQ</t>
  </si>
  <si>
    <t>0053161725</t>
  </si>
  <si>
    <t>PROPRANOLOL 20MG/5ML LQ</t>
  </si>
  <si>
    <t>PROPRANOLOL 5LQ</t>
  </si>
  <si>
    <t>0053162053</t>
  </si>
  <si>
    <t>PSYLLIUM PK</t>
  </si>
  <si>
    <t xml:space="preserve">PSYLLIUM PK    </t>
  </si>
  <si>
    <t>0053162178</t>
  </si>
  <si>
    <t>PYRIDOSTIGMINE60/5 5MLLQ</t>
  </si>
  <si>
    <t>PYRIDOSTIG5MLLQ</t>
  </si>
  <si>
    <t>0053162368</t>
  </si>
  <si>
    <t>RISPERIDONE 1M/M 1ML LQ</t>
  </si>
  <si>
    <t>RISPERIDONE 1LQ</t>
  </si>
  <si>
    <t>0053162376</t>
  </si>
  <si>
    <t>RIFAMPIN 1ML CMPD LQ</t>
  </si>
  <si>
    <t>RIFAMPIN 1ML LQ</t>
  </si>
  <si>
    <t>0053162392</t>
  </si>
  <si>
    <t>RANITIDINE 15MG/ML 1MLLQ</t>
  </si>
  <si>
    <t>RANITIDN 1ML LQ</t>
  </si>
  <si>
    <t>0053162434</t>
  </si>
  <si>
    <t>RANITIDINE NEO DOSE LQ</t>
  </si>
  <si>
    <t xml:space="preserve">RANITID NEO LQ </t>
  </si>
  <si>
    <t>0053162459</t>
  </si>
  <si>
    <t>RANITIDINE 150MG/10ML LQ</t>
  </si>
  <si>
    <t>RANITIDN10ML LQ</t>
  </si>
  <si>
    <t>0053162582</t>
  </si>
  <si>
    <t>SALIVA SUBST 120ML LQ</t>
  </si>
  <si>
    <t>SALIVA SUB120LQ</t>
  </si>
  <si>
    <t>0053162616</t>
  </si>
  <si>
    <t>SALIVA SUBST 30ML LQ</t>
  </si>
  <si>
    <t>SALIVA SUB 30LQ</t>
  </si>
  <si>
    <t>0053162632</t>
  </si>
  <si>
    <t>SALIVA SUBST 60ML LQ</t>
  </si>
  <si>
    <t>SALIVA SUB 60LQ</t>
  </si>
  <si>
    <t>0053162640</t>
  </si>
  <si>
    <t>SALIVA SUBST MWASH 480ML</t>
  </si>
  <si>
    <t>SALIVA SUB480ML</t>
  </si>
  <si>
    <t>0053162855</t>
  </si>
  <si>
    <t>SENNA 8.8MG/5ML 5ML LQ</t>
  </si>
  <si>
    <t xml:space="preserve">SENNA 5ML LQ   </t>
  </si>
  <si>
    <t>0053163176</t>
  </si>
  <si>
    <t>SEVELAMER 0.8GM PW LQ</t>
  </si>
  <si>
    <t xml:space="preserve">SEVELA.8GMPWLQ </t>
  </si>
  <si>
    <t>0053163291</t>
  </si>
  <si>
    <t>SIMETHICONE 40/.6 1ML LQ</t>
  </si>
  <si>
    <t>SIMETHICONE 1LQ</t>
  </si>
  <si>
    <t>0053163325</t>
  </si>
  <si>
    <t>SIMETHICON DRPS 1DOSE LQ</t>
  </si>
  <si>
    <t>SIMETH DRP DOSE</t>
  </si>
  <si>
    <t>0053163341</t>
  </si>
  <si>
    <t>SIMETHICONE40/.6 30ML LQ</t>
  </si>
  <si>
    <t>SIMETHICONE30LQ</t>
  </si>
  <si>
    <t>0053163374</t>
  </si>
  <si>
    <t>SIROLIMUS 1MG/ML 1ML LQ</t>
  </si>
  <si>
    <t>SIROLIMUS 1MLLQ</t>
  </si>
  <si>
    <t>0053163473</t>
  </si>
  <si>
    <t>NACL PED DS LQ</t>
  </si>
  <si>
    <t xml:space="preserve">NACL PED DS LQ </t>
  </si>
  <si>
    <t>0053163556</t>
  </si>
  <si>
    <t>NA CITRA/CITRC AC30ML LQ</t>
  </si>
  <si>
    <t>NA CIT/CTAC30LQ</t>
  </si>
  <si>
    <t>0053163739</t>
  </si>
  <si>
    <t>SORBITOL 70% 30ML LQ</t>
  </si>
  <si>
    <t>SORBITOL 30MLLQ</t>
  </si>
  <si>
    <t>0053163853</t>
  </si>
  <si>
    <t>SPIRONOLACTON PED CMPDLQ</t>
  </si>
  <si>
    <t>SPIRONOL PED LQ</t>
  </si>
  <si>
    <t>0053163903</t>
  </si>
  <si>
    <t>SUCRALFATE 1G/10ML LQ</t>
  </si>
  <si>
    <t>SUCRALFAT10MLLQ</t>
  </si>
  <si>
    <t>0053164018</t>
  </si>
  <si>
    <t>SYRUP SIMPLE 30ML LQ</t>
  </si>
  <si>
    <t>SYRUP SIMPL30LQ</t>
  </si>
  <si>
    <t>0053164109</t>
  </si>
  <si>
    <t>SYRUP SIMPLE 1ML LQ</t>
  </si>
  <si>
    <t>SYRUP SIMPLE1LQ</t>
  </si>
  <si>
    <t>0053164307</t>
  </si>
  <si>
    <t>THEOPHYLLINE80/15 1MLLQ</t>
  </si>
  <si>
    <t>THEOPHYLL 1MLLQ</t>
  </si>
  <si>
    <t>0053164331</t>
  </si>
  <si>
    <t>THEOPHYLLINE80MG/15ML LQ</t>
  </si>
  <si>
    <t>THEOPHYLL15MLLQ</t>
  </si>
  <si>
    <t>0053164356</t>
  </si>
  <si>
    <t>THEOPHYLLINE80/15 30MLLQ</t>
  </si>
  <si>
    <t xml:space="preserve">THEOPHYLL 30LQ </t>
  </si>
  <si>
    <t>0053165700</t>
  </si>
  <si>
    <t>URSODIOL CMPD LQ</t>
  </si>
  <si>
    <t>URSODIOL CMPDLQ</t>
  </si>
  <si>
    <t>0053165726</t>
  </si>
  <si>
    <t>URIDINE TRIACETATE GRAN10GM PK</t>
  </si>
  <si>
    <t>URIDINE TRI GRA</t>
  </si>
  <si>
    <t>0053165759</t>
  </si>
  <si>
    <t>VALGANCICLOV PED DOSE LQ</t>
  </si>
  <si>
    <t>VALGANCY PED LQ</t>
  </si>
  <si>
    <t>0053165858</t>
  </si>
  <si>
    <t>VALPROATE 250MG/5ML LQ</t>
  </si>
  <si>
    <t>VALPROATE 5MLLQ</t>
  </si>
  <si>
    <t>0053166005</t>
  </si>
  <si>
    <t>VANCOMYCIN 125MG LQ</t>
  </si>
  <si>
    <t>VANCOMYC125MGLQ</t>
  </si>
  <si>
    <t>0053166021</t>
  </si>
  <si>
    <t>VANCOMYCIN CMPD LQ</t>
  </si>
  <si>
    <t>VANCOMYINCMPDLQ</t>
  </si>
  <si>
    <t>0053166047</t>
  </si>
  <si>
    <t>VANCOMYCIN250MG/2.5ML LQ</t>
  </si>
  <si>
    <t xml:space="preserve">VANCO 2.5ML LQ </t>
  </si>
  <si>
    <t>0053166344</t>
  </si>
  <si>
    <t>VITAMIN D3 400U/1ML LQ</t>
  </si>
  <si>
    <t xml:space="preserve">VIT D3 1ML LQ  </t>
  </si>
  <si>
    <t>0053166369</t>
  </si>
  <si>
    <t>VIT E NEO/PED CMPD LQ</t>
  </si>
  <si>
    <t>VIT E N/PCMPDLQ</t>
  </si>
  <si>
    <t>0053166468</t>
  </si>
  <si>
    <t>MVI DROPS 1ML LQ</t>
  </si>
  <si>
    <t>MVI DRPS 1ML LQ</t>
  </si>
  <si>
    <t>0053166609</t>
  </si>
  <si>
    <t>ZIDOVUDINE 10MG/ML 5MLLQ</t>
  </si>
  <si>
    <t>ZIDOVUDINE5MLLQ</t>
  </si>
  <si>
    <t>0053166633</t>
  </si>
  <si>
    <t>VORICONAZOLE40MG/1MLPWLQ</t>
  </si>
  <si>
    <t>VORICONAZO1PWLQ</t>
  </si>
  <si>
    <t>0053166641</t>
  </si>
  <si>
    <t>ZIDOVUDINE10MG/ML 1ML LQ</t>
  </si>
  <si>
    <t>ZIDOVUDINE1MLLQ</t>
  </si>
  <si>
    <t>0053180048</t>
  </si>
  <si>
    <t>ACETAZOLAMI UPTO 500MGIJ</t>
  </si>
  <si>
    <t>ACETAZOLAM500IJ</t>
  </si>
  <si>
    <t>0053180089</t>
  </si>
  <si>
    <t>ABCIXIMAB PER 10MG IJ</t>
  </si>
  <si>
    <t>ABCIXIMAB 10IJ</t>
  </si>
  <si>
    <t>0053180154</t>
  </si>
  <si>
    <t>ACYCLOVIR PER 5MG IJ</t>
  </si>
  <si>
    <t>ACYCLOVIR 5MGIJ</t>
  </si>
  <si>
    <t>0053180162</t>
  </si>
  <si>
    <t>ACETYLCYSTEIN PER100MGIJ</t>
  </si>
  <si>
    <t>ACETYLCYST100IJ</t>
  </si>
  <si>
    <t>0053180311</t>
  </si>
  <si>
    <t>ALBUMIN 5% PER 50ML IJ</t>
  </si>
  <si>
    <t>ALBUMIN5%50MLIJ</t>
  </si>
  <si>
    <t>0053180329</t>
  </si>
  <si>
    <t>ALBUMIN 5% PER 250ML IJ</t>
  </si>
  <si>
    <t>ALBUMIN5% 250IJ</t>
  </si>
  <si>
    <t>0053180477</t>
  </si>
  <si>
    <t>ADENOSINE PER 1MG IJ</t>
  </si>
  <si>
    <t>ADENOSINE 1MGIJ</t>
  </si>
  <si>
    <t>0053180634</t>
  </si>
  <si>
    <t>ALBUMIN 25% PER 50ML IJ</t>
  </si>
  <si>
    <t>ALBUMIN25% 50IJ</t>
  </si>
  <si>
    <t>0053180675</t>
  </si>
  <si>
    <t>ALPROSTADL NEO PER1MCGIJ</t>
  </si>
  <si>
    <t>ALPROSTAD NEOIJ</t>
  </si>
  <si>
    <t>0053180774</t>
  </si>
  <si>
    <t>ETHANOL99% 5ML IJ</t>
  </si>
  <si>
    <t>ETHANOL 5ML IJ</t>
  </si>
  <si>
    <t>0053180899</t>
  </si>
  <si>
    <t>METHOTREXATE PER 50MG IJ</t>
  </si>
  <si>
    <t>METHOTREX50MGIJ</t>
  </si>
  <si>
    <t>0053180923</t>
  </si>
  <si>
    <t>ALTEPLASE PER 1MG IJ</t>
  </si>
  <si>
    <t>ALTEPLASE 1MGIJ</t>
  </si>
  <si>
    <t>0053180998</t>
  </si>
  <si>
    <t>ALEMTUZUMAB PER 1MG IJ</t>
  </si>
  <si>
    <t>ALEMTUZUM 1MGIJ</t>
  </si>
  <si>
    <t>0053181145</t>
  </si>
  <si>
    <t>AMIKACIN PER 100MG IJ</t>
  </si>
  <si>
    <t>AMIKACIN100MGIJ</t>
  </si>
  <si>
    <t>0053181301</t>
  </si>
  <si>
    <t>AMIFOSTINE PER 500MG IJ</t>
  </si>
  <si>
    <t>AMIFOSTN500MGIJ</t>
  </si>
  <si>
    <t>0053181772</t>
  </si>
  <si>
    <t>AMINOPHYLLIN UPTO250MGIJ</t>
  </si>
  <si>
    <t>AMINOPHYLL250IJ</t>
  </si>
  <si>
    <t>0053181855</t>
  </si>
  <si>
    <t>AMINOPHYLLINE NEO IJ</t>
  </si>
  <si>
    <t>AMINOPHY NEO IJ</t>
  </si>
  <si>
    <t>0053181863</t>
  </si>
  <si>
    <t>AMINOPHYLLINE NEO 1MG IJ</t>
  </si>
  <si>
    <t>AMINOPHY 1MG IJ</t>
  </si>
  <si>
    <t>0053181988</t>
  </si>
  <si>
    <t>AMIODAR PER30MG PMXIV IJ</t>
  </si>
  <si>
    <t>AMIODARO30PMXIJ</t>
  </si>
  <si>
    <t>0053181996</t>
  </si>
  <si>
    <t>AMIODARONE PER 30MG IJ</t>
  </si>
  <si>
    <t>AMIODARON30MGIJ</t>
  </si>
  <si>
    <t>0053182432</t>
  </si>
  <si>
    <t>AMPHOTER B LC PER 10MGIJ</t>
  </si>
  <si>
    <t>AMPHOTBLC10MGIJ</t>
  </si>
  <si>
    <t>0053182457</t>
  </si>
  <si>
    <t>AMPHOTERICIN B 50MG IJ</t>
  </si>
  <si>
    <t>AMPHOTER50MG IJ</t>
  </si>
  <si>
    <t>0053182515</t>
  </si>
  <si>
    <t>AMPHOT B LIPOS PER10MGIJ</t>
  </si>
  <si>
    <t>AMPHOTBLIPO10IJ</t>
  </si>
  <si>
    <t>0053182549</t>
  </si>
  <si>
    <t>AMPHOT BLIP PED PER1MLIJ</t>
  </si>
  <si>
    <t>AMPHOTBLIPPEDIJ</t>
  </si>
  <si>
    <t>0053182648</t>
  </si>
  <si>
    <t>AMPICILLIN 250MG IJ</t>
  </si>
  <si>
    <t>AMPICILL250MGIJ</t>
  </si>
  <si>
    <t>0053182655</t>
  </si>
  <si>
    <t>AMPICILLIN PER 500MG IJ</t>
  </si>
  <si>
    <t>AMPICILL500MGIJ</t>
  </si>
  <si>
    <t>0053182895</t>
  </si>
  <si>
    <t>AMPIC/SULB NEO PER1ML IJ</t>
  </si>
  <si>
    <t>AMPIC/SUL NEOIJ</t>
  </si>
  <si>
    <t>0053182929</t>
  </si>
  <si>
    <t>AMPICIL/SUL PER1.5GM IJ</t>
  </si>
  <si>
    <t>AMPIC/SU1.5GMIJ</t>
  </si>
  <si>
    <t>0053182960</t>
  </si>
  <si>
    <t>ANTI-INHIB COAG PER1U IJ</t>
  </si>
  <si>
    <t>ANTI-INHIB 1UIJ</t>
  </si>
  <si>
    <t>0053182994</t>
  </si>
  <si>
    <t>ANTITHROMBIN 3 PER 1U IJ</t>
  </si>
  <si>
    <t>ANTITHROM3 1UIJ</t>
  </si>
  <si>
    <t>0053183109</t>
  </si>
  <si>
    <t>ANTICOAGUL NA CIT30MLIJ</t>
  </si>
  <si>
    <t>ANTICONACIT30IJ</t>
  </si>
  <si>
    <t>0053183141</t>
  </si>
  <si>
    <t>ANTITHYM IG RAB 25MG IJ</t>
  </si>
  <si>
    <t>ANTITHY RB25IJ</t>
  </si>
  <si>
    <t>0053183281</t>
  </si>
  <si>
    <t>ASCORBIC ACID500MG/1MLIJ</t>
  </si>
  <si>
    <t>ASCORB AC 1MLIJ</t>
  </si>
  <si>
    <t>0053183307</t>
  </si>
  <si>
    <t>ANIDULAFUNGIN PER 1 MGIJ</t>
  </si>
  <si>
    <t>ANIDULAFUNGN1IJ</t>
  </si>
  <si>
    <t>0053183331</t>
  </si>
  <si>
    <t>ASPARAG ECOLI PER10KU IJ</t>
  </si>
  <si>
    <t>ASPAR ECOL 10KU</t>
  </si>
  <si>
    <t>0053183356</t>
  </si>
  <si>
    <t>ANTICOAG CIT/DXSOL-A50ML</t>
  </si>
  <si>
    <t>ACD-A SOLN50ML</t>
  </si>
  <si>
    <t>0053183380</t>
  </si>
  <si>
    <t>APAP NOS PER 10MG IJ</t>
  </si>
  <si>
    <t>APAP NOS 10MG I</t>
  </si>
  <si>
    <t>0053183406</t>
  </si>
  <si>
    <t>ARSENIC TRIOXID PER1MGIJ</t>
  </si>
  <si>
    <t>ARSENIC TRIO1IJ</t>
  </si>
  <si>
    <t>0053183422</t>
  </si>
  <si>
    <t>ANTICOAG NA CIT 500ML IJ</t>
  </si>
  <si>
    <t>NA CITR500ML IJ</t>
  </si>
  <si>
    <t>0053183463</t>
  </si>
  <si>
    <t>ARGATROB N/ESRD1MG PMXIJ</t>
  </si>
  <si>
    <t>ARGATROB 1MGPMX</t>
  </si>
  <si>
    <t>0053183471</t>
  </si>
  <si>
    <t>ARGATROBAN ESRD1MG PMXIJ</t>
  </si>
  <si>
    <t>0053183877</t>
  </si>
  <si>
    <t>ATROPINE PER 0.01MG IJ</t>
  </si>
  <si>
    <t>ATROPINE.01MGIJ</t>
  </si>
  <si>
    <t>0053183885</t>
  </si>
  <si>
    <t>ATROPINE PER 0.01MGPFSIJ</t>
  </si>
  <si>
    <t>ATROP.01MGPFSIJ</t>
  </si>
  <si>
    <t>0053184131</t>
  </si>
  <si>
    <t>AZACITIDINE PER 1MG IJ</t>
  </si>
  <si>
    <t>AZACITIDINE 1IJ</t>
  </si>
  <si>
    <t>0053184149</t>
  </si>
  <si>
    <t>AZITHROMYCIN PER500MG IJ</t>
  </si>
  <si>
    <t>AZITHROM500MGIJ</t>
  </si>
  <si>
    <t>0053184156</t>
  </si>
  <si>
    <t>AZATHIOPRINE PER100MG IJ</t>
  </si>
  <si>
    <t>AZATHIOP100MGIJ</t>
  </si>
  <si>
    <t>0053184248</t>
  </si>
  <si>
    <t>AZITHROM PER500MG IVPBIJ</t>
  </si>
  <si>
    <t>AZITHR500IVPBIJ</t>
  </si>
  <si>
    <t>0053184263</t>
  </si>
  <si>
    <t>AZITHROMYCIN PER 1ML IJ</t>
  </si>
  <si>
    <t>AZITHROM 1ML IJ</t>
  </si>
  <si>
    <t>0053184305</t>
  </si>
  <si>
    <t>AZTREONAM PER 100MG IJ</t>
  </si>
  <si>
    <t>AZTREONAM PER 1</t>
  </si>
  <si>
    <t>0053184537</t>
  </si>
  <si>
    <t>BACITRACIN 50000U IJ</t>
  </si>
  <si>
    <t>BACITRACN50KUIJ</t>
  </si>
  <si>
    <t>0053185104</t>
  </si>
  <si>
    <t>BENDAMUSTINE PER 1MG IJ</t>
  </si>
  <si>
    <t>BENDAMUSTINE PE</t>
  </si>
  <si>
    <t>0053185385</t>
  </si>
  <si>
    <t>BENZTROPINE PER 1MG IJ</t>
  </si>
  <si>
    <t>BENZTROPIN1MGIJ</t>
  </si>
  <si>
    <t>0053185583</t>
  </si>
  <si>
    <t>BETAMETHASONE PER 6MG IJ</t>
  </si>
  <si>
    <t>BETAMETH 6MG IJ</t>
  </si>
  <si>
    <t>0053186078</t>
  </si>
  <si>
    <t>BEVACIZUMAB PER 10MG IJ</t>
  </si>
  <si>
    <t>BEVACIZUMAB10IJ</t>
  </si>
  <si>
    <t>0053186177</t>
  </si>
  <si>
    <t>BIVALIRUDIN PER 1MG IJ</t>
  </si>
  <si>
    <t>BIVALIRUDIN 1IJ</t>
  </si>
  <si>
    <t>0053186219</t>
  </si>
  <si>
    <t>BLEOMYCIN PER 15U IJ</t>
  </si>
  <si>
    <t>BLEOMYCIN15U IJ</t>
  </si>
  <si>
    <t>0053186441</t>
  </si>
  <si>
    <t>BORTEZOMIB PER .1MG IJ</t>
  </si>
  <si>
    <t>BORTEZOMIB .1IJ</t>
  </si>
  <si>
    <t>0053186516</t>
  </si>
  <si>
    <t>BOTULINUM TOXIN A PERUIJ</t>
  </si>
  <si>
    <t>BOTULINM TOXUIJ</t>
  </si>
  <si>
    <t>0053186607</t>
  </si>
  <si>
    <t>BOTULISM IMMUN GLOBUL IJ</t>
  </si>
  <si>
    <t xml:space="preserve">BOTULISM IG IJ </t>
  </si>
  <si>
    <t>0053186847</t>
  </si>
  <si>
    <t>BUMETANIDE PER .5MG IJ</t>
  </si>
  <si>
    <t>BUMETANID.5MGIJ</t>
  </si>
  <si>
    <t>0053186920</t>
  </si>
  <si>
    <t>BUPIVACAIN LIPO PER1MGIJ</t>
  </si>
  <si>
    <t>BUPIV LIP 1MGIJ</t>
  </si>
  <si>
    <t>0053187522</t>
  </si>
  <si>
    <t>BUTORPHANOL PER 1MG IJ</t>
  </si>
  <si>
    <t>BUTORPHANO1MGIJ</t>
  </si>
  <si>
    <t>0053187621</t>
  </si>
  <si>
    <t>CAFFEINE CIT PER 5MG IJ</t>
  </si>
  <si>
    <t>CAFFEINE CIT5IJ</t>
  </si>
  <si>
    <t>0053187688</t>
  </si>
  <si>
    <t>BUPIVACAINE NOS PER 0.5MG IJ</t>
  </si>
  <si>
    <t>BUPIVACAINE NOS</t>
  </si>
  <si>
    <t>0053187696</t>
  </si>
  <si>
    <t>BUPIVACAI/EPI NOS PER 0.5MG IJ</t>
  </si>
  <si>
    <t>BUPIVAC/EPI NOS</t>
  </si>
  <si>
    <t>0053187712</t>
  </si>
  <si>
    <t>CABAZITAXEL PER 1MG IJ</t>
  </si>
  <si>
    <t>CABAZITAX1MG IJ</t>
  </si>
  <si>
    <t>0053187720</t>
  </si>
  <si>
    <t>BUPIVACAIN PF NOS PER 0.5MG IJ</t>
  </si>
  <si>
    <t>BUPIVACN PF NOS</t>
  </si>
  <si>
    <t>0053187761</t>
  </si>
  <si>
    <t>BUPIVACAI/DEX NOS PER 0.5MG IJ</t>
  </si>
  <si>
    <t>BUPIVAC/DEX NOS</t>
  </si>
  <si>
    <t>0053187886</t>
  </si>
  <si>
    <t>CALCITONIN UPTO 400U IJ</t>
  </si>
  <si>
    <t>CALCITON 400UIJ</t>
  </si>
  <si>
    <t>0053188058</t>
  </si>
  <si>
    <t>CALCITRIOL PER 0.1MCG IJ</t>
  </si>
  <si>
    <t>CALCTR 0.1MCGIJ</t>
  </si>
  <si>
    <t>0053188090</t>
  </si>
  <si>
    <t>CACL 10%10ML PFS IJ</t>
  </si>
  <si>
    <t>CACL 10ML PFSIJ</t>
  </si>
  <si>
    <t>0053188108</t>
  </si>
  <si>
    <t>CACL 10%10ML IJ</t>
  </si>
  <si>
    <t>CACL 10ML IJ</t>
  </si>
  <si>
    <t>0053188199</t>
  </si>
  <si>
    <t>CA GLUCONATE NOS PER 10MG IJ</t>
  </si>
  <si>
    <t>CA GLUC NOS 10M</t>
  </si>
  <si>
    <t>0053188215</t>
  </si>
  <si>
    <t>CA GLUC(WG CRITICAL) PER10MGIJ</t>
  </si>
  <si>
    <t>CA GLUC(WG CRIT</t>
  </si>
  <si>
    <t>0053188249</t>
  </si>
  <si>
    <t>CA GLUC 1GM NS 50ML IJ</t>
  </si>
  <si>
    <t>CAGLUC1GM50MLIJ</t>
  </si>
  <si>
    <t>0053188272</t>
  </si>
  <si>
    <t>CA GLUC 2GM NS 100ML IJ</t>
  </si>
  <si>
    <t>CAGLUC2GM 100ML</t>
  </si>
  <si>
    <t>0053188298</t>
  </si>
  <si>
    <t>CA GLUC(FRESENIUS) 1ML NEO IJ</t>
  </si>
  <si>
    <t>CA GLUC(FRES) 1</t>
  </si>
  <si>
    <t>0053189106</t>
  </si>
  <si>
    <t>CARBOPROST 250MCG/1MLIJ</t>
  </si>
  <si>
    <t>CARBOPROST1MLIJ</t>
  </si>
  <si>
    <t>0053189114</t>
  </si>
  <si>
    <t>CARBOPLATIN PER50MG IJ</t>
  </si>
  <si>
    <t>CARBOPLA50MG IJ</t>
  </si>
  <si>
    <t>0053189247</t>
  </si>
  <si>
    <t>CARMUSTINE PER100MGIJ</t>
  </si>
  <si>
    <t>CARMUSTN100MGIJ</t>
  </si>
  <si>
    <t>0053189767</t>
  </si>
  <si>
    <t>CEFAZOLIN 500MG IJ</t>
  </si>
  <si>
    <t>CEFAZOL 500MGIJ</t>
  </si>
  <si>
    <t>0053189775</t>
  </si>
  <si>
    <t>CEFAZOLIN 500MG PMX IJ</t>
  </si>
  <si>
    <t>CEFAZOL500PMXIJ</t>
  </si>
  <si>
    <t>0053189809</t>
  </si>
  <si>
    <t>CEFAZOLIN NEO PER 1ML IJ</t>
  </si>
  <si>
    <t>CEFAZOLIN 1MLIJ</t>
  </si>
  <si>
    <t>0053189858</t>
  </si>
  <si>
    <t>CEFEPIME PER 500MG IJ</t>
  </si>
  <si>
    <t>CEFEPIME500MGIJ</t>
  </si>
  <si>
    <t>0053189890</t>
  </si>
  <si>
    <t>CEFEPIME PER500MG PMX IJ</t>
  </si>
  <si>
    <t>CEFEPIME500PMX</t>
  </si>
  <si>
    <t>0053189940</t>
  </si>
  <si>
    <t>CEFEPIME PED PER 1ML IJ</t>
  </si>
  <si>
    <t>CEFEPIME PED IJ</t>
  </si>
  <si>
    <t>0053189981</t>
  </si>
  <si>
    <t>CEFIDEROCOL PER 10MG IJ</t>
  </si>
  <si>
    <t>CEFIDEROCOL PER</t>
  </si>
  <si>
    <t>0053189999</t>
  </si>
  <si>
    <t>CEFOPERAZONE PER 1GM IJ</t>
  </si>
  <si>
    <t>CEFOPERAZO1GMIJ</t>
  </si>
  <si>
    <t>0053190237</t>
  </si>
  <si>
    <t>CEFOTAXIME PER 1GM IJ</t>
  </si>
  <si>
    <t>CEFOTAXIME1GMIJ</t>
  </si>
  <si>
    <t>0053190278</t>
  </si>
  <si>
    <t>CEFOTAXIME PER 1ML IJ</t>
  </si>
  <si>
    <t>CEFOTAXIME1MLIJ</t>
  </si>
  <si>
    <t>0053190302</t>
  </si>
  <si>
    <t>CEFOTETAN 1GM IJ</t>
  </si>
  <si>
    <t>CEFOTETAN 1GMIJ</t>
  </si>
  <si>
    <t>0053190310</t>
  </si>
  <si>
    <t>CEFOTETAN 2GM IJ</t>
  </si>
  <si>
    <t>CEFOTETAN 2GMIJ</t>
  </si>
  <si>
    <t>0053190336</t>
  </si>
  <si>
    <t>CEFOTETAN 1GM PMX IJ</t>
  </si>
  <si>
    <t>CEFOTET1GMPMXIJ</t>
  </si>
  <si>
    <t>0053190344</t>
  </si>
  <si>
    <t>CEFOTETAN 2GM PMX IJ</t>
  </si>
  <si>
    <t>CEFOTET2GMPMXIJ</t>
  </si>
  <si>
    <t>0053190492</t>
  </si>
  <si>
    <t>CEFOXITIN PER 1GM IJ</t>
  </si>
  <si>
    <t>CEFOXITIN 1GMIJ</t>
  </si>
  <si>
    <t>0053190526</t>
  </si>
  <si>
    <t>CEFTAROLINE PER 10MG IJ</t>
  </si>
  <si>
    <t>CEFTAROL10MG IJ</t>
  </si>
  <si>
    <t>0053190609</t>
  </si>
  <si>
    <t>CEFTAZIDIME PER 500MG IJ</t>
  </si>
  <si>
    <t>CEFTAZID500MGIJ</t>
  </si>
  <si>
    <t>0053190658</t>
  </si>
  <si>
    <t>CEFTAZIDIME NEO IJ</t>
  </si>
  <si>
    <t>CEFTAZID NEO IJ</t>
  </si>
  <si>
    <t>0053190716</t>
  </si>
  <si>
    <t>CEFTAZ/AVIBAC.5/.125G IJ</t>
  </si>
  <si>
    <t>CEFTAZ/AVIB IJ</t>
  </si>
  <si>
    <t>0053190740</t>
  </si>
  <si>
    <t>CEFTOLOZ/TAZOBACT 75MGIJ</t>
  </si>
  <si>
    <t>CEFT/TAZ 75MGIJ</t>
  </si>
  <si>
    <t>0053190823</t>
  </si>
  <si>
    <t>CEFTRIAXONE PER 250MG IJ</t>
  </si>
  <si>
    <t>CEFTRIAX250MGIJ</t>
  </si>
  <si>
    <t>0053190906</t>
  </si>
  <si>
    <t>CEFTRIAXONE NEO IJ</t>
  </si>
  <si>
    <t>CEFTRIAX NEO IJ</t>
  </si>
  <si>
    <t>0053190922</t>
  </si>
  <si>
    <t>CEFTRIAX PER250MG PMXIJ</t>
  </si>
  <si>
    <t>CEFTRIA250PMXIJ</t>
  </si>
  <si>
    <t>0053191995</t>
  </si>
  <si>
    <t>CERTOLIZUMAB PER 1MG IJ</t>
  </si>
  <si>
    <t>CERTOLIZ 1MG IJ</t>
  </si>
  <si>
    <t>0053192019</t>
  </si>
  <si>
    <t>CETUXIMAB PER 10MG IJ</t>
  </si>
  <si>
    <t>CETUXIMAB10MGIJ</t>
  </si>
  <si>
    <t>0053192621</t>
  </si>
  <si>
    <t>CHLOROTHIAZID PER500MGIJ</t>
  </si>
  <si>
    <t>CHLOROTHIA500IJ</t>
  </si>
  <si>
    <t>0053193090</t>
  </si>
  <si>
    <t>CHLORPROMAZ UPTO 50MG IJ</t>
  </si>
  <si>
    <t>CHLORPRMZ50MGIJ</t>
  </si>
  <si>
    <t>0053193405</t>
  </si>
  <si>
    <t>CHROMIUM CL4MCG/ML10MLIJ</t>
  </si>
  <si>
    <t>CHROMIC CL 10IJ</t>
  </si>
  <si>
    <t>0053193884</t>
  </si>
  <si>
    <t>CIPROFLOX PER200MG PMXIJ</t>
  </si>
  <si>
    <t>CIPROFL200PMXIJ</t>
  </si>
  <si>
    <t>0053193918</t>
  </si>
  <si>
    <t>CISATRACURM 2MG/ML 5MLIJ</t>
  </si>
  <si>
    <t>CISATRACU 5MLIJ</t>
  </si>
  <si>
    <t>0053193926</t>
  </si>
  <si>
    <t>CISATRACURM 2MG/ML10MLIJ</t>
  </si>
  <si>
    <t>CISATRACU10MLIJ</t>
  </si>
  <si>
    <t>0053193983</t>
  </si>
  <si>
    <t>CISPLATIN PER 10MG IJ</t>
  </si>
  <si>
    <t>CISPLATIN10MGIJ</t>
  </si>
  <si>
    <t>0053194098</t>
  </si>
  <si>
    <t>CLEVIDIPINE PER 1MG IJ</t>
  </si>
  <si>
    <t>CLEVIDIP 1MG IJ</t>
  </si>
  <si>
    <t>0053194106</t>
  </si>
  <si>
    <t>CIT/PHOS/DEX 500ML IJ</t>
  </si>
  <si>
    <t>CPD 500ML IJ</t>
  </si>
  <si>
    <t>0053194213</t>
  </si>
  <si>
    <t>CLADRIBINE PER 1MG IJ</t>
  </si>
  <si>
    <t>CLADRIBINE1MGIJ</t>
  </si>
  <si>
    <t>0053194247</t>
  </si>
  <si>
    <t>CLINDAMYCIN PER 300MG IJ</t>
  </si>
  <si>
    <t>CLINDAMY300MGIJ</t>
  </si>
  <si>
    <t>0053194254</t>
  </si>
  <si>
    <t>CLINDAMYCIN PER 300MG PMX IJ</t>
  </si>
  <si>
    <t>CLINDAM300PMXIJ</t>
  </si>
  <si>
    <t>0053194288</t>
  </si>
  <si>
    <t>CLINDAMYCIN PER 1ML IJ</t>
  </si>
  <si>
    <t>CLINDAMYC 1MLIJ</t>
  </si>
  <si>
    <t>0053194338</t>
  </si>
  <si>
    <t>CLOFARABINE PER 1MG IJ</t>
  </si>
  <si>
    <t>CLOFARABINE 1IJ</t>
  </si>
  <si>
    <t>0053194916</t>
  </si>
  <si>
    <t>COLISTIMETHA UPTO150MGIJ</t>
  </si>
  <si>
    <t>COLISTIMET150IJ</t>
  </si>
  <si>
    <t>0053195897</t>
  </si>
  <si>
    <t>COSYNTROPIN PER.25MG IJ</t>
  </si>
  <si>
    <t>COSYNTRO.25MGIJ</t>
  </si>
  <si>
    <t>0053196002</t>
  </si>
  <si>
    <t>CYCLOPHOSPH NOS PER 5MG IJ</t>
  </si>
  <si>
    <t>CYCLOPHOSPH NOS</t>
  </si>
  <si>
    <t>0053196358</t>
  </si>
  <si>
    <t>ANTIVEN CROTAL IMM FAB 2 EQ IJ</t>
  </si>
  <si>
    <t>ANTIV CROTA IMF</t>
  </si>
  <si>
    <t>0053196697</t>
  </si>
  <si>
    <t>CYANIDE ANTIDOTE KT IJ</t>
  </si>
  <si>
    <t>CYANIDANTIDKTIJ</t>
  </si>
  <si>
    <t>0053196747</t>
  </si>
  <si>
    <t>CYANOCOBALAMN UPTO1MG IJ</t>
  </si>
  <si>
    <t>CYANOCOBAL1MGIJ</t>
  </si>
  <si>
    <t>0053196804</t>
  </si>
  <si>
    <t>CYTARABINE 100MG IJ</t>
  </si>
  <si>
    <t>CYTARAB 100MGIJ</t>
  </si>
  <si>
    <t>0053197158</t>
  </si>
  <si>
    <t>CYCLOSPORINE PER250MG IJ</t>
  </si>
  <si>
    <t>CYCLOSPO250MGIJ</t>
  </si>
  <si>
    <t>0053197208</t>
  </si>
  <si>
    <t>L-CYSTEINE 50MG/ML10MLIJ</t>
  </si>
  <si>
    <t>L-CYSTEINE 10IJ</t>
  </si>
  <si>
    <t>0053197273</t>
  </si>
  <si>
    <t>CYTARABINE LIP PER10MGIJ</t>
  </si>
  <si>
    <t>CYTARABIN L10IJ</t>
  </si>
  <si>
    <t>0053197356</t>
  </si>
  <si>
    <t>DACARBAZINE 100MG IJ</t>
  </si>
  <si>
    <t>DACARBAZ100MGIJ</t>
  </si>
  <si>
    <t>0053197455</t>
  </si>
  <si>
    <t>DACTINOMYCIN PER.5MG IJ</t>
  </si>
  <si>
    <t>DACTINOM.5MG IJ</t>
  </si>
  <si>
    <t>0053197521</t>
  </si>
  <si>
    <t>DANTROLENE 20MG/70ML IJ</t>
  </si>
  <si>
    <t>DANTROLEN70MLIJ</t>
  </si>
  <si>
    <t>0053197596</t>
  </si>
  <si>
    <t>DAPTOMYCIN PER 1MG IJ</t>
  </si>
  <si>
    <t>DAPTOMYCIN1MGIJ</t>
  </si>
  <si>
    <t>0053197653</t>
  </si>
  <si>
    <t>DARBEPO ALFA PER 1MCG IJ</t>
  </si>
  <si>
    <t>DARBEPOETIN1MCG</t>
  </si>
  <si>
    <t>0053197752</t>
  </si>
  <si>
    <t>DAUNORUBICIN PER10MG IJ</t>
  </si>
  <si>
    <t>DAUNORUB10MG IJ</t>
  </si>
  <si>
    <t>0053197810</t>
  </si>
  <si>
    <t>DECITABINE PER 1MG IJ</t>
  </si>
  <si>
    <t>DECITABINE1MGIJ</t>
  </si>
  <si>
    <t>0053197943</t>
  </si>
  <si>
    <t>DEFEROXAMINE PER500MG IJ</t>
  </si>
  <si>
    <t>DEFEROXAMN500IJ</t>
  </si>
  <si>
    <t>0053198024</t>
  </si>
  <si>
    <t>DENOSUMAB PER 1MG IJ</t>
  </si>
  <si>
    <t>DENOSUMAB1MG IJ</t>
  </si>
  <si>
    <t>0053198198</t>
  </si>
  <si>
    <t>DESMOPRESSIN PER 1MCG IJ</t>
  </si>
  <si>
    <t>DESMOPRES1MCGIJ</t>
  </si>
  <si>
    <t>0053198644</t>
  </si>
  <si>
    <t>DEXAMETHASONE-S PER1MGIJ</t>
  </si>
  <si>
    <t>DEXAMETHAS1MGIJ</t>
  </si>
  <si>
    <t>0053198776</t>
  </si>
  <si>
    <t>DEXMEDETOM NEO PER1MCGIJ</t>
  </si>
  <si>
    <t>DEXMEDETM1MCGIJ</t>
  </si>
  <si>
    <t>0053198800</t>
  </si>
  <si>
    <t>DEXMEDETOMIDINE200MCGIJ</t>
  </si>
  <si>
    <t>DEXMEDETOM200IJ</t>
  </si>
  <si>
    <t>0053198826</t>
  </si>
  <si>
    <t>DEXMEDETM400MCG/100PMXIJ</t>
  </si>
  <si>
    <t>DEXMEDETOM400IJ</t>
  </si>
  <si>
    <t>0053198909</t>
  </si>
  <si>
    <t>DEXRAZOXANE PER 250MG IJ</t>
  </si>
  <si>
    <t>DEXRAZOXAN250IJ</t>
  </si>
  <si>
    <t>0053198982</t>
  </si>
  <si>
    <t>DEXTROSE 25% 10ML PFS IJ</t>
  </si>
  <si>
    <t>DEXTROSE10PFSIJ</t>
  </si>
  <si>
    <t>0053199014</t>
  </si>
  <si>
    <t>DEXTROSE 50% 50ML IJ</t>
  </si>
  <si>
    <t>DEXTROSE 50MLIJ</t>
  </si>
  <si>
    <t>0053199139</t>
  </si>
  <si>
    <t>DEXTROSE 50% 50ML PFS IJ</t>
  </si>
  <si>
    <t>DEXTROSE50PFSIJ</t>
  </si>
  <si>
    <t>0053199386</t>
  </si>
  <si>
    <t>DIAZEPAM UPTO 5MG SG IJ</t>
  </si>
  <si>
    <t>DIAZEPAM5MGSGIJ</t>
  </si>
  <si>
    <t>0053199816</t>
  </si>
  <si>
    <t>DICYCLOMINE UPTO 20MG IJ</t>
  </si>
  <si>
    <t>DICYCLOMN20MGIJ</t>
  </si>
  <si>
    <t>0053200259</t>
  </si>
  <si>
    <t>DIGOXIN .1MG/ML PEDI IJ</t>
  </si>
  <si>
    <t>DIGOXIN PED IJ</t>
  </si>
  <si>
    <t>0053200283</t>
  </si>
  <si>
    <t>DIGOXIN UPTO .5MG IJ</t>
  </si>
  <si>
    <t>DIGOXIN .5MG IJ</t>
  </si>
  <si>
    <t>0053200317</t>
  </si>
  <si>
    <t>DIGOXIN IMM FB PER VL IJ</t>
  </si>
  <si>
    <t>DIGX IMM FAB IJ</t>
  </si>
  <si>
    <t>0053200499</t>
  </si>
  <si>
    <t>DIHYDROERGOTAM PER1MGIJ</t>
  </si>
  <si>
    <t>DIHYDROERG1MGIJ</t>
  </si>
  <si>
    <t>0053200606</t>
  </si>
  <si>
    <t>DILTIAZEM 25 MG IJ</t>
  </si>
  <si>
    <t>DILTIAZE 25MGIJ</t>
  </si>
  <si>
    <t>0053200614</t>
  </si>
  <si>
    <t>DILTIAZEM 50 MG IJ</t>
  </si>
  <si>
    <t>DILTIAZE 50MGIJ</t>
  </si>
  <si>
    <t>0053200648</t>
  </si>
  <si>
    <t>DILTIAZEM 125 MG IJ</t>
  </si>
  <si>
    <t>DILTIAZE125MGIJ</t>
  </si>
  <si>
    <t>0053200663</t>
  </si>
  <si>
    <t>DILTIAZE125MG/125MLPMXIJ</t>
  </si>
  <si>
    <t>DILTIAZ125PMXIJ</t>
  </si>
  <si>
    <t>0053201174</t>
  </si>
  <si>
    <t>DIPHENHYDR UPTO 50MG IJ</t>
  </si>
  <si>
    <t>DIPHENHYDR 50MG</t>
  </si>
  <si>
    <t>0053201372</t>
  </si>
  <si>
    <t>DIPHTHER TET &gt;7YR PF IJ</t>
  </si>
  <si>
    <t>DIPHTH TET&gt;7IJ</t>
  </si>
  <si>
    <t>0053201398</t>
  </si>
  <si>
    <t>DIPHTHER TET &lt;7YR IJ</t>
  </si>
  <si>
    <t>DIPHTH TET&lt;7IJ</t>
  </si>
  <si>
    <t>0053201463</t>
  </si>
  <si>
    <t>DTAP VACC &lt;7YR IJ</t>
  </si>
  <si>
    <t>DTAP VACC&lt;7YRIJ</t>
  </si>
  <si>
    <t>0053201471</t>
  </si>
  <si>
    <t>TDAP &gt; 7YR VAC IJ</t>
  </si>
  <si>
    <t>TDAP&gt;7YR VAC IJ</t>
  </si>
  <si>
    <t>0053201844</t>
  </si>
  <si>
    <t>DOBUTAMINE NEO PER1MG IJ</t>
  </si>
  <si>
    <t>DOBUTAMIN NEOIJ</t>
  </si>
  <si>
    <t>0053201851</t>
  </si>
  <si>
    <t>DOBUTAMINE PER250MG IJ</t>
  </si>
  <si>
    <t>DOBUTAM 250MGIJ</t>
  </si>
  <si>
    <t>0053201869</t>
  </si>
  <si>
    <t>DOBUTAMN PER250MG PMX IJ</t>
  </si>
  <si>
    <t>DOBUTAM250MG IJ</t>
  </si>
  <si>
    <t>0053201927</t>
  </si>
  <si>
    <t>DOBUTAMINE NEO PER1ML IJ</t>
  </si>
  <si>
    <t>0053201943</t>
  </si>
  <si>
    <t>DOCETAXEL PER 1MG IJ</t>
  </si>
  <si>
    <t>DOCETAXEL 1MGIJ</t>
  </si>
  <si>
    <t>0053202024</t>
  </si>
  <si>
    <t>DOLASETRON PER 10MG IJ</t>
  </si>
  <si>
    <t>DOLASET 10MG IJ</t>
  </si>
  <si>
    <t>0053202057</t>
  </si>
  <si>
    <t>DOPAMINE NEO PER 1MG IJ</t>
  </si>
  <si>
    <t>DOPAMINE NEOIJ</t>
  </si>
  <si>
    <t>0053202081</t>
  </si>
  <si>
    <t>DOPAMINE PER40MG PMX IJ</t>
  </si>
  <si>
    <t>DOPAMINE40PMXIJ</t>
  </si>
  <si>
    <t>0053202107</t>
  </si>
  <si>
    <t>DOPAMINE PER40MG IV IJ</t>
  </si>
  <si>
    <t>DOPAMINE 40IVIJ</t>
  </si>
  <si>
    <t>0053202297</t>
  </si>
  <si>
    <t>DORIPENEM PER 10MG IJ</t>
  </si>
  <si>
    <t>DORIPEN 10MG IJ</t>
  </si>
  <si>
    <t>0053202479</t>
  </si>
  <si>
    <t>DOXAPRAM 20MG/ML 20ML IJ</t>
  </si>
  <si>
    <t>DOXAPRAM 20MLIJ</t>
  </si>
  <si>
    <t>0053202529</t>
  </si>
  <si>
    <t>DOXERCALCIFERL PER1MCGIJ</t>
  </si>
  <si>
    <t>DOXERCALC1MCGIJ</t>
  </si>
  <si>
    <t>0053202677</t>
  </si>
  <si>
    <t>DOXORUB LYOPH PER10MG IJ</t>
  </si>
  <si>
    <t>DOXORUBICIN10MG</t>
  </si>
  <si>
    <t>0053202685</t>
  </si>
  <si>
    <t>DOXORUBICIN PER 10MG IJ</t>
  </si>
  <si>
    <t>DOXORUB 10MG IJ</t>
  </si>
  <si>
    <t>0053202776</t>
  </si>
  <si>
    <t>DOXORUBIC LIP PER10MGIJ</t>
  </si>
  <si>
    <t>0053203055</t>
  </si>
  <si>
    <t>DROPERIDOL UPTO 5MG IJ</t>
  </si>
  <si>
    <t>DROPERIDOL5MGIJ</t>
  </si>
  <si>
    <t>0053203386</t>
  </si>
  <si>
    <t>EDROPHONIUM10MG/ML15MLIJ</t>
  </si>
  <si>
    <t>EDROPHON15ML IJ</t>
  </si>
  <si>
    <t>0053203873</t>
  </si>
  <si>
    <t>EPHEDRINE25MGNS 5MLPFSIJ</t>
  </si>
  <si>
    <t>EPHED25NS 5MLIJ</t>
  </si>
  <si>
    <t>0053203923</t>
  </si>
  <si>
    <t>EPHEDRINE50MGNS10MLPFSIJ</t>
  </si>
  <si>
    <t>EPHED50NS10MLIJ</t>
  </si>
  <si>
    <t>0053203931</t>
  </si>
  <si>
    <t>EPHEDRINE 10MG/1ML IJ</t>
  </si>
  <si>
    <t>EPHEDRINE10MGIJ</t>
  </si>
  <si>
    <t>0053203949</t>
  </si>
  <si>
    <t>ENOXAPARIN PER 10MG PFSIJ</t>
  </si>
  <si>
    <t>ENOXAPAR10PFSIJ</t>
  </si>
  <si>
    <t>0053203956</t>
  </si>
  <si>
    <t>ENALAPRIL1.25MG/1ML IJ</t>
  </si>
  <si>
    <t>ENALAPRIL1ML IJ</t>
  </si>
  <si>
    <t>0053203964</t>
  </si>
  <si>
    <t>ENALAPRIL 2.5MG/2ML IJ</t>
  </si>
  <si>
    <t>ENALAPRIL2ML IJ</t>
  </si>
  <si>
    <t>0053204046</t>
  </si>
  <si>
    <t>EPHEDRINE 50MG/1ML IJ</t>
  </si>
  <si>
    <t>EPHEDRINE 1MLIJ</t>
  </si>
  <si>
    <t>0053204202</t>
  </si>
  <si>
    <t>EPIRUBICIN PER 2MG IJ</t>
  </si>
  <si>
    <t>EPIRUBICIN2MGIJ</t>
  </si>
  <si>
    <t>0053204236</t>
  </si>
  <si>
    <t>EPINEPHRINE .15MG KT IJ</t>
  </si>
  <si>
    <t>EPINPHR.15KT IJ</t>
  </si>
  <si>
    <t>0053204293</t>
  </si>
  <si>
    <t>EPINEPHRINE .3ML KT IJ</t>
  </si>
  <si>
    <t xml:space="preserve">EPINEPHR.3KTIJ </t>
  </si>
  <si>
    <t>0053204319</t>
  </si>
  <si>
    <t>EPOETIN NON-ESRD 1000U IJ</t>
  </si>
  <si>
    <t>EPOETIN NON-ESR</t>
  </si>
  <si>
    <t>0053204491</t>
  </si>
  <si>
    <t>EPTIFIBATIDE PER 5MG IJ</t>
  </si>
  <si>
    <t>EPTIFIBATIDE5IJ</t>
  </si>
  <si>
    <t>0053204541</t>
  </si>
  <si>
    <t>ERIBULIN PER 0.1MG IJ</t>
  </si>
  <si>
    <t>ERIBULIN0.1MGIJ</t>
  </si>
  <si>
    <t>0053204582</t>
  </si>
  <si>
    <t>EPINEPHRINE PER 0.1MG IJ</t>
  </si>
  <si>
    <t>EPINEPHR0.1MGIJ</t>
  </si>
  <si>
    <t>0053204590</t>
  </si>
  <si>
    <t>EPINEPHRINEPER0.1MGPFSIJ</t>
  </si>
  <si>
    <t>0053204665</t>
  </si>
  <si>
    <t>EPINEPHRINE NEO PER1MGIJ</t>
  </si>
  <si>
    <t>EPINEPHR NEOIJ</t>
  </si>
  <si>
    <t>0053204715</t>
  </si>
  <si>
    <t>EPOETIN-EPBX ESRD PER 100U IJ</t>
  </si>
  <si>
    <t>EPOETIN-EPBX ES</t>
  </si>
  <si>
    <t>0053204723</t>
  </si>
  <si>
    <t>EPOETIN-EPBX NON-ESRD 1000U IJ</t>
  </si>
  <si>
    <t>EPOETIN-EPBX NO</t>
  </si>
  <si>
    <t>0053204913</t>
  </si>
  <si>
    <t>ERTAPENEM PER 500MG IJ</t>
  </si>
  <si>
    <t>ERTAPENEM 500IJ</t>
  </si>
  <si>
    <t>0053204939</t>
  </si>
  <si>
    <t>ERTAPENEM PED DOSE IJ</t>
  </si>
  <si>
    <t>ERTAPENE PED IJ</t>
  </si>
  <si>
    <t>0053204947</t>
  </si>
  <si>
    <t>ERTAPENEM PER500MGIVPBIJ</t>
  </si>
  <si>
    <t>ERTAPEN500IVPB</t>
  </si>
  <si>
    <t>0053205027</t>
  </si>
  <si>
    <t>ERYTHROMYCIN NEO IJ</t>
  </si>
  <si>
    <t>ERYTHROM NEO IJ</t>
  </si>
  <si>
    <t>0053205084</t>
  </si>
  <si>
    <t>ERYTHROMYCIN LA500MG IJ</t>
  </si>
  <si>
    <t>ERYTHRO LA500IJ</t>
  </si>
  <si>
    <t>0053205159</t>
  </si>
  <si>
    <t>ESMOLOL NEO PER 1MG IJ</t>
  </si>
  <si>
    <t>ESMOLOL NEOIJ</t>
  </si>
  <si>
    <t>0053205217</t>
  </si>
  <si>
    <t>ESOMEPRAZOLE 20MG IJ</t>
  </si>
  <si>
    <t>ESOMEPRAZOL20IJ</t>
  </si>
  <si>
    <t>0053205225</t>
  </si>
  <si>
    <t>ESOMEPRAZOLE 40MG IJ</t>
  </si>
  <si>
    <t>ESOMEPRAZOL40IJ</t>
  </si>
  <si>
    <t>0053205282</t>
  </si>
  <si>
    <t>ESMOLOL PER 10MG IJ</t>
  </si>
  <si>
    <t>ESMOLOL PER 10M</t>
  </si>
  <si>
    <t>0053205290</t>
  </si>
  <si>
    <t>ESMOLOL PER 10MG PMX IJ</t>
  </si>
  <si>
    <t>0053205340</t>
  </si>
  <si>
    <t>ESTRADIOL CY UPTO 5MG IJ</t>
  </si>
  <si>
    <t>ESTRAD CY 5MGIJ</t>
  </si>
  <si>
    <t>0053205365</t>
  </si>
  <si>
    <t>ESTRADIOL VAL TO 10MG IJ</t>
  </si>
  <si>
    <t>ESTRAD V 10MGIJ</t>
  </si>
  <si>
    <t>0053205423</t>
  </si>
  <si>
    <t>ESTROGEN CONJ PER25MG IJ</t>
  </si>
  <si>
    <t>ESTROGEN 25MGIJ</t>
  </si>
  <si>
    <t>0053205555</t>
  </si>
  <si>
    <t>ETHACRYNIC ACID 50MG IJ</t>
  </si>
  <si>
    <t>ETHACRYN 50MGIJ</t>
  </si>
  <si>
    <t>0053205605</t>
  </si>
  <si>
    <t>ETHANOLAMINE PER100MG IJ</t>
  </si>
  <si>
    <t>ETHANOLAMN100IJ</t>
  </si>
  <si>
    <t>0053205761</t>
  </si>
  <si>
    <t>ETHANOL98% 1ML IJ</t>
  </si>
  <si>
    <t>ETHANOL 1ML IJ</t>
  </si>
  <si>
    <t>0053205837</t>
  </si>
  <si>
    <t>FLU VAC CCIIV3 &gt;6M 0.5ML IJ</t>
  </si>
  <si>
    <t xml:space="preserve">FLU VAC CCIIV3 </t>
  </si>
  <si>
    <t>0053205936</t>
  </si>
  <si>
    <t>EVOLOCUMAB140MG/1ML SQIJ</t>
  </si>
  <si>
    <t>EVOLOCUMAB1MLIJ</t>
  </si>
  <si>
    <t>0053205985</t>
  </si>
  <si>
    <t>FENTANYL 10MCG/ML250MLIJ</t>
  </si>
  <si>
    <t>FENTANYL250MLIJ</t>
  </si>
  <si>
    <t>0053205993</t>
  </si>
  <si>
    <t>FENTANYL NEO PER 1MCG IJ</t>
  </si>
  <si>
    <t>FENTANYL NEOIJ</t>
  </si>
  <si>
    <t>0053206074</t>
  </si>
  <si>
    <t>EXENATIDE 5MCG 60 DS IJ</t>
  </si>
  <si>
    <t>EXENATIDE5MCGIJ</t>
  </si>
  <si>
    <t>0053206090</t>
  </si>
  <si>
    <t>ETOMIDATE20MG/10ML IJ</t>
  </si>
  <si>
    <t>ETOMIDATE10MLIJ</t>
  </si>
  <si>
    <t>0053206116</t>
  </si>
  <si>
    <t>ETOMIDATE40MG/20ML IJ</t>
  </si>
  <si>
    <t>ETOMIDATE20MLIJ</t>
  </si>
  <si>
    <t>0053206140</t>
  </si>
  <si>
    <t>ETOPOSIDE PER 10MG IJ</t>
  </si>
  <si>
    <t>ETOPOSID10MG IJ</t>
  </si>
  <si>
    <t>0053206280</t>
  </si>
  <si>
    <t>FENTANYL 1000MCG 100MLIJ</t>
  </si>
  <si>
    <t>FENTANYL100MLIJ</t>
  </si>
  <si>
    <t>0053206397</t>
  </si>
  <si>
    <t>FACTOR VIIA PER 1MCG IJ</t>
  </si>
  <si>
    <t>FACTOR VIIA 1IJ</t>
  </si>
  <si>
    <t>0053206520</t>
  </si>
  <si>
    <t>FENTANYL/BUPIV 100ML IJ</t>
  </si>
  <si>
    <t>FENT/BUPV 100ML</t>
  </si>
  <si>
    <t>0053206579</t>
  </si>
  <si>
    <t>FENTANYL NEO IJ</t>
  </si>
  <si>
    <t>0053206660</t>
  </si>
  <si>
    <t>FENOLDOPAM 10MG/1ML IJ</t>
  </si>
  <si>
    <t>FENOLDOPAM1MLIJ</t>
  </si>
  <si>
    <t>0053206678</t>
  </si>
  <si>
    <t>FENOLDOPAM 20MG/2ML IJ</t>
  </si>
  <si>
    <t>FENOLDOPAM2MLIJ</t>
  </si>
  <si>
    <t>0053206710</t>
  </si>
  <si>
    <t>FLU VAC &lt; 3 YRS IM IJ</t>
  </si>
  <si>
    <t>FLU VAC &lt;3YR IJ</t>
  </si>
  <si>
    <t>0053206728</t>
  </si>
  <si>
    <t>FLU VACC NOS IJ</t>
  </si>
  <si>
    <t xml:space="preserve">FLU VAC NOS IJ </t>
  </si>
  <si>
    <t>0053206777</t>
  </si>
  <si>
    <t>FLUCONAZ PER200MG PMX IJ</t>
  </si>
  <si>
    <t>FLUCONA200PMXIJ</t>
  </si>
  <si>
    <t>0053206801</t>
  </si>
  <si>
    <t>FLUDARABINE PH PER50MGIJ</t>
  </si>
  <si>
    <t>FLUDARABN50MGIJ</t>
  </si>
  <si>
    <t>0053206819</t>
  </si>
  <si>
    <t>FLUMAZENIL .1MG/ML 5MLIJ</t>
  </si>
  <si>
    <t>FLUMAZENIL5MLIJ</t>
  </si>
  <si>
    <t>0053206850</t>
  </si>
  <si>
    <t>FLU VAC &lt; 3 YRS IM PF IJ</t>
  </si>
  <si>
    <t>FLUVAC&lt;3YR PFIJ</t>
  </si>
  <si>
    <t>0053206868</t>
  </si>
  <si>
    <t>FLU VAC &gt; 3 YRS IM PF IJ</t>
  </si>
  <si>
    <t>FLUVAC&gt;3YR PFIJ</t>
  </si>
  <si>
    <t>0053206918</t>
  </si>
  <si>
    <t>FLUORESCEIN 10% 5ML IJ</t>
  </si>
  <si>
    <t>FLUORESCEIN 5IJ</t>
  </si>
  <si>
    <t>0053206934</t>
  </si>
  <si>
    <t>FACTOR 8 RECOM PER IU IJ</t>
  </si>
  <si>
    <t>FAC8 REC PER IU</t>
  </si>
  <si>
    <t>0053206975</t>
  </si>
  <si>
    <t>FACTOR 9 CMPLX PER IU IJ</t>
  </si>
  <si>
    <t>FAC9 CPX PER IU</t>
  </si>
  <si>
    <t>0053206983</t>
  </si>
  <si>
    <t>FACTOR 9 RECOM PER IU IJ</t>
  </si>
  <si>
    <t>FAC9 REC PER IU</t>
  </si>
  <si>
    <t>0053207007</t>
  </si>
  <si>
    <t>FLUCONAZOLE 100MG PMX IJ</t>
  </si>
  <si>
    <t>FLUCONA100PMXIJ</t>
  </si>
  <si>
    <t>0053207015</t>
  </si>
  <si>
    <t>FLU VAC&gt;3Y AFLURIA IM IJ</t>
  </si>
  <si>
    <t xml:space="preserve">FLU AFLURIA IJ </t>
  </si>
  <si>
    <t>0053207080</t>
  </si>
  <si>
    <t>FLUOROURACIL PER500MG IJ</t>
  </si>
  <si>
    <t>FLUOROUR500MGIJ</t>
  </si>
  <si>
    <t>0053207114</t>
  </si>
  <si>
    <t>FENTANYL NEO PER 1ML IJ</t>
  </si>
  <si>
    <t>0053207163</t>
  </si>
  <si>
    <t>FLUCONAZOLE PER 1ML IJ</t>
  </si>
  <si>
    <t>FLUCONAZ 1ML IJ</t>
  </si>
  <si>
    <t>0053207296</t>
  </si>
  <si>
    <t>FLU VAC CELL CULT PF IJ</t>
  </si>
  <si>
    <t>FLU VAC CC PFIJ</t>
  </si>
  <si>
    <t>0053207312</t>
  </si>
  <si>
    <t>FOMEPIZOLE PER 15MG IJ</t>
  </si>
  <si>
    <t>FOMEPIZOLE 15IJ</t>
  </si>
  <si>
    <t>0053207437</t>
  </si>
  <si>
    <t>FOSCARNET PER 1000MG IJ</t>
  </si>
  <si>
    <t>FOSCARN1000MGIJ</t>
  </si>
  <si>
    <t>0053207460</t>
  </si>
  <si>
    <t>FOSPHENYTOIN PER 1ML IJ</t>
  </si>
  <si>
    <t>FOSPHENYTN1MLIJ</t>
  </si>
  <si>
    <t>0053207478</t>
  </si>
  <si>
    <t>FOSPHENYTOIN CMPD IJ</t>
  </si>
  <si>
    <t>FOSPHENYTCMPDIJ</t>
  </si>
  <si>
    <t>0053207494</t>
  </si>
  <si>
    <t>FOSPHENYTOIN PER 50MG IJ</t>
  </si>
  <si>
    <t>FOSPHENYT50MGIJ</t>
  </si>
  <si>
    <t>0053207627</t>
  </si>
  <si>
    <t>FULVESTRANT PER 25MG IJ</t>
  </si>
  <si>
    <t>FULVESTRANT25IJ</t>
  </si>
  <si>
    <t>0053207668</t>
  </si>
  <si>
    <t>FONDAPARINUX PER.5MG IJ</t>
  </si>
  <si>
    <t>FONDAPARINX.5IJ</t>
  </si>
  <si>
    <t>0053207676</t>
  </si>
  <si>
    <t>FUROSEMIDE NEO PER1ML IJ</t>
  </si>
  <si>
    <t>FUROSEMID NEOIJ</t>
  </si>
  <si>
    <t>0053207726</t>
  </si>
  <si>
    <t>FOSAPREPITANT PER 1MG IJ</t>
  </si>
  <si>
    <t>FOSAPREP 1MG IJ</t>
  </si>
  <si>
    <t>0053207775</t>
  </si>
  <si>
    <t>FLU VAC &gt;3Y 4 VAL PF IJ</t>
  </si>
  <si>
    <t>0053207833</t>
  </si>
  <si>
    <t>FILGRASTIM G-CSF 1MCG IJ</t>
  </si>
  <si>
    <t>FILGRAST 1MCGIJ</t>
  </si>
  <si>
    <t>0053207882</t>
  </si>
  <si>
    <t>SARGRAMOSTIM PER 50MCGIJ</t>
  </si>
  <si>
    <t>SARGRAMO50MCGIJ</t>
  </si>
  <si>
    <t>0053207890</t>
  </si>
  <si>
    <t>FLU VAC &lt;3Y 4 VAL PF IJ</t>
  </si>
  <si>
    <t>0053207924</t>
  </si>
  <si>
    <t>FLU VAC RIV3 HA IM PF IJ</t>
  </si>
  <si>
    <t>FLUVAC RIV3PFIJ</t>
  </si>
  <si>
    <t>0053208039</t>
  </si>
  <si>
    <t>FENT/BUPV.125%EPI100MLIJ</t>
  </si>
  <si>
    <t>FENT/BUP100MLIJ</t>
  </si>
  <si>
    <t>0053208302</t>
  </si>
  <si>
    <t>GANCICLOVIR 500MG IJ</t>
  </si>
  <si>
    <t>GANCICLO500MGIJ</t>
  </si>
  <si>
    <t>0053208401</t>
  </si>
  <si>
    <t>GEMCITABINE PER 200MG IJ</t>
  </si>
  <si>
    <t>GEMCITABIN200IJ</t>
  </si>
  <si>
    <t>0053208468</t>
  </si>
  <si>
    <t>GENTAMICIN UPTO 80 PMXIJ</t>
  </si>
  <si>
    <t>GENTAMIC80PMXIJ</t>
  </si>
  <si>
    <t>0053208518</t>
  </si>
  <si>
    <t>GENTAMICIN NEO CMPD IJ</t>
  </si>
  <si>
    <t>GENTAMIC NEO IJ</t>
  </si>
  <si>
    <t>0053208526</t>
  </si>
  <si>
    <t>GENTAMICIN UPTO 80MG IJ</t>
  </si>
  <si>
    <t>GENTAMIC 80MGIJ</t>
  </si>
  <si>
    <t>0053208849</t>
  </si>
  <si>
    <t>GLATIRAMR ACET PER20MGIJ</t>
  </si>
  <si>
    <t>GLATIRAMER 20IJ</t>
  </si>
  <si>
    <t>0053208989</t>
  </si>
  <si>
    <t>GLUCAGON PER 1MG IJ</t>
  </si>
  <si>
    <t>GLUCAGON 1MGIJ</t>
  </si>
  <si>
    <t>0053209235</t>
  </si>
  <si>
    <t>GLYCOPYRROLATE PER 0.1MG IJ</t>
  </si>
  <si>
    <t>0053209631</t>
  </si>
  <si>
    <t>HAEMOPH B PRP-T VAC IJ</t>
  </si>
  <si>
    <t>HAEMOPH B PRP-T</t>
  </si>
  <si>
    <t>0053209680</t>
  </si>
  <si>
    <t>GRANISETRON PER .1MG IJ</t>
  </si>
  <si>
    <t>GRANISETR.1MGIJ</t>
  </si>
  <si>
    <t>0053209714</t>
  </si>
  <si>
    <t>HAEMOPH B PRP-OMP .5MLIJ</t>
  </si>
  <si>
    <t>HAEMO B 0.5 VAC</t>
  </si>
  <si>
    <t>0053209722</t>
  </si>
  <si>
    <t>HALOPERIDOL UP TO 5MG IJ</t>
  </si>
  <si>
    <t>HALOPERIDO5MGIJ</t>
  </si>
  <si>
    <t>0053209730</t>
  </si>
  <si>
    <t>HALOPERID DEC PER 50MGIJ</t>
  </si>
  <si>
    <t>HALOP DEC50MGIJ</t>
  </si>
  <si>
    <t>0053209797</t>
  </si>
  <si>
    <t>HEMIN PER 1MG IJ</t>
  </si>
  <si>
    <t>HEMIN 1MG IJ</t>
  </si>
  <si>
    <t>0053209805</t>
  </si>
  <si>
    <t>HAEMOPHIL B/TET TX.5MLIJ</t>
  </si>
  <si>
    <t>HAEM B/TT.5MLIJ</t>
  </si>
  <si>
    <t>0053209953</t>
  </si>
  <si>
    <t>HEP/NA FLUSH100U/ML2MLIJ</t>
  </si>
  <si>
    <t>HEP FL 100U IJ</t>
  </si>
  <si>
    <t>0053210100</t>
  </si>
  <si>
    <t>HEPARIN FL PER10U PFS IJ</t>
  </si>
  <si>
    <t>HEPARIN10UPFSIJ</t>
  </si>
  <si>
    <t>0053210639</t>
  </si>
  <si>
    <t>HEPARIN PER 1000U IJ</t>
  </si>
  <si>
    <t>HEPARIN1000U IJ</t>
  </si>
  <si>
    <t>0053210647</t>
  </si>
  <si>
    <t>HEPARIN 100U/ML 1KU</t>
  </si>
  <si>
    <t>HEPARIN 100U/ML</t>
  </si>
  <si>
    <t>0053210902</t>
  </si>
  <si>
    <t>HEPARIN NEO PER 1U IJ</t>
  </si>
  <si>
    <t>HEPARIN NEOIJ</t>
  </si>
  <si>
    <t>0053210969</t>
  </si>
  <si>
    <t>HEPARIN NEO PER 1ML IJ</t>
  </si>
  <si>
    <t>0053210977</t>
  </si>
  <si>
    <t>HEPARIN NEONAT DRIP IJ</t>
  </si>
  <si>
    <t>HEP NEO DRIP IJ</t>
  </si>
  <si>
    <t>0053211009</t>
  </si>
  <si>
    <t>HEPARIN NEO FL CMPD IJ</t>
  </si>
  <si>
    <t>HEPAR NEO FL IJ</t>
  </si>
  <si>
    <t>0053211025</t>
  </si>
  <si>
    <t>HEPARIN PER 1000U PMX IJ</t>
  </si>
  <si>
    <t>HEPAR1000UPMXIJ</t>
  </si>
  <si>
    <t>0053211082</t>
  </si>
  <si>
    <t>HEPATITIS B IG IM .5MLIJ</t>
  </si>
  <si>
    <t>HEP B IG .5ML</t>
  </si>
  <si>
    <t>0053211132</t>
  </si>
  <si>
    <t>HEPATITIS B IG IM 1MLIJ</t>
  </si>
  <si>
    <t>HEP B IG 1ML</t>
  </si>
  <si>
    <t>0053211140</t>
  </si>
  <si>
    <t>HEP B VAC ADULT IJ</t>
  </si>
  <si>
    <t>HEP BVAC ADLTIJ</t>
  </si>
  <si>
    <t>0053211157</t>
  </si>
  <si>
    <t>HEP B VAC PED/ADOL3DS IJ</t>
  </si>
  <si>
    <t>HEP B VAC P/AIJ</t>
  </si>
  <si>
    <t>0053211249</t>
  </si>
  <si>
    <t>HEPAT A PED 720U/.5MLIJ</t>
  </si>
  <si>
    <t>HEP A PED.5MLIJ</t>
  </si>
  <si>
    <t>0053211256</t>
  </si>
  <si>
    <t>HEPAT A ADULT 1440U/MLIJ</t>
  </si>
  <si>
    <t>HEP A ADUL1MLIJ</t>
  </si>
  <si>
    <t>0053211272</t>
  </si>
  <si>
    <t>HETASTARCH 6% 500ML IJ</t>
  </si>
  <si>
    <t>HETASTARCH500IJ</t>
  </si>
  <si>
    <t>0053211785</t>
  </si>
  <si>
    <t>HYALURONIDA OV PER 1U IJ</t>
  </si>
  <si>
    <t>HYALURONIDAS 1U</t>
  </si>
  <si>
    <t>0053211819</t>
  </si>
  <si>
    <t>HYALURONIDASE UPTO150UIJ</t>
  </si>
  <si>
    <t>HYALUROND150UIJ</t>
  </si>
  <si>
    <t>0053211975</t>
  </si>
  <si>
    <t>HYALURON/CHONDR .5ML IJ</t>
  </si>
  <si>
    <t>HYAL/CHOND .5ML</t>
  </si>
  <si>
    <t>0053212015</t>
  </si>
  <si>
    <t>HYALURONIDASE RECOMB 1U</t>
  </si>
  <si>
    <t>HYALUR RECOM 1U</t>
  </si>
  <si>
    <t>0053212023</t>
  </si>
  <si>
    <t>HYDRALAZINE UPTO 20MG IJ</t>
  </si>
  <si>
    <t>HYDRALAZN20MGIJ</t>
  </si>
  <si>
    <t>0053212437</t>
  </si>
  <si>
    <t>HCTS SS PER 100MG IJ</t>
  </si>
  <si>
    <t>HCTS SS100MG IJ</t>
  </si>
  <si>
    <t>0053212494</t>
  </si>
  <si>
    <t>IDARUCIZUMAB 5GM IJ</t>
  </si>
  <si>
    <t>IDARUCIZUM5GMIJ</t>
  </si>
  <si>
    <t>0053212510</t>
  </si>
  <si>
    <t>INS REG NEO PER 1U IJ</t>
  </si>
  <si>
    <t>INS REG NEOIJ</t>
  </si>
  <si>
    <t>0053212528</t>
  </si>
  <si>
    <t>INS NPH HUM VL 3ML IJ</t>
  </si>
  <si>
    <t>INS NPH H 3MLVL</t>
  </si>
  <si>
    <t>0053212569</t>
  </si>
  <si>
    <t>INS ASPART PER 5U IJ</t>
  </si>
  <si>
    <t xml:space="preserve">INS ASPART 5U  </t>
  </si>
  <si>
    <t>0053212585</t>
  </si>
  <si>
    <t>INS DETEMR PER 5U IJ</t>
  </si>
  <si>
    <t xml:space="preserve">INS DETEMR 5U  </t>
  </si>
  <si>
    <t>0053212601</t>
  </si>
  <si>
    <t>INS GLARG PER 5U IJ</t>
  </si>
  <si>
    <t xml:space="preserve">INS GLARG 5U   </t>
  </si>
  <si>
    <t>0053212627</t>
  </si>
  <si>
    <t>INS NPH HUM PER 5U IJ</t>
  </si>
  <si>
    <t xml:space="preserve">INS NPH HUM 5U </t>
  </si>
  <si>
    <t>0053212643</t>
  </si>
  <si>
    <t>INS LISPRO PER 5U IJ</t>
  </si>
  <si>
    <t xml:space="preserve">INS LISPR 5U   </t>
  </si>
  <si>
    <t>0053212650</t>
  </si>
  <si>
    <t>INS REG HUM PER 5U IJ</t>
  </si>
  <si>
    <t xml:space="preserve">INS REG HUM 5U </t>
  </si>
  <si>
    <t>0053212676</t>
  </si>
  <si>
    <t>INS LISP 75/25 5U PFS IJ</t>
  </si>
  <si>
    <t>INS 75/25 5UPFS</t>
  </si>
  <si>
    <t>0053212692</t>
  </si>
  <si>
    <t>INS ASPR 70/30 PER 5U IJ</t>
  </si>
  <si>
    <t>INS ASP70/30 5U</t>
  </si>
  <si>
    <t>0053212700</t>
  </si>
  <si>
    <t>INS N/R 70/30 PER 5U IJ</t>
  </si>
  <si>
    <t>INS NR 70/30 5U</t>
  </si>
  <si>
    <t>0053212916</t>
  </si>
  <si>
    <t>INSULIN DRIP PER 5U PMX IJ</t>
  </si>
  <si>
    <t>INSULIN DRIP 5U</t>
  </si>
  <si>
    <t>0053213039</t>
  </si>
  <si>
    <t>INDOMETHACIN NEO CMPD IJ</t>
  </si>
  <si>
    <t>INDOMETH NEO IJ</t>
  </si>
  <si>
    <t>0053213070</t>
  </si>
  <si>
    <t>HYOSCYAMINE UPTO.25MGIJ</t>
  </si>
  <si>
    <t>HYOSCYAM.25MGIJ</t>
  </si>
  <si>
    <t>0053213088</t>
  </si>
  <si>
    <t>IBUPROFEN LYS20MG/2ML IJ</t>
  </si>
  <si>
    <t>IBUPROFLYS2MLIJ</t>
  </si>
  <si>
    <t>0053213096</t>
  </si>
  <si>
    <t>IBANDRONATE PER 1MG IJ</t>
  </si>
  <si>
    <t>IBANDRONATE 1IJ</t>
  </si>
  <si>
    <t>0053213146</t>
  </si>
  <si>
    <t>IBUTILIDE PER 1MG IJ</t>
  </si>
  <si>
    <t>IBUTILIDE 1MGIJ</t>
  </si>
  <si>
    <t>0053213153</t>
  </si>
  <si>
    <t>HYDROXYZINE UPTO25MGIJ</t>
  </si>
  <si>
    <t>HYDROXYZINE25IJ</t>
  </si>
  <si>
    <t>0053213211</t>
  </si>
  <si>
    <t>IDARUBICIN PER 5MG IJ</t>
  </si>
  <si>
    <t>IDARUBICIN5MGIJ</t>
  </si>
  <si>
    <t>0053213229</t>
  </si>
  <si>
    <t>IFOSFAMIDE PER1GM IJ</t>
  </si>
  <si>
    <t>IFOSFAMIDE1GMIJ</t>
  </si>
  <si>
    <t>0053213245</t>
  </si>
  <si>
    <t>IMIPENEM/CIL PER250MG IJ</t>
  </si>
  <si>
    <t>IMPENE/CIL250IJ</t>
  </si>
  <si>
    <t>0053213377</t>
  </si>
  <si>
    <t>INDOCYANINE GRN 25MG IJ</t>
  </si>
  <si>
    <t>INDOCYANINE25IJ</t>
  </si>
  <si>
    <t>0053213419</t>
  </si>
  <si>
    <t>INDOCYANINE GRN 50MG IJ</t>
  </si>
  <si>
    <t>INDOCYANINE50IJ</t>
  </si>
  <si>
    <t>0053213450</t>
  </si>
  <si>
    <t>INDOMETHACIN 1MG IJ</t>
  </si>
  <si>
    <t>INDOMETHA1MG IJ</t>
  </si>
  <si>
    <t>0053213542</t>
  </si>
  <si>
    <t>RHO(D) IG IV PER100U IJ</t>
  </si>
  <si>
    <t>RHO D IG 100UIJ</t>
  </si>
  <si>
    <t>0053213567</t>
  </si>
  <si>
    <t>INFLIXIMAB PER 10MG IJ</t>
  </si>
  <si>
    <t xml:space="preserve">INFLIXIMAB PER </t>
  </si>
  <si>
    <t>0053213708</t>
  </si>
  <si>
    <t>INSULIN HUMAN</t>
  </si>
  <si>
    <t xml:space="preserve">HUMULIN INJ    </t>
  </si>
  <si>
    <t>0053213856</t>
  </si>
  <si>
    <t>INS HUM 50/50 10ML</t>
  </si>
  <si>
    <t>INS HUM50/50 10</t>
  </si>
  <si>
    <t>0053213971</t>
  </si>
  <si>
    <t>INS ANALG LISP 75/25 3ML</t>
  </si>
  <si>
    <t>HUMALOG75/253ML</t>
  </si>
  <si>
    <t>0053213997</t>
  </si>
  <si>
    <t>INS ANALOG LISPRO 3ML</t>
  </si>
  <si>
    <t xml:space="preserve">HUMALOG 3ML    </t>
  </si>
  <si>
    <t>0053214060</t>
  </si>
  <si>
    <t>INS ANALG LISP75/25 10ML</t>
  </si>
  <si>
    <t>HUMALOG75/2510M</t>
  </si>
  <si>
    <t>0053214078</t>
  </si>
  <si>
    <t>INS GLARGINE 10ML</t>
  </si>
  <si>
    <t>INS GLARGIN10ML</t>
  </si>
  <si>
    <t>0053214086</t>
  </si>
  <si>
    <t>INS GLARGINE DOSE</t>
  </si>
  <si>
    <t xml:space="preserve">INS GLARG DOSE </t>
  </si>
  <si>
    <t>0053214094</t>
  </si>
  <si>
    <t>INS GLARGINE 3ML CART</t>
  </si>
  <si>
    <t xml:space="preserve">INS GLARGIN3ML </t>
  </si>
  <si>
    <t>0053214102</t>
  </si>
  <si>
    <t>INS HUMAN R 1U/ML DILUTE</t>
  </si>
  <si>
    <t>INS HUM R 1U/CC</t>
  </si>
  <si>
    <t>0053214334</t>
  </si>
  <si>
    <t>INS DETEMIR DOSE IJ</t>
  </si>
  <si>
    <t>INS DET DOSE IJ</t>
  </si>
  <si>
    <t>0053214342</t>
  </si>
  <si>
    <t>INS DETEMIR 1 UNIT IJ</t>
  </si>
  <si>
    <t>INS DETEMR1UNIT</t>
  </si>
  <si>
    <t>0053214383</t>
  </si>
  <si>
    <t>INS DETEMIR PEN 3ML</t>
  </si>
  <si>
    <t>INS DETEMIR 3ML</t>
  </si>
  <si>
    <t>0053214417</t>
  </si>
  <si>
    <t>INS ANALOG ASP 70/30DOSE</t>
  </si>
  <si>
    <t>NOVOLG70/30DOSE</t>
  </si>
  <si>
    <t>0053214433</t>
  </si>
  <si>
    <t>INS ANALG ASPR70/30 10ML</t>
  </si>
  <si>
    <t>NOVOLG70/3010ML</t>
  </si>
  <si>
    <t>0053214482</t>
  </si>
  <si>
    <t>INS ANALOG ASPAR 3ML</t>
  </si>
  <si>
    <t xml:space="preserve">NOVOLOG 3ML    </t>
  </si>
  <si>
    <t>0053214532</t>
  </si>
  <si>
    <t>INS ANALOG LISPRO 10ML</t>
  </si>
  <si>
    <t xml:space="preserve">HUMALOG 10ML   </t>
  </si>
  <si>
    <t>0053214565</t>
  </si>
  <si>
    <t>INS HUM 70/30 10ML</t>
  </si>
  <si>
    <t xml:space="preserve">HUM 70/30 10ML </t>
  </si>
  <si>
    <t>0053214581</t>
  </si>
  <si>
    <t>INS HUM LENTE 10ML</t>
  </si>
  <si>
    <t>INS HUM LENTE10</t>
  </si>
  <si>
    <t>0053214615</t>
  </si>
  <si>
    <t>INS HUM NPH 10ML</t>
  </si>
  <si>
    <t xml:space="preserve">INS HUM NPH 10 </t>
  </si>
  <si>
    <t>0053214623</t>
  </si>
  <si>
    <t>INS HUM NPH DOSE</t>
  </si>
  <si>
    <t xml:space="preserve">INS HUM NPH DS </t>
  </si>
  <si>
    <t>0053214862</t>
  </si>
  <si>
    <t>INTERFER ALFA2B PER1MUIJ</t>
  </si>
  <si>
    <t>INTERFERALF2BIJ</t>
  </si>
  <si>
    <t>0053214953</t>
  </si>
  <si>
    <t>INS ANALG ASPART 3ML PEN</t>
  </si>
  <si>
    <t>INS ASP 3ML PEN</t>
  </si>
  <si>
    <t>0053214987</t>
  </si>
  <si>
    <t>INS HUM REG VIAL 3ML</t>
  </si>
  <si>
    <t xml:space="preserve">HUM REG VL 3ML </t>
  </si>
  <si>
    <t>0053215026</t>
  </si>
  <si>
    <t>IRINOTECAN PER 20MG IJ</t>
  </si>
  <si>
    <t>IRINOTECA20MGIJ</t>
  </si>
  <si>
    <t>0053215042</t>
  </si>
  <si>
    <t>INS GLULIS PER 5U IJ</t>
  </si>
  <si>
    <t xml:space="preserve">INS GLULIS 5U  </t>
  </si>
  <si>
    <t>0053215059</t>
  </si>
  <si>
    <t>INTERFER B-1A 1MCG IM IJ</t>
  </si>
  <si>
    <t>INTERF B1A IMIJ</t>
  </si>
  <si>
    <t>0053215125</t>
  </si>
  <si>
    <t>FE DEXTRAN PER 50MG IJ</t>
  </si>
  <si>
    <t>FE DEXTRAN 50IJ</t>
  </si>
  <si>
    <t>0053215182</t>
  </si>
  <si>
    <t>INS GLARGINE-YFGN PER 5U IJ</t>
  </si>
  <si>
    <t xml:space="preserve">INS GLARG-YFGN </t>
  </si>
  <si>
    <t>0053215299</t>
  </si>
  <si>
    <t>IRON SUCROSE PER 1MG IJ</t>
  </si>
  <si>
    <t>IRON SUCROSE PE</t>
  </si>
  <si>
    <t>0053215331</t>
  </si>
  <si>
    <t>ISAVUCONAZONIUM PER1MGIJ</t>
  </si>
  <si>
    <t>ISAVUCONAZ1MGIJ</t>
  </si>
  <si>
    <t>0053215489</t>
  </si>
  <si>
    <t>ISOPROTERENL.2MG/ML5MLIJ</t>
  </si>
  <si>
    <t>ISOPROTERE5MLIJ</t>
  </si>
  <si>
    <t>0053215513</t>
  </si>
  <si>
    <t>ISOPROTERENOL .2MG/1MLIJ</t>
  </si>
  <si>
    <t>ISOPROTERE1MLIJ</t>
  </si>
  <si>
    <t>0053215539</t>
  </si>
  <si>
    <t>ISOPROTERENOL 1MG/5ML IJ</t>
  </si>
  <si>
    <t>0053215596</t>
  </si>
  <si>
    <t>ISOPROTER NEO PER 1MG IJ</t>
  </si>
  <si>
    <t>ISOPROTER NEOIJ</t>
  </si>
  <si>
    <t>0053215943</t>
  </si>
  <si>
    <t>IVIG LYOP PWD PER500MGIJ</t>
  </si>
  <si>
    <t>IVIG LYOP 500MG</t>
  </si>
  <si>
    <t>0053215992</t>
  </si>
  <si>
    <t>IVIG PRIVIGEN PER500MGIJ</t>
  </si>
  <si>
    <t>PRIVIGEN500MGIJ</t>
  </si>
  <si>
    <t>0053216008</t>
  </si>
  <si>
    <t>IVIG OCTAGAM PER 500MGIJ</t>
  </si>
  <si>
    <t>OCTAGAM 500MGIJ</t>
  </si>
  <si>
    <t>0053216032</t>
  </si>
  <si>
    <t>IVIG GAMUNEX PER 500MG IV IJ</t>
  </si>
  <si>
    <t>IVIG GAMUNEX500</t>
  </si>
  <si>
    <t>0053216123</t>
  </si>
  <si>
    <t>KETAMINE NEO PER 1MG IJ</t>
  </si>
  <si>
    <t>KETAMINE 1MG IJ</t>
  </si>
  <si>
    <t>0053216198</t>
  </si>
  <si>
    <t>KCL PER 2MEQ PMX IJ</t>
  </si>
  <si>
    <t>KCLPER2MEQPMXIJ</t>
  </si>
  <si>
    <t>0053216206</t>
  </si>
  <si>
    <t>KCL PER 2MEQ IJ</t>
  </si>
  <si>
    <t>0053216255</t>
  </si>
  <si>
    <t>KETAMINE 10MG/ML 20ML</t>
  </si>
  <si>
    <t>KETAMINE20ML IJ</t>
  </si>
  <si>
    <t>0053216263</t>
  </si>
  <si>
    <t>KETAMINE 10MG/1ML IJ</t>
  </si>
  <si>
    <t>KETAMINE 1ML IJ</t>
  </si>
  <si>
    <t>0053216305</t>
  </si>
  <si>
    <t>KETAMINE 50MG/ML 10ML IJ</t>
  </si>
  <si>
    <t>KETAMINE10ML IJ</t>
  </si>
  <si>
    <t>0053216339</t>
  </si>
  <si>
    <t>KETOROLAC PER 15MG IJ</t>
  </si>
  <si>
    <t>KETOROLAC 15MG</t>
  </si>
  <si>
    <t>0053216354</t>
  </si>
  <si>
    <t>KETAMINE 100MG/ML 5ML</t>
  </si>
  <si>
    <t>KETAMINE 5ML IJ</t>
  </si>
  <si>
    <t>0053216404</t>
  </si>
  <si>
    <t>L-CYSTEINE 50MG/ML 1MLIJ</t>
  </si>
  <si>
    <t>L-CYSTEINE 1IJ</t>
  </si>
  <si>
    <t>0053216487</t>
  </si>
  <si>
    <t>LEPIRUDIN PER 50MG IJ</t>
  </si>
  <si>
    <t>LEPIRUDIN50MGIJ</t>
  </si>
  <si>
    <t>0053216511</t>
  </si>
  <si>
    <t>LEUCOVORIN PER 50MG IJ</t>
  </si>
  <si>
    <t>LEUCOVORN50MGIJ</t>
  </si>
  <si>
    <t>0053216594</t>
  </si>
  <si>
    <t>LACOSAMIDE PER 1MG IJ</t>
  </si>
  <si>
    <t>LACOSAMID1MG IJ</t>
  </si>
  <si>
    <t>0053216644</t>
  </si>
  <si>
    <t>LABETALOL NEO PER 1MG IJ</t>
  </si>
  <si>
    <t>LABETALOL 1MGIJ</t>
  </si>
  <si>
    <t>0053216685</t>
  </si>
  <si>
    <t>LEUPROLID DEP 3.75MG IJ</t>
  </si>
  <si>
    <t>LEUPROLID3.75IJ</t>
  </si>
  <si>
    <t>0053216743</t>
  </si>
  <si>
    <t>LEUPROLIDE PER 1MG IJ</t>
  </si>
  <si>
    <t>LEUPROLIDE1MGIJ</t>
  </si>
  <si>
    <t>0053216768</t>
  </si>
  <si>
    <t>LEUPROLID DEP PER7.5MGIJ</t>
  </si>
  <si>
    <t>LEUPROLIDE7.5IJ</t>
  </si>
  <si>
    <t>0053216826</t>
  </si>
  <si>
    <t>LABETALOL PER 5MG IJ</t>
  </si>
  <si>
    <t>LABETALOL PER 5</t>
  </si>
  <si>
    <t>0053216933</t>
  </si>
  <si>
    <t>LEVOTHYROXINE NOS PER 10MCG IJ</t>
  </si>
  <si>
    <t>LEVOTHYROXINE 1</t>
  </si>
  <si>
    <t>0053216941</t>
  </si>
  <si>
    <t>LEVETIRACETAM PER 1ML IJ</t>
  </si>
  <si>
    <t>LEVETIRAC 1MLIJ</t>
  </si>
  <si>
    <t>0053216966</t>
  </si>
  <si>
    <t>LEVETIRACETAM PER10MG IJ</t>
  </si>
  <si>
    <t>LEVETIRACET10IJ</t>
  </si>
  <si>
    <t>0053216974</t>
  </si>
  <si>
    <t>LEVETIRACET PER10MGPMXIJ</t>
  </si>
  <si>
    <t>LEVETIRA10PMXIJ</t>
  </si>
  <si>
    <t>0053216982</t>
  </si>
  <si>
    <t>NOREPINEPHRINE 4MG/4MLIJ</t>
  </si>
  <si>
    <t>NOREPINEPH4MLIJ</t>
  </si>
  <si>
    <t>0053217055</t>
  </si>
  <si>
    <t>LEVOCARNITINE NEO IJ</t>
  </si>
  <si>
    <t>LEVOCARN NEO IJ</t>
  </si>
  <si>
    <t>0053217097</t>
  </si>
  <si>
    <t>LEVOFLOXACIN PER250MG IJ</t>
  </si>
  <si>
    <t>LEVOFLOXAC250IJ</t>
  </si>
  <si>
    <t>0053217121</t>
  </si>
  <si>
    <t>LEVOFLOXAC PER250MGPMXIJ</t>
  </si>
  <si>
    <t>LEVOFLO250PMXIJ</t>
  </si>
  <si>
    <t>0053217147</t>
  </si>
  <si>
    <t>LEVOCARNITINE PER 1GM IJ</t>
  </si>
  <si>
    <t>LEVOCARNIT1GMIJ</t>
  </si>
  <si>
    <t>0053217188</t>
  </si>
  <si>
    <t>LEVOCARNITINE PER 1ML IJ</t>
  </si>
  <si>
    <t>LEVOCARN 1ML IJ</t>
  </si>
  <si>
    <t>0053217238</t>
  </si>
  <si>
    <t>LEVOLEUCOVOR NOS PER 0.5MG IJ</t>
  </si>
  <si>
    <t xml:space="preserve">LEVOLEUCOV NOS </t>
  </si>
  <si>
    <t>0053217337</t>
  </si>
  <si>
    <t>LIDOCAINE 1% BUFF CMD IJ</t>
  </si>
  <si>
    <t>LIDO1% BUFF IJ</t>
  </si>
  <si>
    <t>0053217527</t>
  </si>
  <si>
    <t>LIDOCAINE NEO PER 1MG IJ</t>
  </si>
  <si>
    <t>LIDOCAINE 1MGIJ</t>
  </si>
  <si>
    <t>0053217535</t>
  </si>
  <si>
    <t>LIDOCAINE D5W PER 1MG IJ</t>
  </si>
  <si>
    <t>LIDOCAINE D5W P</t>
  </si>
  <si>
    <t>0053217543</t>
  </si>
  <si>
    <t>LIDOCAINE PER 1MG IJ</t>
  </si>
  <si>
    <t>LIDOCAINE PER 1</t>
  </si>
  <si>
    <t>0053217568</t>
  </si>
  <si>
    <t>LIDOCAINE PER 1MG PF IJ</t>
  </si>
  <si>
    <t>0053217592</t>
  </si>
  <si>
    <t>LIDOCAINE PER 1MG W/EPI IJ</t>
  </si>
  <si>
    <t>LIDOCAINE PER1M</t>
  </si>
  <si>
    <t>0053218533</t>
  </si>
  <si>
    <t>LINEZOLID PER 200MG IJ</t>
  </si>
  <si>
    <t>LINEZOLID 200IJ</t>
  </si>
  <si>
    <t>0053218558</t>
  </si>
  <si>
    <t>LIOTHYRONINE 10MCG/1MLIJ</t>
  </si>
  <si>
    <t>LIOTHYRON 1MLIJ</t>
  </si>
  <si>
    <t>0053218939</t>
  </si>
  <si>
    <t>LORAZEPAM PER 2MG SG IJ</t>
  </si>
  <si>
    <t>LORAZEPA2MGSGIJ</t>
  </si>
  <si>
    <t>0053218947</t>
  </si>
  <si>
    <t>LORAZEPAM PER 2MG IJ</t>
  </si>
  <si>
    <t>LORAZEPAM 2MGIJ</t>
  </si>
  <si>
    <t>0053219531</t>
  </si>
  <si>
    <t>MAG SULF PER 500MG IJ</t>
  </si>
  <si>
    <t>MG SULF 500MGIJ</t>
  </si>
  <si>
    <t>0053219564</t>
  </si>
  <si>
    <t>MAG SULF PER 500MG PMXIJ</t>
  </si>
  <si>
    <t>0053219572</t>
  </si>
  <si>
    <t>MAG SULF PEDI DOSE IJ</t>
  </si>
  <si>
    <t>MG SULF PEDI IJ</t>
  </si>
  <si>
    <t>0053219614</t>
  </si>
  <si>
    <t>MANNITOL 25% 50ML IJ</t>
  </si>
  <si>
    <t>MANNITOL 50MLIJ</t>
  </si>
  <si>
    <t>0053219838</t>
  </si>
  <si>
    <t>MAG SULF NEO PER 1ML IJ</t>
  </si>
  <si>
    <t>MAG SULF NEO IJ</t>
  </si>
  <si>
    <t>0053219929</t>
  </si>
  <si>
    <t>MEASLES/MUMPS/RUB VACCIJ</t>
  </si>
  <si>
    <t>MMR VACC IJ</t>
  </si>
  <si>
    <t>0053220216</t>
  </si>
  <si>
    <t>MEDROXYPROGEST PER 1MGIJ</t>
  </si>
  <si>
    <t>MEDROXYPR 1MGIJ</t>
  </si>
  <si>
    <t>0053220406</t>
  </si>
  <si>
    <t>MELPHALAN PER50MG IJ</t>
  </si>
  <si>
    <t>MELPHALAN50MGIJ</t>
  </si>
  <si>
    <t>0053220588</t>
  </si>
  <si>
    <t>MENINGOCOCCAL VAC SQ IJ</t>
  </si>
  <si>
    <t>MENINGOC SQ IJ</t>
  </si>
  <si>
    <t>0053220596</t>
  </si>
  <si>
    <t>MENINGOCOCCAL VAC IM IJ</t>
  </si>
  <si>
    <t>MENINGOC IM IJ</t>
  </si>
  <si>
    <t>0053221016</t>
  </si>
  <si>
    <t>MEPIVACAIN 1% PER10ML IJ</t>
  </si>
  <si>
    <t>MEPIVACAN10MLIJ</t>
  </si>
  <si>
    <t>0053221164</t>
  </si>
  <si>
    <t>MEROPENEM PER 100MG IJ</t>
  </si>
  <si>
    <t>MEROPENEM 100IJ</t>
  </si>
  <si>
    <t>0053221180</t>
  </si>
  <si>
    <t>MEROPENEM PED PER 1ML IJ</t>
  </si>
  <si>
    <t>MEROPENM PED IJ</t>
  </si>
  <si>
    <t>0053221206</t>
  </si>
  <si>
    <t>MESNA PER 200MG IJ</t>
  </si>
  <si>
    <t>MESNA 200MG IJ</t>
  </si>
  <si>
    <t>0053221230</t>
  </si>
  <si>
    <t>MEROPENEM PER100MG PMXIJ</t>
  </si>
  <si>
    <t>0053221859</t>
  </si>
  <si>
    <t>METHOCARBAMOL UPTO10MLIJ</t>
  </si>
  <si>
    <t>METHOCARB10MLIJ</t>
  </si>
  <si>
    <t>0053222352</t>
  </si>
  <si>
    <t>METHYLDOPATE UPTO250MGIJ</t>
  </si>
  <si>
    <t>METHYLDO250MGIJ</t>
  </si>
  <si>
    <t>0053222691</t>
  </si>
  <si>
    <t>METHYLERGONOV UPTO.2MGIJ</t>
  </si>
  <si>
    <t>METHYLERG.2MGIJ</t>
  </si>
  <si>
    <t>0053222766</t>
  </si>
  <si>
    <t>METHYLNALTREXONE 0.1MGIJ</t>
  </si>
  <si>
    <t>METHNALTX.1MGIJ</t>
  </si>
  <si>
    <t>0053222915</t>
  </si>
  <si>
    <t>METHYLPRED PED CMPD IJ</t>
  </si>
  <si>
    <t>METHYLPREDPEDIJ</t>
  </si>
  <si>
    <t>0053222964</t>
  </si>
  <si>
    <t>METHYLPRED A PER 1MG IJ</t>
  </si>
  <si>
    <t>METHYLPRED A PE</t>
  </si>
  <si>
    <t>0053223137</t>
  </si>
  <si>
    <t>METHYLPRED SS PER 5MG IJ</t>
  </si>
  <si>
    <t>METHYLPRED SS P</t>
  </si>
  <si>
    <t>0053223665</t>
  </si>
  <si>
    <t>METOCLOPRAM UPTO10MG IJ</t>
  </si>
  <si>
    <t>METOCLOPR10MGIJ</t>
  </si>
  <si>
    <t>0053223673</t>
  </si>
  <si>
    <t>METOCLOPRAM NEO CMPD IJ</t>
  </si>
  <si>
    <t>METOCLOPRANEOIJ</t>
  </si>
  <si>
    <t>0053223814</t>
  </si>
  <si>
    <t>METOPROLOL 1MG/ML5ML IJ</t>
  </si>
  <si>
    <t>METOPROLOL5MLIJ</t>
  </si>
  <si>
    <t>0053223848</t>
  </si>
  <si>
    <t>METRONIDAZOLE PED IJ</t>
  </si>
  <si>
    <t>METRONID PED IJ</t>
  </si>
  <si>
    <t>0053223905</t>
  </si>
  <si>
    <t>METRONIDAZOLE PER 10MG PMX IJ</t>
  </si>
  <si>
    <t>METRONIDAZOL 10</t>
  </si>
  <si>
    <t>0053224093</t>
  </si>
  <si>
    <t>MICAFUNGIN PER 1MG IJ</t>
  </si>
  <si>
    <t>MICAFUNGIN1MGIJ</t>
  </si>
  <si>
    <t>0053224127</t>
  </si>
  <si>
    <t>MICAFUNGIN PER 1MG PMX IJ</t>
  </si>
  <si>
    <t xml:space="preserve">MICAFUNGIN 1MG </t>
  </si>
  <si>
    <t>0053224473</t>
  </si>
  <si>
    <t>MILRINONE PER 5MG IJ</t>
  </si>
  <si>
    <t>MILRINONE 5MGIJ</t>
  </si>
  <si>
    <t>0053224549</t>
  </si>
  <si>
    <t>MIDAZOLAM PER 1MG IJ</t>
  </si>
  <si>
    <t>MIDAZOLAM 1MGIJ</t>
  </si>
  <si>
    <t>0053224556</t>
  </si>
  <si>
    <t>MILRINONE PER 5MG PMX IJ</t>
  </si>
  <si>
    <t>MILRINONE5MGPMX</t>
  </si>
  <si>
    <t>0053224580</t>
  </si>
  <si>
    <t>MINOCYCLINE PER 1MG IJ</t>
  </si>
  <si>
    <t>MINOCYCLIN1MGIJ</t>
  </si>
  <si>
    <t>0053224598</t>
  </si>
  <si>
    <t>MILRINONE NEO PER 1MG IJ</t>
  </si>
  <si>
    <t>MILRINONE NEOIJ</t>
  </si>
  <si>
    <t>0053224606</t>
  </si>
  <si>
    <t>MIDAZOLAM NEO PER 1MG IJ</t>
  </si>
  <si>
    <t>0053224929</t>
  </si>
  <si>
    <t>MITOMYCIN PER 5MG IJ</t>
  </si>
  <si>
    <t>MITOMYCIN 5MGIJ</t>
  </si>
  <si>
    <t>0053224994</t>
  </si>
  <si>
    <t>MITOXANTRONE PER 5MG IJ</t>
  </si>
  <si>
    <t>MITOXANTRO5MGIJ</t>
  </si>
  <si>
    <t>0053225215</t>
  </si>
  <si>
    <t>MORPHINE EPID PER1MLIJ</t>
  </si>
  <si>
    <t>MORPHIN EPID1ML</t>
  </si>
  <si>
    <t>0053225546</t>
  </si>
  <si>
    <t>MOXIFLOXACIN PER 100MGIJ</t>
  </si>
  <si>
    <t>MOXIFLOXAC100IJ</t>
  </si>
  <si>
    <t>0053225918</t>
  </si>
  <si>
    <t>MVI 10ML IJ</t>
  </si>
  <si>
    <t>0053225926</t>
  </si>
  <si>
    <t>MVI PEDI 10ML IJ</t>
  </si>
  <si>
    <t>MVI PED 10IJ</t>
  </si>
  <si>
    <t>0053225934</t>
  </si>
  <si>
    <t>MVI PEDI 5ML IJ</t>
  </si>
  <si>
    <t>MVI PED 5MLIJ</t>
  </si>
  <si>
    <t>0053226122</t>
  </si>
  <si>
    <t>MVI 5ML IJ</t>
  </si>
  <si>
    <t>0053226494</t>
  </si>
  <si>
    <t>MYCOPHENOLATE PER 10MG IJ</t>
  </si>
  <si>
    <t>MYCOPHENOLATE P</t>
  </si>
  <si>
    <t>0053226536</t>
  </si>
  <si>
    <t>NAFCILLIN PER 20MG IJ</t>
  </si>
  <si>
    <t>NAFCILLIN PER 2</t>
  </si>
  <si>
    <t>0053226692</t>
  </si>
  <si>
    <t>NA FERR GLUC PER12.5MGIJ</t>
  </si>
  <si>
    <t>NAFERRICG12.5IJ</t>
  </si>
  <si>
    <t>0053226718</t>
  </si>
  <si>
    <t>NA GLYCEROPHOSPH 20MLIJ</t>
  </si>
  <si>
    <t>NA GLYCER20MLIJ</t>
  </si>
  <si>
    <t>0053226858</t>
  </si>
  <si>
    <t>NALBUPHINE PER 10MG IJ</t>
  </si>
  <si>
    <t>NALBUPHIN10MGIJ</t>
  </si>
  <si>
    <t>0053227138</t>
  </si>
  <si>
    <t>NALOXONE PER 1MG IJ</t>
  </si>
  <si>
    <t>NALOXONE 1MG IJ</t>
  </si>
  <si>
    <t>0053228003</t>
  </si>
  <si>
    <t>NESIRITIDE PER .1MG IJ</t>
  </si>
  <si>
    <t>NESIRITID.1MGIJ</t>
  </si>
  <si>
    <t>0053228102</t>
  </si>
  <si>
    <t>NEOSTIGMINE UPTO .5MG IJ</t>
  </si>
  <si>
    <t>NEOSTIGMINE.5IJ</t>
  </si>
  <si>
    <t>0053228110</t>
  </si>
  <si>
    <t>NEOSTIG UPTO .5MG PFS IJ</t>
  </si>
  <si>
    <t>0053228219</t>
  </si>
  <si>
    <t>OPRELVEKIN PER 5MG IJ</t>
  </si>
  <si>
    <t>OPRELVEKIN5MGIJ</t>
  </si>
  <si>
    <t>0053228516</t>
  </si>
  <si>
    <t>NICARDIPINE PER 0.1MG IJ</t>
  </si>
  <si>
    <t>NICARDIPINE PER</t>
  </si>
  <si>
    <t>0053228524</t>
  </si>
  <si>
    <t>NICARDIPINE PER 0.1MG PMX IJ</t>
  </si>
  <si>
    <t>0053228532</t>
  </si>
  <si>
    <t>NICARDIPINE NEO PER1MGIJ</t>
  </si>
  <si>
    <t>NICARDIP 1MG IJ</t>
  </si>
  <si>
    <t>0053228706</t>
  </si>
  <si>
    <t>NIRSEVIMAB-ALIP RSV MAB .5MLIJ</t>
  </si>
  <si>
    <t>NIRSEVIMAB-ALIP</t>
  </si>
  <si>
    <t>0053228714</t>
  </si>
  <si>
    <t>NIRSEVIMAB-ALIP RSV MAB 1ML IJ</t>
  </si>
  <si>
    <t>0053228755</t>
  </si>
  <si>
    <t>NOREPINEPH 8MG/250ML IJ</t>
  </si>
  <si>
    <t>NOREPIN 8MG IJ</t>
  </si>
  <si>
    <t>0053228870</t>
  </si>
  <si>
    <t>NITROPRUSS NEO PER1MG IJ</t>
  </si>
  <si>
    <t>NITROPRUS 1MGIJ</t>
  </si>
  <si>
    <t>0053228888</t>
  </si>
  <si>
    <t>NOREPINEPHRN NEO 1MG IJ</t>
  </si>
  <si>
    <t>NOREPINE 1MG IJ</t>
  </si>
  <si>
    <t>0053229035</t>
  </si>
  <si>
    <t>NITROGLYC NEO PER 1MG IJ</t>
  </si>
  <si>
    <t>NITROGLYC NEOIJ</t>
  </si>
  <si>
    <t>0053229050</t>
  </si>
  <si>
    <t>NITROGLYC NEO PER 1ML IJ</t>
  </si>
  <si>
    <t>0053229092</t>
  </si>
  <si>
    <t>NOREPINEPHR 8MG DRIP IJ</t>
  </si>
  <si>
    <t>NOREPI 8MG DRIP</t>
  </si>
  <si>
    <t>0053229209</t>
  </si>
  <si>
    <t>OCTREOTIDE PER 25MCG IV IJ</t>
  </si>
  <si>
    <t>OCTREOT PER 25M</t>
  </si>
  <si>
    <t>0053229266</t>
  </si>
  <si>
    <t>NITROPRUSSIDE 50MG/2MLIJ</t>
  </si>
  <si>
    <t>NITROPRUSS2MLIJ</t>
  </si>
  <si>
    <t>0053229365</t>
  </si>
  <si>
    <t>ONDANSETRON PER 1MG IJ</t>
  </si>
  <si>
    <t>ONDANSETRO1MGIJ</t>
  </si>
  <si>
    <t>0053229472</t>
  </si>
  <si>
    <t>OCTREOTIDE NEO 1MCG IJ</t>
  </si>
  <si>
    <t>OCTREOTID1MCGIJ</t>
  </si>
  <si>
    <t>0053229555</t>
  </si>
  <si>
    <t>NITROGLYCERIN PER 5MG IJ</t>
  </si>
  <si>
    <t>NITROGLYCERIN P</t>
  </si>
  <si>
    <t>0053229563</t>
  </si>
  <si>
    <t>NITROGLYCERIN PER 5MG PMX IJ</t>
  </si>
  <si>
    <t>NITROGLYCERIN 5</t>
  </si>
  <si>
    <t>0053229589</t>
  </si>
  <si>
    <t>OLANZAPINE PER 0.5MG IJ</t>
  </si>
  <si>
    <t xml:space="preserve">OLANZAPINE PER </t>
  </si>
  <si>
    <t>0053229860</t>
  </si>
  <si>
    <t>OXACILLIN UPTO 250MG IJ</t>
  </si>
  <si>
    <t>OXACILLN250MGIJ</t>
  </si>
  <si>
    <t>0053229993</t>
  </si>
  <si>
    <t>OXACILLIN NEO CMPD IJ</t>
  </si>
  <si>
    <t>OXACLNEO CMPDIJ</t>
  </si>
  <si>
    <t>0053230082</t>
  </si>
  <si>
    <t>OXALIPLATIN PER .5MG IJ</t>
  </si>
  <si>
    <t>OXALIPLATIN.5IJ</t>
  </si>
  <si>
    <t>0053230363</t>
  </si>
  <si>
    <t>OXYTOCIN PER 10U NACL IV</t>
  </si>
  <si>
    <t>OXYTOC 10U NACL</t>
  </si>
  <si>
    <t>0053230397</t>
  </si>
  <si>
    <t>OXYTOCIN PER 10U D5LR IV</t>
  </si>
  <si>
    <t>OXYTOC 10U D5LR</t>
  </si>
  <si>
    <t>0053230454</t>
  </si>
  <si>
    <t>OXYTOCIN UPTO 10U IJ</t>
  </si>
  <si>
    <t>OXYTOCIN 10U IJ</t>
  </si>
  <si>
    <t>0053230504</t>
  </si>
  <si>
    <t>PACLITAXEL PER 1MG IJ</t>
  </si>
  <si>
    <t>PACLITAXEL1MGIJ</t>
  </si>
  <si>
    <t>0053230520</t>
  </si>
  <si>
    <t>PACLITAX PRTBD PER 1MGIJ</t>
  </si>
  <si>
    <t>PACLITAXELPB1IJ</t>
  </si>
  <si>
    <t>0053230579</t>
  </si>
  <si>
    <t>PALIVIZUMAB PER 50MG IJ</t>
  </si>
  <si>
    <t>PALIVIZUMAB50IJ</t>
  </si>
  <si>
    <t>0053230603</t>
  </si>
  <si>
    <t>PAMIDRONATE PER 30MG IJ</t>
  </si>
  <si>
    <t>PAMIDRONA30MGIJ</t>
  </si>
  <si>
    <t>0053230645</t>
  </si>
  <si>
    <t>PALONOSETRON PER25MCGIJ</t>
  </si>
  <si>
    <t>PALONOSETRN25IJ</t>
  </si>
  <si>
    <t>0053230660</t>
  </si>
  <si>
    <t>PANCURONIUM 10MG/10ML IJ</t>
  </si>
  <si>
    <t>PANCURONM10MLIJ</t>
  </si>
  <si>
    <t>0053230686</t>
  </si>
  <si>
    <t>PANCURONIUM2MG/ML 2ML IJ</t>
  </si>
  <si>
    <t>PANCURONIU2MLIJ</t>
  </si>
  <si>
    <t>0053230702</t>
  </si>
  <si>
    <t>PANTOPRAZOLE PER40MGIJ</t>
  </si>
  <si>
    <t>PANTOPRAZOL40IJ</t>
  </si>
  <si>
    <t>0053230710</t>
  </si>
  <si>
    <t>PANTOPRAZOLE 40MG LQ</t>
  </si>
  <si>
    <t>PANTOPRAZOL40LQ</t>
  </si>
  <si>
    <t>0053230728</t>
  </si>
  <si>
    <t>PANITUMUMAB PER 10MG IJ</t>
  </si>
  <si>
    <t>PANITUMUMAB10IJ</t>
  </si>
  <si>
    <t>0053230751</t>
  </si>
  <si>
    <t>PANTOPRAZOLE PER 1ML IJ</t>
  </si>
  <si>
    <t>PANTOPRAZ 1MLIJ</t>
  </si>
  <si>
    <t>0053230777</t>
  </si>
  <si>
    <t>PAPAVERINE UPTO 60MG IJ</t>
  </si>
  <si>
    <t>PAPAVERIN60MGIJ</t>
  </si>
  <si>
    <t>0053230793</t>
  </si>
  <si>
    <t>PARICALCITOL PER 1MCG IJ</t>
  </si>
  <si>
    <t>PARICALCITOL1IJ</t>
  </si>
  <si>
    <t>0053230900</t>
  </si>
  <si>
    <t>PEGASPARGASE PER 5ML IJ</t>
  </si>
  <si>
    <t>PEGASPARGASE5IJ</t>
  </si>
  <si>
    <t>0053230991</t>
  </si>
  <si>
    <t>PEMETREXED PER 10MG IJ</t>
  </si>
  <si>
    <t>PEMETREXED 10IJ</t>
  </si>
  <si>
    <t>0053231049</t>
  </si>
  <si>
    <t>PEGINTERF A2APER180MCGIJ</t>
  </si>
  <si>
    <t>PEGINTFA2A180IJ</t>
  </si>
  <si>
    <t>0053231155</t>
  </si>
  <si>
    <t>PEMBROLIZUMAB PER 1MG IJ</t>
  </si>
  <si>
    <t>PEMBROLIZ 1MGIJ</t>
  </si>
  <si>
    <t>0053231213</t>
  </si>
  <si>
    <t>PEN G BENZ PER 100KU IJ</t>
  </si>
  <si>
    <t>PENG BEN100KUIJ</t>
  </si>
  <si>
    <t>0053231494</t>
  </si>
  <si>
    <t>PENICILLIN G K PED IJ</t>
  </si>
  <si>
    <t>PENC G K PED IJ</t>
  </si>
  <si>
    <t>0053231502</t>
  </si>
  <si>
    <t>PEN G K TO 600KU IVPB IJ</t>
  </si>
  <si>
    <t>PEN GK 600 IVPB</t>
  </si>
  <si>
    <t>0053231510</t>
  </si>
  <si>
    <t>PEN G K UPTO 600KU IJ</t>
  </si>
  <si>
    <t>PENG K 600KU IJ</t>
  </si>
  <si>
    <t>0053231536</t>
  </si>
  <si>
    <t>PENICILLIN G NA 5MU IJ</t>
  </si>
  <si>
    <t>PEN G NA 5MU IJ</t>
  </si>
  <si>
    <t>0053231734</t>
  </si>
  <si>
    <t>PEN G PROC UPTO 600KU IJ</t>
  </si>
  <si>
    <t>PENG PRO600KUIJ</t>
  </si>
  <si>
    <t>0053231890</t>
  </si>
  <si>
    <t>PENTAMIDINE PER 300MG IJ</t>
  </si>
  <si>
    <t>PENTAMID300MGIJ</t>
  </si>
  <si>
    <t>0053232328</t>
  </si>
  <si>
    <t>PERTUZUMAB PER 1MG IJ</t>
  </si>
  <si>
    <t>PERTUZUM 1MG IJ</t>
  </si>
  <si>
    <t>0053232476</t>
  </si>
  <si>
    <t>PHENOBARB NEO IJ</t>
  </si>
  <si>
    <t>PHEOBARB NEO IJ</t>
  </si>
  <si>
    <t>0053232674</t>
  </si>
  <si>
    <t>PHENTOLAMINE UPTO 5MG IJ</t>
  </si>
  <si>
    <t>PHENTOLAMN5MGIJ</t>
  </si>
  <si>
    <t>0053232815</t>
  </si>
  <si>
    <t>PHENYLEPHRINE PER 20MCG IJ</t>
  </si>
  <si>
    <t>PHENYLEPHRINE 2</t>
  </si>
  <si>
    <t>0053232831</t>
  </si>
  <si>
    <t>PHENYLEPHRINE PER 20MCG PFS IJ</t>
  </si>
  <si>
    <t>PHENYLEPH 20MCG</t>
  </si>
  <si>
    <t>0053232856</t>
  </si>
  <si>
    <t>PHENYLEPH NEO PER 1MG IJ</t>
  </si>
  <si>
    <t>PHENYLEPH 1MGIJ</t>
  </si>
  <si>
    <t>0053232914</t>
  </si>
  <si>
    <t>PHENYLEPHRIN 40MG PMX IJ</t>
  </si>
  <si>
    <t>P-EPH40MG PMXIJ</t>
  </si>
  <si>
    <t>0053233201</t>
  </si>
  <si>
    <t>PHENYTOIN PER 50MG IJ</t>
  </si>
  <si>
    <t>PHENYTOIN50MGIJ</t>
  </si>
  <si>
    <t>0053233656</t>
  </si>
  <si>
    <t>PHYTONADN PED PER 1MG IJ</t>
  </si>
  <si>
    <t>PHYTONADN 1MGIJ</t>
  </si>
  <si>
    <t>0053233664</t>
  </si>
  <si>
    <t>PHYTONADIONE PER 1MG IJ</t>
  </si>
  <si>
    <t>PHYTONADIONE1IJ</t>
  </si>
  <si>
    <t>0053234126</t>
  </si>
  <si>
    <t>PIPER/TAZ PER1.125GM IJ</t>
  </si>
  <si>
    <t>PIP/TAZ1.12GMIJ</t>
  </si>
  <si>
    <t>0053234159</t>
  </si>
  <si>
    <t>PIPER/TAZ PED PER1ML IJ</t>
  </si>
  <si>
    <t>PIPER/TAZ PEDIJ</t>
  </si>
  <si>
    <t>0053234472</t>
  </si>
  <si>
    <t>PNEUMOCOC 13 VAL VACC IJ</t>
  </si>
  <si>
    <t>PNEUMOCO13VACIJ</t>
  </si>
  <si>
    <t>0053234498</t>
  </si>
  <si>
    <t>PNEUMOCOC23 VAL VACC IJ</t>
  </si>
  <si>
    <t>PNEUMOCO23VACIJ</t>
  </si>
  <si>
    <t>0053234654</t>
  </si>
  <si>
    <t>POLIOVIRUS VAC IM/SQ IJ</t>
  </si>
  <si>
    <t>POLIO VACC IJ</t>
  </si>
  <si>
    <t>0053234910</t>
  </si>
  <si>
    <t>POLYMYXIN B 500MU IJ</t>
  </si>
  <si>
    <t>POLYMYXN500MUIJ</t>
  </si>
  <si>
    <t>0053235362</t>
  </si>
  <si>
    <t>K ACET 40MEQ/20ML IJ</t>
  </si>
  <si>
    <t>K ACETATE20MLIJ</t>
  </si>
  <si>
    <t>0053235537</t>
  </si>
  <si>
    <t>K PHOS 3MM/ML 5ML IJ</t>
  </si>
  <si>
    <t>K PHOS 5ML IJ</t>
  </si>
  <si>
    <t>0053235552</t>
  </si>
  <si>
    <t>K PHOS 3MM/ML 15ML IJ</t>
  </si>
  <si>
    <t>K PHOS 15ML IJ</t>
  </si>
  <si>
    <t>0053235602</t>
  </si>
  <si>
    <t>K PHOS NEO CMPD IJ</t>
  </si>
  <si>
    <t>K PHOS NEO IJ</t>
  </si>
  <si>
    <t>0053235628</t>
  </si>
  <si>
    <t>K PHOS 3MM/ML 1ML IJ</t>
  </si>
  <si>
    <t>K PHOS 1ML IJ</t>
  </si>
  <si>
    <t>0053236782</t>
  </si>
  <si>
    <t>PROCAINAMIDE UPTO 1GM IJ</t>
  </si>
  <si>
    <t>PROCAINAMD1GMIJ</t>
  </si>
  <si>
    <t>0053237202</t>
  </si>
  <si>
    <t>PROCHLORPERAZINE 10MG IJ</t>
  </si>
  <si>
    <t>PROCHLORP10MGIJ</t>
  </si>
  <si>
    <t>0053237467</t>
  </si>
  <si>
    <t>PROGESTERONE PER 50MG IJ</t>
  </si>
  <si>
    <t>PROGESTER50MGIJ</t>
  </si>
  <si>
    <t>0053237988</t>
  </si>
  <si>
    <t>PROMETHAZINE UPTO50MG IJ</t>
  </si>
  <si>
    <t>PROMETHAZIN50IJ</t>
  </si>
  <si>
    <t>0053238192</t>
  </si>
  <si>
    <t>PROPRANOLOL UPTO 1MG IJ</t>
  </si>
  <si>
    <t>PROPRANOLO1MGIJ</t>
  </si>
  <si>
    <t>0053238523</t>
  </si>
  <si>
    <t>PROPOFOL PER 10MG IJ</t>
  </si>
  <si>
    <t>PROPOFOL 10MGIJ</t>
  </si>
  <si>
    <t>0053238705</t>
  </si>
  <si>
    <t>PROTAMINE PER 10MG IJ</t>
  </si>
  <si>
    <t>PROTAMINE10MGIJ</t>
  </si>
  <si>
    <t>0053238762</t>
  </si>
  <si>
    <t>PROTHROM COMPLX KCENTRA 1U IJ</t>
  </si>
  <si>
    <t xml:space="preserve">PROTHROMB CMPX </t>
  </si>
  <si>
    <t>0053239083</t>
  </si>
  <si>
    <t>PYRIDOSTIGMINE10MG/2MLIJ</t>
  </si>
  <si>
    <t>PYRIDOSTIG2MLIJ</t>
  </si>
  <si>
    <t>0053239299</t>
  </si>
  <si>
    <t>PYRIDOXINE PER 100MG IJ</t>
  </si>
  <si>
    <t>PYRIDOXN100MGIJ</t>
  </si>
  <si>
    <t>0053239612</t>
  </si>
  <si>
    <t>RABIES IMM GLOB(KEDRAB) 2ML IJ</t>
  </si>
  <si>
    <t>RABIES IG(KEDRA</t>
  </si>
  <si>
    <t>0053239620</t>
  </si>
  <si>
    <t>RANITIDINE PED PER1ML IJ</t>
  </si>
  <si>
    <t>RANITIDN PED IJ</t>
  </si>
  <si>
    <t>0053239653</t>
  </si>
  <si>
    <t>RANITDN NEO CMPD IJ</t>
  </si>
  <si>
    <t>RANITDN NEO IJ</t>
  </si>
  <si>
    <t>0053239745</t>
  </si>
  <si>
    <t>RABIES VACCINE IM IJ</t>
  </si>
  <si>
    <t>RABIESVACCIMIJ</t>
  </si>
  <si>
    <t>0053239794</t>
  </si>
  <si>
    <t>RABIES IG HT PER150U IJ</t>
  </si>
  <si>
    <t>RABIES IG HT IJ</t>
  </si>
  <si>
    <t>0053239802</t>
  </si>
  <si>
    <t>RETEPLASE PER18.1MG IJ</t>
  </si>
  <si>
    <t>RETEPLASE18.1IJ</t>
  </si>
  <si>
    <t>0053239927</t>
  </si>
  <si>
    <t>REGADENOSON PER 0.1MG IJ</t>
  </si>
  <si>
    <t>REGADEN.1MG IJ</t>
  </si>
  <si>
    <t>0053239935</t>
  </si>
  <si>
    <t>RAMUCIRUMAB PER 5MG IJ</t>
  </si>
  <si>
    <t>RAMUCIRUM 5MGIJ</t>
  </si>
  <si>
    <t>0053239968</t>
  </si>
  <si>
    <t>RASBURICASE PER .5MG IJ</t>
  </si>
  <si>
    <t>RASBURICASE.5IJ</t>
  </si>
  <si>
    <t>0053240008</t>
  </si>
  <si>
    <t>REMDESIVIR PER 1MG IJ</t>
  </si>
  <si>
    <t xml:space="preserve">REMDESIVIR PER </t>
  </si>
  <si>
    <t>0053240057</t>
  </si>
  <si>
    <t>RHOPHYLAC IV/IMPER100UIJ</t>
  </si>
  <si>
    <t>RHOPHYLAC100UIJ</t>
  </si>
  <si>
    <t>0053240065</t>
  </si>
  <si>
    <t>RITUXIMAB-PVVR PER 10MG IJ</t>
  </si>
  <si>
    <t xml:space="preserve">RITUXIMAB-PVVR </t>
  </si>
  <si>
    <t>0053240073</t>
  </si>
  <si>
    <t>RITUXIMAB PER 10MG IJ</t>
  </si>
  <si>
    <t>RITUXIMAB PER 1</t>
  </si>
  <si>
    <t>0053240081</t>
  </si>
  <si>
    <t>ROCURONIUM NEO PER 1MGIJ</t>
  </si>
  <si>
    <t>ROCURONIUM1MGIJ</t>
  </si>
  <si>
    <t>0053240107</t>
  </si>
  <si>
    <t>RHO(D) IG PER 300MCG IJ</t>
  </si>
  <si>
    <t>RHO D 300MCGIJ</t>
  </si>
  <si>
    <t>0053240248</t>
  </si>
  <si>
    <t>ROCURONIUM10MG/1ML10MLIJ</t>
  </si>
  <si>
    <t>ROCURONIU10MLIJ</t>
  </si>
  <si>
    <t>0053240255</t>
  </si>
  <si>
    <t>ROCURONIUM10MG/1ML 5MLIJ</t>
  </si>
  <si>
    <t>ROCURONIUM5MLIJ</t>
  </si>
  <si>
    <t>0053240263</t>
  </si>
  <si>
    <t>ROCURONIUM10MG/1ML SG IJ</t>
  </si>
  <si>
    <t>ROCURONIU SG IJ</t>
  </si>
  <si>
    <t>0053240529</t>
  </si>
  <si>
    <t>ROPIVACAINE PER 1MG IJ</t>
  </si>
  <si>
    <t>ROPIVACAIN1MGIJ</t>
  </si>
  <si>
    <t>0053240537</t>
  </si>
  <si>
    <t>ROPIVACAINE PER1MG PMXIJ</t>
  </si>
  <si>
    <t>ROPIVIC1MGPMXIJ</t>
  </si>
  <si>
    <t>0053240909</t>
  </si>
  <si>
    <t>SELENIUM 40MCG/ML IJ</t>
  </si>
  <si>
    <t>SELENIUM 1ML IJ</t>
  </si>
  <si>
    <t>0053241303</t>
  </si>
  <si>
    <t>NA ACETATE2MEQ/ML 20MLIJ</t>
  </si>
  <si>
    <t>NA ACETAT20MLIJ</t>
  </si>
  <si>
    <t>0053241386</t>
  </si>
  <si>
    <t>NA BICARB 4%5ML IJ</t>
  </si>
  <si>
    <t>NA BICARB 5MLIJ</t>
  </si>
  <si>
    <t>0053241410</t>
  </si>
  <si>
    <t>NA BICARB PED4.2% IJ</t>
  </si>
  <si>
    <t>NA BICAR PED IJ</t>
  </si>
  <si>
    <t>0053241501</t>
  </si>
  <si>
    <t>NA BICARB 8.4%10ML PFSIJ</t>
  </si>
  <si>
    <t>NA BICAR10PFSIJ</t>
  </si>
  <si>
    <t>0053241519</t>
  </si>
  <si>
    <t>NA BICARB 8.4%50ML IJ</t>
  </si>
  <si>
    <t>NA BICARB50MLIJ</t>
  </si>
  <si>
    <t>0053241543</t>
  </si>
  <si>
    <t>NA BICARB 8.4%50ML PFSIJ</t>
  </si>
  <si>
    <t>NA BICAR50PFSIJ</t>
  </si>
  <si>
    <t>0053241782</t>
  </si>
  <si>
    <t>NACL 23.4% 30ML IJ</t>
  </si>
  <si>
    <t>NACL 30ML IJ</t>
  </si>
  <si>
    <t>0053241949</t>
  </si>
  <si>
    <t>NACL .9% 10ML IJ</t>
  </si>
  <si>
    <t>NACL 10ML IJ</t>
  </si>
  <si>
    <t>0053242004</t>
  </si>
  <si>
    <t>NACL .9% 10ML PFS IJ</t>
  </si>
  <si>
    <t>NACL10ML PFS IJ</t>
  </si>
  <si>
    <t>0053242012</t>
  </si>
  <si>
    <t>NACL .9% 3ML PFS IJ</t>
  </si>
  <si>
    <t>NACL 3ML PFS IJ</t>
  </si>
  <si>
    <t>0053242566</t>
  </si>
  <si>
    <t>NA PHOSPHATE3MM/ML 5MLIJ</t>
  </si>
  <si>
    <t>NA PHOS 5ML IJ</t>
  </si>
  <si>
    <t>0053242574</t>
  </si>
  <si>
    <t>NA PHOSPHATE3MM/ML15MLIJ</t>
  </si>
  <si>
    <t>NA PHOS15ML IJ</t>
  </si>
  <si>
    <t>0053242905</t>
  </si>
  <si>
    <t>SODIUM TETRADECYL3%2MLIJ</t>
  </si>
  <si>
    <t>NA TETRADE2MLIJ</t>
  </si>
  <si>
    <t>0053242988</t>
  </si>
  <si>
    <t>NA THIOSULFATE PER 100MG IJ</t>
  </si>
  <si>
    <t xml:space="preserve">NA THIOSULFATE </t>
  </si>
  <si>
    <t>0053243036</t>
  </si>
  <si>
    <t>SOMATROPIN PER 1MG IJ</t>
  </si>
  <si>
    <t>SOMATROPIN1MGIJ</t>
  </si>
  <si>
    <t>0053243630</t>
  </si>
  <si>
    <t>STREPTOMYCIN UPTO 1GM IJ</t>
  </si>
  <si>
    <t>STREPTOMYC1GMIJ</t>
  </si>
  <si>
    <t>0053243846</t>
  </si>
  <si>
    <t>STREPTOZOCIN 1GM IJ</t>
  </si>
  <si>
    <t>STREPTOZOC1GMIJ</t>
  </si>
  <si>
    <t>0053244000</t>
  </si>
  <si>
    <t>SUGAMMADEX 200MG/2ML IJ</t>
  </si>
  <si>
    <t>SUGAMADX 200 IJ</t>
  </si>
  <si>
    <t>0053244018</t>
  </si>
  <si>
    <t>SUGAMMADEX 500MG/5ML IJ</t>
  </si>
  <si>
    <t>SUGAMADX 500 IJ</t>
  </si>
  <si>
    <t>0053244059</t>
  </si>
  <si>
    <t>SUCCINYLCHOL UPTO 20MGIJ</t>
  </si>
  <si>
    <t>SUCCINYLC20MGIJ</t>
  </si>
  <si>
    <t>0053244208</t>
  </si>
  <si>
    <t>SUMATRIPTAN PER 6MG IJ</t>
  </si>
  <si>
    <t>SUMATRIPTA6MGIJ</t>
  </si>
  <si>
    <t>0053244257</t>
  </si>
  <si>
    <t>TENIPOSIDE PER50MGIJ</t>
  </si>
  <si>
    <t>TENIPOSID50MGIJ</t>
  </si>
  <si>
    <t>0053244265</t>
  </si>
  <si>
    <t>TERBUTALINE UPTO 1MG IJ</t>
  </si>
  <si>
    <t>TERBUTALIN1MGIJ</t>
  </si>
  <si>
    <t>0053244299</t>
  </si>
  <si>
    <t>TEMSIROLIMUS PER 1MG IJ</t>
  </si>
  <si>
    <t>TEMSIROLIMUS1IJ</t>
  </si>
  <si>
    <t>0053244315</t>
  </si>
  <si>
    <t>TENECTEPLASE PER 1MG IJ</t>
  </si>
  <si>
    <t>TENECTE 1MG IJ</t>
  </si>
  <si>
    <t>0053244414</t>
  </si>
  <si>
    <t>TBO-FILGRASTIM PER1MCGIJ</t>
  </si>
  <si>
    <t>TBO-FILGR1MCGIJ</t>
  </si>
  <si>
    <t>0053244505</t>
  </si>
  <si>
    <t>TECOVIRIMAT 200MG IJ (NO CHRG)</t>
  </si>
  <si>
    <t>0053244588</t>
  </si>
  <si>
    <t>TESTOSTERONE CYP 1MG IJ</t>
  </si>
  <si>
    <t>TESTOST 1MG IJ</t>
  </si>
  <si>
    <t>0053244992</t>
  </si>
  <si>
    <t>TETANUS IG UPTO 250U IJ</t>
  </si>
  <si>
    <t>TETANUS IG250IJ</t>
  </si>
  <si>
    <t>0053245619</t>
  </si>
  <si>
    <t>TETRACAINE 1% 2ML IJ</t>
  </si>
  <si>
    <t>TETRACAINE2MLIJ</t>
  </si>
  <si>
    <t>0053246047</t>
  </si>
  <si>
    <t>THEOPHYLLIN PER40MGPMXIJ</t>
  </si>
  <si>
    <t>THEOPHYL40PMXIJ</t>
  </si>
  <si>
    <t>0053246187</t>
  </si>
  <si>
    <t>THIAMINE PER 100MG IJ</t>
  </si>
  <si>
    <t>THIAMINE100MGIJ</t>
  </si>
  <si>
    <t>0053247391</t>
  </si>
  <si>
    <t>TIGECYCLINE PER 1MG IJ</t>
  </si>
  <si>
    <t>TIGECYCLINE 1IJ</t>
  </si>
  <si>
    <t>0053247631</t>
  </si>
  <si>
    <t>TIROFIBAN PER .25MG IJ</t>
  </si>
  <si>
    <t>TIROFIBAN .25IJ</t>
  </si>
  <si>
    <t>0053247748</t>
  </si>
  <si>
    <t>TOBRAMYCIN PER 1ML IJ</t>
  </si>
  <si>
    <t>TOBRAMYC 1ML IJ</t>
  </si>
  <si>
    <t>0053247805</t>
  </si>
  <si>
    <t>TOBRAMYCIN UPTO 80MG IJ</t>
  </si>
  <si>
    <t>TOBRAMYC 80MGIJ</t>
  </si>
  <si>
    <t>0053247813</t>
  </si>
  <si>
    <t>TOBRAMY UPTO 80MG PMX IJ</t>
  </si>
  <si>
    <t>TOBRAMYC80PMXIJ</t>
  </si>
  <si>
    <t>0053247912</t>
  </si>
  <si>
    <t>TOCILIZUMAB PER 1MG IJ</t>
  </si>
  <si>
    <t>TOCILIZUMB1MGIJ</t>
  </si>
  <si>
    <t>0053247961</t>
  </si>
  <si>
    <t>TOPOTECAN PER 0.1 MG IJ</t>
  </si>
  <si>
    <t>TOPOTECAN.1MGIJ</t>
  </si>
  <si>
    <t>0053248217</t>
  </si>
  <si>
    <t>TORSEMIDE 10MG/ML 2ML IJ</t>
  </si>
  <si>
    <t>TORSEMIDE 2MLIJ</t>
  </si>
  <si>
    <t>0053248449</t>
  </si>
  <si>
    <t>TRACE METAL 1ML IJ</t>
  </si>
  <si>
    <t>TRACE META1MLIJ</t>
  </si>
  <si>
    <t>0053248472</t>
  </si>
  <si>
    <t>TRACE METAL PED 3ML IJ</t>
  </si>
  <si>
    <t>TRACE META3MLIJ</t>
  </si>
  <si>
    <t>0053248506</t>
  </si>
  <si>
    <t>TRANEXAMIC ACID1G/10MLIJ</t>
  </si>
  <si>
    <t>TRANEXAMC10MLIJ</t>
  </si>
  <si>
    <t>0053248555</t>
  </si>
  <si>
    <t>TRASTUZUMAB PER 10MG IJ</t>
  </si>
  <si>
    <t>TRASTUZUMAB10IJ</t>
  </si>
  <si>
    <t>0053248654</t>
  </si>
  <si>
    <t>TRIAMCINOLON A PER10MGIJ</t>
  </si>
  <si>
    <t>TRIAMCINO10MGIJ</t>
  </si>
  <si>
    <t>0053249892</t>
  </si>
  <si>
    <t>TUBERCULIN PPD 5TU IJ</t>
  </si>
  <si>
    <t>TB TEST 5TUIJ</t>
  </si>
  <si>
    <t>0053250528</t>
  </si>
  <si>
    <t>UROKINASE PER 250000U IJ</t>
  </si>
  <si>
    <t>UROKINAS250MUIJ</t>
  </si>
  <si>
    <t>0053250650</t>
  </si>
  <si>
    <t>VALPROATE 500MG/5ML IJ</t>
  </si>
  <si>
    <t>VALPROATE5ML IJ</t>
  </si>
  <si>
    <t>0053250759</t>
  </si>
  <si>
    <t>VANCOMYCIN NEO CMPD IJ</t>
  </si>
  <si>
    <t>VANC NEO CMPDIJ</t>
  </si>
  <si>
    <t>0053250775</t>
  </si>
  <si>
    <t>VANCOMYCIN PER500MGPMXIJ</t>
  </si>
  <si>
    <t>VANCOMY500PMXIJ</t>
  </si>
  <si>
    <t>0053250783</t>
  </si>
  <si>
    <t>VANCOMYCIN PER 500MG IJ</t>
  </si>
  <si>
    <t>VANCOMYC500MGIJ</t>
  </si>
  <si>
    <t>0053250825</t>
  </si>
  <si>
    <t>VARICELLA IMM GLOB125UIJ</t>
  </si>
  <si>
    <t>VARICELLA125UIJ</t>
  </si>
  <si>
    <t>0053250940</t>
  </si>
  <si>
    <t>VASOPRESSIN PER 1U IJ</t>
  </si>
  <si>
    <t>VASOPRESSIN PER</t>
  </si>
  <si>
    <t>0053251088</t>
  </si>
  <si>
    <t>VASOPRESSIN NEO PER1U IJ</t>
  </si>
  <si>
    <t>VASOPRESS 1U IJ</t>
  </si>
  <si>
    <t>0053251096</t>
  </si>
  <si>
    <t>VECURONIUM NEO PER1MG IJ</t>
  </si>
  <si>
    <t>VECURONIUM1MGIJ</t>
  </si>
  <si>
    <t>0053251146</t>
  </si>
  <si>
    <t>VECURONIUM 10MG IJ</t>
  </si>
  <si>
    <t>VECURONIU10MGIJ</t>
  </si>
  <si>
    <t>0053251153</t>
  </si>
  <si>
    <t>VECURONIUM 20MG IJ</t>
  </si>
  <si>
    <t>VECURONIU20MGIJ</t>
  </si>
  <si>
    <t>0053251252</t>
  </si>
  <si>
    <t>VERAPAMIL2.5MG/ML 2ML IJ</t>
  </si>
  <si>
    <t>VERAPAMIL2ML IJ</t>
  </si>
  <si>
    <t>0053251302</t>
  </si>
  <si>
    <t>VERAPAMIL2.5MG/ML 4ML IJ</t>
  </si>
  <si>
    <t>VERAPAMIL4ML IJ</t>
  </si>
  <si>
    <t>0053251765</t>
  </si>
  <si>
    <t>VINBLASTINE PER 1MG IJ</t>
  </si>
  <si>
    <t>VINBLASTIN1MGIJ</t>
  </si>
  <si>
    <t>0053251989</t>
  </si>
  <si>
    <t>VINCRISTINE PER 1MG IJ</t>
  </si>
  <si>
    <t>VINCRISTIN1MGIJ</t>
  </si>
  <si>
    <t>0053252102</t>
  </si>
  <si>
    <t>VINORELBINE PER 10MG IJ</t>
  </si>
  <si>
    <t>VINORELBN10MGIJ</t>
  </si>
  <si>
    <t>0053252367</t>
  </si>
  <si>
    <t>VWF/FAC 8 WILATE 1U IJ</t>
  </si>
  <si>
    <t>WILATE PER1U IJ</t>
  </si>
  <si>
    <t>0053252391</t>
  </si>
  <si>
    <t>VORICONAZOLE PER 10MG IJ</t>
  </si>
  <si>
    <t>VORICONAZOL10IJ</t>
  </si>
  <si>
    <t>0053252466</t>
  </si>
  <si>
    <t>VON WILLEBRANDFC PER1UIJ</t>
  </si>
  <si>
    <t>VON WILLEBR1UIJ</t>
  </si>
  <si>
    <t>0053252474</t>
  </si>
  <si>
    <t>WATER INJ BACST 30ML IJ</t>
  </si>
  <si>
    <t>WATER BAC30MLIJ</t>
  </si>
  <si>
    <t>0053252482</t>
  </si>
  <si>
    <t>WATER INJ STERL 100ML IJ</t>
  </si>
  <si>
    <t>WATERSTR100MLIJ</t>
  </si>
  <si>
    <t>0053252508</t>
  </si>
  <si>
    <t>WATER INJ STERL 10ML IJ</t>
  </si>
  <si>
    <t>WATERSTER10MLIJ</t>
  </si>
  <si>
    <t>0053252540</t>
  </si>
  <si>
    <t>WATER INJ STERL 50ML IJ</t>
  </si>
  <si>
    <t>WATERSTER50MLIJ</t>
  </si>
  <si>
    <t>0053252698</t>
  </si>
  <si>
    <t>ZIDOVUDINE PER 10MG IJ</t>
  </si>
  <si>
    <t>ZIDOVUDIN10MGIJ</t>
  </si>
  <si>
    <t>0053252789</t>
  </si>
  <si>
    <t>ZINC CL 1MG/ML 10ML IJ</t>
  </si>
  <si>
    <t>ZINC CL 10ML IJ</t>
  </si>
  <si>
    <t>0053252797</t>
  </si>
  <si>
    <t>ZINC SULF 1MG/ML 10ML IJ</t>
  </si>
  <si>
    <t>ZINC SULF10MLIJ</t>
  </si>
  <si>
    <t>0053252938</t>
  </si>
  <si>
    <t>ZOLEDRONIC ACID PER1MGIJ</t>
  </si>
  <si>
    <t>ZOLED AC 1MGIJ</t>
  </si>
  <si>
    <t>0053253019</t>
  </si>
  <si>
    <t>ZIPRASIDONE PER 10MG IJ</t>
  </si>
  <si>
    <t>ZIPRASIDO10MGIJ</t>
  </si>
  <si>
    <t>0053270112</t>
  </si>
  <si>
    <t>APAP/COD 120/12 5ML LQ</t>
  </si>
  <si>
    <t>APAP/COD 5ML LQ</t>
  </si>
  <si>
    <t>0053270195</t>
  </si>
  <si>
    <t>APAP/COD 30MG TB</t>
  </si>
  <si>
    <t>APAP/COD30MG TB</t>
  </si>
  <si>
    <t>0053270237</t>
  </si>
  <si>
    <t>APAP/COD 60MG TB</t>
  </si>
  <si>
    <t>APAP/COD60MG TB</t>
  </si>
  <si>
    <t>0053270294</t>
  </si>
  <si>
    <t>AMPHET/DEXAMPHET 25MG CP</t>
  </si>
  <si>
    <t>AMPH/DEXAMP25CP</t>
  </si>
  <si>
    <t>0053270302</t>
  </si>
  <si>
    <t>ALPRAZOLAM .125MG TB</t>
  </si>
  <si>
    <t>ALPRAZOL .125TB</t>
  </si>
  <si>
    <t>0053270369</t>
  </si>
  <si>
    <t>APAP/BUTAL/CAF/ TB</t>
  </si>
  <si>
    <t xml:space="preserve">APAP/BUT/CF TB </t>
  </si>
  <si>
    <t>0053271102</t>
  </si>
  <si>
    <t>AMPHETAM MIX 10MG XR TB</t>
  </si>
  <si>
    <t>AMPH MIX10MG TB</t>
  </si>
  <si>
    <t>0053271128</t>
  </si>
  <si>
    <t>AMPHET/DEXAMPHET 10MG TB</t>
  </si>
  <si>
    <t>AMPH/DEXAMP10TB</t>
  </si>
  <si>
    <t>0053271136</t>
  </si>
  <si>
    <t>AMPHET/DEXAMPHET 5MG TB</t>
  </si>
  <si>
    <t xml:space="preserve">AMPH/DEXAMP5TB </t>
  </si>
  <si>
    <t>0053271169</t>
  </si>
  <si>
    <t>AMPHET/DEXAMPHET 15MG TB</t>
  </si>
  <si>
    <t>AMPH/DEXAM 15TB</t>
  </si>
  <si>
    <t>0053271649</t>
  </si>
  <si>
    <t>ASA/BUTAL/CAFF CP</t>
  </si>
  <si>
    <t xml:space="preserve">ASA/BUT/CAF CP </t>
  </si>
  <si>
    <t>0053271680</t>
  </si>
  <si>
    <t>ASA/BUTAL/CAFF TB</t>
  </si>
  <si>
    <t xml:space="preserve">ASA/BUT/CAF TB </t>
  </si>
  <si>
    <t>0053273140</t>
  </si>
  <si>
    <t>COCAINE 10% 4ML TS</t>
  </si>
  <si>
    <t>COCAINE 10% 4ML</t>
  </si>
  <si>
    <t>0053273165</t>
  </si>
  <si>
    <t>COCAINE 4% 10ML TS</t>
  </si>
  <si>
    <t>COCAINE 4% 10ML</t>
  </si>
  <si>
    <t>0053273181</t>
  </si>
  <si>
    <t>COCAINE 4% 4ML TS</t>
  </si>
  <si>
    <t>COCAINE 4% 4ML</t>
  </si>
  <si>
    <t>0053273645</t>
  </si>
  <si>
    <t>CODEINE 15MG TB</t>
  </si>
  <si>
    <t>0053274304</t>
  </si>
  <si>
    <t>DRONABINOL 2.5MG CP</t>
  </si>
  <si>
    <t>DRONABIN2.5MGCP</t>
  </si>
  <si>
    <t>0053274312</t>
  </si>
  <si>
    <t>DRONABINOL 5MG CP</t>
  </si>
  <si>
    <t>DRONABINOL5MGCP</t>
  </si>
  <si>
    <t>0053275012</t>
  </si>
  <si>
    <t>FENTANYL PER 0.1MG IJ</t>
  </si>
  <si>
    <t>FENTANYL.1MG IJ</t>
  </si>
  <si>
    <t>0053275020</t>
  </si>
  <si>
    <t>FENTANYL 25MCG/ML 25MLIJ</t>
  </si>
  <si>
    <t>FENTANY625MCGIJ</t>
  </si>
  <si>
    <t>0053275046</t>
  </si>
  <si>
    <t>FENTANYL 12MCG/HR TD</t>
  </si>
  <si>
    <t xml:space="preserve">FENTANYL 12MCG </t>
  </si>
  <si>
    <t>0053275103</t>
  </si>
  <si>
    <t>FENTANYL 25MCG/HR TD</t>
  </si>
  <si>
    <t xml:space="preserve">FENTANYL 25MCG </t>
  </si>
  <si>
    <t>0053275111</t>
  </si>
  <si>
    <t>FENTANYL 50MCG/HR TD</t>
  </si>
  <si>
    <t xml:space="preserve">FENTANYL 50MCG </t>
  </si>
  <si>
    <t>0053275129</t>
  </si>
  <si>
    <t>FENTANYL 75MCG/HR TD</t>
  </si>
  <si>
    <t xml:space="preserve">FENTANYL 75MCG </t>
  </si>
  <si>
    <t>0053275137</t>
  </si>
  <si>
    <t>FENTANYL 100MCG/HR TD</t>
  </si>
  <si>
    <t xml:space="preserve">FENTANYL100MCG </t>
  </si>
  <si>
    <t>0053275194</t>
  </si>
  <si>
    <t>FENTANYL 600MCG LZ</t>
  </si>
  <si>
    <t>FENTANYL 600MCG</t>
  </si>
  <si>
    <t>0053275319</t>
  </si>
  <si>
    <t>FENTANYL PER .1MG PCA IJ</t>
  </si>
  <si>
    <t>FENTANY PCA IJ</t>
  </si>
  <si>
    <t>0053275368</t>
  </si>
  <si>
    <t>HYDROMORPHONE PER 1ML IJ</t>
  </si>
  <si>
    <t>HYDROMORPH1MLIJ</t>
  </si>
  <si>
    <t>0053275442</t>
  </si>
  <si>
    <t>HYDROCOD/CPM 5ML XR LQ</t>
  </si>
  <si>
    <t xml:space="preserve">HYDR/CPM XR5ML </t>
  </si>
  <si>
    <t>0053275517</t>
  </si>
  <si>
    <t>HYDROCOD/HOMAT 10ML LQ</t>
  </si>
  <si>
    <t>HYDROC/HOMA10ML</t>
  </si>
  <si>
    <t>0053275533</t>
  </si>
  <si>
    <t>HYDROCOD/HOMAT 5ML LQ</t>
  </si>
  <si>
    <t>HYDROC/HOMAT5ML</t>
  </si>
  <si>
    <t>0053275541</t>
  </si>
  <si>
    <t>HYDROCOD/APAP 5/325 TB</t>
  </si>
  <si>
    <t xml:space="preserve">HYDR/APAP5/325 </t>
  </si>
  <si>
    <t>0053275574</t>
  </si>
  <si>
    <t>HYDROCOD/APAP 7.5/325TB</t>
  </si>
  <si>
    <t>HYD/APAP7.5/325</t>
  </si>
  <si>
    <t>0053275582</t>
  </si>
  <si>
    <t>HYDROCOD/APAP 15ML LQ</t>
  </si>
  <si>
    <t>HYDROC/ACET15ML</t>
  </si>
  <si>
    <t>0053275657</t>
  </si>
  <si>
    <t>HYDROCOD/APAP 10/325 TB</t>
  </si>
  <si>
    <t>HYDR/APAP10/325</t>
  </si>
  <si>
    <t>0053275772</t>
  </si>
  <si>
    <t>HYDROCOD/APAP 10ML LQ</t>
  </si>
  <si>
    <t>HYDROC/APAP10ML</t>
  </si>
  <si>
    <t>0053275780</t>
  </si>
  <si>
    <t>HYDROCOD/APAP 5/500 TB</t>
  </si>
  <si>
    <t>HYDRO/APAP5/500</t>
  </si>
  <si>
    <t>0053275798</t>
  </si>
  <si>
    <t>HYDROCOD/APAP 7.5/500TB</t>
  </si>
  <si>
    <t>HYD/APAP7.5/500</t>
  </si>
  <si>
    <t>0053275848</t>
  </si>
  <si>
    <t>HYDROMORPHONE 1MG TB</t>
  </si>
  <si>
    <t>HYDROMORPH1MGTB</t>
  </si>
  <si>
    <t>0053275871</t>
  </si>
  <si>
    <t>HYDROMORPHONE 2MG TB</t>
  </si>
  <si>
    <t>HYDROMORPH2MGTB</t>
  </si>
  <si>
    <t>0053275939</t>
  </si>
  <si>
    <t>HYDROMORPHONE 4MG TB</t>
  </si>
  <si>
    <t>HYDROMORPH4MGTB</t>
  </si>
  <si>
    <t>0053276002</t>
  </si>
  <si>
    <t>LEVORPHANOL 2MG TB</t>
  </si>
  <si>
    <t>LEVORPHANO2MGTB</t>
  </si>
  <si>
    <t>0053276200</t>
  </si>
  <si>
    <t>IXABEPILONE PER 1MG IJ</t>
  </si>
  <si>
    <t>IXABEPILO1MGIJ</t>
  </si>
  <si>
    <t>0053276218</t>
  </si>
  <si>
    <t>MEPERIDINE 50MG IJ</t>
  </si>
  <si>
    <t>MEPERIDIN50MGIJ</t>
  </si>
  <si>
    <t>0053276374</t>
  </si>
  <si>
    <t>MEPERIDINE PER 100MG IJ</t>
  </si>
  <si>
    <t>MEPERIDIN 100MG</t>
  </si>
  <si>
    <t>0053276507</t>
  </si>
  <si>
    <t>MEPERIDINE 25MG IJ</t>
  </si>
  <si>
    <t>MEPERIDIN25MGIJ</t>
  </si>
  <si>
    <t>0053276606</t>
  </si>
  <si>
    <t>METHADONE 20MG/10ML LQ</t>
  </si>
  <si>
    <t>METHADON20MG LQ</t>
  </si>
  <si>
    <t>0053276614</t>
  </si>
  <si>
    <t>METHADONE 5MG/5ML LQ</t>
  </si>
  <si>
    <t>METHADON 5MG LQ</t>
  </si>
  <si>
    <t>0053276671</t>
  </si>
  <si>
    <t>METHADONE 10MG/1ML LQ</t>
  </si>
  <si>
    <t>METHADON 10MG L</t>
  </si>
  <si>
    <t>0053276689</t>
  </si>
  <si>
    <t>METHADONE 1MG/ML LQ</t>
  </si>
  <si>
    <t>METHADONE1MG LQ</t>
  </si>
  <si>
    <t>0053276705</t>
  </si>
  <si>
    <t>METHADONE 10MG TB</t>
  </si>
  <si>
    <t>METHADON10MG TB</t>
  </si>
  <si>
    <t>0053276739</t>
  </si>
  <si>
    <t>HYDROMORPHONE PER 0.1MG IJ</t>
  </si>
  <si>
    <t xml:space="preserve">HYDROMORPH PER </t>
  </si>
  <si>
    <t>0053276747</t>
  </si>
  <si>
    <t>METHADONE 5MG TB</t>
  </si>
  <si>
    <t>METHADONE5MG TB</t>
  </si>
  <si>
    <t>0053276770</t>
  </si>
  <si>
    <t>LACOSAMIDE 50MG TB</t>
  </si>
  <si>
    <t>LACOSAMID50MGTB</t>
  </si>
  <si>
    <t>0053276788</t>
  </si>
  <si>
    <t>LACOSAMIDE 100MG TB</t>
  </si>
  <si>
    <t>LACOSAMD100MGTB</t>
  </si>
  <si>
    <t>0053276903</t>
  </si>
  <si>
    <t>HYDROMORPH PER 0.1MG PCA IJ</t>
  </si>
  <si>
    <t>HYDROMORPH 0.1M</t>
  </si>
  <si>
    <t>0053276952</t>
  </si>
  <si>
    <t>METHYLPHENIDATE 5MG TB</t>
  </si>
  <si>
    <t>METHYLPHEN5MGTB</t>
  </si>
  <si>
    <t>0053276960</t>
  </si>
  <si>
    <t>METHYLPHENIDATE 2.5MG TB</t>
  </si>
  <si>
    <t>METHYLPHEN2.5TB</t>
  </si>
  <si>
    <t>0053276994</t>
  </si>
  <si>
    <t>METHYLPHENIDATE 10MG TB</t>
  </si>
  <si>
    <t>METHYLPHE10MGTB</t>
  </si>
  <si>
    <t>0053277117</t>
  </si>
  <si>
    <t>MORPHINE NEO PER 1MG IJ</t>
  </si>
  <si>
    <t>MORPHINE 1MG IJ</t>
  </si>
  <si>
    <t>0053277125</t>
  </si>
  <si>
    <t>MORPH PF EPI/INTR 10MGIJ</t>
  </si>
  <si>
    <t>MORPH PF 10MGIJ</t>
  </si>
  <si>
    <t>0053277158</t>
  </si>
  <si>
    <t>MORPHINE 10MG/0.5ML LQ</t>
  </si>
  <si>
    <t>MORPHIN 0.5MLLQ</t>
  </si>
  <si>
    <t>0053277166</t>
  </si>
  <si>
    <t>MORPHINE PER 10MG PMX IJ</t>
  </si>
  <si>
    <t>MORPH 10MGPMXIJ</t>
  </si>
  <si>
    <t>0053277216</t>
  </si>
  <si>
    <t>MIDAZOLAM PER 1MG PMX IJ</t>
  </si>
  <si>
    <t>MIDAZOLAM1PMXIJ</t>
  </si>
  <si>
    <t>0053277224</t>
  </si>
  <si>
    <t>MIDAZOLAM PER 1MG PFS IJ</t>
  </si>
  <si>
    <t>MIDAZOLAM1PFSIJ</t>
  </si>
  <si>
    <t>0053277307</t>
  </si>
  <si>
    <t>MIDAZOLAM 10MG/5ML LQ</t>
  </si>
  <si>
    <t xml:space="preserve">MIDAZOL 5ML LQ </t>
  </si>
  <si>
    <t>0053277448</t>
  </si>
  <si>
    <t>MORPHINE UPTO 10MG IJ</t>
  </si>
  <si>
    <t>MORPHIN 10MG IJ</t>
  </si>
  <si>
    <t>0053277497</t>
  </si>
  <si>
    <t>MORPHINE 10MG/5ML LQ</t>
  </si>
  <si>
    <t>MORPHIN 10MG LQ</t>
  </si>
  <si>
    <t>0053277554</t>
  </si>
  <si>
    <t>MORPHINE 20MG/1ML LQ</t>
  </si>
  <si>
    <t>MORPHI 20MG/1ML</t>
  </si>
  <si>
    <t>0053277778</t>
  </si>
  <si>
    <t>MORPHINE 15MG TB</t>
  </si>
  <si>
    <t>MORPHIN 15MG TB</t>
  </si>
  <si>
    <t>0053277786</t>
  </si>
  <si>
    <t>MORPHINE 60MG XR TB</t>
  </si>
  <si>
    <t>MORPHIN60MGXRTB</t>
  </si>
  <si>
    <t>0053277794</t>
  </si>
  <si>
    <t>MORPHINE 100MG XR TB</t>
  </si>
  <si>
    <t>MORPHI100MGXRTB</t>
  </si>
  <si>
    <t>0053277802</t>
  </si>
  <si>
    <t>MORPHINE 15MG XR TB</t>
  </si>
  <si>
    <t>MORPHIN15MGXRTB</t>
  </si>
  <si>
    <t>0053277810</t>
  </si>
  <si>
    <t>MORPHINE 30MG TB</t>
  </si>
  <si>
    <t>MORPHIN 30MG TB</t>
  </si>
  <si>
    <t>0053277828</t>
  </si>
  <si>
    <t>MORPHINE 30MG XR TB</t>
  </si>
  <si>
    <t>MORPHIN30MGXRTB</t>
  </si>
  <si>
    <t>0053278016</t>
  </si>
  <si>
    <t>MORPHINE 600MG/30ML LQ</t>
  </si>
  <si>
    <t>MORPHIN 30ML LQ</t>
  </si>
  <si>
    <t>0053278024</t>
  </si>
  <si>
    <t>BELLADONNA OPIUM 30MGSU</t>
  </si>
  <si>
    <t>BELL OP 30MG SU</t>
  </si>
  <si>
    <t>0053278180</t>
  </si>
  <si>
    <t>MORPHINE 0.4MG/1ML LQ</t>
  </si>
  <si>
    <t>MORPHINE.4MG LQ</t>
  </si>
  <si>
    <t>0053278313</t>
  </si>
  <si>
    <t>OPIUM 10% TINC PER DS LQ</t>
  </si>
  <si>
    <t xml:space="preserve">OPIUM 10% DOSE </t>
  </si>
  <si>
    <t>0053278339</t>
  </si>
  <si>
    <t>MORPHIN 20MG/ML .25ML LQ</t>
  </si>
  <si>
    <t>MORPHIN .25MLLQ</t>
  </si>
  <si>
    <t>0053278362</t>
  </si>
  <si>
    <t>MORPHINE PER 10MG PCA</t>
  </si>
  <si>
    <t>MORPHINE10MGPCA</t>
  </si>
  <si>
    <t>0053278446</t>
  </si>
  <si>
    <t>OXYCOD/APAP 10/325 TB</t>
  </si>
  <si>
    <t>OXYC/APAP10/325</t>
  </si>
  <si>
    <t>0053278479</t>
  </si>
  <si>
    <t>OXYCOD/APAP 5/325 TB</t>
  </si>
  <si>
    <t xml:space="preserve">OXY/APAP 5/325 </t>
  </si>
  <si>
    <t>0053278511</t>
  </si>
  <si>
    <t>OXYCODONE 15MG TB</t>
  </si>
  <si>
    <t>OXYCODON15MG TB</t>
  </si>
  <si>
    <t>0053278529</t>
  </si>
  <si>
    <t>OXYCODONE/ASA 4.5MG TB</t>
  </si>
  <si>
    <t xml:space="preserve">OXYCOD/ASA TB  </t>
  </si>
  <si>
    <t>0053278552</t>
  </si>
  <si>
    <t>OXYCODONE 5MG TB</t>
  </si>
  <si>
    <t>OXYCODON 5MG TB</t>
  </si>
  <si>
    <t>0053278578</t>
  </si>
  <si>
    <t>OXYCODONE 10MG XR TB</t>
  </si>
  <si>
    <t>OXYCOD10MG XRTB</t>
  </si>
  <si>
    <t>0053278586</t>
  </si>
  <si>
    <t>OXYCODONE 20MG XR TB</t>
  </si>
  <si>
    <t>OXYCOD20MG XRTB</t>
  </si>
  <si>
    <t>0053278594</t>
  </si>
  <si>
    <t>OXYCODONE 40MG XR TB</t>
  </si>
  <si>
    <t>OXYCOD40MG XRTB</t>
  </si>
  <si>
    <t>0053278610</t>
  </si>
  <si>
    <t>OXYCODONE 30MG TB</t>
  </si>
  <si>
    <t>OXYCODON30MG TB</t>
  </si>
  <si>
    <t>0053278693</t>
  </si>
  <si>
    <t>OXYMETHOLONE 50MG TB</t>
  </si>
  <si>
    <t>OXYMETHOL50MGTB</t>
  </si>
  <si>
    <t>0053279014</t>
  </si>
  <si>
    <t>PENTOBARBIT PER 50MG IJ</t>
  </si>
  <si>
    <t>PENTOBAR50MG IJ</t>
  </si>
  <si>
    <t>0053279311</t>
  </si>
  <si>
    <t>PHENOBARBITAL 15MG TB</t>
  </si>
  <si>
    <t>PHENOBARB15MGTB</t>
  </si>
  <si>
    <t>0053279360</t>
  </si>
  <si>
    <t>PHENOBARBITAL 32.4MG TB</t>
  </si>
  <si>
    <t>PHENOBARB32.4TB</t>
  </si>
  <si>
    <t>0053279402</t>
  </si>
  <si>
    <t>PHENOBARB TO 120MG PFSIJ</t>
  </si>
  <si>
    <t>PB 120MG PFS IJ</t>
  </si>
  <si>
    <t>0053279410</t>
  </si>
  <si>
    <t>PHENOBARB UPTO 120MG IJ</t>
  </si>
  <si>
    <t>PB 120MG IJ</t>
  </si>
  <si>
    <t>0053279428</t>
  </si>
  <si>
    <t>PHENOBARBITAL 97.2MG TB</t>
  </si>
  <si>
    <t>PHENOBARB97MGTB</t>
  </si>
  <si>
    <t>0053279436</t>
  </si>
  <si>
    <t>PHENOBARBITAL 100MG TB</t>
  </si>
  <si>
    <t>PHENOBAR100MGTB</t>
  </si>
  <si>
    <t>0053279469</t>
  </si>
  <si>
    <t>PHENOBARBITAL 4MG/1ML LQ</t>
  </si>
  <si>
    <t>PHENOBARB1ML LQ</t>
  </si>
  <si>
    <t>0053279477</t>
  </si>
  <si>
    <t>PHENOBARBIT 20MG/5ML LQ</t>
  </si>
  <si>
    <t>PHENOBARB5ML LQ</t>
  </si>
  <si>
    <t>0053279485</t>
  </si>
  <si>
    <t>PHENOBARBITAL PED LQ</t>
  </si>
  <si>
    <t>PHENOBAR PED LQ</t>
  </si>
  <si>
    <t>0053279600</t>
  </si>
  <si>
    <t>REMIFENTANIL 1MG/3ML IJ</t>
  </si>
  <si>
    <t>REMIFENTA1MG IJ</t>
  </si>
  <si>
    <t>0053279659</t>
  </si>
  <si>
    <t>SARILUMAB 200MG/1.14ML SQ IJ</t>
  </si>
  <si>
    <t>SARILUMAB 200MG</t>
  </si>
  <si>
    <t>0053279915</t>
  </si>
  <si>
    <t>SUFENTANIL 50UG/ML1ML IJ</t>
  </si>
  <si>
    <t>SUFENTAN 1ML IJ</t>
  </si>
  <si>
    <t>0053279931</t>
  </si>
  <si>
    <t>SUFENTANIL 50UG/ML2ML IJ</t>
  </si>
  <si>
    <t>SUFENTAN 2ML IJ</t>
  </si>
  <si>
    <t>0053279964</t>
  </si>
  <si>
    <t>TAPENTADOL 25MG TB</t>
  </si>
  <si>
    <t>TAPENTADL25MGTB</t>
  </si>
  <si>
    <t>0053279972</t>
  </si>
  <si>
    <t>TAPENTADOL 75MG TB</t>
  </si>
  <si>
    <t>TAPENTADL75MGTB</t>
  </si>
  <si>
    <t>0053292454</t>
  </si>
  <si>
    <t>CHLOROPROCAINE PER 1MG IJ</t>
  </si>
  <si>
    <t xml:space="preserve">CHLOROPROCAINE </t>
  </si>
  <si>
    <t>0053300166</t>
  </si>
  <si>
    <t>ACETIC ACID 2% 15ML OT</t>
  </si>
  <si>
    <t>ACETIC AC15MLOT</t>
  </si>
  <si>
    <t>0053300232</t>
  </si>
  <si>
    <t>ACETC AC/HCTS2%-1%10MLOT</t>
  </si>
  <si>
    <t>ACE AC/HCTS10OT</t>
  </si>
  <si>
    <t>0053300448</t>
  </si>
  <si>
    <t>ACETYLCHOLINE CL1%2ML OS</t>
  </si>
  <si>
    <t>ACETYLCHOL2MLOS</t>
  </si>
  <si>
    <t>0053300653</t>
  </si>
  <si>
    <t>ACETYLCYSTEINE 10%4ML IS</t>
  </si>
  <si>
    <t>ACETYLCYST4MLIS</t>
  </si>
  <si>
    <t>0053300679</t>
  </si>
  <si>
    <t>ACETYLCYSTEINE10%10ML IS</t>
  </si>
  <si>
    <t>ACETYLCYST10 IS</t>
  </si>
  <si>
    <t>0053300729</t>
  </si>
  <si>
    <t>ACETYLCYSTEINE10%30ML IS</t>
  </si>
  <si>
    <t>ACETYLCYST30 IS</t>
  </si>
  <si>
    <t>0053300794</t>
  </si>
  <si>
    <t>ACETYLCYSTEINE 20%4ML IS</t>
  </si>
  <si>
    <t>0053300869</t>
  </si>
  <si>
    <t>ACETYLCYSTEINE20%10ML IS</t>
  </si>
  <si>
    <t>0053300935</t>
  </si>
  <si>
    <t>ACETYLCYSTEINE20%30ML IS</t>
  </si>
  <si>
    <t>0053301107</t>
  </si>
  <si>
    <t>ALBUTEROL .5% 5ML IS</t>
  </si>
  <si>
    <t>ALBUTEROL .5% 5</t>
  </si>
  <si>
    <t>0053301131</t>
  </si>
  <si>
    <t>ALBUTEROL HFA 18GM IH</t>
  </si>
  <si>
    <t>ALBUTEROL18G IH</t>
  </si>
  <si>
    <t>0053301156</t>
  </si>
  <si>
    <t>ALBUTEROL .5% 20ML IS</t>
  </si>
  <si>
    <t>ALBUTEROL20MLIS</t>
  </si>
  <si>
    <t>0053301164</t>
  </si>
  <si>
    <t>ALBUTEROL .083% 3ML IS</t>
  </si>
  <si>
    <t>ALBUTEROL3ML IS</t>
  </si>
  <si>
    <t>0053301206</t>
  </si>
  <si>
    <t>ALBUTEROL HFA 6.7GM IH</t>
  </si>
  <si>
    <t>ALBUTER 6.7G IH</t>
  </si>
  <si>
    <t>0053301230</t>
  </si>
  <si>
    <t>ALBUTEROL/IPRATR 3ML IS</t>
  </si>
  <si>
    <t>ALBUT/IPR 3MLIS</t>
  </si>
  <si>
    <t>0053301255</t>
  </si>
  <si>
    <t>ALBUTEROL2.5MG/.5ML UDIS</t>
  </si>
  <si>
    <t>ALBUTEROL.5MLIS</t>
  </si>
  <si>
    <t>0053301289</t>
  </si>
  <si>
    <t>ALBUTEROL HFA 8GM IH</t>
  </si>
  <si>
    <t xml:space="preserve">ALBUTER 8GM IH </t>
  </si>
  <si>
    <t>0053302113</t>
  </si>
  <si>
    <t>APRACLONIDINE .5% 5ML OS</t>
  </si>
  <si>
    <t>APRACLONID5MLOS</t>
  </si>
  <si>
    <t>0053302154</t>
  </si>
  <si>
    <t>APRACLONIDINE 1% .1ML OS</t>
  </si>
  <si>
    <t>APRACLOND.1MLOS</t>
  </si>
  <si>
    <t>0053302170</t>
  </si>
  <si>
    <t>ARFORMOTEROL15MCG/2ML IS</t>
  </si>
  <si>
    <t>ARFORMOTER2MLIS</t>
  </si>
  <si>
    <t>0053302402</t>
  </si>
  <si>
    <t>HYDROXY METHYL.5%15ML OS</t>
  </si>
  <si>
    <t>HYDROXYMETH15OS</t>
  </si>
  <si>
    <t>0053302428</t>
  </si>
  <si>
    <t>OCULAR LUB PF 15ML OS</t>
  </si>
  <si>
    <t>OCULAR LUB15 OS</t>
  </si>
  <si>
    <t>0053302683</t>
  </si>
  <si>
    <t>ATROPINE 1% 1ML OS</t>
  </si>
  <si>
    <t>ATROPINE 1ML OS</t>
  </si>
  <si>
    <t>0053302758</t>
  </si>
  <si>
    <t>ATROPINE 1% 2ML OS</t>
  </si>
  <si>
    <t>ATROPINE 2ML OS</t>
  </si>
  <si>
    <t>0053303277</t>
  </si>
  <si>
    <t>AZITHROMYCIN 1% 2.5ML OS</t>
  </si>
  <si>
    <t>AZITHR1%2.5MLOS</t>
  </si>
  <si>
    <t>0053303301</t>
  </si>
  <si>
    <t>AZELASTINE NASAL 30ML SP</t>
  </si>
  <si>
    <t>AZELASTIN30MLSP</t>
  </si>
  <si>
    <t>0053303319</t>
  </si>
  <si>
    <t>ATROPINE 1% 3.5GM OO</t>
  </si>
  <si>
    <t>ATROPINE3.5GMOO</t>
  </si>
  <si>
    <t>0053303335</t>
  </si>
  <si>
    <t>AZELASTINE .05% 6ML OS</t>
  </si>
  <si>
    <t>AZELASTINE6MLOS</t>
  </si>
  <si>
    <t>0053303517</t>
  </si>
  <si>
    <t>BACITRACIN500U/GM3.5GMOO</t>
  </si>
  <si>
    <t>BACITRACIN3.5OO</t>
  </si>
  <si>
    <t>0053303533</t>
  </si>
  <si>
    <t>BACITRA/POLYMYX 3.5GM OO</t>
  </si>
  <si>
    <t>BACIT/POLY3.5OO</t>
  </si>
  <si>
    <t>0053303731</t>
  </si>
  <si>
    <t>BECLOMETH NAS 16.8GM SP</t>
  </si>
  <si>
    <t>BECLOMETH16.8SP</t>
  </si>
  <si>
    <t>0053304101</t>
  </si>
  <si>
    <t>BENZOCAINE/ANTIPYR10MLOT</t>
  </si>
  <si>
    <t>BENZO/ANTIP10OT</t>
  </si>
  <si>
    <t>0053304267</t>
  </si>
  <si>
    <t>BRIMO-TIMOL .2/.5 5ML OS</t>
  </si>
  <si>
    <t>BRIM-TIM 5ML OS</t>
  </si>
  <si>
    <t>0053304309</t>
  </si>
  <si>
    <t>BUDESONIDE .25MG/2ML IS</t>
  </si>
  <si>
    <t>BUDESONIDE2MLIS</t>
  </si>
  <si>
    <t>0053304374</t>
  </si>
  <si>
    <t>BRIMONIDINE .2% 5ML OS</t>
  </si>
  <si>
    <t>BRIMONIDINE 5OS</t>
  </si>
  <si>
    <t>0053304408</t>
  </si>
  <si>
    <t>BUTORPHANOL NS 2.5ML SP</t>
  </si>
  <si>
    <t>BUTORPH NS2.5SP</t>
  </si>
  <si>
    <t>0053304457</t>
  </si>
  <si>
    <t>CALCITONIN NS200U/2ML SP</t>
  </si>
  <si>
    <t>CALCIT NS2ML SP</t>
  </si>
  <si>
    <t>0053304481</t>
  </si>
  <si>
    <t>BUDESONIDE .5MG/2ML IS</t>
  </si>
  <si>
    <t>0053304499</t>
  </si>
  <si>
    <t>CARBACHOL .01% 1.5ML OS</t>
  </si>
  <si>
    <t>CARBACHOL1.5 OS</t>
  </si>
  <si>
    <t>0053304515</t>
  </si>
  <si>
    <t>BRIMONIDINE .15% 5ML OS</t>
  </si>
  <si>
    <t>0053304549</t>
  </si>
  <si>
    <t>CALCITONINNS200U/3.7MLSP</t>
  </si>
  <si>
    <t>CALCIT NS3.7 SP</t>
  </si>
  <si>
    <t>0053304929</t>
  </si>
  <si>
    <t>CARBAMIDE PERX6.5%15MLOT</t>
  </si>
  <si>
    <t>CARBAM PERX15OT</t>
  </si>
  <si>
    <t>0053305439</t>
  </si>
  <si>
    <t>CIPROFLOX/DEXM 7.5ML OT</t>
  </si>
  <si>
    <t>CIPRO/DEXM7.5OT</t>
  </si>
  <si>
    <t>0053305462</t>
  </si>
  <si>
    <t>CIPROFLOXACIN.3%2.5MLOS</t>
  </si>
  <si>
    <t>CIPROFLOXA2.5OS</t>
  </si>
  <si>
    <t>0053305496</t>
  </si>
  <si>
    <t>CIPROFLOXACIN.3%3.5GM OO</t>
  </si>
  <si>
    <t>CIPROFLOXA3.5OO</t>
  </si>
  <si>
    <t>0053305512</t>
  </si>
  <si>
    <t>CROMOLYN 4% 10ML OS</t>
  </si>
  <si>
    <t>CROMOLYN 10MLOS</t>
  </si>
  <si>
    <t>0053305538</t>
  </si>
  <si>
    <t>COLISTIN/NEOMY/HC10ML OT</t>
  </si>
  <si>
    <t>COLIST/NEO10 OT</t>
  </si>
  <si>
    <t>0053305587</t>
  </si>
  <si>
    <t>CIPROFLOXACIN.2%.25ML OT</t>
  </si>
  <si>
    <t>CIPROFLOX .25OT</t>
  </si>
  <si>
    <t>0053305637</t>
  </si>
  <si>
    <t>CROMOLYN NAS5.2MG26ML SP</t>
  </si>
  <si>
    <t>CROMOLYN NS26SP</t>
  </si>
  <si>
    <t>0053305868</t>
  </si>
  <si>
    <t>CYCLOPENTOLATE.5%15ML OS</t>
  </si>
  <si>
    <t>CYCLOPENTOL15OS</t>
  </si>
  <si>
    <t>0053305900</t>
  </si>
  <si>
    <t>CYCLOPENTOLATE 1% 2ML OS</t>
  </si>
  <si>
    <t>CYCLOPENTOL2 OS</t>
  </si>
  <si>
    <t>0053306015</t>
  </si>
  <si>
    <t>CYCLOPENTOLATE 2%2ML OS</t>
  </si>
  <si>
    <t>0053306106</t>
  </si>
  <si>
    <t>CYCLOSPORINE.05% .4ML OS</t>
  </si>
  <si>
    <t>CYCLOSPOR.4MLOS</t>
  </si>
  <si>
    <t>0053306395</t>
  </si>
  <si>
    <t>DESMOPRESSIN .01%2.5MLSP</t>
  </si>
  <si>
    <t>DESMOPRE2.5MLSP</t>
  </si>
  <si>
    <t>0053306411</t>
  </si>
  <si>
    <t>DESMOPRESSIN .01%5ML SP</t>
  </si>
  <si>
    <t>DESMOPRESS5MLSP</t>
  </si>
  <si>
    <t>0053306957</t>
  </si>
  <si>
    <t>DEXAMETHASONE .1% 5ML OS</t>
  </si>
  <si>
    <t>DEXAMETHASN5 OS</t>
  </si>
  <si>
    <t>0053307229</t>
  </si>
  <si>
    <t>DEXAMETH/NEO/POLY 5ML OS</t>
  </si>
  <si>
    <t>DEX/NEO/POLY5OS</t>
  </si>
  <si>
    <t>0053307518</t>
  </si>
  <si>
    <t>DEXAMETH/NEO/POLY3.5GMOO</t>
  </si>
  <si>
    <t>DEX/NEO/PO3.5OO</t>
  </si>
  <si>
    <t>0053307591</t>
  </si>
  <si>
    <t>DICLOFENAC 1.3% PATCH TD</t>
  </si>
  <si>
    <t>DICLOFEN 1.3%TD</t>
  </si>
  <si>
    <t>0053307609</t>
  </si>
  <si>
    <t>DICLOFENAC .1% 5ML OS</t>
  </si>
  <si>
    <t>DICLOFENAC5MLOS</t>
  </si>
  <si>
    <t>0053307617</t>
  </si>
  <si>
    <t>DICLOFENAC .1% 2.5ML OS</t>
  </si>
  <si>
    <t>DICLOFENAC2.5OS</t>
  </si>
  <si>
    <t>0053307633</t>
  </si>
  <si>
    <t>DIFLUPREDNATE.05% 5ML OS</t>
  </si>
  <si>
    <t>DIFLUPRED 5MLOS</t>
  </si>
  <si>
    <t>0053307807</t>
  </si>
  <si>
    <t>DORNASE ALF2.5MG/2.5MLIS</t>
  </si>
  <si>
    <t>DORNASE AL2.5IS</t>
  </si>
  <si>
    <t>0053307864</t>
  </si>
  <si>
    <t>DORZOLAMIDE 2% 10ML OS</t>
  </si>
  <si>
    <t>DORZOLAMIDE10OS</t>
  </si>
  <si>
    <t>0053307880</t>
  </si>
  <si>
    <t>DORZOLAMIDE/TIMOLO10MLOS</t>
  </si>
  <si>
    <t>DORZOL/TIMO10OS</t>
  </si>
  <si>
    <t>0053307906</t>
  </si>
  <si>
    <t>DORZOL/TIMOLOL .2MLUD OS</t>
  </si>
  <si>
    <t>DORZOL/TIMO.2OS</t>
  </si>
  <si>
    <t>0053308656</t>
  </si>
  <si>
    <t>EPINEPHRINE 2.25%.5ML IS</t>
  </si>
  <si>
    <t xml:space="preserve">EPI .5ML IS    </t>
  </si>
  <si>
    <t>0053309233</t>
  </si>
  <si>
    <t>ERYTHROMYCIN .5% 1GM OO</t>
  </si>
  <si>
    <t>ERYTHROMYC1GMOO</t>
  </si>
  <si>
    <t>0053309266</t>
  </si>
  <si>
    <t>ERYTHROMYCIN .5%3.5GM OO</t>
  </si>
  <si>
    <t>ERYTHROMYC3.5OO</t>
  </si>
  <si>
    <t>0053309449</t>
  </si>
  <si>
    <t>OFLOXACIN .3% 5ML OT</t>
  </si>
  <si>
    <t>OFLOXACIN 5MLOT</t>
  </si>
  <si>
    <t>0053309456</t>
  </si>
  <si>
    <t>OFLOXACIN .3% 10ML OT</t>
  </si>
  <si>
    <t>OFLOXACIN10MLOT</t>
  </si>
  <si>
    <t>0053309688</t>
  </si>
  <si>
    <t>FLUORESCEIN STRIP 1 EACH</t>
  </si>
  <si>
    <t>FLUORESCE STRIP</t>
  </si>
  <si>
    <t>0053309720</t>
  </si>
  <si>
    <t>FLUTICASONE100MCG14DS IH</t>
  </si>
  <si>
    <t>FLUTICASN14DSIH</t>
  </si>
  <si>
    <t>0053309779</t>
  </si>
  <si>
    <t>FLUTICASONE220MCG12GM IH</t>
  </si>
  <si>
    <t>FLUTICASONE12IH</t>
  </si>
  <si>
    <t>0053309837</t>
  </si>
  <si>
    <t>FLUOROMETHALONE.1%5MLOS</t>
  </si>
  <si>
    <t>FLUOROMETHAL5OS</t>
  </si>
  <si>
    <t>0053309951</t>
  </si>
  <si>
    <t>FLUTICASONE .05MG16GM SP</t>
  </si>
  <si>
    <t>FLUTICASONE16SP</t>
  </si>
  <si>
    <t>0053309977</t>
  </si>
  <si>
    <t>FLUTICASONE44MCG13GM IH</t>
  </si>
  <si>
    <t>FLUTICASONE13IH</t>
  </si>
  <si>
    <t>0053310108</t>
  </si>
  <si>
    <t>GELATIN ABS OPTH FILM</t>
  </si>
  <si>
    <t>GELATIN OPTH</t>
  </si>
  <si>
    <t>0053310173</t>
  </si>
  <si>
    <t>FORMOTEROL 20MCG/2ML IS</t>
  </si>
  <si>
    <t>FORMOTEROL2MLIS</t>
  </si>
  <si>
    <t>0053310199</t>
  </si>
  <si>
    <t>GANCICLOV .15% 5GM OP GL</t>
  </si>
  <si>
    <t>GANCIC 5G OP GL</t>
  </si>
  <si>
    <t>0053310215</t>
  </si>
  <si>
    <t>GATIFLOXACIN .5%2.5ML OS</t>
  </si>
  <si>
    <t>GATIFLX.5%2.5OS</t>
  </si>
  <si>
    <t>0053310223</t>
  </si>
  <si>
    <t>FLUT/VILA 200/25 14DS IH</t>
  </si>
  <si>
    <t>FLUT/VILA 14 IH</t>
  </si>
  <si>
    <t>0053310314</t>
  </si>
  <si>
    <t>GENTAMICIN .3% 3.5GM OO</t>
  </si>
  <si>
    <t>GENTAMIC3.5GMOO</t>
  </si>
  <si>
    <t>0053310389</t>
  </si>
  <si>
    <t>GENTAMICIN .3% 5ML OS</t>
  </si>
  <si>
    <t>GENTAMICIN5MLOS</t>
  </si>
  <si>
    <t>0053310595</t>
  </si>
  <si>
    <t>GLYCERIN 7.5ML OS</t>
  </si>
  <si>
    <t>GLYCERIN7.5MLOS</t>
  </si>
  <si>
    <t>0053311361</t>
  </si>
  <si>
    <t>HOMATROPINE 5% 5ML OS</t>
  </si>
  <si>
    <t>HOMATROPINE5 OS</t>
  </si>
  <si>
    <t>0053311577</t>
  </si>
  <si>
    <t>HYALURON10MG/ML.4ML SGIJ</t>
  </si>
  <si>
    <t>HYALURON.4SGIJ</t>
  </si>
  <si>
    <t>0053312310</t>
  </si>
  <si>
    <t>IPRATROPIUM .02%2.5ML IS</t>
  </si>
  <si>
    <t>IPRATROPIM2.5IS</t>
  </si>
  <si>
    <t>0053312336</t>
  </si>
  <si>
    <t>IPRATROPIUMNAS.03%30MLSP</t>
  </si>
  <si>
    <t>IPRATROPIUM30SP</t>
  </si>
  <si>
    <t>0053312369</t>
  </si>
  <si>
    <t>IPRATROPIUMNAS.06%15MLSP</t>
  </si>
  <si>
    <t>IPRATROPIUM15SP</t>
  </si>
  <si>
    <t>0053312393</t>
  </si>
  <si>
    <t>IPRATROPIUM17MCG12.9GMIH</t>
  </si>
  <si>
    <t>IPRATROPM12.9IH</t>
  </si>
  <si>
    <t>0053313557</t>
  </si>
  <si>
    <t>KETOROLAC 0.5% 5ML OS</t>
  </si>
  <si>
    <t>KETOROLAC5ML OS</t>
  </si>
  <si>
    <t>0053313581</t>
  </si>
  <si>
    <t>KETOTIFEN .025%5ML OS</t>
  </si>
  <si>
    <t>KETOTIFEN5ML OS</t>
  </si>
  <si>
    <t>0053313656</t>
  </si>
  <si>
    <t>LATANOPROST .005%2.5MLOS</t>
  </si>
  <si>
    <t>LATANOPROS2.5OS</t>
  </si>
  <si>
    <t>0053313755</t>
  </si>
  <si>
    <t>LEVALBUTEROL.63MG/3ML IS</t>
  </si>
  <si>
    <t>LEVALBUTEROL3IS</t>
  </si>
  <si>
    <t>0053313763</t>
  </si>
  <si>
    <t>LEVALBUTEROL1.25MG/3MLIS</t>
  </si>
  <si>
    <t>0053313771</t>
  </si>
  <si>
    <t>LEVALBUTEROL.31MG/3ML IS</t>
  </si>
  <si>
    <t>0053313789</t>
  </si>
  <si>
    <t>LEVALBUTEROL45MCG/15GMIH</t>
  </si>
  <si>
    <t>LEVALBUTERL15IH</t>
  </si>
  <si>
    <t>0053314159</t>
  </si>
  <si>
    <t>LOTEPREDNOL .5% 5ML OS</t>
  </si>
  <si>
    <t>LOTEPREDNOL 5OS</t>
  </si>
  <si>
    <t>0053314795</t>
  </si>
  <si>
    <t>HYDROXY METHYL2.5%15MLOS</t>
  </si>
  <si>
    <t>0053314886</t>
  </si>
  <si>
    <t>MUPIROCIN 2% 22GM OI</t>
  </si>
  <si>
    <t>MUPIROCIN22GMOI</t>
  </si>
  <si>
    <t>0053314894</t>
  </si>
  <si>
    <t>MOMETASONE NASAL 17GM SP</t>
  </si>
  <si>
    <t>MOMETASONE 17SP</t>
  </si>
  <si>
    <t>0053314910</t>
  </si>
  <si>
    <t>MOXIFLOXACIN .5% 3ML OS</t>
  </si>
  <si>
    <t>MOXIFLOX 3ML OS</t>
  </si>
  <si>
    <t>0053314951</t>
  </si>
  <si>
    <t>NAPHAZOLINE .012%15ML OS</t>
  </si>
  <si>
    <t>NAPHAZOLINE15OS</t>
  </si>
  <si>
    <t>0053314985</t>
  </si>
  <si>
    <t>MOMET/FORM 200/5 8.8G IH</t>
  </si>
  <si>
    <t>MOME/FORM8.8GIH</t>
  </si>
  <si>
    <t>0053315008</t>
  </si>
  <si>
    <t>NAPHAZOLINE .1% 15ML OS</t>
  </si>
  <si>
    <t>0053315677</t>
  </si>
  <si>
    <t>NEOMY/POLY/HCTS 10ML OS</t>
  </si>
  <si>
    <t>NEO/POL/HCT10OS</t>
  </si>
  <si>
    <t>0053315776</t>
  </si>
  <si>
    <t>DEXAMETH/NEOMYCIN 5ML OS</t>
  </si>
  <si>
    <t>DEXAMETH/NEO5OS</t>
  </si>
  <si>
    <t>0053315842</t>
  </si>
  <si>
    <t>NEO/POLY/BAC/HCTS3.5GMOO</t>
  </si>
  <si>
    <t>NEO/PO/B/H3.5OO</t>
  </si>
  <si>
    <t>0053316055</t>
  </si>
  <si>
    <t>NEOMY/POLY/GRAMICD10MLOS</t>
  </si>
  <si>
    <t>NEO/POLY/GR10OS</t>
  </si>
  <si>
    <t>0053316121</t>
  </si>
  <si>
    <t>NEOMY/POLY/BACIT3.5GM OO</t>
  </si>
  <si>
    <t>NEO/POL/BA3.5OO</t>
  </si>
  <si>
    <t>0053316246</t>
  </si>
  <si>
    <t>NITROGLYCERIN.4MG4.9GMSP</t>
  </si>
  <si>
    <t xml:space="preserve">NTG 4.9GM SP   </t>
  </si>
  <si>
    <t>0053316352</t>
  </si>
  <si>
    <t>OCULAR LUB 3.5GM OO</t>
  </si>
  <si>
    <t>OCULAR LUB3.5OO</t>
  </si>
  <si>
    <t>0053316402</t>
  </si>
  <si>
    <t>OFLOXACIN .3% 5ML OS</t>
  </si>
  <si>
    <t xml:space="preserve">OFLOXACIN5MLOS </t>
  </si>
  <si>
    <t>0053316410</t>
  </si>
  <si>
    <t>OFLOXACIN .3%10ML OS</t>
  </si>
  <si>
    <t>OFLOXACIN10MLOS</t>
  </si>
  <si>
    <t>0053316816</t>
  </si>
  <si>
    <t>OXYMETAZOLN NS.05%30MLSP</t>
  </si>
  <si>
    <t>OXYMETZAOLN30SP</t>
  </si>
  <si>
    <t>0053316824</t>
  </si>
  <si>
    <t>OXYMETAZOLN NS.05%15MLSP</t>
  </si>
  <si>
    <t>OXYMETZAOLN15SP</t>
  </si>
  <si>
    <t>0053317400</t>
  </si>
  <si>
    <t>PENTAMIDINE 300MG PW IS</t>
  </si>
  <si>
    <t>PENTAMID300PWIS</t>
  </si>
  <si>
    <t>0053317525</t>
  </si>
  <si>
    <t>PETROLATUM 112GM OI</t>
  </si>
  <si>
    <t>PETROLATUM 112G</t>
  </si>
  <si>
    <t>0053317798</t>
  </si>
  <si>
    <t>PE NAS .125% 15ML DR IS</t>
  </si>
  <si>
    <t xml:space="preserve">PE 15ML DR IS  </t>
  </si>
  <si>
    <t>0053317814</t>
  </si>
  <si>
    <t>PE NASAL 1% 30ML SP</t>
  </si>
  <si>
    <t xml:space="preserve">PE NS 30ML SP  </t>
  </si>
  <si>
    <t>0053317947</t>
  </si>
  <si>
    <t>PE NASAL .25% 15ML SP</t>
  </si>
  <si>
    <t xml:space="preserve">PE NS 15ML SP  </t>
  </si>
  <si>
    <t>0053318085</t>
  </si>
  <si>
    <t>PE NASAL .5% 15ML SP</t>
  </si>
  <si>
    <t xml:space="preserve">PE NS 15NL SP  </t>
  </si>
  <si>
    <t>0053318143</t>
  </si>
  <si>
    <t>PE NASAL 1% 30ML DR IS</t>
  </si>
  <si>
    <t>PE NS 30ML DRIS</t>
  </si>
  <si>
    <t>0053318226</t>
  </si>
  <si>
    <t>PE 10% 5ML OS</t>
  </si>
  <si>
    <t>PE 5ML OS</t>
  </si>
  <si>
    <t>0053318275</t>
  </si>
  <si>
    <t>PE 2.5% 5ML OS</t>
  </si>
  <si>
    <t>0053318283</t>
  </si>
  <si>
    <t>PE 2.5% 2ML OS</t>
  </si>
  <si>
    <t>PE 2ML OS</t>
  </si>
  <si>
    <t>0053318309</t>
  </si>
  <si>
    <t>PE 2.5% 3ML OS</t>
  </si>
  <si>
    <t>PE 3ML OS</t>
  </si>
  <si>
    <t>0053318424</t>
  </si>
  <si>
    <t>PE/CYCLOPENT 1-.2%2ML OS</t>
  </si>
  <si>
    <t>PE/CYCLOPENT2OS</t>
  </si>
  <si>
    <t>0053319067</t>
  </si>
  <si>
    <t>PILOCARPINE 1% 15ML OS</t>
  </si>
  <si>
    <t>PILOCARPINE15OS</t>
  </si>
  <si>
    <t>0053319125</t>
  </si>
  <si>
    <t>PILOCARPINE 1% 1ML OS</t>
  </si>
  <si>
    <t>PILOCARP1%1MLOS</t>
  </si>
  <si>
    <t>0053319273</t>
  </si>
  <si>
    <t>PILOCARPINE 2% 15ML OS</t>
  </si>
  <si>
    <t>0053319331</t>
  </si>
  <si>
    <t>PILOCARPINE 2% 1ML OS</t>
  </si>
  <si>
    <t>PILOCARPINE1 OS</t>
  </si>
  <si>
    <t>0053319489</t>
  </si>
  <si>
    <t>PILOCARPINE 4% 15ML OS</t>
  </si>
  <si>
    <t>0053320255</t>
  </si>
  <si>
    <t>PIRBUTEROL .2MG 14GM IH</t>
  </si>
  <si>
    <t>PIRBUTEROL14 IH</t>
  </si>
  <si>
    <t>0053320362</t>
  </si>
  <si>
    <t>OCULAR LUB PF.4ML UD OS</t>
  </si>
  <si>
    <t>OCULAR LUB.4 OS</t>
  </si>
  <si>
    <t>0053320958</t>
  </si>
  <si>
    <t>POLY/NEO/HCTS 10ML OT</t>
  </si>
  <si>
    <t>POLY/NEO/HC10OT</t>
  </si>
  <si>
    <t>0053321303</t>
  </si>
  <si>
    <t>OCULAR LUB PRSRV 15ML OS</t>
  </si>
  <si>
    <t>0053321402</t>
  </si>
  <si>
    <t>PORACTANT 120MG/1.5ML IS</t>
  </si>
  <si>
    <t>PORACTANT1.5 IS</t>
  </si>
  <si>
    <t>0053321410</t>
  </si>
  <si>
    <t>PORACTANT 240MG/3ML IS</t>
  </si>
  <si>
    <t>PORACTANT3ML IS</t>
  </si>
  <si>
    <t>0053321451</t>
  </si>
  <si>
    <t>POVIDONE IODINE5%30ML OS</t>
  </si>
  <si>
    <t>POV IOD 30ML OS</t>
  </si>
  <si>
    <t>0053321519</t>
  </si>
  <si>
    <t>SULFACET/PRED.25% 5ML OS</t>
  </si>
  <si>
    <t>SULF/PRED 5MLOS</t>
  </si>
  <si>
    <t>0053321931</t>
  </si>
  <si>
    <t>PREDNISOLONE 1% 5ML OS</t>
  </si>
  <si>
    <t>PREDNISOLONE5OS</t>
  </si>
  <si>
    <t>0053322004</t>
  </si>
  <si>
    <t>PREDNISOLONE 1% 10ML OS</t>
  </si>
  <si>
    <t>PREDNISOLON10OS</t>
  </si>
  <si>
    <t>0053322079</t>
  </si>
  <si>
    <t>PREDNISOL/NEO/POLY5ML OS</t>
  </si>
  <si>
    <t>PRED/NEO/POL5OS</t>
  </si>
  <si>
    <t>0053322426</t>
  </si>
  <si>
    <t>PROPARACAINE .5% 15ML OS</t>
  </si>
  <si>
    <t>PROPARACAIN15OS</t>
  </si>
  <si>
    <t>0053322756</t>
  </si>
  <si>
    <t>RIMEXOLONE 1% 5ML OS</t>
  </si>
  <si>
    <t>RIMEXOLONE5MLOS</t>
  </si>
  <si>
    <t>0053323051</t>
  </si>
  <si>
    <t>FLUT/VILA 100/25 14DS IH</t>
  </si>
  <si>
    <t>0053323788</t>
  </si>
  <si>
    <t>NACL .65% 30ML NASAL SP</t>
  </si>
  <si>
    <t>NACL NAS 30MLSP</t>
  </si>
  <si>
    <t>0053323853</t>
  </si>
  <si>
    <t>NACL .65% 45ML NASAL SP</t>
  </si>
  <si>
    <t>NACL NAS 45MLSP</t>
  </si>
  <si>
    <t>0053323911</t>
  </si>
  <si>
    <t>NACL 9% 3ML IS</t>
  </si>
  <si>
    <t xml:space="preserve">NACL 9% 3ML IS </t>
  </si>
  <si>
    <t>0053324000</t>
  </si>
  <si>
    <t>NACL 3% 15ML IS</t>
  </si>
  <si>
    <t>0053324018</t>
  </si>
  <si>
    <t>NACL 10% 15ML IS</t>
  </si>
  <si>
    <t>NACL 10%15ML IS</t>
  </si>
  <si>
    <t>0053324034</t>
  </si>
  <si>
    <t>NACL HYPERTONIC5%15ML OS</t>
  </si>
  <si>
    <t>NACL HYPERT15OS</t>
  </si>
  <si>
    <t>0053324042</t>
  </si>
  <si>
    <t>NACL HYPERTONIC5%3.5MLOO</t>
  </si>
  <si>
    <t>NACL HYPER3.5OO</t>
  </si>
  <si>
    <t>0053324075</t>
  </si>
  <si>
    <t>NACL 3% 4ML IS</t>
  </si>
  <si>
    <t>0053324315</t>
  </si>
  <si>
    <t>SULFACETAMIDE10% 5ML OS</t>
  </si>
  <si>
    <t>SULFACETAM5MLOS</t>
  </si>
  <si>
    <t>0053324505</t>
  </si>
  <si>
    <t>BSS IRR 30ML OS</t>
  </si>
  <si>
    <t>0053324521</t>
  </si>
  <si>
    <t>BSS IRR 15ML OS</t>
  </si>
  <si>
    <t>BSS IRR15ML OS</t>
  </si>
  <si>
    <t>0053324737</t>
  </si>
  <si>
    <t>SULFACETAMD NA10%3.5GMOO</t>
  </si>
  <si>
    <t>SULFACETNA3.5OO</t>
  </si>
  <si>
    <t>0053325015</t>
  </si>
  <si>
    <t>SULFACETAMID NA10%15MLOS</t>
  </si>
  <si>
    <t>SULFACET NA15OS</t>
  </si>
  <si>
    <t>0053325908</t>
  </si>
  <si>
    <t>TETRACAINE .5% 4ML OS</t>
  </si>
  <si>
    <t>TETRACAINE4MLOS</t>
  </si>
  <si>
    <t>0053325924</t>
  </si>
  <si>
    <t>TETRACAINE .5% 2ML OS</t>
  </si>
  <si>
    <t>TETRACAINE2MLOS</t>
  </si>
  <si>
    <t>0053326625</t>
  </si>
  <si>
    <t>TETRAHYDRAZOL.05%15ML OS</t>
  </si>
  <si>
    <t>TETRAHYDRAZ15OS</t>
  </si>
  <si>
    <t>0053326948</t>
  </si>
  <si>
    <t>TIMOLOL 0.5% 5ML OS</t>
  </si>
  <si>
    <t>TIMOLOL.5%5MLOS</t>
  </si>
  <si>
    <t>0053326963</t>
  </si>
  <si>
    <t>TIMOLOL .25% 10ML OS</t>
  </si>
  <si>
    <t>TIMOLOL 10ML OS</t>
  </si>
  <si>
    <t>0053326971</t>
  </si>
  <si>
    <t>TIMOLOL .25% 5ML OS</t>
  </si>
  <si>
    <t xml:space="preserve">TIMOLOL 5ML OS </t>
  </si>
  <si>
    <t>0053326997</t>
  </si>
  <si>
    <t>TIMOLOL .25% 5ML GL</t>
  </si>
  <si>
    <t xml:space="preserve">TIMOLOL 5ML GL </t>
  </si>
  <si>
    <t>0053327029</t>
  </si>
  <si>
    <t>TIMOLOL .5% 5ML GL</t>
  </si>
  <si>
    <t>0053327250</t>
  </si>
  <si>
    <t>TOBRAMYCIN .3% 3.5GM OO</t>
  </si>
  <si>
    <t>TOBRAMYCIN3.5OO</t>
  </si>
  <si>
    <t>0053327268</t>
  </si>
  <si>
    <t>TOBRAMYCIN .3% 5ML OS</t>
  </si>
  <si>
    <t>TOBRAMYCIN5MLOS</t>
  </si>
  <si>
    <t>0053327318</t>
  </si>
  <si>
    <t>TOBRAMYC/DEXAMETH3.5GMOO</t>
  </si>
  <si>
    <t>TOBRM/DEXA3.5OO</t>
  </si>
  <si>
    <t>0053327326</t>
  </si>
  <si>
    <t>TOBRAMYCIN 300MG 5ML IS</t>
  </si>
  <si>
    <t>TOBRAMYCIN5MLIS</t>
  </si>
  <si>
    <t>0053327342</t>
  </si>
  <si>
    <t>TOBRAMYC/DEXAMETH2.5MLOS</t>
  </si>
  <si>
    <t>TOBRM/DEXA2.5OS</t>
  </si>
  <si>
    <t>0053327367</t>
  </si>
  <si>
    <t>TRIAMCINOLONE 10GM IH</t>
  </si>
  <si>
    <t>TRIAMCINOLN10IH</t>
  </si>
  <si>
    <t>0053327532</t>
  </si>
  <si>
    <t>TRIFLURIDINE 1% 7.5ML OS</t>
  </si>
  <si>
    <t>TRIFLURIDN7.5OS</t>
  </si>
  <si>
    <t>0053327607</t>
  </si>
  <si>
    <t>TRIMETHPRM/POLYMYX10MLOS</t>
  </si>
  <si>
    <t>TRIMETHP/PO10OS</t>
  </si>
  <si>
    <t>0053327748</t>
  </si>
  <si>
    <t>TROPICAMIDE .5% 15ML OS</t>
  </si>
  <si>
    <t>TROPICAMIDE15OS</t>
  </si>
  <si>
    <t>0053327805</t>
  </si>
  <si>
    <t>TROPICAMIDE 1% 2ML OS</t>
  </si>
  <si>
    <t>TROPICAMIDE2 OS</t>
  </si>
  <si>
    <t>0053328084</t>
  </si>
  <si>
    <t>UMECLIDINIUM BROM 7DS IH</t>
  </si>
  <si>
    <t>UMECLIDIN 7DSIH</t>
  </si>
  <si>
    <t>0053328100</t>
  </si>
  <si>
    <t>UMECLID/VILANT 7DS IH</t>
  </si>
  <si>
    <t>UMECLD/VILAN IH</t>
  </si>
  <si>
    <t>0053340360</t>
  </si>
  <si>
    <t>ACYCLOVIR 5% 30GM OI</t>
  </si>
  <si>
    <t>ACYCLOVIR30GMOI</t>
  </si>
  <si>
    <t>0053340378</t>
  </si>
  <si>
    <t>ACYCLOVIR 5% 15GM OI</t>
  </si>
  <si>
    <t>ACYCLOVIR15GMOI</t>
  </si>
  <si>
    <t>0053340394</t>
  </si>
  <si>
    <t>ACYCLOVIR 5% 5GM CR</t>
  </si>
  <si>
    <t>ACYCLOVIR 5GMCR</t>
  </si>
  <si>
    <t>0053340410</t>
  </si>
  <si>
    <t>ACYCLOVIR 5% 5GM OI</t>
  </si>
  <si>
    <t>ACYCLOVIR 5GMOI</t>
  </si>
  <si>
    <t>0053340451</t>
  </si>
  <si>
    <t>BARRIER ADHENSION 3X4EA</t>
  </si>
  <si>
    <t>BARRIERADH3X4EA</t>
  </si>
  <si>
    <t>0053340469</t>
  </si>
  <si>
    <t>SURGICAL ADHESIVE.67MLTS</t>
  </si>
  <si>
    <t>SURG ADH.67MLTS</t>
  </si>
  <si>
    <t>0053341079</t>
  </si>
  <si>
    <t>AL AC/CA ACET PK PW</t>
  </si>
  <si>
    <t>AL/CA ACET PKPW</t>
  </si>
  <si>
    <t>0053342101</t>
  </si>
  <si>
    <t>PETROLATUM AQUA 52GM OI</t>
  </si>
  <si>
    <t>PETROLATUM 52GM</t>
  </si>
  <si>
    <t>0053342911</t>
  </si>
  <si>
    <t>BACITRACIN500U/GM15GM OI</t>
  </si>
  <si>
    <t>BACITRACN15GMOI</t>
  </si>
  <si>
    <t>0053342937</t>
  </si>
  <si>
    <t>BACITRACIN 30GM OI</t>
  </si>
  <si>
    <t>BACITRACIN 30OI</t>
  </si>
  <si>
    <t>0053342945</t>
  </si>
  <si>
    <t>BACITRACIN500U/1GM OI</t>
  </si>
  <si>
    <t>BACITRANCN1GMOI</t>
  </si>
  <si>
    <t>0053343000</t>
  </si>
  <si>
    <t>BACITRACIN/POLYB.9GM OI</t>
  </si>
  <si>
    <t>A9150 BAC/POLYB</t>
  </si>
  <si>
    <t>0053343018</t>
  </si>
  <si>
    <t>BACITRACIN/POLYB 15GM OI</t>
  </si>
  <si>
    <t>BAC/POLYB15GMOI</t>
  </si>
  <si>
    <t>0053343034</t>
  </si>
  <si>
    <t>BACITRACIN/POLYB 30GM OI</t>
  </si>
  <si>
    <t>BAC/POLYB30GMOI</t>
  </si>
  <si>
    <t>0053343133</t>
  </si>
  <si>
    <t>BALSAM P/CAST OIL 60GMOI</t>
  </si>
  <si>
    <t>BAL/CASOIL 60OI</t>
  </si>
  <si>
    <t>0053343166</t>
  </si>
  <si>
    <t>BALSAM P/CAST OIL 30GMOI</t>
  </si>
  <si>
    <t>BAL/CASOIL 30OI</t>
  </si>
  <si>
    <t>0053343174</t>
  </si>
  <si>
    <t>BALSAM P/CAST OIL 5GM OI</t>
  </si>
  <si>
    <t>BAL/CAS OIL 5OI</t>
  </si>
  <si>
    <t>0053343935</t>
  </si>
  <si>
    <t>BENZO/BUTA/TETR DOSE SP</t>
  </si>
  <si>
    <t>BENZO/TETDOSESP</t>
  </si>
  <si>
    <t>0053344107</t>
  </si>
  <si>
    <t>BENZOCAINE 20% 0.5ML TS</t>
  </si>
  <si>
    <t>BENZOCA 0.5MLTS</t>
  </si>
  <si>
    <t>0053344123</t>
  </si>
  <si>
    <t>BENZOCAIN 10% 5GM MMGL</t>
  </si>
  <si>
    <t xml:space="preserve">BENZOCAIN 5GL  </t>
  </si>
  <si>
    <t>0053344164</t>
  </si>
  <si>
    <t>BENZOCAINE7.5% 10GM MMGL</t>
  </si>
  <si>
    <t>BENZOCAIN10MMGL</t>
  </si>
  <si>
    <t>0053344289</t>
  </si>
  <si>
    <t>BENZOCAINE20%82.5ML SP</t>
  </si>
  <si>
    <t>BENZOCAIN82.5SP</t>
  </si>
  <si>
    <t>0053344305</t>
  </si>
  <si>
    <t>BENZOCAINE20% 60ML SP</t>
  </si>
  <si>
    <t>BENZOCAINE 60SP</t>
  </si>
  <si>
    <t>0053344446</t>
  </si>
  <si>
    <t>BENZOIN TINCTURE120ML TS</t>
  </si>
  <si>
    <t>BENZOIN TN120TS</t>
  </si>
  <si>
    <t>0053344453</t>
  </si>
  <si>
    <t>BENZOIN TINCTURE 60ML TS</t>
  </si>
  <si>
    <t>BENZOIN TN 60TS</t>
  </si>
  <si>
    <t>0053344958</t>
  </si>
  <si>
    <t>BETAMETHASON-D.05%15GMCR</t>
  </si>
  <si>
    <t>BETAMETHASN15CR</t>
  </si>
  <si>
    <t>0053345153</t>
  </si>
  <si>
    <t>BETAMETHASON-D.05%45GMCR</t>
  </si>
  <si>
    <t>BETAMETHASN45CR</t>
  </si>
  <si>
    <t>0053345211</t>
  </si>
  <si>
    <t>BETAMETHASON-D.05%50GMGL</t>
  </si>
  <si>
    <t>BETAMETHASN50GL</t>
  </si>
  <si>
    <t>0053346359</t>
  </si>
  <si>
    <t>BUTT PASTE PEDI CMPD OI</t>
  </si>
  <si>
    <t>BUTTOCKPASTE OI</t>
  </si>
  <si>
    <t>0053346482</t>
  </si>
  <si>
    <t>CADEXOMER IODIN.9%40GMGL</t>
  </si>
  <si>
    <t>CADEX IOD40GMGL</t>
  </si>
  <si>
    <t>0053346557</t>
  </si>
  <si>
    <t>CALAMINE 180ML LT</t>
  </si>
  <si>
    <t>CALAMINE180MLLT</t>
  </si>
  <si>
    <t>0053346599</t>
  </si>
  <si>
    <t>CALAMINE 120ML LT</t>
  </si>
  <si>
    <t>CALAMINE120MLLT</t>
  </si>
  <si>
    <t>0053346664</t>
  </si>
  <si>
    <t>CALCIPOTRIENE 60GM CR</t>
  </si>
  <si>
    <t>CALCIPOTRIE60CR</t>
  </si>
  <si>
    <t>0053346888</t>
  </si>
  <si>
    <t>ZINC OX/MENTHOL 113GM OI</t>
  </si>
  <si>
    <t>ZN/MENTH113GMOI</t>
  </si>
  <si>
    <t>0053347282</t>
  </si>
  <si>
    <t>CAPSAICIN .025% 60GM CR</t>
  </si>
  <si>
    <t>CAPSAICIN60GMCR</t>
  </si>
  <si>
    <t>0053347407</t>
  </si>
  <si>
    <t>CELLULOSE OXIDIZ 2X4 EA</t>
  </si>
  <si>
    <t>CELLULOSE 2X4EA</t>
  </si>
  <si>
    <t>0053347696</t>
  </si>
  <si>
    <t>CHLORHEXIDINE4%120ML TS</t>
  </si>
  <si>
    <t>CHLORHEX120MLTS</t>
  </si>
  <si>
    <t>0053347712</t>
  </si>
  <si>
    <t>CHLORHEXIDINE4%15ML TS</t>
  </si>
  <si>
    <t>CHLORHEX 15MLTS</t>
  </si>
  <si>
    <t>0053347795</t>
  </si>
  <si>
    <t>CHLORHEXID.12%120ML MMTS</t>
  </si>
  <si>
    <t>0053348116</t>
  </si>
  <si>
    <t>NA HYPOCHL .5% 480ML TS</t>
  </si>
  <si>
    <t>NA HYPOCH 480ML</t>
  </si>
  <si>
    <t>0053348462</t>
  </si>
  <si>
    <t>CICLOPIROX 8% 6.6ML TS</t>
  </si>
  <si>
    <t>CICLOPIROX6.6TS</t>
  </si>
  <si>
    <t>0053348553</t>
  </si>
  <si>
    <t>CIPROFLOXACIN/HCTS10MLOT</t>
  </si>
  <si>
    <t>CIPROF/HCTS10OT</t>
  </si>
  <si>
    <t>0053348637</t>
  </si>
  <si>
    <t>CLINDAMYCIN 2% 40GM VCR</t>
  </si>
  <si>
    <t>CLINDAMYCN40VCR</t>
  </si>
  <si>
    <t>0053348645</t>
  </si>
  <si>
    <t>CLINDAMYCIN 1% 30GM GL</t>
  </si>
  <si>
    <t>CLINDAMYCIN30GL</t>
  </si>
  <si>
    <t>0053348660</t>
  </si>
  <si>
    <t>CLINDAMYCIN 1% 30ML TS</t>
  </si>
  <si>
    <t>CLINDAMYCIN30TS</t>
  </si>
  <si>
    <t>0053348678</t>
  </si>
  <si>
    <t>CLINDAMYCIN 1% 60ML TS</t>
  </si>
  <si>
    <t>CLINDAMYCIN60TS</t>
  </si>
  <si>
    <t>0053348686</t>
  </si>
  <si>
    <t>CLOBETASOL .05% 15GM CR</t>
  </si>
  <si>
    <t>CLOBETASOL 15CR</t>
  </si>
  <si>
    <t>0053348710</t>
  </si>
  <si>
    <t>CLOTRIMAZOLE 1% 15GM CR</t>
  </si>
  <si>
    <t xml:space="preserve">CLOTRIMAZL15CR </t>
  </si>
  <si>
    <t>0053348744</t>
  </si>
  <si>
    <t>CLOTRIMAZOLE 1% 30GM CR</t>
  </si>
  <si>
    <t xml:space="preserve">CLOTRIMAZL30CR </t>
  </si>
  <si>
    <t>0053348793</t>
  </si>
  <si>
    <t>CLOTRIMAZOLE 1% 30ML TS</t>
  </si>
  <si>
    <t xml:space="preserve">CLOTRIMAZL30TS </t>
  </si>
  <si>
    <t>0053348843</t>
  </si>
  <si>
    <t>CLOTRIMAZOLE 1%45GM VCR</t>
  </si>
  <si>
    <t>CLOTRIMAZL45VCR</t>
  </si>
  <si>
    <t>0053348926</t>
  </si>
  <si>
    <t>CLOTRIMAZ/BETAMET 30MLLT</t>
  </si>
  <si>
    <t>CLOTR/BETAM30LT</t>
  </si>
  <si>
    <t>0053348934</t>
  </si>
  <si>
    <t>CLOTRIMAZ/BETAMET 15GMCR</t>
  </si>
  <si>
    <t>CLOTR/BETAM15CR</t>
  </si>
  <si>
    <t>0053348975</t>
  </si>
  <si>
    <t>CLONIDINE .1MG XR TD</t>
  </si>
  <si>
    <t>CLONIDINE.1XRTD</t>
  </si>
  <si>
    <t>0053348991</t>
  </si>
  <si>
    <t>CLONIDINE .2MG XR TD</t>
  </si>
  <si>
    <t>CLONIDINE.2XRTD</t>
  </si>
  <si>
    <t>0053349015</t>
  </si>
  <si>
    <t>CLONIDINE .3MG XR TD</t>
  </si>
  <si>
    <t>CLONIDINE.3XRTD</t>
  </si>
  <si>
    <t>0053349585</t>
  </si>
  <si>
    <t>COLLAGENASE250U/GM30GMOI</t>
  </si>
  <si>
    <t>COLLAGENASE30OI</t>
  </si>
  <si>
    <t>0053349981</t>
  </si>
  <si>
    <t>CONJUGAT ESTRGN 30GM VCR</t>
  </si>
  <si>
    <t>CONJ ESTR 30VCR</t>
  </si>
  <si>
    <t>0053351821</t>
  </si>
  <si>
    <t>DIAZEPAM PED 2.5MG R GL</t>
  </si>
  <si>
    <t>DIAZEPPED2.5RGL</t>
  </si>
  <si>
    <t>0053351854</t>
  </si>
  <si>
    <t>DIAZEPAM 10MG R GL</t>
  </si>
  <si>
    <t>DIAZEPAM10MGRGL</t>
  </si>
  <si>
    <t>0053352001</t>
  </si>
  <si>
    <t>DIBUCAINE 1% 30GM OI</t>
  </si>
  <si>
    <t>DIBUCAINE30GMOI</t>
  </si>
  <si>
    <t>0053352126</t>
  </si>
  <si>
    <t>DICLOFENAC 1% 100GM GL</t>
  </si>
  <si>
    <t>DICLOFEN100G GL</t>
  </si>
  <si>
    <t>0053352456</t>
  </si>
  <si>
    <t>DINOPROSTONE.5MG/3GM VGL</t>
  </si>
  <si>
    <t>DINOPROST3GMVGL</t>
  </si>
  <si>
    <t>0053352688</t>
  </si>
  <si>
    <t>DIPHENHYD-ZINC 1% 30GMCR</t>
  </si>
  <si>
    <t>DIPHEN-ZINC30CR</t>
  </si>
  <si>
    <t>0053352696</t>
  </si>
  <si>
    <t>DIPHENHYD-ZINC 2% 30GMCR</t>
  </si>
  <si>
    <t>0053352704</t>
  </si>
  <si>
    <t>DIPHENHYDRA 2% 30GM CR</t>
  </si>
  <si>
    <t>DIPHENHYDRA30CR</t>
  </si>
  <si>
    <t>0053353157</t>
  </si>
  <si>
    <t>ECONAZOLE 1% 15GM CR</t>
  </si>
  <si>
    <t>ECONAZOLE15GMCR</t>
  </si>
  <si>
    <t>0053353272</t>
  </si>
  <si>
    <t>EMOLLIENT 60GM CR</t>
  </si>
  <si>
    <t xml:space="preserve">EMOLLIENT 60CR </t>
  </si>
  <si>
    <t>0053353306</t>
  </si>
  <si>
    <t>EMOLLIENT ALOE 60GM OI</t>
  </si>
  <si>
    <t>EMOLL ALOE 60OI</t>
  </si>
  <si>
    <t>0053353587</t>
  </si>
  <si>
    <t>ESTRADIOL .025WEEK EA TD</t>
  </si>
  <si>
    <t>ESTRADL .025 TD</t>
  </si>
  <si>
    <t>0053353603</t>
  </si>
  <si>
    <t>ESTRADIOL .05BIWK EA TD</t>
  </si>
  <si>
    <t xml:space="preserve">ESTRADL .05 TD </t>
  </si>
  <si>
    <t>0053353611</t>
  </si>
  <si>
    <t>ESTRADIOL .1BIWK EA TD</t>
  </si>
  <si>
    <t>ESTRADIOL .1 TD</t>
  </si>
  <si>
    <t>0053353637</t>
  </si>
  <si>
    <t>ESTRADIOL.1MG/GM42.5GMCR</t>
  </si>
  <si>
    <t>ESTRADIOL42.5CR</t>
  </si>
  <si>
    <t>0053353827</t>
  </si>
  <si>
    <t>FERRIC SUBSULF 8GM TS</t>
  </si>
  <si>
    <t>FERRICSUBSLF8TS</t>
  </si>
  <si>
    <t>0053353843</t>
  </si>
  <si>
    <t>FERRIC SUBSULFATE 8ML TS</t>
  </si>
  <si>
    <t>FE SUBSULF8MLTS</t>
  </si>
  <si>
    <t>0053353967</t>
  </si>
  <si>
    <t>FIBRIN SEALANT 2ML KT TS</t>
  </si>
  <si>
    <t>FIBRIN 2ML KT</t>
  </si>
  <si>
    <t>0053354007</t>
  </si>
  <si>
    <t>FIBRIN SEALAN 10ML KT TS</t>
  </si>
  <si>
    <t>FIBRIN 10ML KIT</t>
  </si>
  <si>
    <t>0053354023</t>
  </si>
  <si>
    <t>FIBRIN SEALANT 4ML KT TS</t>
  </si>
  <si>
    <t>FIBRIN 4ML KIT</t>
  </si>
  <si>
    <t>0053354981</t>
  </si>
  <si>
    <t>FLUOCINONIDE .05%15GM CR</t>
  </si>
  <si>
    <t>FLUOCINONID15CR</t>
  </si>
  <si>
    <t>0053355038</t>
  </si>
  <si>
    <t>FLUOCINONIDE .05%15GM OI</t>
  </si>
  <si>
    <t>FLUOCINONID15OI</t>
  </si>
  <si>
    <t>0053355186</t>
  </si>
  <si>
    <t>FLUOCINONIDE .05%60GM CR</t>
  </si>
  <si>
    <t>FLUOCINONID60CR</t>
  </si>
  <si>
    <t>0053355723</t>
  </si>
  <si>
    <t>FLUOROURACIL 5% 40GM CR</t>
  </si>
  <si>
    <t>FLUOROURA40G CR</t>
  </si>
  <si>
    <t>0053356929</t>
  </si>
  <si>
    <t>GELATIN ABS STER 1GM PK</t>
  </si>
  <si>
    <t>GEL ABS 1GM PK</t>
  </si>
  <si>
    <t>0053356978</t>
  </si>
  <si>
    <t>GELATIN SPNG COMP100SZEA</t>
  </si>
  <si>
    <t>GEL COMP100SZEA</t>
  </si>
  <si>
    <t>0053356986</t>
  </si>
  <si>
    <t>GELATIN SPONG ABS100SZEA</t>
  </si>
  <si>
    <t>GEL SPNG100SZEA</t>
  </si>
  <si>
    <t>0053357034</t>
  </si>
  <si>
    <t>GELATIN SPONGE ABS12X7EA</t>
  </si>
  <si>
    <t>GEL SPONG12X7EA</t>
  </si>
  <si>
    <t>0053357240</t>
  </si>
  <si>
    <t>GENTAMICIN .1% 15GM CR</t>
  </si>
  <si>
    <t>GENTAMICIN 15CR</t>
  </si>
  <si>
    <t>0053357299</t>
  </si>
  <si>
    <t>GENTAMICIN .1% 15GM OI</t>
  </si>
  <si>
    <t>GENTAMICIN 15OI</t>
  </si>
  <si>
    <t>0053358370</t>
  </si>
  <si>
    <t>HEMOSTAT KAOLIN 4X4 DRSG</t>
  </si>
  <si>
    <t>HEMOST 4X4 DRSG</t>
  </si>
  <si>
    <t>0053358388</t>
  </si>
  <si>
    <t>HEMOSTAT KAOLIN 2X2 DRSG</t>
  </si>
  <si>
    <t>HEMOST 2X2 DRSG</t>
  </si>
  <si>
    <t>0053358867</t>
  </si>
  <si>
    <t>HCTS .5% 30GM CR</t>
  </si>
  <si>
    <t xml:space="preserve">HCTS 30GM CR   </t>
  </si>
  <si>
    <t>0053358958</t>
  </si>
  <si>
    <t>HCTS 1% 30GM OI</t>
  </si>
  <si>
    <t xml:space="preserve">HCTS 30GM OI   </t>
  </si>
  <si>
    <t>0053359014</t>
  </si>
  <si>
    <t>HCTS .5% 30GM OI</t>
  </si>
  <si>
    <t>0053359048</t>
  </si>
  <si>
    <t>HCTS 2.5% 60ML LT</t>
  </si>
  <si>
    <t xml:space="preserve">HCTS 60ML LT   </t>
  </si>
  <si>
    <t>0053359055</t>
  </si>
  <si>
    <t>HCTS 1% 120ML LT</t>
  </si>
  <si>
    <t xml:space="preserve">HCTS 120ML LT  </t>
  </si>
  <si>
    <t>0053359113</t>
  </si>
  <si>
    <t>HCTS 1% 30GM CR</t>
  </si>
  <si>
    <t>0053359139</t>
  </si>
  <si>
    <t>HCTS 2.5% 30GM CR</t>
  </si>
  <si>
    <t>0053359204</t>
  </si>
  <si>
    <t>HCTS 1% 28.4GM CR</t>
  </si>
  <si>
    <t xml:space="preserve">HCTS 28.4GM CR </t>
  </si>
  <si>
    <t>0053359279</t>
  </si>
  <si>
    <t>HCTS 2.5% 120ML LT</t>
  </si>
  <si>
    <t>0053360848</t>
  </si>
  <si>
    <t>KETOCONAZOLE 2% 15GM CR</t>
  </si>
  <si>
    <t>KETOCONAZOL15CR</t>
  </si>
  <si>
    <t>0053360855</t>
  </si>
  <si>
    <t>KETOCONAZL SHMP2%120MLSH</t>
  </si>
  <si>
    <t>KETOCONSHM120SH</t>
  </si>
  <si>
    <t>0053360871</t>
  </si>
  <si>
    <t>AMMONIUM LACT12%225ML LT</t>
  </si>
  <si>
    <t>AMMON LACT225LT</t>
  </si>
  <si>
    <t>0053361259</t>
  </si>
  <si>
    <t>LANOLIN 7.5GM OI</t>
  </si>
  <si>
    <t>LANOLIN 7.5GMOI</t>
  </si>
  <si>
    <t>0053361978</t>
  </si>
  <si>
    <t>LIDOCAINE 2% 10ML GL</t>
  </si>
  <si>
    <t>LIDO 10ML GL</t>
  </si>
  <si>
    <t>0053362018</t>
  </si>
  <si>
    <t>LIDOCAINE2%UROJET 10MLGL</t>
  </si>
  <si>
    <t>LIDOCUROJET10GL</t>
  </si>
  <si>
    <t>0053362026</t>
  </si>
  <si>
    <t>LIDOCAINE 2% 5ML GL</t>
  </si>
  <si>
    <t>LIDO 5ML GL</t>
  </si>
  <si>
    <t>0053362042</t>
  </si>
  <si>
    <t>LIDO/PRILOC 2.5% 5GM CR</t>
  </si>
  <si>
    <t>LIDO/PRILOC 5CR</t>
  </si>
  <si>
    <t>0053362083</t>
  </si>
  <si>
    <t>LIDOCAINE 4% 50ML TS</t>
  </si>
  <si>
    <t>LIDO 50ML TS</t>
  </si>
  <si>
    <t>0053362117</t>
  </si>
  <si>
    <t>LIDOCAINE 4% 5GM CR</t>
  </si>
  <si>
    <t>LIDO 5GM CR</t>
  </si>
  <si>
    <t>0053362125</t>
  </si>
  <si>
    <t>LIDOCAINE 5% 35GM OI</t>
  </si>
  <si>
    <t>LIDO 35GM OI</t>
  </si>
  <si>
    <t>0053362133</t>
  </si>
  <si>
    <t>LIDOCAINE 5% TD</t>
  </si>
  <si>
    <t>LIDO 5% TD</t>
  </si>
  <si>
    <t>0053362166</t>
  </si>
  <si>
    <t>LIDOCAINE 4% 4ML TS</t>
  </si>
  <si>
    <t>LIDO 4ML TS</t>
  </si>
  <si>
    <t>0053362323</t>
  </si>
  <si>
    <t>LIDOCAINE 5% 30GM OI</t>
  </si>
  <si>
    <t>LIDOC 5% 30G OI</t>
  </si>
  <si>
    <t>0053362349</t>
  </si>
  <si>
    <t>LIDOCAINE 2% 11ML GL</t>
  </si>
  <si>
    <t>LIDO 11ML GL</t>
  </si>
  <si>
    <t>0053362364</t>
  </si>
  <si>
    <t>LIDOCAINE 2% 6ML GL</t>
  </si>
  <si>
    <t>LIDO 2% 6ML GL</t>
  </si>
  <si>
    <t>0053362406</t>
  </si>
  <si>
    <t>LIDOCAINE 4% PATCH TD</t>
  </si>
  <si>
    <t>LIDOCAINE 4% PA</t>
  </si>
  <si>
    <t>0053363198</t>
  </si>
  <si>
    <t>EMOLLIENT 180ML LT</t>
  </si>
  <si>
    <t>EMOLLIENT 180LT</t>
  </si>
  <si>
    <t>0053363552</t>
  </si>
  <si>
    <t>MG SULFATE 480GM PW</t>
  </si>
  <si>
    <t xml:space="preserve">MG SULF480GMPW </t>
  </si>
  <si>
    <t>0053363610</t>
  </si>
  <si>
    <t>DOUCHE POVID135ML2PK VTS</t>
  </si>
  <si>
    <t xml:space="preserve">DOUCHE135ML    </t>
  </si>
  <si>
    <t>0053364733</t>
  </si>
  <si>
    <t>METHYL SAL MENTH 57GM CR</t>
  </si>
  <si>
    <t>METHYL SAL 57CR</t>
  </si>
  <si>
    <t>0053365607</t>
  </si>
  <si>
    <t>METRONIDAZOLE.75%70GMVGL</t>
  </si>
  <si>
    <t>METRONIDAZ70VGL</t>
  </si>
  <si>
    <t>0053365623</t>
  </si>
  <si>
    <t>METRONIDAZOLE.75%45GM GL</t>
  </si>
  <si>
    <t>METRONIDAZL45GL</t>
  </si>
  <si>
    <t>0053365797</t>
  </si>
  <si>
    <t>MICONAZOLE 100MG EA VSU</t>
  </si>
  <si>
    <t xml:space="preserve">MICONAZ VSU EA </t>
  </si>
  <si>
    <t>0053365862</t>
  </si>
  <si>
    <t>MICONAZOLE 2% 70GM PW</t>
  </si>
  <si>
    <t xml:space="preserve">MICONAZOLE70PW </t>
  </si>
  <si>
    <t>0053365870</t>
  </si>
  <si>
    <t>MICONAZOLE 2% 45GM PW</t>
  </si>
  <si>
    <t>MICONAZOLE 45PW</t>
  </si>
  <si>
    <t>0053365946</t>
  </si>
  <si>
    <t>MICONAZOLE 2% 30GM CR</t>
  </si>
  <si>
    <t>MICONAZOLE 30CR</t>
  </si>
  <si>
    <t>0053365953</t>
  </si>
  <si>
    <t>MICONAZOLE 2% 45GM VCR</t>
  </si>
  <si>
    <t>MICONAZOLE45VCR</t>
  </si>
  <si>
    <t>0053365979</t>
  </si>
  <si>
    <t>MICONAZOLE 2% 57GM CR</t>
  </si>
  <si>
    <t xml:space="preserve">MICONAZOLE57CR </t>
  </si>
  <si>
    <t>0053366100</t>
  </si>
  <si>
    <t>COLLAGEN MICROFIB 1GM PW</t>
  </si>
  <si>
    <t>COLLAGEN MIC1PW</t>
  </si>
  <si>
    <t>0053366449</t>
  </si>
  <si>
    <t>MINERAL OIL STER 10ML LQ</t>
  </si>
  <si>
    <t>MINERAL OIL10LQ</t>
  </si>
  <si>
    <t>0053366472</t>
  </si>
  <si>
    <t>MINERAL OIL LIGHT25ML TS</t>
  </si>
  <si>
    <t>MINERAL OIL25ML</t>
  </si>
  <si>
    <t>0053366837</t>
  </si>
  <si>
    <t>MUPIROCIN 2% 1GM OI</t>
  </si>
  <si>
    <t>MUPIROCIN 1GMOI</t>
  </si>
  <si>
    <t>0053366845</t>
  </si>
  <si>
    <t>MUPIROCIN 2% 30GM CR</t>
  </si>
  <si>
    <t>MUPIROCIN30GMCR</t>
  </si>
  <si>
    <t>0053366852</t>
  </si>
  <si>
    <t>MUPIROCIN 2% 15GM CR</t>
  </si>
  <si>
    <t>MUPIROCIN15GMCR</t>
  </si>
  <si>
    <t>0053367751</t>
  </si>
  <si>
    <t>NEO/BAC/POLYB 30GM OI</t>
  </si>
  <si>
    <t>NEO/BAC/P30GMOI</t>
  </si>
  <si>
    <t>0053367777</t>
  </si>
  <si>
    <t>NEO/BAC/POLYB.9GM OI</t>
  </si>
  <si>
    <t>NEO/BAC/P.9GMOI</t>
  </si>
  <si>
    <t>0053367793</t>
  </si>
  <si>
    <t>NEOMYCIN/POLYMB IR 1MLTS</t>
  </si>
  <si>
    <t>NEO/POLYB IR1TS</t>
  </si>
  <si>
    <t>0053368106</t>
  </si>
  <si>
    <t>NICOTINE 7MG TD</t>
  </si>
  <si>
    <t xml:space="preserve">NICOTINE 7MGTD </t>
  </si>
  <si>
    <t>0053368114</t>
  </si>
  <si>
    <t>NICOTINE 14MG TD</t>
  </si>
  <si>
    <t>NICOTINE 14MGTD</t>
  </si>
  <si>
    <t>0053368122</t>
  </si>
  <si>
    <t>NICOTINE 21MG TD</t>
  </si>
  <si>
    <t>NICOTINE 21MGTD</t>
  </si>
  <si>
    <t>0053368353</t>
  </si>
  <si>
    <t>NITROGLYCERIN .1MG/HR TD</t>
  </si>
  <si>
    <t xml:space="preserve">NTG .1MG/HR TD </t>
  </si>
  <si>
    <t>0053368361</t>
  </si>
  <si>
    <t>NITROGLYCERIN .2MG/HR TD</t>
  </si>
  <si>
    <t xml:space="preserve">NTG .2MG/HR TD </t>
  </si>
  <si>
    <t>0053368379</t>
  </si>
  <si>
    <t>NITROGLYCERIN .3MG/HR TD</t>
  </si>
  <si>
    <t xml:space="preserve">NTG .3MG/HR TD </t>
  </si>
  <si>
    <t>0053368387</t>
  </si>
  <si>
    <t>NITROGLYCERIN .4MG/HR TD</t>
  </si>
  <si>
    <t xml:space="preserve">NTG .4MG/HR TD </t>
  </si>
  <si>
    <t>0053368403</t>
  </si>
  <si>
    <t>NITROGLYCERIN .6MG/HR TD</t>
  </si>
  <si>
    <t xml:space="preserve">NTG .6MG/HR TD </t>
  </si>
  <si>
    <t>0053368882</t>
  </si>
  <si>
    <t>NITROGLYCERIN2% 1GM OI</t>
  </si>
  <si>
    <t xml:space="preserve">NTG 1GM OI     </t>
  </si>
  <si>
    <t>0053368999</t>
  </si>
  <si>
    <t>PENTAFLUOROPROP 1DOSE TS</t>
  </si>
  <si>
    <t>PENTAFLPRP1DSTS</t>
  </si>
  <si>
    <t>0053369096</t>
  </si>
  <si>
    <t>NYSTATIN 15GM CR</t>
  </si>
  <si>
    <t xml:space="preserve">NYSTATIN15GMCR </t>
  </si>
  <si>
    <t>0053369146</t>
  </si>
  <si>
    <t>NYSTATIN 30GM CR</t>
  </si>
  <si>
    <t xml:space="preserve">NYSTATIN30GMCR </t>
  </si>
  <si>
    <t>0053369195</t>
  </si>
  <si>
    <t>NYSTATIN 15GM PW</t>
  </si>
  <si>
    <t xml:space="preserve">NYSTATIN15GMPW </t>
  </si>
  <si>
    <t>0053369245</t>
  </si>
  <si>
    <t>NYSTATIN 15GM OI</t>
  </si>
  <si>
    <t xml:space="preserve">NYSTATIN15GMOI </t>
  </si>
  <si>
    <t>0053369963</t>
  </si>
  <si>
    <t>PERMETHRIN 1% 60ML TS</t>
  </si>
  <si>
    <t>PERMETHRIN 60TS</t>
  </si>
  <si>
    <t>0053369989</t>
  </si>
  <si>
    <t>PERMETHRIN 5% 60GM CR</t>
  </si>
  <si>
    <t>PERMETHRIN 60CR</t>
  </si>
  <si>
    <t>0053370185</t>
  </si>
  <si>
    <t>PETROLATUM 30GM OI</t>
  </si>
  <si>
    <t>PETROLATUM 30OI</t>
  </si>
  <si>
    <t>0053370193</t>
  </si>
  <si>
    <t>PETROLATUM 5GM UD OI</t>
  </si>
  <si>
    <t>PETROLATUM5GMOI</t>
  </si>
  <si>
    <t>0053370813</t>
  </si>
  <si>
    <t>NEO/BAC/POLY/HC 15GM OI</t>
  </si>
  <si>
    <t>NEO/BA/P/HC15OI</t>
  </si>
  <si>
    <t>0053371076</t>
  </si>
  <si>
    <t>POVIDONE-IODINE10%30GMOI</t>
  </si>
  <si>
    <t>POV-IOD 30GM OI</t>
  </si>
  <si>
    <t>0053371159</t>
  </si>
  <si>
    <t>POVIDON-IODINE10%118MLTS</t>
  </si>
  <si>
    <t>POV-IOD 118MLTS</t>
  </si>
  <si>
    <t>0053371175</t>
  </si>
  <si>
    <t>POVIDONE-IODIN10%90GMVGL</t>
  </si>
  <si>
    <t>POV-IOD90GM VGL</t>
  </si>
  <si>
    <t>0053371183</t>
  </si>
  <si>
    <t>POVIDONE-IODINE10%PAD EA</t>
  </si>
  <si>
    <t xml:space="preserve">POV-IOD PAD EA </t>
  </si>
  <si>
    <t>0053371225</t>
  </si>
  <si>
    <t>POVDN-IOD SKIN CLN 4OZTS</t>
  </si>
  <si>
    <t>POV-IODSKNCL4TS</t>
  </si>
  <si>
    <t>0053371506</t>
  </si>
  <si>
    <t>PROGESTERONE 8% 1.4G VGL</t>
  </si>
  <si>
    <t>PROGESTER 8%VGL</t>
  </si>
  <si>
    <t>0053372397</t>
  </si>
  <si>
    <t>SEALANT HEMOSTAT MATRIX</t>
  </si>
  <si>
    <t>SEALNT HEMOSTAT</t>
  </si>
  <si>
    <t>0053372447</t>
  </si>
  <si>
    <t>SELENIUM SULF 1%120ML SH</t>
  </si>
  <si>
    <t>SELENIUM1%120SH</t>
  </si>
  <si>
    <t>0053372470</t>
  </si>
  <si>
    <t>ADHESION BARRIER 5X6 EA</t>
  </si>
  <si>
    <t>ADH BARRIER 5X6</t>
  </si>
  <si>
    <t>0053372538</t>
  </si>
  <si>
    <t>SCOPOLAMINE1.5MG72HR TD</t>
  </si>
  <si>
    <t>SCOPOLAM1.5MGTD</t>
  </si>
  <si>
    <t>0053372645</t>
  </si>
  <si>
    <t>SILVER BANDAGE 4X5 DG</t>
  </si>
  <si>
    <t xml:space="preserve">SILVER 4X5 DG  </t>
  </si>
  <si>
    <t>0053372660</t>
  </si>
  <si>
    <t>SILVER SULFADIA1%25GM CR</t>
  </si>
  <si>
    <t xml:space="preserve">SSD 25GM CR    </t>
  </si>
  <si>
    <t>0053372710</t>
  </si>
  <si>
    <t>SILVER NITRATE APPL 10PK</t>
  </si>
  <si>
    <t>SILVER NIT 10PK</t>
  </si>
  <si>
    <t>0053372744</t>
  </si>
  <si>
    <t>SILVER SULFADIA1%400GMCR</t>
  </si>
  <si>
    <t xml:space="preserve">SSD 400GM CR   </t>
  </si>
  <si>
    <t>0053372827</t>
  </si>
  <si>
    <t>SILVER NITRAT 1 STICK EA</t>
  </si>
  <si>
    <t>SILVER NITR 1EA</t>
  </si>
  <si>
    <t>0053373049</t>
  </si>
  <si>
    <t>NACL/ALOE.65%14GM NAS GL</t>
  </si>
  <si>
    <t>NACL/ALOE14GMGL</t>
  </si>
  <si>
    <t>0053373056</t>
  </si>
  <si>
    <t>NA HYPOCHL .25% 480ML TS</t>
  </si>
  <si>
    <t>0053373080</t>
  </si>
  <si>
    <t>TALC STERILE 3GM PW SP</t>
  </si>
  <si>
    <t>TALC STERILE 3G</t>
  </si>
  <si>
    <t>0053373106</t>
  </si>
  <si>
    <t>NA HYPOCHL.125% 480ML TS</t>
  </si>
  <si>
    <t>0053373130</t>
  </si>
  <si>
    <t>TALC STERILE 4GM PW SP</t>
  </si>
  <si>
    <t>TALC STER 4PWSP</t>
  </si>
  <si>
    <t>0053373262</t>
  </si>
  <si>
    <t>SULFANILAMIDE15%120GMVCR</t>
  </si>
  <si>
    <t>SULFANILA120VCR</t>
  </si>
  <si>
    <t>0053373619</t>
  </si>
  <si>
    <t>CELLULOSE OXIDIZ 2X3 EA</t>
  </si>
  <si>
    <t>CELLULOSE 2X3EA</t>
  </si>
  <si>
    <t>0053373668</t>
  </si>
  <si>
    <t>CELLULOSE OXIDIZ 4X8 EA</t>
  </si>
  <si>
    <t>CELLULOSE 4X8EA</t>
  </si>
  <si>
    <t>0053373676</t>
  </si>
  <si>
    <t>CELLULOSE OXIDIZ 6X9 EA</t>
  </si>
  <si>
    <t>CELLULOSE 6X9EA</t>
  </si>
  <si>
    <t>0053373718</t>
  </si>
  <si>
    <t>CELLULOSE OXIDIZ 4X4 EA</t>
  </si>
  <si>
    <t>CELLULOSE 4X4EA</t>
  </si>
  <si>
    <t>0053373940</t>
  </si>
  <si>
    <t>NYSTATIN/TRIAMCIN 15GMCR</t>
  </si>
  <si>
    <t>NYSTA/TRIAM15CR</t>
  </si>
  <si>
    <t>0053373957</t>
  </si>
  <si>
    <t>NYSTATIN/TRIAMCIN 30GMCR</t>
  </si>
  <si>
    <t>NYSTA/TRIAM30CR</t>
  </si>
  <si>
    <t>0053373999</t>
  </si>
  <si>
    <t>NYSTATIN/TRIAMCIN 15GMOI</t>
  </si>
  <si>
    <t>NYSTA/TRIAM15OI</t>
  </si>
  <si>
    <t>0053374260</t>
  </si>
  <si>
    <t>TERBINAFINE 1% 12GM CR</t>
  </si>
  <si>
    <t>TERBINAFINE12CR</t>
  </si>
  <si>
    <t>0053374294</t>
  </si>
  <si>
    <t>TERBINAFINE 1% 15GM CR</t>
  </si>
  <si>
    <t>TERBINAFINE15CR</t>
  </si>
  <si>
    <t>0053374302</t>
  </si>
  <si>
    <t>TERCONAZOLE 80MG VSU</t>
  </si>
  <si>
    <t>TERCONAZOL80VSU</t>
  </si>
  <si>
    <t>0053374310</t>
  </si>
  <si>
    <t>TERCONAZOLE.4%45GM VCR</t>
  </si>
  <si>
    <t>TERCONAZOL45VCR</t>
  </si>
  <si>
    <t>0053374328</t>
  </si>
  <si>
    <t>TERCONAZOLE.8%20GM VCR</t>
  </si>
  <si>
    <t>TERCONAZOL20VCR</t>
  </si>
  <si>
    <t>0053374377</t>
  </si>
  <si>
    <t>TESTOSTERONE5MG/24HRXRTD</t>
  </si>
  <si>
    <t>TESTOSTR5MGXRTD</t>
  </si>
  <si>
    <t>0053374518</t>
  </si>
  <si>
    <t>TESTOSTERONE2MG/24HRXRTD</t>
  </si>
  <si>
    <t>TESTOST 2MGXRTD</t>
  </si>
  <si>
    <t>0053374575</t>
  </si>
  <si>
    <t>THROMBIN EPISTX 5000U PW</t>
  </si>
  <si>
    <t>THROMB EPSX 5KU</t>
  </si>
  <si>
    <t>0053374583</t>
  </si>
  <si>
    <t>THROMBIN 5000U RECOM KT</t>
  </si>
  <si>
    <t>THROMB 5000U KT</t>
  </si>
  <si>
    <t>0053374633</t>
  </si>
  <si>
    <t>THROMBIN 20000U SP KT</t>
  </si>
  <si>
    <t>THROMBN20KUSPKT</t>
  </si>
  <si>
    <t>0053374674</t>
  </si>
  <si>
    <t>THROMBIN 5000U PW</t>
  </si>
  <si>
    <t>THROMBIN5000UPW</t>
  </si>
  <si>
    <t>0053374690</t>
  </si>
  <si>
    <t>THROMBIN 20000U PW</t>
  </si>
  <si>
    <t>THROMBIN20000PW</t>
  </si>
  <si>
    <t>0053374708</t>
  </si>
  <si>
    <t>TOBRAMYCIN 1.2GM PW</t>
  </si>
  <si>
    <t>TOBRAMYC1.2GMPW</t>
  </si>
  <si>
    <t>0053374781</t>
  </si>
  <si>
    <t>THROMBIN 20000U RECOM KT</t>
  </si>
  <si>
    <t>THROMB20000U KT</t>
  </si>
  <si>
    <t>0053374948</t>
  </si>
  <si>
    <t>TOLNAFTATE 1% 30GM CR</t>
  </si>
  <si>
    <t xml:space="preserve">TOLNAFTATE30CR </t>
  </si>
  <si>
    <t>0053375457</t>
  </si>
  <si>
    <t>TRIAMCINOLONE.025%15GMCR</t>
  </si>
  <si>
    <t>TRIAMCINOLN15CR</t>
  </si>
  <si>
    <t>0053375754</t>
  </si>
  <si>
    <t>TRIAMCINOLONE .1%15GM OI</t>
  </si>
  <si>
    <t>TRIAMCINOLN15OI</t>
  </si>
  <si>
    <t>0053375804</t>
  </si>
  <si>
    <t>TRIAMCINOLONE .1%60ML LT</t>
  </si>
  <si>
    <t>TRIAMCINOLN60LT</t>
  </si>
  <si>
    <t>0053375903</t>
  </si>
  <si>
    <t>TRIAMCINOLONE .1%80GM OI</t>
  </si>
  <si>
    <t>TRIAMCINOLN80OI</t>
  </si>
  <si>
    <t>0053375952</t>
  </si>
  <si>
    <t>TRIAMCINOLONE .5%15GM CR</t>
  </si>
  <si>
    <t>0053376000</t>
  </si>
  <si>
    <t>TRIAMCINOLONE .5%15GM OI</t>
  </si>
  <si>
    <t>0053376158</t>
  </si>
  <si>
    <t>TRIAMCINOL-A .1%15GM CR</t>
  </si>
  <si>
    <t>TRIAMCIN-A 15CR</t>
  </si>
  <si>
    <t>0053376208</t>
  </si>
  <si>
    <t>TRIAMCIN-A .1% 5GM PASTE</t>
  </si>
  <si>
    <t xml:space="preserve">TRIAMC-A 5GM   </t>
  </si>
  <si>
    <t>0053376851</t>
  </si>
  <si>
    <t>UREA 40% 30GM CR</t>
  </si>
  <si>
    <t xml:space="preserve">UREA 30GM CR   </t>
  </si>
  <si>
    <t>0053376877</t>
  </si>
  <si>
    <t>UREA 20% 90GM CR</t>
  </si>
  <si>
    <t xml:space="preserve">UREA 90GM CR   </t>
  </si>
  <si>
    <t>0053377008</t>
  </si>
  <si>
    <t>VITAMIN A&amp;D 120GM OI</t>
  </si>
  <si>
    <t>VIT A&amp;D120GM OI</t>
  </si>
  <si>
    <t>0053377016</t>
  </si>
  <si>
    <t>VITAMIN A&amp;D 45GM OI</t>
  </si>
  <si>
    <t>VIT A&amp;D 45GM OI</t>
  </si>
  <si>
    <t>0053377156</t>
  </si>
  <si>
    <t>WOUND DRESS AG FOAM 3X10</t>
  </si>
  <si>
    <t>WOUND DRESS3X10</t>
  </si>
  <si>
    <t>0053377354</t>
  </si>
  <si>
    <t>VITAMIN A&amp;D 60GM OI</t>
  </si>
  <si>
    <t>VIT A&amp;D 60GM OI</t>
  </si>
  <si>
    <t>0053377362</t>
  </si>
  <si>
    <t>VITAMIN A&amp;D 5GM OI</t>
  </si>
  <si>
    <t xml:space="preserve">VIT A&amp;D 5GM OI </t>
  </si>
  <si>
    <t>0053377446</t>
  </si>
  <si>
    <t>GYLCER/WITCH HAZ PAD40EA</t>
  </si>
  <si>
    <t>GYLC/WH PAD40EA</t>
  </si>
  <si>
    <t>0053377529</t>
  </si>
  <si>
    <t>WOUND DRESSING GEL GL</t>
  </si>
  <si>
    <t>WOUND DRESS GEL</t>
  </si>
  <si>
    <t>0053377552</t>
  </si>
  <si>
    <t>ZINC OXIDE 40% 60GM OI</t>
  </si>
  <si>
    <t>ZINC OXIDE 60OI</t>
  </si>
  <si>
    <t>0053377776</t>
  </si>
  <si>
    <t>ZINC OXIDE 16% 60GM OI</t>
  </si>
  <si>
    <t>ZINC OX 60GM OI</t>
  </si>
  <si>
    <t>0053380093</t>
  </si>
  <si>
    <t>RIVASTIGMINE 4.6MG TD</t>
  </si>
  <si>
    <t>RIVASTIGM 4.6MG</t>
  </si>
  <si>
    <t>0053380101</t>
  </si>
  <si>
    <t>RIVASTIGMINE 9.5MG TD</t>
  </si>
  <si>
    <t>RIVASTIGM 9.5MG</t>
  </si>
  <si>
    <t>0053380168</t>
  </si>
  <si>
    <t>APAP 120MG SU</t>
  </si>
  <si>
    <t xml:space="preserve">APAP 120MG SU  </t>
  </si>
  <si>
    <t>0053380200</t>
  </si>
  <si>
    <t>APAP 325MG SU</t>
  </si>
  <si>
    <t xml:space="preserve">APAP 325MG SU  </t>
  </si>
  <si>
    <t>0053380242</t>
  </si>
  <si>
    <t>APAP 650MG SU</t>
  </si>
  <si>
    <t xml:space="preserve">APAP 650MG SU  </t>
  </si>
  <si>
    <t>0053380952</t>
  </si>
  <si>
    <t>ASA 300MG SU</t>
  </si>
  <si>
    <t xml:space="preserve">ASA 300MG SU   </t>
  </si>
  <si>
    <t>0053381166</t>
  </si>
  <si>
    <t>ASA 600MG SU</t>
  </si>
  <si>
    <t xml:space="preserve">ASA 600MG SU   </t>
  </si>
  <si>
    <t>0053381620</t>
  </si>
  <si>
    <t>BISACODYL 10MG SU</t>
  </si>
  <si>
    <t>BISACODY10MG SU</t>
  </si>
  <si>
    <t>0053383204</t>
  </si>
  <si>
    <t>DINOPROSTONE 10MG SU</t>
  </si>
  <si>
    <t>DINOPROSTON10MG</t>
  </si>
  <si>
    <t>0053383212</t>
  </si>
  <si>
    <t>DINOPROSTONE 20MG SU</t>
  </si>
  <si>
    <t>DINOPROSTON20MG</t>
  </si>
  <si>
    <t>0053384095</t>
  </si>
  <si>
    <t>GLYCERIN ADULT SU</t>
  </si>
  <si>
    <t>GLYCERIN ADU SU</t>
  </si>
  <si>
    <t>0053384137</t>
  </si>
  <si>
    <t>GLYCERIN INFANT SU</t>
  </si>
  <si>
    <t>GLYCERIN INF SU</t>
  </si>
  <si>
    <t>0053384848</t>
  </si>
  <si>
    <t>HCTS 1% 30GM R CR</t>
  </si>
  <si>
    <t xml:space="preserve">HCTS 30GM R CR </t>
  </si>
  <si>
    <t>0053384855</t>
  </si>
  <si>
    <t>HCTS 2.5% 30GM R CR</t>
  </si>
  <si>
    <t>0053384889</t>
  </si>
  <si>
    <t>HCTS 100MG/60ML RE</t>
  </si>
  <si>
    <t>HCTS 100MG/60ML</t>
  </si>
  <si>
    <t>0053384939</t>
  </si>
  <si>
    <t>HCTS 25MG SU</t>
  </si>
  <si>
    <t xml:space="preserve">HCTS 25MG SU   </t>
  </si>
  <si>
    <t>0053384970</t>
  </si>
  <si>
    <t>INDOMETHACIN 50MG SUPP</t>
  </si>
  <si>
    <t>INDOMETH50MG SU</t>
  </si>
  <si>
    <t>0053384988</t>
  </si>
  <si>
    <t>INDOMETHACIN 100MG SUPP</t>
  </si>
  <si>
    <t>INDOMETHACIN 10</t>
  </si>
  <si>
    <t>0053385050</t>
  </si>
  <si>
    <t>LACTULOSE CMPD RE</t>
  </si>
  <si>
    <t>LACTULOSE RE</t>
  </si>
  <si>
    <t>0053385100</t>
  </si>
  <si>
    <t>MESALAMINE 4G/60ML RE</t>
  </si>
  <si>
    <t>MESALAM 60ML RE</t>
  </si>
  <si>
    <t>0053385126</t>
  </si>
  <si>
    <t>MESALAMINE 1000MG SU</t>
  </si>
  <si>
    <t>MESALAMIN1GM SU</t>
  </si>
  <si>
    <t>0053385340</t>
  </si>
  <si>
    <t>MINERAL OIL 133ML RE</t>
  </si>
  <si>
    <t xml:space="preserve">MINERAL OIL RE </t>
  </si>
  <si>
    <t>0053385423</t>
  </si>
  <si>
    <t>MOLASSES ENEMA RE</t>
  </si>
  <si>
    <t>MOLASS ENEMA RE</t>
  </si>
  <si>
    <t>0053385555</t>
  </si>
  <si>
    <t>PHENYLEPHRINE HEMOR SU</t>
  </si>
  <si>
    <t xml:space="preserve">PHENYL HEM SU  </t>
  </si>
  <si>
    <t>0053385845</t>
  </si>
  <si>
    <t>PRAMOXINE/ZINC 30GM R OI</t>
  </si>
  <si>
    <t xml:space="preserve">PRAMOX/ZN 30GM </t>
  </si>
  <si>
    <t>0053385852</t>
  </si>
  <si>
    <t>PHENYLEPHRINE HEMOR R OI</t>
  </si>
  <si>
    <t>PHENYLEP HEM OI</t>
  </si>
  <si>
    <t>0053386132</t>
  </si>
  <si>
    <t>PROCHLORPERAZINE 25MG SU</t>
  </si>
  <si>
    <t>PROCHLOR25MG SU</t>
  </si>
  <si>
    <t>0053386348</t>
  </si>
  <si>
    <t>PROMETHAZINE 12.5MG SU</t>
  </si>
  <si>
    <t>PROMETHA12MG SU</t>
  </si>
  <si>
    <t>0053386389</t>
  </si>
  <si>
    <t>PROMETHAZINE 25MG SU</t>
  </si>
  <si>
    <t>PROMETHA25MG SU</t>
  </si>
  <si>
    <t>0053386421</t>
  </si>
  <si>
    <t>PROMETHAZINE 50MG SU</t>
  </si>
  <si>
    <t>PROMETHA50MG SU</t>
  </si>
  <si>
    <t>0053387262</t>
  </si>
  <si>
    <t>NA BIPHOSPHATE ADULT RE</t>
  </si>
  <si>
    <t>NA BIPHO ADL RE</t>
  </si>
  <si>
    <t>0053387304</t>
  </si>
  <si>
    <t>NA BIPHOSPHATE PED RE</t>
  </si>
  <si>
    <t>NA BIPHO PED RE</t>
  </si>
  <si>
    <t>0053397956</t>
  </si>
  <si>
    <t>LACTASE ENZYME</t>
  </si>
  <si>
    <t>LACTASE CAP/TAB</t>
  </si>
  <si>
    <t>0053402392</t>
  </si>
  <si>
    <t>TRIGLYCERIDE MED CHN PED</t>
  </si>
  <si>
    <t xml:space="preserve">MCT OIL PED    </t>
  </si>
  <si>
    <t>0053402400</t>
  </si>
  <si>
    <t>TRIGLYCERIDES MED CHAIN</t>
  </si>
  <si>
    <t xml:space="preserve">MCT OIL 0-10ML </t>
  </si>
  <si>
    <t>0053551453</t>
  </si>
  <si>
    <t>BARIUM SULF 700MG TB</t>
  </si>
  <si>
    <t>BARIUM 700MG TB</t>
  </si>
  <si>
    <t>0053554713</t>
  </si>
  <si>
    <t>DIATR MEGNASOL66/10 30ML</t>
  </si>
  <si>
    <t>DIAMNS66/1030ML</t>
  </si>
  <si>
    <t>0053554804</t>
  </si>
  <si>
    <t>DIATR MEGNASOL66/10 120M</t>
  </si>
  <si>
    <t>DIAMNS66/10120M</t>
  </si>
  <si>
    <t>0053561619</t>
  </si>
  <si>
    <t>GADOBENATE DIM PER1ML IJ</t>
  </si>
  <si>
    <t>GADOBENATE1MLIJ</t>
  </si>
  <si>
    <t>0053561627</t>
  </si>
  <si>
    <t>GADOBUTROL PER 0.1ML IJ</t>
  </si>
  <si>
    <t>GADOBUTRL 0.1ML</t>
  </si>
  <si>
    <t>0053561643</t>
  </si>
  <si>
    <t>GADOTERATE MEG 0.1ML IJ</t>
  </si>
  <si>
    <t>GADOTERATE0.1ML</t>
  </si>
  <si>
    <t>0053561783</t>
  </si>
  <si>
    <t>GADOTERIDOL PER 1ML IJ</t>
  </si>
  <si>
    <t>GADOTERID1MLIJ</t>
  </si>
  <si>
    <t>0053561817</t>
  </si>
  <si>
    <t>HOCM &lt; = 149MG/ML ID 1ML</t>
  </si>
  <si>
    <t>HOCM 1ML</t>
  </si>
  <si>
    <t>0053561833</t>
  </si>
  <si>
    <t>HOCM 200-249MG/ML ID 1ML</t>
  </si>
  <si>
    <t>0053561866</t>
  </si>
  <si>
    <t>HOCM 350-399MG/ML ID 1ML</t>
  </si>
  <si>
    <t>0053564654</t>
  </si>
  <si>
    <t>IOHEXOL/SWFI ORAL 1030ML</t>
  </si>
  <si>
    <t>IOHEX ORAL1030M</t>
  </si>
  <si>
    <t>0053582078</t>
  </si>
  <si>
    <t>METHYLEN BLUE PER 1MG IJ</t>
  </si>
  <si>
    <t>METH BLUE 1MGIJ</t>
  </si>
  <si>
    <t>0053582086</t>
  </si>
  <si>
    <t>ISOSULFAN BLUE PER1MG IJ</t>
  </si>
  <si>
    <t>ISOSF BLUE1MGIJ</t>
  </si>
  <si>
    <t>0053582094</t>
  </si>
  <si>
    <t>LOCM 300-399MG/ML ID 1ML</t>
  </si>
  <si>
    <t>LOCM 1ML</t>
  </si>
  <si>
    <t>0053582110</t>
  </si>
  <si>
    <t>LOCM 200-299MG/ML ID 1ML</t>
  </si>
  <si>
    <t>0053582417</t>
  </si>
  <si>
    <t>MR CONTRAST GAD BASE 1ML</t>
  </si>
  <si>
    <t>MR CONTRAST 1ML</t>
  </si>
  <si>
    <t>0053582474</t>
  </si>
  <si>
    <t>PERFLUTREN LIP MICRO 1ML</t>
  </si>
  <si>
    <t>PERFLUTREN 1ML</t>
  </si>
  <si>
    <t>0053582706</t>
  </si>
  <si>
    <t>RADIOPAQ PVC CAP (24RING</t>
  </si>
  <si>
    <t>RADIOPAQ CAP</t>
  </si>
  <si>
    <t>0053582904</t>
  </si>
  <si>
    <t>SINCALIDE 5MCG</t>
  </si>
  <si>
    <t>0053605937</t>
  </si>
  <si>
    <t>EPOETIN ESRD PER 100U IJ</t>
  </si>
  <si>
    <t>EPOETIN ESRD PE</t>
  </si>
  <si>
    <t>0054120043</t>
  </si>
  <si>
    <t>AA 5% D15 EL/CA 2L TPN</t>
  </si>
  <si>
    <t>AA5%D15 EL 2L</t>
  </si>
  <si>
    <t>0054120092</t>
  </si>
  <si>
    <t>AA 4.25% D10 EL/CA 2LTPN</t>
  </si>
  <si>
    <t>AA4.2D10EL/CA2L</t>
  </si>
  <si>
    <t>0054120316</t>
  </si>
  <si>
    <t>AA 5% D25 EL/CA 2L TPN</t>
  </si>
  <si>
    <t>AA5%D25 EL/CA2L</t>
  </si>
  <si>
    <t>0054120555</t>
  </si>
  <si>
    <t>EMPTY BOTTLE IV 500ML</t>
  </si>
  <si>
    <t>EMPTY BTL IV500</t>
  </si>
  <si>
    <t>0054120639</t>
  </si>
  <si>
    <t>CRRT REPL B32/K0/CA2 5L</t>
  </si>
  <si>
    <t>CRRT REPL K0 5L</t>
  </si>
  <si>
    <t>0054120704</t>
  </si>
  <si>
    <t>DEXTRAN40 D5W 500ML IVF</t>
  </si>
  <si>
    <t>DEXTRN40 D5 .5L</t>
  </si>
  <si>
    <t>0054120720</t>
  </si>
  <si>
    <t>CRRT REPL B32/K4/CA2.5 5L</t>
  </si>
  <si>
    <t>CRRTREPLB32/K4/</t>
  </si>
  <si>
    <t>0054120738</t>
  </si>
  <si>
    <t>CRRT REPL B22/K4/CA0 5L</t>
  </si>
  <si>
    <t>CRRT REPL B22/K</t>
  </si>
  <si>
    <t>0054120753</t>
  </si>
  <si>
    <t>DEXTRAN40NACL.9 500MLIVF</t>
  </si>
  <si>
    <t>DEXTRN40 NS .5L</t>
  </si>
  <si>
    <t>0054121355</t>
  </si>
  <si>
    <t>D5 ELECT48 500ML IVF</t>
  </si>
  <si>
    <t>D5ELEC48 500IVF</t>
  </si>
  <si>
    <t>0054121652</t>
  </si>
  <si>
    <t>D5 L RINGERS 500ML IVF</t>
  </si>
  <si>
    <t>D5 LR 500ML IVF</t>
  </si>
  <si>
    <t>0054121702</t>
  </si>
  <si>
    <t>D5 L RINGERS 1000ML IVF</t>
  </si>
  <si>
    <t>D5 LR 1000MLIVF</t>
  </si>
  <si>
    <t>0054121751</t>
  </si>
  <si>
    <t>D5 L RINGER KCL20 1L IVF</t>
  </si>
  <si>
    <t>D5LRKCL20 1LIVF</t>
  </si>
  <si>
    <t>0054122056</t>
  </si>
  <si>
    <t>D5 NACL 0.2 250ML IVF</t>
  </si>
  <si>
    <t>D5NACL.2 250IVF</t>
  </si>
  <si>
    <t>0054122106</t>
  </si>
  <si>
    <t>D5 NACL 0.2 500ML IVF</t>
  </si>
  <si>
    <t>D5NACL.2 .5LIVF</t>
  </si>
  <si>
    <t>0054122155</t>
  </si>
  <si>
    <t>D5 NACL 0.2 1000ML IVF</t>
  </si>
  <si>
    <t>D5NACL.2 1L IVF</t>
  </si>
  <si>
    <t>0054122304</t>
  </si>
  <si>
    <t>D5 NACL.2 KCL20 1L IVF</t>
  </si>
  <si>
    <t>D5.2K20 1LIVF</t>
  </si>
  <si>
    <t>0054122502</t>
  </si>
  <si>
    <t>D5 NACL 0.33 500ML IVF</t>
  </si>
  <si>
    <t>D5NACL.33500IVF</t>
  </si>
  <si>
    <t>0054122809</t>
  </si>
  <si>
    <t>D5 NACL 0.45 250ML IVF</t>
  </si>
  <si>
    <t>D5NACL.45250IVF</t>
  </si>
  <si>
    <t>0054122858</t>
  </si>
  <si>
    <t>D5 NACL 0.45 500ML IVF</t>
  </si>
  <si>
    <t>D5NACL.45 .5IVF</t>
  </si>
  <si>
    <t>0054122908</t>
  </si>
  <si>
    <t>D5 NACL 0.45 1000ML IVF</t>
  </si>
  <si>
    <t>D5NACL.45 1LIVF</t>
  </si>
  <si>
    <t>0054122940</t>
  </si>
  <si>
    <t>D5 NACL.45 KCL5 250MLIVF</t>
  </si>
  <si>
    <t>D5.45 K5 250IVF</t>
  </si>
  <si>
    <t>0054122957</t>
  </si>
  <si>
    <t>D5 NACL.45KCL10 0.5L IVF</t>
  </si>
  <si>
    <t>D5.45K10 .5LIVF</t>
  </si>
  <si>
    <t>0054123005</t>
  </si>
  <si>
    <t>D5 NACL.45 KCL10 1L IVF</t>
  </si>
  <si>
    <t>D5.45K10 1LIVF</t>
  </si>
  <si>
    <t>0054123104</t>
  </si>
  <si>
    <t>D5 NACL.45 KCL20 1L IVF</t>
  </si>
  <si>
    <t>D5.45K20 1LIVF</t>
  </si>
  <si>
    <t>0054123153</t>
  </si>
  <si>
    <t>D5 NACL.45 KCL30 1L IVF</t>
  </si>
  <si>
    <t>D5.45K30 1LIVF</t>
  </si>
  <si>
    <t>0054123203</t>
  </si>
  <si>
    <t>D5 NACL.45 KCL40 1L IVF</t>
  </si>
  <si>
    <t>D5.45K40 1LIVF</t>
  </si>
  <si>
    <t>0054123252</t>
  </si>
  <si>
    <t>D5 NACL 0.9 250ML IVF</t>
  </si>
  <si>
    <t>D5NACL.9 250IVF</t>
  </si>
  <si>
    <t>0054123302</t>
  </si>
  <si>
    <t>D5 NACL 0.9 500ML IVF</t>
  </si>
  <si>
    <t>D5NACL.9 500IVF</t>
  </si>
  <si>
    <t>0054123351</t>
  </si>
  <si>
    <t>D5 NACL 0.9 1000ML IVF</t>
  </si>
  <si>
    <t>D5NACL.9 1L IVF</t>
  </si>
  <si>
    <t>0054123401</t>
  </si>
  <si>
    <t>D5 NACL.9 KCL20 1L IVF</t>
  </si>
  <si>
    <t>D5.9K20 1LIVF</t>
  </si>
  <si>
    <t>0054123450</t>
  </si>
  <si>
    <t>D5 NACL.9 KCL40 1L IVF</t>
  </si>
  <si>
    <t>D5.9KCL40 1LIVF</t>
  </si>
  <si>
    <t>0054123500</t>
  </si>
  <si>
    <t>D5 25ML IVF</t>
  </si>
  <si>
    <t>D5W 25ML IVF</t>
  </si>
  <si>
    <t>0054123559</t>
  </si>
  <si>
    <t>D5 50ML IVF</t>
  </si>
  <si>
    <t>D5W 50ML IVF</t>
  </si>
  <si>
    <t>0054123609</t>
  </si>
  <si>
    <t>D5 100ML IVF</t>
  </si>
  <si>
    <t>D5W 100ML IVF</t>
  </si>
  <si>
    <t>0054123658</t>
  </si>
  <si>
    <t>D5 150ML IVF</t>
  </si>
  <si>
    <t>D5W 150ML IVF</t>
  </si>
  <si>
    <t>0054123708</t>
  </si>
  <si>
    <t>D5 250ML IVF</t>
  </si>
  <si>
    <t>D5W 250ML IVF</t>
  </si>
  <si>
    <t>0054123757</t>
  </si>
  <si>
    <t>D5 500ML IVF</t>
  </si>
  <si>
    <t>D5W 500ML IVF</t>
  </si>
  <si>
    <t>0054123807</t>
  </si>
  <si>
    <t>D5W 1000ML IVF</t>
  </si>
  <si>
    <t>0054123955</t>
  </si>
  <si>
    <t>D5W KCL 20 1000ML IVF</t>
  </si>
  <si>
    <t>D5W KCL20 1LIVF</t>
  </si>
  <si>
    <t>0054124250</t>
  </si>
  <si>
    <t>D10 NACL 0.9 1000ML IVF</t>
  </si>
  <si>
    <t>D10NACL.9 1LIVF</t>
  </si>
  <si>
    <t>0054124300</t>
  </si>
  <si>
    <t>D10W 250ML TPN</t>
  </si>
  <si>
    <t>D10%W 250ML TPN</t>
  </si>
  <si>
    <t>0054124359</t>
  </si>
  <si>
    <t>D10W 500ML TPN</t>
  </si>
  <si>
    <t>D10%W 500ML TPN</t>
  </si>
  <si>
    <t>0054124409</t>
  </si>
  <si>
    <t>D10W 1000ML TPN</t>
  </si>
  <si>
    <t>D10W 1L TPN</t>
  </si>
  <si>
    <t>0054125000</t>
  </si>
  <si>
    <t>ISOLYTE P D5 500ML IVF</t>
  </si>
  <si>
    <t>ISO P D5 .5LIVF</t>
  </si>
  <si>
    <t>0054125208</t>
  </si>
  <si>
    <t>ISOLYTE S 1000ML IVF</t>
  </si>
  <si>
    <t>ISOLYTE S 1LIVF</t>
  </si>
  <si>
    <t>0054125406</t>
  </si>
  <si>
    <t>L RINGERS 250ML IVF</t>
  </si>
  <si>
    <t>L RINGERS250IVF</t>
  </si>
  <si>
    <t>0054125455</t>
  </si>
  <si>
    <t>L RINGERS 500ML IVF</t>
  </si>
  <si>
    <t>L RINGERS500IVF</t>
  </si>
  <si>
    <t>0054125505</t>
  </si>
  <si>
    <t>L RINGERS 1000ML IVF</t>
  </si>
  <si>
    <t>L RINGERS 1LIVF</t>
  </si>
  <si>
    <t>0054125851</t>
  </si>
  <si>
    <t>MANNITOL 20% 500ML IVF</t>
  </si>
  <si>
    <t>MANNIT20%500IVF</t>
  </si>
  <si>
    <t>0054126057</t>
  </si>
  <si>
    <t>RINGERS 1000ML IVF</t>
  </si>
  <si>
    <t>RINGERS 1L IVF</t>
  </si>
  <si>
    <t>0054126156</t>
  </si>
  <si>
    <t>NACL 0.45 100ML IVF</t>
  </si>
  <si>
    <t>NACL.45 100 IVF</t>
  </si>
  <si>
    <t>0054126164</t>
  </si>
  <si>
    <t>NACL 0.45 250ML IVF</t>
  </si>
  <si>
    <t>NACL.45 250IVF</t>
  </si>
  <si>
    <t>0054126206</t>
  </si>
  <si>
    <t>NACL 0.45 500ML IVF</t>
  </si>
  <si>
    <t>NACL.45 500IVF</t>
  </si>
  <si>
    <t>0054126214</t>
  </si>
  <si>
    <t>NACL.45 KCL20 1000ML IVF</t>
  </si>
  <si>
    <t>NACL45KCL201IVF</t>
  </si>
  <si>
    <t>0054126255</t>
  </si>
  <si>
    <t>NACL 0.45 1000ML IVF</t>
  </si>
  <si>
    <t>NACL .45 1L IVF</t>
  </si>
  <si>
    <t>0054126305</t>
  </si>
  <si>
    <t>NACL 0.9 25ML IVF</t>
  </si>
  <si>
    <t>NACL .9 25MLIVF</t>
  </si>
  <si>
    <t>0054126354</t>
  </si>
  <si>
    <t>NACL 0.9 50ML IVF</t>
  </si>
  <si>
    <t>NACL .9 50MLIVF</t>
  </si>
  <si>
    <t>0054126404</t>
  </si>
  <si>
    <t>NACL 0.9 100ML IVF</t>
  </si>
  <si>
    <t>NACL .9 100IVF</t>
  </si>
  <si>
    <t>0054126420</t>
  </si>
  <si>
    <t>NACL 0.9 MB+ 100ML IVF</t>
  </si>
  <si>
    <t>0054126552</t>
  </si>
  <si>
    <t>NACL 0.9 250ML IVF</t>
  </si>
  <si>
    <t>NACL .9 250IVF</t>
  </si>
  <si>
    <t>0054126651</t>
  </si>
  <si>
    <t>NACL 0.9 500ML IVF</t>
  </si>
  <si>
    <t>NACL .9 500IVF</t>
  </si>
  <si>
    <t>0054126701</t>
  </si>
  <si>
    <t>NACL 0.9 1000ML IVF</t>
  </si>
  <si>
    <t>NACL .9 1L IVF</t>
  </si>
  <si>
    <t>0054126800</t>
  </si>
  <si>
    <t>NACL.9 KCL20 1000ML IVF</t>
  </si>
  <si>
    <t>NACL.9KCL201IVF</t>
  </si>
  <si>
    <t>0054126909</t>
  </si>
  <si>
    <t>NACL 3% 500ML IVF</t>
  </si>
  <si>
    <t>NACL3% 500MLIVF</t>
  </si>
  <si>
    <t>0054127204</t>
  </si>
  <si>
    <t>PLASMALYTE A 1000ML IVF</t>
  </si>
  <si>
    <t>PLASMALY A 1L</t>
  </si>
  <si>
    <t>0054127790</t>
  </si>
  <si>
    <t>CRRT REPL B32/CA3.5 5L</t>
  </si>
  <si>
    <t>CRRT REPL3.5 5L</t>
  </si>
  <si>
    <t>0054127808</t>
  </si>
  <si>
    <t>WATER STERL 250ML IVF</t>
  </si>
  <si>
    <t>WATER ST 250INJ</t>
  </si>
  <si>
    <t>0054127824</t>
  </si>
  <si>
    <t>CRRT REPL B32/CA0 5L</t>
  </si>
  <si>
    <t>CRRT REPL C0 5L</t>
  </si>
  <si>
    <t>0054127907</t>
  </si>
  <si>
    <t>WATER STERL INJ 1L IVF</t>
  </si>
  <si>
    <t>WATER ST 1L INJ</t>
  </si>
  <si>
    <t>0054129648</t>
  </si>
  <si>
    <t>TPN NEONATAL 3-1 250ML</t>
  </si>
  <si>
    <t>TPNNEO3-1 250ML</t>
  </si>
  <si>
    <t>0054129994</t>
  </si>
  <si>
    <t>TPN 3-1 DEX AA FAT 1L</t>
  </si>
  <si>
    <t>TPN3-1DAAFT 1L</t>
  </si>
  <si>
    <t>0054130000</t>
  </si>
  <si>
    <t>TPN 3-1 DEX AA FAT 2L</t>
  </si>
  <si>
    <t>TPN3-1DAAFT 2L</t>
  </si>
  <si>
    <t>0054130059</t>
  </si>
  <si>
    <t>TPN 3-1 DEX AA FAT 3L</t>
  </si>
  <si>
    <t>TPN3-1DAAFT 3L</t>
  </si>
  <si>
    <t>0054130307</t>
  </si>
  <si>
    <t>AA 3% ELEC 1L TPN</t>
  </si>
  <si>
    <t>AA3%ELEC 1L</t>
  </si>
  <si>
    <t>0054131206</t>
  </si>
  <si>
    <t>AA 8.5% 500ML TPN</t>
  </si>
  <si>
    <t>AA8.5% 500MLTPN</t>
  </si>
  <si>
    <t>0054131743</t>
  </si>
  <si>
    <t>AA 10% 250ML TPN</t>
  </si>
  <si>
    <t>AA10% 250ML TPN</t>
  </si>
  <si>
    <t>0054131750</t>
  </si>
  <si>
    <t>AA 10% 500ML TPN</t>
  </si>
  <si>
    <t>AA10% 500ML TPN</t>
  </si>
  <si>
    <t>0054131800</t>
  </si>
  <si>
    <t>AA 10% 1L TPN</t>
  </si>
  <si>
    <t>AA10% 1L TPN</t>
  </si>
  <si>
    <t>0054131859</t>
  </si>
  <si>
    <t>AA 10% 2L TPN</t>
  </si>
  <si>
    <t>AA10% 2L TPN</t>
  </si>
  <si>
    <t>0054131925</t>
  </si>
  <si>
    <t>AA 15% 2000ML TPN</t>
  </si>
  <si>
    <t>AA15% 2L TPN</t>
  </si>
  <si>
    <t>0054132196</t>
  </si>
  <si>
    <t>AA 8% HEPATIC 500ML TPN</t>
  </si>
  <si>
    <t>AA8%HEPAT500TPN</t>
  </si>
  <si>
    <t>0054133301</t>
  </si>
  <si>
    <t>0054134150</t>
  </si>
  <si>
    <t>D70W 500ML IN 1L TPN</t>
  </si>
  <si>
    <t>D70W500ML/1LTPN</t>
  </si>
  <si>
    <t>0054134200</t>
  </si>
  <si>
    <t>D70W 1000ML TPN</t>
  </si>
  <si>
    <t>D70W 1L TPN</t>
  </si>
  <si>
    <t>0054134259</t>
  </si>
  <si>
    <t>D70W 2000ML TPN</t>
  </si>
  <si>
    <t>D70W 2L TPN</t>
  </si>
  <si>
    <t>0054134309</t>
  </si>
  <si>
    <t>FAT EMULS 10% 50ML TPN</t>
  </si>
  <si>
    <t>FAT 10% 50 TPN</t>
  </si>
  <si>
    <t>0054134556</t>
  </si>
  <si>
    <t>FAT EMULS 20% 50ML TPN</t>
  </si>
  <si>
    <t>FAT 20% 50 TPN</t>
  </si>
  <si>
    <t>0054134606</t>
  </si>
  <si>
    <t>FAT EMULS 20% 100ML TPN</t>
  </si>
  <si>
    <t>FAT 20% 100 TPN</t>
  </si>
  <si>
    <t>0054134705</t>
  </si>
  <si>
    <t>FAT EMULS 20% 250ML TPN</t>
  </si>
  <si>
    <t>FAT 20% 250 TPN</t>
  </si>
  <si>
    <t>0054134754</t>
  </si>
  <si>
    <t>FAT EMULS 20% 500ML TPN</t>
  </si>
  <si>
    <t>FAT 20% 500 TPN</t>
  </si>
  <si>
    <t>0054140058</t>
  </si>
  <si>
    <t>ACETIC ACID.25% .25L IRR</t>
  </si>
  <si>
    <t>ACET AC.25L IRR</t>
  </si>
  <si>
    <t>0054140157</t>
  </si>
  <si>
    <t>ACETIC ACID.25% 1L IRR</t>
  </si>
  <si>
    <t>ACET AC 1L IRR</t>
  </si>
  <si>
    <t>0054140801</t>
  </si>
  <si>
    <t>L RINGERS 3000ML IRR</t>
  </si>
  <si>
    <t>L RING 3L IRR</t>
  </si>
  <si>
    <t>0054142328</t>
  </si>
  <si>
    <t>SORBITOL-MANNITOL 3L IRR</t>
  </si>
  <si>
    <t>SORBMANN 3L IRR</t>
  </si>
  <si>
    <t>0055001036</t>
  </si>
  <si>
    <t>AER TX DEMO AND/OR EVAL</t>
  </si>
  <si>
    <t>AER DEMO/EVAL</t>
  </si>
  <si>
    <t>0055001051</t>
  </si>
  <si>
    <t>AEROSOL TREATMENT</t>
  </si>
  <si>
    <t>AEROSOL TX</t>
  </si>
  <si>
    <t>0055001200</t>
  </si>
  <si>
    <t>HHN TX DEMO AND/OR EVAL</t>
  </si>
  <si>
    <t>NEB DEMO/EVAL</t>
  </si>
  <si>
    <t>0055001226</t>
  </si>
  <si>
    <t>HAND HELD NEB TREATMENT</t>
  </si>
  <si>
    <t>HHN TREAT</t>
  </si>
  <si>
    <t>0055001523</t>
  </si>
  <si>
    <t>ABG W O2 DIRECT</t>
  </si>
  <si>
    <t>0055002000</t>
  </si>
  <si>
    <t>0055002232</t>
  </si>
  <si>
    <t>SPUTUM INDUCTION</t>
  </si>
  <si>
    <t>SPUTUM INDUCE</t>
  </si>
  <si>
    <t>0055003750</t>
  </si>
  <si>
    <t>SMKE/TOBAC CNSL 3-10MIN</t>
  </si>
  <si>
    <t>SMK/TOB CNS3-10</t>
  </si>
  <si>
    <t>0055005029</t>
  </si>
  <si>
    <t>IPPB TX</t>
  </si>
  <si>
    <t>0055005045</t>
  </si>
  <si>
    <t>IPPB TX DEMO AND/OR EVAL</t>
  </si>
  <si>
    <t>IPPB DEMO/EVAL</t>
  </si>
  <si>
    <t>0055005961</t>
  </si>
  <si>
    <t>CPAP NEONATAL INITAL</t>
  </si>
  <si>
    <t>CPAP NEO INIT</t>
  </si>
  <si>
    <t>0055005995</t>
  </si>
  <si>
    <t>0055006001</t>
  </si>
  <si>
    <t>0055006100</t>
  </si>
  <si>
    <t>VENT &lt;12 HOURS</t>
  </si>
  <si>
    <t>0055006209</t>
  </si>
  <si>
    <t>VOLUME VENTILATOR INTL</t>
  </si>
  <si>
    <t>VOL VENT INIT</t>
  </si>
  <si>
    <t>0055006241</t>
  </si>
  <si>
    <t>VENT NEONATAL SUBSQ/DLY</t>
  </si>
  <si>
    <t>VENT NEO SUB</t>
  </si>
  <si>
    <t>0055006266</t>
  </si>
  <si>
    <t>VOLUME VENT SUBSQ/DLY</t>
  </si>
  <si>
    <t>VOLUME VENT SUB</t>
  </si>
  <si>
    <t>0055006555</t>
  </si>
  <si>
    <t>BRONCHOSCOPY DIAGNOSTIC</t>
  </si>
  <si>
    <t>BRONCHOSCOPY DX</t>
  </si>
  <si>
    <t>0055006605</t>
  </si>
  <si>
    <t>BRONCHOSCOPY W BIOPSY</t>
  </si>
  <si>
    <t>BRONCHOSC W BX</t>
  </si>
  <si>
    <t>0055006712</t>
  </si>
  <si>
    <t>BRONCH ASPIRATN INITIAL</t>
  </si>
  <si>
    <t>BRONCH ASP INIT</t>
  </si>
  <si>
    <t>0055010110</t>
  </si>
  <si>
    <t>BRONCHOSCOPY DX W/BRSH</t>
  </si>
  <si>
    <t>BRONCH W/BRSH</t>
  </si>
  <si>
    <t>0055010128</t>
  </si>
  <si>
    <t>BRONCHSCPY ALVEOLAR LVG</t>
  </si>
  <si>
    <t>BRONCH ALVEOLAR</t>
  </si>
  <si>
    <t>0055011043</t>
  </si>
  <si>
    <t>BLOOD GAS ARTERIAL STICK</t>
  </si>
  <si>
    <t>BD GAS ART STCK</t>
  </si>
  <si>
    <t>0055011084</t>
  </si>
  <si>
    <t>BLOOD GAS O2 SAT ONLY</t>
  </si>
  <si>
    <t>BLD CO-OX O2SAT</t>
  </si>
  <si>
    <t>0055011803</t>
  </si>
  <si>
    <t>BRONCH EVAL W/MULT SPIRO</t>
  </si>
  <si>
    <t>SPIRO W/BRONCH</t>
  </si>
  <si>
    <t>0055011928</t>
  </si>
  <si>
    <t>SPIROMETRY</t>
  </si>
  <si>
    <t>0055012017</t>
  </si>
  <si>
    <t>BRONCHOSPASM EVAL PRE/PS</t>
  </si>
  <si>
    <t>BRONCHO EVAL</t>
  </si>
  <si>
    <t>0055012132</t>
  </si>
  <si>
    <t>VITAL CAPACITY</t>
  </si>
  <si>
    <t>0055017206</t>
  </si>
  <si>
    <t>NASOTRACH CATH SUCTION</t>
  </si>
  <si>
    <t>NASOTRCH SUCTN</t>
  </si>
  <si>
    <t>0055018063</t>
  </si>
  <si>
    <t>ABG W CALC O2 SAT</t>
  </si>
  <si>
    <t>ART BLD GAS</t>
  </si>
  <si>
    <t>0055018576</t>
  </si>
  <si>
    <t>BIPAP INITIAL</t>
  </si>
  <si>
    <t>BIPAP INIT</t>
  </si>
  <si>
    <t>0055021000</t>
  </si>
  <si>
    <t>MDI DEMO AND/OR EVAL</t>
  </si>
  <si>
    <t>MDI DEMO/EVAL</t>
  </si>
  <si>
    <t>0055021059</t>
  </si>
  <si>
    <t>MDI TREATMENT</t>
  </si>
  <si>
    <t>0055022057</t>
  </si>
  <si>
    <t>PULSE OX SINGLE</t>
  </si>
  <si>
    <t>0055030068</t>
  </si>
  <si>
    <t>0055042006</t>
  </si>
  <si>
    <t>MAX VOLUNTRY VENTILATION</t>
  </si>
  <si>
    <t>MAX VOL VENT</t>
  </si>
  <si>
    <t>0055046106</t>
  </si>
  <si>
    <t>SURFACTANT ADMIN TUBE</t>
  </si>
  <si>
    <t>SURFACT ADM TB</t>
  </si>
  <si>
    <t>0055046445</t>
  </si>
  <si>
    <t>CONT AER MED OBSTR 1STHR</t>
  </si>
  <si>
    <t>AER MED 1ST HR</t>
  </si>
  <si>
    <t>0055046452</t>
  </si>
  <si>
    <t>CONT AER MED OBSTR ADDHR</t>
  </si>
  <si>
    <t>AER MED ADD HR</t>
  </si>
  <si>
    <t>0055046460</t>
  </si>
  <si>
    <t>VAPOTHERM INITIAL</t>
  </si>
  <si>
    <t>VAPOTHERM INITI</t>
  </si>
  <si>
    <t>0055046478</t>
  </si>
  <si>
    <t>VAPOTHERM MANAGEMENT DLY</t>
  </si>
  <si>
    <t>VAPOTHERM MANAG</t>
  </si>
  <si>
    <t>0055046619</t>
  </si>
  <si>
    <t>CPAP MANAGEMENT DLY</t>
  </si>
  <si>
    <t>CPAP DLY/SUBSEQ</t>
  </si>
  <si>
    <t>0055046627</t>
  </si>
  <si>
    <t>BIPAP MANAGEMENT DLY</t>
  </si>
  <si>
    <t>BIPAP MGMT DLY</t>
  </si>
  <si>
    <t>0055046635</t>
  </si>
  <si>
    <t>BIPAP LESS THAN 12HRS</t>
  </si>
  <si>
    <t>BIPAP &lt; 12HRS</t>
  </si>
  <si>
    <t>0055046676</t>
  </si>
  <si>
    <t>CHST WALL MANIPULATN INI</t>
  </si>
  <si>
    <t>CHST WALL MANIP</t>
  </si>
  <si>
    <t>0055046684</t>
  </si>
  <si>
    <t>CHST WALL MANIPULATN SUB</t>
  </si>
  <si>
    <t>0055047278</t>
  </si>
  <si>
    <t>LUNG VOL GAS DIL/WASHOUT</t>
  </si>
  <si>
    <t>LUNG VOLUMES</t>
  </si>
  <si>
    <t>0055047294</t>
  </si>
  <si>
    <t>DIFFUSING CAPACITY</t>
  </si>
  <si>
    <t>DIFFUSE CAPCTY</t>
  </si>
  <si>
    <t>0055047617</t>
  </si>
  <si>
    <t>PULSE OXIM MULT DETRM</t>
  </si>
  <si>
    <t>PULSE OX MULT</t>
  </si>
  <si>
    <t>0055047625</t>
  </si>
  <si>
    <t>PULSE OXIMTRY CONTINUOUS</t>
  </si>
  <si>
    <t>PULSE OX CONT</t>
  </si>
  <si>
    <t>0055047658</t>
  </si>
  <si>
    <t>PNEUMOGRAM</t>
  </si>
  <si>
    <t>0055050207</t>
  </si>
  <si>
    <t>VENT NEONATAL INITIAL</t>
  </si>
  <si>
    <t>VENT NEO INIT</t>
  </si>
  <si>
    <t>0055061055</t>
  </si>
  <si>
    <t>0055061063</t>
  </si>
  <si>
    <t>HIGH FREQ VENT SUBSQ/DLY</t>
  </si>
  <si>
    <t>HI FRQ VNT SUB</t>
  </si>
  <si>
    <t>0055064158</t>
  </si>
  <si>
    <t>BD GAS CAP STICK</t>
  </si>
  <si>
    <t>BD GAS CAP STCK</t>
  </si>
  <si>
    <t>0056002579</t>
  </si>
  <si>
    <t>UNSCHED DIAL ESRD PT</t>
  </si>
  <si>
    <t>UNSCH DIAL ESRD</t>
  </si>
  <si>
    <t>0056009004</t>
  </si>
  <si>
    <t>IP IPD</t>
  </si>
  <si>
    <t>0056009764</t>
  </si>
  <si>
    <t>IP HEMODIALYSIS</t>
  </si>
  <si>
    <t>0056009863</t>
  </si>
  <si>
    <t>CANCELLATION-TREATMENT</t>
  </si>
  <si>
    <t>CANCEL TREATMNT</t>
  </si>
  <si>
    <t>0057000226</t>
  </si>
  <si>
    <t>PTA ESTIM STG 3&amp;4 ULCER</t>
  </si>
  <si>
    <t>PTA ESTIM 3&amp;4 U</t>
  </si>
  <si>
    <t>0057000234</t>
  </si>
  <si>
    <t>PTA E-STIM BASIC</t>
  </si>
  <si>
    <t>PTA E-STIM BASI</t>
  </si>
  <si>
    <t>0057000408</t>
  </si>
  <si>
    <t>PTA US EA 15 BASIC</t>
  </si>
  <si>
    <t>PTA US EA 15 BA</t>
  </si>
  <si>
    <t>0057000457</t>
  </si>
  <si>
    <t>PTA THER EX EA 15MIN</t>
  </si>
  <si>
    <t xml:space="preserve">PTA THER EX EA </t>
  </si>
  <si>
    <t>0057000481</t>
  </si>
  <si>
    <t>PTA NEUROMUSC RE-ED EA15MIN</t>
  </si>
  <si>
    <t>PTA NEUROMUSC 1</t>
  </si>
  <si>
    <t>0057000499</t>
  </si>
  <si>
    <t>PTA NEUROMUSC RE-ED EA15M#2</t>
  </si>
  <si>
    <t>0057000531</t>
  </si>
  <si>
    <t>PTA GAIT/STR TRN EA 15</t>
  </si>
  <si>
    <t>PTA GAIT TRN EA</t>
  </si>
  <si>
    <t>0057000556</t>
  </si>
  <si>
    <t>PTA THERAPUTC MASSG EA15MIN</t>
  </si>
  <si>
    <t>PTA MASG EA 15M</t>
  </si>
  <si>
    <t>0057000572</t>
  </si>
  <si>
    <t>PTA MANUAL THRPY EA 15MIN</t>
  </si>
  <si>
    <t>PTA MANUAL THRP</t>
  </si>
  <si>
    <t>0057000630</t>
  </si>
  <si>
    <t>PTA THERAPEUTC ACT EA 15MIN</t>
  </si>
  <si>
    <t>PTA THER ACT 15</t>
  </si>
  <si>
    <t>0057000689</t>
  </si>
  <si>
    <t>PTA SLF CR/HM MGMT EA 15MIN</t>
  </si>
  <si>
    <t>PTA SLF CR/HM 1</t>
  </si>
  <si>
    <t>0057000721</t>
  </si>
  <si>
    <t>PTA WHLCHR TRN EA 15MIN</t>
  </si>
  <si>
    <t xml:space="preserve">PTA WHLCHR TRN </t>
  </si>
  <si>
    <t>0057002818</t>
  </si>
  <si>
    <t>PT ESTIM STG 3&amp;4 ULCER</t>
  </si>
  <si>
    <t>ESTIM STG 3&amp;4</t>
  </si>
  <si>
    <t>0057002834</t>
  </si>
  <si>
    <t>PT E-STIM BASIC</t>
  </si>
  <si>
    <t>E-STIM BSC</t>
  </si>
  <si>
    <t>0057051781</t>
  </si>
  <si>
    <t>PT MANUAL THERAPY EA 15M</t>
  </si>
  <si>
    <t>MANUAL THERAPY</t>
  </si>
  <si>
    <t>0057052011</t>
  </si>
  <si>
    <t>PT EVAL LOW COMP</t>
  </si>
  <si>
    <t>PT EVAL LOW</t>
  </si>
  <si>
    <t>0057052037</t>
  </si>
  <si>
    <t>PT EVAL MOD COMP</t>
  </si>
  <si>
    <t>PT EVAL MOD</t>
  </si>
  <si>
    <t>0057052052</t>
  </si>
  <si>
    <t>PT EVAL HIGH COMP</t>
  </si>
  <si>
    <t>PT EVAL HIGH</t>
  </si>
  <si>
    <t>0057052847</t>
  </si>
  <si>
    <t>PT US EA 15 BSC</t>
  </si>
  <si>
    <t>US EA 15 BSC</t>
  </si>
  <si>
    <t>0057052961</t>
  </si>
  <si>
    <t>PT THER EX EA 15</t>
  </si>
  <si>
    <t>THERAPTC EXER15</t>
  </si>
  <si>
    <t>0057053001</t>
  </si>
  <si>
    <t>PT NEUROMUSC RE-ED EA15</t>
  </si>
  <si>
    <t>NEUROMUSC EA 15</t>
  </si>
  <si>
    <t>0057053027</t>
  </si>
  <si>
    <t>PT NEUROMUSC RE-ED EA15#</t>
  </si>
  <si>
    <t>NEUROMUSCEA15#2</t>
  </si>
  <si>
    <t>0057053084</t>
  </si>
  <si>
    <t>PT THERAPEUTC MASSG EA15</t>
  </si>
  <si>
    <t>THERPTC MASSG15</t>
  </si>
  <si>
    <t>0057053126</t>
  </si>
  <si>
    <t>PT THERAPEUTC ACT EA 15</t>
  </si>
  <si>
    <t>THERPTC ACTEA15</t>
  </si>
  <si>
    <t>0057053167</t>
  </si>
  <si>
    <t>PT SLF CR/HM MGMT EA 15</t>
  </si>
  <si>
    <t>SLF CARE EA 15</t>
  </si>
  <si>
    <t>0057056566</t>
  </si>
  <si>
    <t>PT GAIT/STR TRN EA 15</t>
  </si>
  <si>
    <t>GAIT/STR TRN 15</t>
  </si>
  <si>
    <t>0057056640</t>
  </si>
  <si>
    <t>PT WHLCHR TRN EA 15</t>
  </si>
  <si>
    <t>WHLCHR TRN EA15</t>
  </si>
  <si>
    <t>0057075913</t>
  </si>
  <si>
    <t>PT SEL DEB 1ST 20CM OR LESS</t>
  </si>
  <si>
    <t xml:space="preserve">PT SEL DEB 1ST </t>
  </si>
  <si>
    <t>0057075921</t>
  </si>
  <si>
    <t>PT SEL DEB EA ADD UP TO 20CM</t>
  </si>
  <si>
    <t>PT SEL DEB EA A</t>
  </si>
  <si>
    <t>0057076051</t>
  </si>
  <si>
    <t>PT NSL WD/S DEB WO AN BS</t>
  </si>
  <si>
    <t>NSL WDS DEB BSC</t>
  </si>
  <si>
    <t>0057076135</t>
  </si>
  <si>
    <t>PT NEG PRESS &gt;50CM</t>
  </si>
  <si>
    <t>NEG PRESS &gt;50CM</t>
  </si>
  <si>
    <t>0057076143</t>
  </si>
  <si>
    <t>PT NEG PRESS &lt;=50CM</t>
  </si>
  <si>
    <t>NEG PRESS&lt;=50CM</t>
  </si>
  <si>
    <t>0058000126</t>
  </si>
  <si>
    <t>OTA MANUAL THERAPY EA 15M</t>
  </si>
  <si>
    <t>OTA MANUAL THER</t>
  </si>
  <si>
    <t>0058000266</t>
  </si>
  <si>
    <t>OTA THERAPTC EXER EA 15</t>
  </si>
  <si>
    <t>OTA THER EXER 1</t>
  </si>
  <si>
    <t>0058000282</t>
  </si>
  <si>
    <t>OTA NEUROMUSC RE-EDUC EA1</t>
  </si>
  <si>
    <t>OTA NEUROM RE-E</t>
  </si>
  <si>
    <t>0058000324</t>
  </si>
  <si>
    <t>OTA THERAPTC MASSGE EA15</t>
  </si>
  <si>
    <t>OTA THERAPTC MS</t>
  </si>
  <si>
    <t>0058000340</t>
  </si>
  <si>
    <t>OTA THERAPTC ACT EA 15</t>
  </si>
  <si>
    <t xml:space="preserve">OTA THERAP ACT </t>
  </si>
  <si>
    <t>0058000365</t>
  </si>
  <si>
    <t>OTA SLF CARE HM MGMT EA15</t>
  </si>
  <si>
    <t>OTA SLF CR/HM E</t>
  </si>
  <si>
    <t>0058051806</t>
  </si>
  <si>
    <t>OT MANUAL THERAPY EA 15M</t>
  </si>
  <si>
    <t>0058052010</t>
  </si>
  <si>
    <t>OT EVAL LOW COMP</t>
  </si>
  <si>
    <t>OT EVAL LOW</t>
  </si>
  <si>
    <t>0058052036</t>
  </si>
  <si>
    <t>OT EVAL MOD COMP</t>
  </si>
  <si>
    <t>OT EVAL MOD</t>
  </si>
  <si>
    <t>0058052051</t>
  </si>
  <si>
    <t>OT EVAL HIGH COMP</t>
  </si>
  <si>
    <t>OT EVAL HIGH</t>
  </si>
  <si>
    <t>0058052960</t>
  </si>
  <si>
    <t>OT THERAPTC EXER EA 15</t>
  </si>
  <si>
    <t>OT THER EXER 15</t>
  </si>
  <si>
    <t>0058053000</t>
  </si>
  <si>
    <t>OT NEUROMUSC RE-EDUC EA15</t>
  </si>
  <si>
    <t>NEUROM RE-ED 15</t>
  </si>
  <si>
    <t>0058053083</t>
  </si>
  <si>
    <t>OT THERAPTC MASSGE EA15</t>
  </si>
  <si>
    <t>THERAPTC MSG 15</t>
  </si>
  <si>
    <t>0058053125</t>
  </si>
  <si>
    <t>OT THERAPTC ACT EA 15</t>
  </si>
  <si>
    <t>THERAP ACT EA15</t>
  </si>
  <si>
    <t>0058053166</t>
  </si>
  <si>
    <t>OT SLF CARE HM MGMT EA15</t>
  </si>
  <si>
    <t>SLF CR/HM EA 15</t>
  </si>
  <si>
    <t>0059005272</t>
  </si>
  <si>
    <t>SP EVAL LNG COM W/EXP INTERM</t>
  </si>
  <si>
    <t>SP EVAL LNG COM</t>
  </si>
  <si>
    <t>0059005280</t>
  </si>
  <si>
    <t>SP EVAL LNG COM W/EXP COMPLEX</t>
  </si>
  <si>
    <t>0059005298</t>
  </si>
  <si>
    <t>SP EVAL LNG COM W/EXP EXTENSVE</t>
  </si>
  <si>
    <t>0059010058</t>
  </si>
  <si>
    <t>SPEECH/LANG TX EXTNSV</t>
  </si>
  <si>
    <t xml:space="preserve">SPEECH/LANG TX </t>
  </si>
  <si>
    <t>0059010074</t>
  </si>
  <si>
    <t>SPEECH/LANG TX BASIC</t>
  </si>
  <si>
    <t>TX SP/LANG BSC</t>
  </si>
  <si>
    <t>0059010082</t>
  </si>
  <si>
    <t>SPEECH/LANG TX INTER</t>
  </si>
  <si>
    <t>TX SP/LANG INT</t>
  </si>
  <si>
    <t>0059010090</t>
  </si>
  <si>
    <t>SPEECH/LANG TX CMPLX</t>
  </si>
  <si>
    <t>TX SP/LANG CMPL</t>
  </si>
  <si>
    <t>0059010900</t>
  </si>
  <si>
    <t>SP SWAL/ORAL TX BASIC</t>
  </si>
  <si>
    <t>SWALLW TX BASIC</t>
  </si>
  <si>
    <t>0059010926</t>
  </si>
  <si>
    <t>SP SWAL/ORAL TX INTERM</t>
  </si>
  <si>
    <t>SWALLW TX INTER</t>
  </si>
  <si>
    <t>0059010942</t>
  </si>
  <si>
    <t>SP SWAL/ORAL TX COMPLEX</t>
  </si>
  <si>
    <t>SWALLW TX CMPLX</t>
  </si>
  <si>
    <t>0059015008</t>
  </si>
  <si>
    <t>COMPREHENSIVE AUDIO</t>
  </si>
  <si>
    <t>COMP AUDIO</t>
  </si>
  <si>
    <t>0059015206</t>
  </si>
  <si>
    <t>TYMPANOMETRY</t>
  </si>
  <si>
    <t>TX TYMPANOMETRY</t>
  </si>
  <si>
    <t>0059021501</t>
  </si>
  <si>
    <t>TONE DECAY TEST</t>
  </si>
  <si>
    <t>TONE DECAY TST</t>
  </si>
  <si>
    <t>0059025213</t>
  </si>
  <si>
    <t>SP EVAL FLUENCY BASIC</t>
  </si>
  <si>
    <t>SP EVAL FLUENCY</t>
  </si>
  <si>
    <t>0059025221</t>
  </si>
  <si>
    <t>SP EVAL SOUND PROD BASIC</t>
  </si>
  <si>
    <t>SP EVAL SOUND P</t>
  </si>
  <si>
    <t>0059025239</t>
  </si>
  <si>
    <t>SP EVAL LNG COM W/EXP BASIC</t>
  </si>
  <si>
    <t>EVAL LNG COM W/</t>
  </si>
  <si>
    <t>0059025536</t>
  </si>
  <si>
    <t>AUDIOMETRY PURE TONE AIR&amp;BONE</t>
  </si>
  <si>
    <t>AUDIOMETRY AIR&amp;</t>
  </si>
  <si>
    <t>0059025684</t>
  </si>
  <si>
    <t>ACOUSTIC REFLEX TESTING</t>
  </si>
  <si>
    <t>ACOUS REFLEXES</t>
  </si>
  <si>
    <t>0059026104</t>
  </si>
  <si>
    <t>SP SWAL EVAL ORAL PHARYN BASIC</t>
  </si>
  <si>
    <t>EVAL ORL/PHARYN</t>
  </si>
  <si>
    <t>0059026112</t>
  </si>
  <si>
    <t>SP EVAL CINE VIDEO</t>
  </si>
  <si>
    <t>EVAL CINE VIDEO</t>
  </si>
  <si>
    <t>0060101508</t>
  </si>
  <si>
    <t>C/R EXER PHASE I</t>
  </si>
  <si>
    <t>EXER PHASE I</t>
  </si>
  <si>
    <t>0061000089</t>
  </si>
  <si>
    <t>FLU VACCINE ADM</t>
  </si>
  <si>
    <t>0061000097</t>
  </si>
  <si>
    <t>PNEUMOCOCCAL VACC ADMIN</t>
  </si>
  <si>
    <t xml:space="preserve">PNEUM VACC ADM </t>
  </si>
  <si>
    <t>0061000105</t>
  </si>
  <si>
    <t>0061004008</t>
  </si>
  <si>
    <t>SURG PROC LEVEL 1</t>
  </si>
  <si>
    <t>SURG LVL 1</t>
  </si>
  <si>
    <t>0061004024</t>
  </si>
  <si>
    <t>SURG PROC LEVEL 2</t>
  </si>
  <si>
    <t>SURG LVL 2</t>
  </si>
  <si>
    <t>0061004040</t>
  </si>
  <si>
    <t>SURG PROC LEVEL 3</t>
  </si>
  <si>
    <t>SURG LVL 3</t>
  </si>
  <si>
    <t>0061004958</t>
  </si>
  <si>
    <t>ER VISIT LVL 0</t>
  </si>
  <si>
    <t>0061005054</t>
  </si>
  <si>
    <t>ER REVISIT</t>
  </si>
  <si>
    <t>0061005104</t>
  </si>
  <si>
    <t>ER VISIT LVL I</t>
  </si>
  <si>
    <t>0061005146</t>
  </si>
  <si>
    <t>CRIT CARE E&amp;M 30-74 MIN</t>
  </si>
  <si>
    <t>CRIT CR30-74MIN</t>
  </si>
  <si>
    <t>0061005229</t>
  </si>
  <si>
    <t>ER VISIT LVL II</t>
  </si>
  <si>
    <t>0061005245</t>
  </si>
  <si>
    <t>ER VISIT LVL III</t>
  </si>
  <si>
    <t>ER VISIT LVLIII</t>
  </si>
  <si>
    <t>0061005260</t>
  </si>
  <si>
    <t>ER VISIT LVL IV</t>
  </si>
  <si>
    <t>0061005278</t>
  </si>
  <si>
    <t>ER VISIT LVL V</t>
  </si>
  <si>
    <t>0061005351</t>
  </si>
  <si>
    <t>CPR CARDIOPULM RESUSC</t>
  </si>
  <si>
    <t>CPR CARD RESUSC</t>
  </si>
  <si>
    <t>0061006102</t>
  </si>
  <si>
    <t>TRANSCUTANEOUS PACING</t>
  </si>
  <si>
    <t>TRANSCUTN PACNG</t>
  </si>
  <si>
    <t>0061007605</t>
  </si>
  <si>
    <t>IV HYD INT &gt;31M</t>
  </si>
  <si>
    <t>0061007613</t>
  </si>
  <si>
    <t>0061007654</t>
  </si>
  <si>
    <t>0061007662</t>
  </si>
  <si>
    <t>0061007670</t>
  </si>
  <si>
    <t>0061007688</t>
  </si>
  <si>
    <t>0061007746</t>
  </si>
  <si>
    <t>0061007753</t>
  </si>
  <si>
    <t>0061007761</t>
  </si>
  <si>
    <t>0061007837</t>
  </si>
  <si>
    <t>INJ TX/PROPH/DX ART</t>
  </si>
  <si>
    <t>INJ T/P/D ART</t>
  </si>
  <si>
    <t>0061010120</t>
  </si>
  <si>
    <t>INTRAVENTRICULAR PACING</t>
  </si>
  <si>
    <t>INTRAVNT PACING</t>
  </si>
  <si>
    <t>0061021200</t>
  </si>
  <si>
    <t>0061029609</t>
  </si>
  <si>
    <t>CARDIOVERSION ELEC/SCHED</t>
  </si>
  <si>
    <t>CARDIO ELEC/SCH</t>
  </si>
  <si>
    <t>0061029617</t>
  </si>
  <si>
    <t>CARDIOVERSION INTERNAL</t>
  </si>
  <si>
    <t>CARDIOVRSN INT</t>
  </si>
  <si>
    <t>0061029773</t>
  </si>
  <si>
    <t>CORONARY THROMBLYSIS IV</t>
  </si>
  <si>
    <t>CORONARY THROMB</t>
  </si>
  <si>
    <t>0061030557</t>
  </si>
  <si>
    <t>CRITICAL CR E&amp;M ADDL 30</t>
  </si>
  <si>
    <t>CRIT CR ADDL 30</t>
  </si>
  <si>
    <t>0061039962</t>
  </si>
  <si>
    <t>0061039988</t>
  </si>
  <si>
    <t>0061091518</t>
  </si>
  <si>
    <t>MOD SED SAME&lt;5YRS INIT15</t>
  </si>
  <si>
    <t>0061091526</t>
  </si>
  <si>
    <t>0061091534</t>
  </si>
  <si>
    <t>0061091708</t>
  </si>
  <si>
    <t>ANOGEN EXAM CHILD</t>
  </si>
  <si>
    <t>ANOGEN EXM CHLD</t>
  </si>
  <si>
    <t>0061099008</t>
  </si>
  <si>
    <t>SURG PROC LEVEL 4</t>
  </si>
  <si>
    <t>SURG LVL 4</t>
  </si>
  <si>
    <t>0061099016</t>
  </si>
  <si>
    <t>SURG PROC LEVEL 5</t>
  </si>
  <si>
    <t>SURG LVL 5</t>
  </si>
  <si>
    <t>0061099024</t>
  </si>
  <si>
    <t>SURG PROC LEVEL 6</t>
  </si>
  <si>
    <t>SURG LVL 6</t>
  </si>
  <si>
    <t>0061099032</t>
  </si>
  <si>
    <t>SURG PROC LEVEL 7</t>
  </si>
  <si>
    <t>SURG LVL 7</t>
  </si>
  <si>
    <t>0061099040</t>
  </si>
  <si>
    <t>SURG PROC LEVEL 8</t>
  </si>
  <si>
    <t>SURG LVL 8</t>
  </si>
  <si>
    <t>0061099057</t>
  </si>
  <si>
    <t>SURG PROC LEVEL 9</t>
  </si>
  <si>
    <t>SURG LVL 9</t>
  </si>
  <si>
    <t>0061099065</t>
  </si>
  <si>
    <t>SURG PROC LEVEL 10</t>
  </si>
  <si>
    <t>SURG LVL 10</t>
  </si>
  <si>
    <t>0061600086</t>
  </si>
  <si>
    <t>0061600094</t>
  </si>
  <si>
    <t>0061600102</t>
  </si>
  <si>
    <t>0061604716</t>
  </si>
  <si>
    <t>0061604724</t>
  </si>
  <si>
    <t>0061607602</t>
  </si>
  <si>
    <t>0061607610</t>
  </si>
  <si>
    <t>0061607651</t>
  </si>
  <si>
    <t>0061607669</t>
  </si>
  <si>
    <t>0061607677</t>
  </si>
  <si>
    <t>0061607685</t>
  </si>
  <si>
    <t>0061607727</t>
  </si>
  <si>
    <t>0061607743</t>
  </si>
  <si>
    <t>0061607750</t>
  </si>
  <si>
    <t>0061607768</t>
  </si>
  <si>
    <t>0061660007</t>
  </si>
  <si>
    <t>0061660015</t>
  </si>
  <si>
    <t>0061660023</t>
  </si>
  <si>
    <t>0061668182</t>
  </si>
  <si>
    <t>0061690251</t>
  </si>
  <si>
    <t>0061692810</t>
  </si>
  <si>
    <t>OB ER VISIT LVL I</t>
  </si>
  <si>
    <t>OB ER VISIT LVL</t>
  </si>
  <si>
    <t>0061692828</t>
  </si>
  <si>
    <t>OB ER VISIT LVL II</t>
  </si>
  <si>
    <t>0061692836</t>
  </si>
  <si>
    <t>OB ER VISIT LVL III</t>
  </si>
  <si>
    <t>0061692844</t>
  </si>
  <si>
    <t>OB ER VISIT LVL IV</t>
  </si>
  <si>
    <t>0061692851</t>
  </si>
  <si>
    <t>OB ER VISIT LVL V</t>
  </si>
  <si>
    <t>0061692919</t>
  </si>
  <si>
    <t>CRIT CR30-74 MN</t>
  </si>
  <si>
    <t>0061692927</t>
  </si>
  <si>
    <t>0061699005</t>
  </si>
  <si>
    <t>0061699013</t>
  </si>
  <si>
    <t>0061699021</t>
  </si>
  <si>
    <t>0061699039</t>
  </si>
  <si>
    <t>0061699047</t>
  </si>
  <si>
    <t>0061699054</t>
  </si>
  <si>
    <t>0061699062</t>
  </si>
  <si>
    <t>0062100029</t>
  </si>
  <si>
    <t>E&amp;M-EST. PATIENT-LVL I</t>
  </si>
  <si>
    <t>E&amp;M-EP LVL I</t>
  </si>
  <si>
    <t>0062100037</t>
  </si>
  <si>
    <t>E&amp;M-NEW PATIENT-LVL II</t>
  </si>
  <si>
    <t>E&amp;M-NP LVL II</t>
  </si>
  <si>
    <t>0062100086</t>
  </si>
  <si>
    <t>E&amp;M-EST. PATIENT-LVL II</t>
  </si>
  <si>
    <t>E&amp;M-EP LVL II</t>
  </si>
  <si>
    <t>0062100094</t>
  </si>
  <si>
    <t>E&amp;M-EST. PATIENT-LVL III</t>
  </si>
  <si>
    <t>E&amp;M-EP LVL III</t>
  </si>
  <si>
    <t>0062100375</t>
  </si>
  <si>
    <t>HRI PSYCHO SOC ASSESS30M</t>
  </si>
  <si>
    <t>PSYCH SOC ASSES</t>
  </si>
  <si>
    <t>0062100383</t>
  </si>
  <si>
    <t>HRIF COORDINATION</t>
  </si>
  <si>
    <t>HRIF COORD.</t>
  </si>
  <si>
    <t>0062100391</t>
  </si>
  <si>
    <t>HRI DEVELOP ASSESS</t>
  </si>
  <si>
    <t>DEVELOP ASSESS</t>
  </si>
  <si>
    <t>0062100409</t>
  </si>
  <si>
    <t>E&amp;M-NEW PATIENT-LVL III</t>
  </si>
  <si>
    <t>E&amp;M-NP LVL III</t>
  </si>
  <si>
    <t>0062200019</t>
  </si>
  <si>
    <t>0062200050</t>
  </si>
  <si>
    <t>0062200159</t>
  </si>
  <si>
    <t>0062292115</t>
  </si>
  <si>
    <t>0062292131</t>
  </si>
  <si>
    <t>0062404108</t>
  </si>
  <si>
    <t>OBS 201 ICC 1/HR</t>
  </si>
  <si>
    <t>OBS 201IC 1/HR</t>
  </si>
  <si>
    <t>0062406145</t>
  </si>
  <si>
    <t>OBS 231 M/S 1/HR</t>
  </si>
  <si>
    <t>OBS 231MS 1/HR</t>
  </si>
  <si>
    <t>0062406160</t>
  </si>
  <si>
    <t>OBS 232 M/S 1/HR</t>
  </si>
  <si>
    <t>OBS 232MS 1/HR</t>
  </si>
  <si>
    <t>0062406202</t>
  </si>
  <si>
    <t>OBS 250 OB 1/HR</t>
  </si>
  <si>
    <t>OBS 250OB 1/HR</t>
  </si>
  <si>
    <t>0062406301</t>
  </si>
  <si>
    <t>OBS 234 M/S 1/HR</t>
  </si>
  <si>
    <t>OBS 234MS 1/HR</t>
  </si>
  <si>
    <t>0062406368</t>
  </si>
  <si>
    <t>OBS 235 M/S 1/HR</t>
  </si>
  <si>
    <t>OBS 235MS 1/HR</t>
  </si>
  <si>
    <t>0062406525</t>
  </si>
  <si>
    <t>OBS 215 DOU 1/HR</t>
  </si>
  <si>
    <t>OBS 215DO 1/HR</t>
  </si>
  <si>
    <t>0062406566</t>
  </si>
  <si>
    <t>OBS 216 SDU 1/HR</t>
  </si>
  <si>
    <t>OBS 216SD 1/HR</t>
  </si>
  <si>
    <t>0062406608</t>
  </si>
  <si>
    <t>OBS 217 SDU 1/HR</t>
  </si>
  <si>
    <t>OBS 217SD 1/HR</t>
  </si>
  <si>
    <t>0062408000</t>
  </si>
  <si>
    <t>OBS 240 PED 1/HR</t>
  </si>
  <si>
    <t>OBS 240PD 1/HR</t>
  </si>
  <si>
    <t>0062900089</t>
  </si>
  <si>
    <t>0062900097</t>
  </si>
  <si>
    <t>0062900105</t>
  </si>
  <si>
    <t xml:space="preserve">HEP B VAC ADM  </t>
  </si>
  <si>
    <t>0062900113</t>
  </si>
  <si>
    <t>BLOOD ADMINISTRATION 1-2 UNITS</t>
  </si>
  <si>
    <t>BLD ADMIN 1-2 U</t>
  </si>
  <si>
    <t>0062900121</t>
  </si>
  <si>
    <t>BLOOD ADMINISTRATION 3-4 UNITS</t>
  </si>
  <si>
    <t>BLD ADMIN 3-4 U</t>
  </si>
  <si>
    <t>0062900139</t>
  </si>
  <si>
    <t>BLOOD ADMINISTRATION 5-6 UNITS</t>
  </si>
  <si>
    <t>BLD ADMIN 5-6 U</t>
  </si>
  <si>
    <t>0062900147</t>
  </si>
  <si>
    <t>BLOOD ADMINISTRATION 7-8 UNITS</t>
  </si>
  <si>
    <t>BLD ADMIN 7-8 U</t>
  </si>
  <si>
    <t>0062900154</t>
  </si>
  <si>
    <t>BLOOD ADMINISTRATION 9-10 UNIT</t>
  </si>
  <si>
    <t xml:space="preserve">BLD ADMIN 9-10 </t>
  </si>
  <si>
    <t>0062900162</t>
  </si>
  <si>
    <t>BLOOD ADMINISTRATION &gt;10 UNITS</t>
  </si>
  <si>
    <t>BLD ADMIN &gt;10 U</t>
  </si>
  <si>
    <t>0062900188</t>
  </si>
  <si>
    <t>IV INF TOCILIZU COV19 1ST DOSE</t>
  </si>
  <si>
    <t>IV TOCILIZU COV</t>
  </si>
  <si>
    <t>0062904719</t>
  </si>
  <si>
    <t>0062904727</t>
  </si>
  <si>
    <t>0062907605</t>
  </si>
  <si>
    <t>0062907613</t>
  </si>
  <si>
    <t>0062907654</t>
  </si>
  <si>
    <t>0062907662</t>
  </si>
  <si>
    <t>0062907670</t>
  </si>
  <si>
    <t>0062907688</t>
  </si>
  <si>
    <t>0062907746</t>
  </si>
  <si>
    <t>0062907753</t>
  </si>
  <si>
    <t>0062907761</t>
  </si>
  <si>
    <t>0062907829</t>
  </si>
  <si>
    <t>0062960000</t>
  </si>
  <si>
    <t>SURG PROC I</t>
  </si>
  <si>
    <t>0062960018</t>
  </si>
  <si>
    <t>SURG PROC II</t>
  </si>
  <si>
    <t>0062960026</t>
  </si>
  <si>
    <t>SURG PROC III</t>
  </si>
  <si>
    <t>0062964093</t>
  </si>
  <si>
    <t>INJ CHEMO INIT DRUG IVP</t>
  </si>
  <si>
    <t>CHEMO INIT IVP</t>
  </si>
  <si>
    <t>0062964507</t>
  </si>
  <si>
    <t>0062991518</t>
  </si>
  <si>
    <t>0062991526</t>
  </si>
  <si>
    <t>0062991534</t>
  </si>
  <si>
    <t>0062999990</t>
  </si>
  <si>
    <t>BLOOD ADMINSTRATION OE</t>
  </si>
  <si>
    <t>0065700361</t>
  </si>
  <si>
    <t>0065700379</t>
  </si>
  <si>
    <t>0065709321</t>
  </si>
  <si>
    <t xml:space="preserve">E&amp;M-EP LVL II  </t>
  </si>
  <si>
    <t>0069000206</t>
  </si>
  <si>
    <t>HB FUL BDY CHMBR P 30MIN</t>
  </si>
  <si>
    <t>HB PER 30 MIN</t>
  </si>
  <si>
    <t>0069000248</t>
  </si>
  <si>
    <t>APP SKNSUB F/N/H/G ADL 100SC</t>
  </si>
  <si>
    <t>APPLY SKIN SUB</t>
  </si>
  <si>
    <t>0069000255</t>
  </si>
  <si>
    <t>APP SKNSUB GRFT T/A/L&lt;1ST 25SC</t>
  </si>
  <si>
    <t>0069000263</t>
  </si>
  <si>
    <t>APP SKNSUB GRFT T/A/L ADL25SC</t>
  </si>
  <si>
    <t>0069000271</t>
  </si>
  <si>
    <t>APP SKNSUB GRFT T/A/L 1ST100SC</t>
  </si>
  <si>
    <t>0069000289</t>
  </si>
  <si>
    <t>APP SKNSUB GRFT T/A/L ADL100SC</t>
  </si>
  <si>
    <t>0069000297</t>
  </si>
  <si>
    <t>APP SKNSUB F/N/H/G 1ST 25SC</t>
  </si>
  <si>
    <t>0069000305</t>
  </si>
  <si>
    <t>APP SKNSUB F/N/H/G EA ADL 25SC</t>
  </si>
  <si>
    <t>0069000313</t>
  </si>
  <si>
    <t>APP SKNSUB F/N/H/G 1ST 100SC</t>
  </si>
  <si>
    <t>0069000321</t>
  </si>
  <si>
    <t>REMOVE NAIL PLATE ADD-ON</t>
  </si>
  <si>
    <t>REMOVE NAIL PLT</t>
  </si>
  <si>
    <t>0069000339</t>
  </si>
  <si>
    <t>REMOVE SINGLE NAIL PLATE</t>
  </si>
  <si>
    <t>0069000347</t>
  </si>
  <si>
    <t>REMOVAL OF NAIL BED</t>
  </si>
  <si>
    <t>REMOVE NAIL BED</t>
  </si>
  <si>
    <t>0069000354</t>
  </si>
  <si>
    <t>TRIM NAILS ANY NUMBER</t>
  </si>
  <si>
    <t>TRIM NAILS</t>
  </si>
  <si>
    <t>0069000362</t>
  </si>
  <si>
    <t>DEBRIDE NAIL 1-5</t>
  </si>
  <si>
    <t>DEBRIDE NL 1-5</t>
  </si>
  <si>
    <t>0069000370</t>
  </si>
  <si>
    <t>DEBRIDE NAIL 6 OR MORE</t>
  </si>
  <si>
    <t>DEBRIDE NL 6&gt;</t>
  </si>
  <si>
    <t>0069000404</t>
  </si>
  <si>
    <t>DEBRID SUBQ 1ST 20 SQ CM OR &lt;</t>
  </si>
  <si>
    <t>DEBRID SQ 20 SQ</t>
  </si>
  <si>
    <t>0069000412</t>
  </si>
  <si>
    <t>DEBRIDE SUBQ EA ADD 20SQ</t>
  </si>
  <si>
    <t>DEBRIDE SQ EA +</t>
  </si>
  <si>
    <t>0069000420</t>
  </si>
  <si>
    <t>DEBRIDE MSCL/FSCA 20SQCM</t>
  </si>
  <si>
    <t>DEB MSCL/FSCA</t>
  </si>
  <si>
    <t>0069000438</t>
  </si>
  <si>
    <t>DEBRIDE MSCL/FSCA EA ADD</t>
  </si>
  <si>
    <t>DEB MSCL/FSCA +</t>
  </si>
  <si>
    <t>0069000446</t>
  </si>
  <si>
    <t>DEBRIDE BONE 20SQ CM/&lt;</t>
  </si>
  <si>
    <t>DBRD BONE 20SQ</t>
  </si>
  <si>
    <t>0069000453</t>
  </si>
  <si>
    <t>DEBRIDE BONE EA ADD 20SQ</t>
  </si>
  <si>
    <t>DBRD BONE EA +</t>
  </si>
  <si>
    <t>0069000461</t>
  </si>
  <si>
    <t>DRSG/DEBRIDE PT BURN SM</t>
  </si>
  <si>
    <t>DRSG/DB PT BURN</t>
  </si>
  <si>
    <t>0069000479</t>
  </si>
  <si>
    <t>DRSG/DEBRIDE PT BURN MD</t>
  </si>
  <si>
    <t>0069000511</t>
  </si>
  <si>
    <t>I&amp;D ABSCESS SIM</t>
  </si>
  <si>
    <t>0069000701</t>
  </si>
  <si>
    <t>TRIM SKIN LESION SINGLE</t>
  </si>
  <si>
    <t>TRM SKN LSN SNG</t>
  </si>
  <si>
    <t>0069000719</t>
  </si>
  <si>
    <t>TRIM SKIN LESION 2-4</t>
  </si>
  <si>
    <t>TRM SKN LSN 2-4</t>
  </si>
  <si>
    <t>0069000727</t>
  </si>
  <si>
    <t>TRIM SKIN LESION &gt;4</t>
  </si>
  <si>
    <t>TRM SKN LSN &gt;4</t>
  </si>
  <si>
    <t>0069000909</t>
  </si>
  <si>
    <t>APPLY RIGID LEG CAST</t>
  </si>
  <si>
    <t>APPLY LEG CAST</t>
  </si>
  <si>
    <t>0069000917</t>
  </si>
  <si>
    <t>APPLY ML COMPRS LWR LEG</t>
  </si>
  <si>
    <t>APPLY ML/CW LL</t>
  </si>
  <si>
    <t>0069000925</t>
  </si>
  <si>
    <t>STRAPPING OF PASTE BOOT</t>
  </si>
  <si>
    <t>STRP PASTE BOOT</t>
  </si>
  <si>
    <t>0069001303</t>
  </si>
  <si>
    <t>APPLY SHORT LEG CAST</t>
  </si>
  <si>
    <t>0069001337</t>
  </si>
  <si>
    <t>I&amp;D COMPLEX DRAIN WOUND</t>
  </si>
  <si>
    <t>I&amp;D CMPX DRN WD</t>
  </si>
  <si>
    <t>0069001378</t>
  </si>
  <si>
    <t>PARTIAL REMOVAL OF TOE</t>
  </si>
  <si>
    <t>PART RMV TOE</t>
  </si>
  <si>
    <t>0069001428</t>
  </si>
  <si>
    <t>BIOPSY BONE SUP</t>
  </si>
  <si>
    <t>0069001436</t>
  </si>
  <si>
    <t>BONE BIOPSY OPEN DEEP</t>
  </si>
  <si>
    <t>BONE BX OPEN</t>
  </si>
  <si>
    <t>0069004562</t>
  </si>
  <si>
    <t>NEG PRESS TX MPD &lt;50CM</t>
  </si>
  <si>
    <t>NEG PRSS MPD&lt;50</t>
  </si>
  <si>
    <t>0069004570</t>
  </si>
  <si>
    <t>NEG PRESS TX MPD &gt;50CM</t>
  </si>
  <si>
    <t>NEG PRSS MPD&gt;50</t>
  </si>
  <si>
    <t>0069010023</t>
  </si>
  <si>
    <t>0069010031</t>
  </si>
  <si>
    <t>0069010049</t>
  </si>
  <si>
    <t>E&amp;M-NEW PATIENT-LVL IV</t>
  </si>
  <si>
    <t>E&amp;M-NP LVL IV</t>
  </si>
  <si>
    <t>0069010056</t>
  </si>
  <si>
    <t>E&amp;M-NEW PATIENT-LVL V</t>
  </si>
  <si>
    <t>E&amp;M-NP LVL V</t>
  </si>
  <si>
    <t>0069010809</t>
  </si>
  <si>
    <t>I&amp;D PILONIDAL CYST SMPLE</t>
  </si>
  <si>
    <t>I&amp;D CYST SIMPL</t>
  </si>
  <si>
    <t>0069011021</t>
  </si>
  <si>
    <t>TANGNTL BX SKIN SINGLE LES</t>
  </si>
  <si>
    <t xml:space="preserve">TANGNTL BX SKN </t>
  </si>
  <si>
    <t>0069011039</t>
  </si>
  <si>
    <t>TANGNTL BX SKIN EA SEP/ADDL</t>
  </si>
  <si>
    <t>0069011047</t>
  </si>
  <si>
    <t>PUNCH BX SKIN SINGLE LESION</t>
  </si>
  <si>
    <t>PUNCH BX SKN SI</t>
  </si>
  <si>
    <t>0069011070</t>
  </si>
  <si>
    <t>INCISIONAL BX SKIN SEP/ADDL</t>
  </si>
  <si>
    <t>INCISION BX SKI</t>
  </si>
  <si>
    <t>0069011088</t>
  </si>
  <si>
    <t>INCISIONAL BX SKIN SGL LES</t>
  </si>
  <si>
    <t>INCISION BX SKN</t>
  </si>
  <si>
    <t>0069011096</t>
  </si>
  <si>
    <t>PUNCH BX SKIN EA SEP/ADDL</t>
  </si>
  <si>
    <t>PUNCH BX SKN EA</t>
  </si>
  <si>
    <t>0069016038</t>
  </si>
  <si>
    <t>0069016046</t>
  </si>
  <si>
    <t>0069039238</t>
  </si>
  <si>
    <t>0069039253</t>
  </si>
  <si>
    <t>0069040103</t>
  </si>
  <si>
    <t>CHEM CAUTERY OF TISSUE</t>
  </si>
  <si>
    <t>CHEM CTRY TISS</t>
  </si>
  <si>
    <t>0069060051</t>
  </si>
  <si>
    <t>0069060069</t>
  </si>
  <si>
    <t>E&amp;M-EST. PATIENT-LVL IV</t>
  </si>
  <si>
    <t>E&amp;M-EP LVL IV</t>
  </si>
  <si>
    <t>0069060077</t>
  </si>
  <si>
    <t>E&amp;M-EST. PATIENT-LVL V</t>
  </si>
  <si>
    <t>E&amp;M-EP LVL V</t>
  </si>
  <si>
    <t>0069075976</t>
  </si>
  <si>
    <t>SEL DEB 1ST 20CM OR LESS</t>
  </si>
  <si>
    <t>SEL DEB 1ST 20</t>
  </si>
  <si>
    <t>0069075984</t>
  </si>
  <si>
    <t>SEL DEB EAADD UPTO 20CM</t>
  </si>
  <si>
    <t>SELDEBEAAD20</t>
  </si>
  <si>
    <t>0069076057</t>
  </si>
  <si>
    <t>NSEL DEB WNDS WO ANES B</t>
  </si>
  <si>
    <t>NSEL DEB WDS BS</t>
  </si>
  <si>
    <t>0069076081</t>
  </si>
  <si>
    <t>NEG PRESS THRPY &lt;=50CM</t>
  </si>
  <si>
    <t>NEG PRESS THRPY</t>
  </si>
  <si>
    <t>0069076099</t>
  </si>
  <si>
    <t>NEG PRESS THRPY &gt;50CM</t>
  </si>
  <si>
    <t>0069078103</t>
  </si>
  <si>
    <t>MCAL HBO INIT 15 MIN</t>
  </si>
  <si>
    <t>MCAL HBO INIT15</t>
  </si>
  <si>
    <t>0069078111</t>
  </si>
  <si>
    <t>MCAL HBO ADDL 15 MIN</t>
  </si>
  <si>
    <t>MCAL HBO ADD 15</t>
  </si>
  <si>
    <t>0069098887</t>
  </si>
  <si>
    <t>GFT EPIDRML HEAD 1ST 100</t>
  </si>
  <si>
    <t>GFT EPDRML HEAD</t>
  </si>
  <si>
    <t>0069098929</t>
  </si>
  <si>
    <t>APPLY ML COMPRS ARM/HAND</t>
  </si>
  <si>
    <t>APP ML/CMP ARM</t>
  </si>
  <si>
    <t>0069098960</t>
  </si>
  <si>
    <t>0069098978</t>
  </si>
  <si>
    <t>BX BONE SPRFICIAL OPEN</t>
  </si>
  <si>
    <t>BX BONE OPEN</t>
  </si>
  <si>
    <t>0070000096</t>
  </si>
  <si>
    <t>FLOW CYTO CEL FIRST MRKR/3</t>
  </si>
  <si>
    <t>FLOW FRST MARKR</t>
  </si>
  <si>
    <t>0070000575</t>
  </si>
  <si>
    <t>FLOW EA ADD MARKER/3</t>
  </si>
  <si>
    <t>FLW EA ADD MARK</t>
  </si>
  <si>
    <t>0070001698</t>
  </si>
  <si>
    <t>FLUORESCNT SCRN EA AB/2</t>
  </si>
  <si>
    <t>FLUR AB SCRN EA</t>
  </si>
  <si>
    <t>0070010061</t>
  </si>
  <si>
    <t>KRAS GENE VARIANTS EXON 2</t>
  </si>
  <si>
    <t>KRAS GENE VAR E</t>
  </si>
  <si>
    <t>0070010087</t>
  </si>
  <si>
    <t>MICROSAT INSTABILITY ANL</t>
  </si>
  <si>
    <t>INSTABILITY ANL</t>
  </si>
  <si>
    <t>0070012109</t>
  </si>
  <si>
    <t>BRAF V600E VARIANT</t>
  </si>
  <si>
    <t>BRAF GENE ANLS</t>
  </si>
  <si>
    <t>0070021076</t>
  </si>
  <si>
    <t>AFP FRACTION AND TOTAL</t>
  </si>
  <si>
    <t>AFP FRC AND TL</t>
  </si>
  <si>
    <t>0070021142</t>
  </si>
  <si>
    <t>0070024765</t>
  </si>
  <si>
    <t>CHROM/MASS SPEC NES QL</t>
  </si>
  <si>
    <t>CHRM/MASS NES</t>
  </si>
  <si>
    <t>0070026620</t>
  </si>
  <si>
    <t>NOS IMMUNOASSAY NON-RIA</t>
  </si>
  <si>
    <t>NOS IMMUNASSY N</t>
  </si>
  <si>
    <t>0070026703</t>
  </si>
  <si>
    <t>ESTRADIOL</t>
  </si>
  <si>
    <t>0070030010</t>
  </si>
  <si>
    <t>FOLLICLE STIMLAT HORMONE</t>
  </si>
  <si>
    <t>FOLCL STIM HORM</t>
  </si>
  <si>
    <t>0070030028</t>
  </si>
  <si>
    <t>LUTEINING HORMONE</t>
  </si>
  <si>
    <t>LUTEINING HORMN</t>
  </si>
  <si>
    <t>0070030317</t>
  </si>
  <si>
    <t>ANTI-DESMOGLEIN AB</t>
  </si>
  <si>
    <t>ANTI-DESMOGLEIN</t>
  </si>
  <si>
    <t>0070036074</t>
  </si>
  <si>
    <t>AQUAPORINE 4 AB</t>
  </si>
  <si>
    <t>0070039565</t>
  </si>
  <si>
    <t>B-TYP NATRIURETC PEPTIDE/2</t>
  </si>
  <si>
    <t>0070039805</t>
  </si>
  <si>
    <t>0070040084</t>
  </si>
  <si>
    <t>BULLOUS PEMPHIGOID</t>
  </si>
  <si>
    <t>BULLOUS PEMPHIG</t>
  </si>
  <si>
    <t>0070042007</t>
  </si>
  <si>
    <t>PSA FREE</t>
  </si>
  <si>
    <t>0070042312</t>
  </si>
  <si>
    <t>RIA NONANTIBODY/3</t>
  </si>
  <si>
    <t>RIA NONANTIBODY</t>
  </si>
  <si>
    <t>0070048988</t>
  </si>
  <si>
    <t>IA TUMOR CA 15-3 QUAN</t>
  </si>
  <si>
    <t>IA TUMOR CA15-3</t>
  </si>
  <si>
    <t>0070049986</t>
  </si>
  <si>
    <t>IA TUMOR CA 15-3 QUAN/2</t>
  </si>
  <si>
    <t>0070061510</t>
  </si>
  <si>
    <t>0070062237</t>
  </si>
  <si>
    <t>INFECT AGNT NOS AMP PRB</t>
  </si>
  <si>
    <t>0070069000</t>
  </si>
  <si>
    <t>IA TUMOR CA 125 QUAN</t>
  </si>
  <si>
    <t xml:space="preserve">IA TUMOR CA125 </t>
  </si>
  <si>
    <t>0070070180</t>
  </si>
  <si>
    <t>SUSCEPTIBLTY STUDY MIC</t>
  </si>
  <si>
    <t>0070071162</t>
  </si>
  <si>
    <t>0070071535</t>
  </si>
  <si>
    <t>0070071865</t>
  </si>
  <si>
    <t>SUSCEPTIBLTY STUDY MIC/4</t>
  </si>
  <si>
    <t>0070071980</t>
  </si>
  <si>
    <t>0070074810</t>
  </si>
  <si>
    <t>CANDIDA AMP PRB</t>
  </si>
  <si>
    <t>0070075122</t>
  </si>
  <si>
    <t>GARDNERELLA VAG QUANT</t>
  </si>
  <si>
    <t>GARDNERELLA</t>
  </si>
  <si>
    <t>0070077839</t>
  </si>
  <si>
    <t>INFECT AGNT NOS QUANT/2</t>
  </si>
  <si>
    <t>INFECT AGNT QN/</t>
  </si>
  <si>
    <t>0070086707</t>
  </si>
  <si>
    <t>RETICULIN AB</t>
  </si>
  <si>
    <t>0070087077</t>
  </si>
  <si>
    <t>0070100052</t>
  </si>
  <si>
    <t>FLOW CYTO CEL FIRST MRKR</t>
  </si>
  <si>
    <t>0070100128</t>
  </si>
  <si>
    <t>MASS SPEC TNDM MS NES</t>
  </si>
  <si>
    <t>MASS SPEC QNT/Q</t>
  </si>
  <si>
    <t>0070100144</t>
  </si>
  <si>
    <t>0070100169</t>
  </si>
  <si>
    <t>LEVETIRACETAM</t>
  </si>
  <si>
    <t>0070100177</t>
  </si>
  <si>
    <t>OXCARBAZEPINE</t>
  </si>
  <si>
    <t>0070100219</t>
  </si>
  <si>
    <t>VIRUS INOC SHELL EACH</t>
  </si>
  <si>
    <t>VIRUS INNOC EA</t>
  </si>
  <si>
    <t>0070100391</t>
  </si>
  <si>
    <t>ANTIDPRSSNTS CYCLICAL 1-2</t>
  </si>
  <si>
    <t>ANTDPRSSNT CYCL</t>
  </si>
  <si>
    <t>0070100417</t>
  </si>
  <si>
    <t>LAMOTRIGINE QNT</t>
  </si>
  <si>
    <t>LAMICTAL QNT</t>
  </si>
  <si>
    <t>0070100508</t>
  </si>
  <si>
    <t>ANTIPSYCHOTICS NOS 1-3</t>
  </si>
  <si>
    <t xml:space="preserve">ANTIPSYCHOTICS </t>
  </si>
  <si>
    <t>0070100557</t>
  </si>
  <si>
    <t>INFECT AGNT NOS AMP PRB/20</t>
  </si>
  <si>
    <t>0070100615</t>
  </si>
  <si>
    <t>DEXAMETHASONE</t>
  </si>
  <si>
    <t>0070100631</t>
  </si>
  <si>
    <t>IMMUN NONINFC QL/SEMI/M</t>
  </si>
  <si>
    <t>IMMUN QL/SEMI/M</t>
  </si>
  <si>
    <t>0070100649</t>
  </si>
  <si>
    <t>0070100656</t>
  </si>
  <si>
    <t>METHADONE QUANT</t>
  </si>
  <si>
    <t>0070100672</t>
  </si>
  <si>
    <t>HIV GENOTYPE</t>
  </si>
  <si>
    <t>0070100730</t>
  </si>
  <si>
    <t>IMMUN NONINFC QL/SEMI/M/8</t>
  </si>
  <si>
    <t>0070100748</t>
  </si>
  <si>
    <t>ACUTE HEPATITIS PANEL</t>
  </si>
  <si>
    <t>ACUTE HEP PANEL</t>
  </si>
  <si>
    <t>0070100755</t>
  </si>
  <si>
    <t>FRANCISELLA TULARENS AB/2</t>
  </si>
  <si>
    <t>F.TULARENS AB/2</t>
  </si>
  <si>
    <t>0070100763</t>
  </si>
  <si>
    <t>FLOW CYTO ADD MARKER/2</t>
  </si>
  <si>
    <t>FLOW CYT ADD MA</t>
  </si>
  <si>
    <t>0070100771</t>
  </si>
  <si>
    <t>0070100821</t>
  </si>
  <si>
    <t>PROLACTIN/2</t>
  </si>
  <si>
    <t>0070100854</t>
  </si>
  <si>
    <t>DRUGS NOS 7 OR MORE/3</t>
  </si>
  <si>
    <t>DRUGS NOS 7+/3</t>
  </si>
  <si>
    <t>0070100946</t>
  </si>
  <si>
    <t>IMMUN NONINF QL/SEMI/M/9</t>
  </si>
  <si>
    <t>0070100953</t>
  </si>
  <si>
    <t>ADIPONECTIN</t>
  </si>
  <si>
    <t>0070101019</t>
  </si>
  <si>
    <t>0070101027</t>
  </si>
  <si>
    <t>0070101076</t>
  </si>
  <si>
    <t>CXCL9</t>
  </si>
  <si>
    <t>0070101134</t>
  </si>
  <si>
    <t>DRUG TEST PRSMV CHEM ANLYZR/4</t>
  </si>
  <si>
    <t>0070101175</t>
  </si>
  <si>
    <t>0070101191</t>
  </si>
  <si>
    <t>0070101233</t>
  </si>
  <si>
    <t>TRYPSIN BLOOD TOTAL</t>
  </si>
  <si>
    <t>TRYPSIN BLD TTL</t>
  </si>
  <si>
    <t>0070101266</t>
  </si>
  <si>
    <t>SODIUM OTHER SOURCE/2</t>
  </si>
  <si>
    <t>0070101274</t>
  </si>
  <si>
    <t>GLIADIN AB/2</t>
  </si>
  <si>
    <t>0070101324</t>
  </si>
  <si>
    <t>VALPROIC ACID FREE</t>
  </si>
  <si>
    <t>VALPROIC ACID F</t>
  </si>
  <si>
    <t>0070101415</t>
  </si>
  <si>
    <t>VORICONAZOLE</t>
  </si>
  <si>
    <t>0070101423</t>
  </si>
  <si>
    <t>MOLECULAR PATH LEVEL 8/2</t>
  </si>
  <si>
    <t>MOLEC PATH LV8/</t>
  </si>
  <si>
    <t>0070101431</t>
  </si>
  <si>
    <t>MOLECULAR PATH LEVEL 7/2</t>
  </si>
  <si>
    <t>MOLEC PATH LV7/</t>
  </si>
  <si>
    <t>0070101449</t>
  </si>
  <si>
    <t>MONONUCLEAR CELL AG QNT/2</t>
  </si>
  <si>
    <t>MONONUCCELLAG/2</t>
  </si>
  <si>
    <t>0070101456</t>
  </si>
  <si>
    <t>MONONUCLEAR CELL AG QNT/3</t>
  </si>
  <si>
    <t>MONONUCCELLAG/3</t>
  </si>
  <si>
    <t>0070101464</t>
  </si>
  <si>
    <t>AMPHETAMINE QUAN 1-2/2</t>
  </si>
  <si>
    <t>AMPHETAMINES QN</t>
  </si>
  <si>
    <t>0070101472</t>
  </si>
  <si>
    <t>TISSUE GRIND FOR CULTURE/2</t>
  </si>
  <si>
    <t>TISS GRIND CULT</t>
  </si>
  <si>
    <t>0070101480</t>
  </si>
  <si>
    <t>MICRO ALBUMIN URINE QNT/2</t>
  </si>
  <si>
    <t>0070101530</t>
  </si>
  <si>
    <t>0070101548</t>
  </si>
  <si>
    <t>0070101555</t>
  </si>
  <si>
    <t>AQUAPORIN-4 AB ELISA</t>
  </si>
  <si>
    <t xml:space="preserve">AQUAPORIN-4 AB </t>
  </si>
  <si>
    <t>0070101563</t>
  </si>
  <si>
    <t>CLOT FCTR XIII SCREEN/2</t>
  </si>
  <si>
    <t>CLOT FACTOR SCR</t>
  </si>
  <si>
    <t>0070101597</t>
  </si>
  <si>
    <t>PHOSPHOLIPID A2 PLA2R</t>
  </si>
  <si>
    <t>PHOSPHOLIPASE A</t>
  </si>
  <si>
    <t>0070101605</t>
  </si>
  <si>
    <t>0070101621</t>
  </si>
  <si>
    <t>LEPTIN</t>
  </si>
  <si>
    <t>0070101647</t>
  </si>
  <si>
    <t>SYPHILIS NONTREP QUAN/3</t>
  </si>
  <si>
    <t>0070101688</t>
  </si>
  <si>
    <t>RESP VIRUS 3-5 AMP PROBE/2</t>
  </si>
  <si>
    <t>RESP VIR 3-5 AM</t>
  </si>
  <si>
    <t>0070101720</t>
  </si>
  <si>
    <t>AMPA ANTIBODY</t>
  </si>
  <si>
    <t>AMPA AB</t>
  </si>
  <si>
    <t>0070101761</t>
  </si>
  <si>
    <t>RESP VIRUS 12-25 AMP PROBE/2</t>
  </si>
  <si>
    <t>RES VIR 12-25 A</t>
  </si>
  <si>
    <t>0070101779</t>
  </si>
  <si>
    <t>UGTIA1 COMMON VARIANT</t>
  </si>
  <si>
    <t>UGT1A1 COM VAR</t>
  </si>
  <si>
    <t>0070101811</t>
  </si>
  <si>
    <t>CANNABINOID GC/MS QUANT/2</t>
  </si>
  <si>
    <t>CANNABINOID GC/</t>
  </si>
  <si>
    <t>0070101894</t>
  </si>
  <si>
    <t>DMD DUP/DELET ANALYSIS</t>
  </si>
  <si>
    <t>DMD DUP/DELET A</t>
  </si>
  <si>
    <t>0070101928</t>
  </si>
  <si>
    <t>ASPERGILLUS IA</t>
  </si>
  <si>
    <t>0070101985</t>
  </si>
  <si>
    <t>ENTAMOEB HIST GROUP IA</t>
  </si>
  <si>
    <t>E HISTOLYTICA I</t>
  </si>
  <si>
    <t>0070102033</t>
  </si>
  <si>
    <t>ZONISAMIDE</t>
  </si>
  <si>
    <t>0070102504</t>
  </si>
  <si>
    <t>GABAPENTIN</t>
  </si>
  <si>
    <t>0070102827</t>
  </si>
  <si>
    <t>CARNITINE/2</t>
  </si>
  <si>
    <t>0070102926</t>
  </si>
  <si>
    <t>ANTIEPILEPTIC NOS 1-3</t>
  </si>
  <si>
    <t>ANTIEPILEPTIC N</t>
  </si>
  <si>
    <t>0070103007</t>
  </si>
  <si>
    <t>FLECAINIDE</t>
  </si>
  <si>
    <t>0070103031</t>
  </si>
  <si>
    <t>HEROIN METABOLITE</t>
  </si>
  <si>
    <t>HEROIN METAB</t>
  </si>
  <si>
    <t>0070103064</t>
  </si>
  <si>
    <t>OPIATES</t>
  </si>
  <si>
    <t>0070103072</t>
  </si>
  <si>
    <t>DRUG TEST PRSMV CHEM ANLYZR/6</t>
  </si>
  <si>
    <t>0070103205</t>
  </si>
  <si>
    <t>ALCOHOLS</t>
  </si>
  <si>
    <t>0070103213</t>
  </si>
  <si>
    <t>HEAVY METAL QUAN</t>
  </si>
  <si>
    <t>HEAVY METAL QN</t>
  </si>
  <si>
    <t>0070103254</t>
  </si>
  <si>
    <t>DRUG TEST PRSMV CHEM ANLYZR/7</t>
  </si>
  <si>
    <t>0070103270</t>
  </si>
  <si>
    <t>0070103379</t>
  </si>
  <si>
    <t>ANTIDPRSSNTS CYCLICAL 6+/2</t>
  </si>
  <si>
    <t>0070103387</t>
  </si>
  <si>
    <t>ANTIDPRSSNTS CYCLICAL 6+</t>
  </si>
  <si>
    <t>0070103395</t>
  </si>
  <si>
    <t>ANTIEPILEPTIC NOS 1-3/2</t>
  </si>
  <si>
    <t>0070103460</t>
  </si>
  <si>
    <t>BENZODIAZEPINES 1-12</t>
  </si>
  <si>
    <t>BENZODIAZEPINES</t>
  </si>
  <si>
    <t>0070103478</t>
  </si>
  <si>
    <t>BUPRENORPHINE</t>
  </si>
  <si>
    <t>0070103593</t>
  </si>
  <si>
    <t>METHAMPHETAMINE QUANT</t>
  </si>
  <si>
    <t xml:space="preserve">METAMPHETAMINE </t>
  </si>
  <si>
    <t>0070103668</t>
  </si>
  <si>
    <t>PREGABALIN</t>
  </si>
  <si>
    <t>0070103684</t>
  </si>
  <si>
    <t>INFECT AGNT NOS AMP PRB/9</t>
  </si>
  <si>
    <t>0070103742</t>
  </si>
  <si>
    <t>LOPERAMIDE</t>
  </si>
  <si>
    <t>0070103759</t>
  </si>
  <si>
    <t>METFORMIN</t>
  </si>
  <si>
    <t>0070103767</t>
  </si>
  <si>
    <t>PIOGLITAZONE</t>
  </si>
  <si>
    <t>0070103775</t>
  </si>
  <si>
    <t>DRUGS NOS 7 OR MORE</t>
  </si>
  <si>
    <t>DRUGS NOS 7+</t>
  </si>
  <si>
    <t>0070103791</t>
  </si>
  <si>
    <t>DRUGS NOS 7 OR MORE/2</t>
  </si>
  <si>
    <t xml:space="preserve">DRUGS NOS 7 OR </t>
  </si>
  <si>
    <t>0070110077</t>
  </si>
  <si>
    <t>HLA I ONE ALELE/GRP HIGH</t>
  </si>
  <si>
    <t>HLA I/1 ALLELE</t>
  </si>
  <si>
    <t>0070111620</t>
  </si>
  <si>
    <t>BRCA1&amp;2 GEN FULL SEQ DUP/DEL</t>
  </si>
  <si>
    <t>BRCA1&amp;2 GEN FUL</t>
  </si>
  <si>
    <t>0070112065</t>
  </si>
  <si>
    <t>BCR/ABL1 MAJOR BREAKPNT</t>
  </si>
  <si>
    <t>BCR/ABL1 MAJOR</t>
  </si>
  <si>
    <t>0070112198</t>
  </si>
  <si>
    <t>CALR EXON 9 VARIANTS</t>
  </si>
  <si>
    <t>CALR EXON 9 VAR</t>
  </si>
  <si>
    <t>0070112230</t>
  </si>
  <si>
    <t>CFTR FULL GEN SEQ</t>
  </si>
  <si>
    <t>CFTR FULL SEQ</t>
  </si>
  <si>
    <t>0070112255</t>
  </si>
  <si>
    <t>CYP2CA9 COMMON VARIANTS</t>
  </si>
  <si>
    <t>CYP2C19 COM VAR</t>
  </si>
  <si>
    <t>0070112321</t>
  </si>
  <si>
    <t>DPYD GENE COMMON VARIANT</t>
  </si>
  <si>
    <t>DPYD COMMON VAR</t>
  </si>
  <si>
    <t>0070112404</t>
  </si>
  <si>
    <t>F2 GENE ANLS VARIANT</t>
  </si>
  <si>
    <t>F2 VARIANT</t>
  </si>
  <si>
    <t>0070112412</t>
  </si>
  <si>
    <t>F5 LEIDEN VARIANT</t>
  </si>
  <si>
    <t>F5 LEIDEN</t>
  </si>
  <si>
    <t>0070112602</t>
  </si>
  <si>
    <t>STRIATED AB SCR</t>
  </si>
  <si>
    <t>0070113469</t>
  </si>
  <si>
    <t>DYPD GENE ANALYSIS</t>
  </si>
  <si>
    <t>DYPD</t>
  </si>
  <si>
    <t>0070113808</t>
  </si>
  <si>
    <t>HLA I ONE LOCUS HIGH</t>
  </si>
  <si>
    <t>HLA ONE LOCUS</t>
  </si>
  <si>
    <t>0070114004</t>
  </si>
  <si>
    <t>MOLECULAR PATH LEVEL 1</t>
  </si>
  <si>
    <t>MOLEC PATH LV1</t>
  </si>
  <si>
    <t>0070114020</t>
  </si>
  <si>
    <t>MOLECULAR PATH LEVEL 3</t>
  </si>
  <si>
    <t>MOLEC PATH LV3</t>
  </si>
  <si>
    <t>0070114038</t>
  </si>
  <si>
    <t>MOLECULAR PATH LEVEL 4</t>
  </si>
  <si>
    <t>MOLEC PATH LV4</t>
  </si>
  <si>
    <t>0070114046</t>
  </si>
  <si>
    <t>MOLECULAR PATH LEVEL 5</t>
  </si>
  <si>
    <t>MOLEC PATH LV5</t>
  </si>
  <si>
    <t>0070114061</t>
  </si>
  <si>
    <t>MOLECULAR PATH LEVEL 7</t>
  </si>
  <si>
    <t>MOLEC PATH LV7</t>
  </si>
  <si>
    <t>0070114079</t>
  </si>
  <si>
    <t>MOLECULAR PATH LEVEL 2/2</t>
  </si>
  <si>
    <t>MOLEC PATH LV2/</t>
  </si>
  <si>
    <t>0070114095</t>
  </si>
  <si>
    <t>MOLECULAR PATH LEVEL 5/2</t>
  </si>
  <si>
    <t>MOLEC PATH LV5/</t>
  </si>
  <si>
    <t>0070114103</t>
  </si>
  <si>
    <t>MOLECULAR PATH LEVEL 8</t>
  </si>
  <si>
    <t>MOLEC PATH LV8</t>
  </si>
  <si>
    <t>0070114111</t>
  </si>
  <si>
    <t>MOLECULAR PATH LEVEL 5/3</t>
  </si>
  <si>
    <t>0070114145</t>
  </si>
  <si>
    <t>MOLECULAR PATH LEVEL 6</t>
  </si>
  <si>
    <t>MOLEC PATH LV6</t>
  </si>
  <si>
    <t>0070114798</t>
  </si>
  <si>
    <t>UNLISTED MOLEC PROC</t>
  </si>
  <si>
    <t>UNLIST MOLEC</t>
  </si>
  <si>
    <t>0070114806</t>
  </si>
  <si>
    <t>UNLISTED MOLEC PROC/2</t>
  </si>
  <si>
    <t>UNLIST MOLEC/2</t>
  </si>
  <si>
    <t>0070114814</t>
  </si>
  <si>
    <t>UNLISTED MOLEC PROC/3</t>
  </si>
  <si>
    <t>UNLIST MOLEC/3</t>
  </si>
  <si>
    <t>0070115035</t>
  </si>
  <si>
    <t>ONCOLOGY BIOCHEM ASSAY OVA 1</t>
  </si>
  <si>
    <t>ONCOLOGY BIOCHE</t>
  </si>
  <si>
    <t>0070120050</t>
  </si>
  <si>
    <t>ACYLCARNITINES QN EA SPC</t>
  </si>
  <si>
    <t>ACYLCRN QN EA</t>
  </si>
  <si>
    <t>0070120068</t>
  </si>
  <si>
    <t>ANTITRYPSIN ALPHA 1 TOTL/2</t>
  </si>
  <si>
    <t>ANTITRYPSN ALPH</t>
  </si>
  <si>
    <t>0070120076</t>
  </si>
  <si>
    <t>DIHYDROTESTOSTERONE</t>
  </si>
  <si>
    <t>DIHYDROTESTOSTE</t>
  </si>
  <si>
    <t>0070120100</t>
  </si>
  <si>
    <t>ACETONE QUANTITATIVE</t>
  </si>
  <si>
    <t>ACETONE QUAN</t>
  </si>
  <si>
    <t>0070120209</t>
  </si>
  <si>
    <t>CATECHOLAMINES FRAC</t>
  </si>
  <si>
    <t>CATECHOLMN FRAC</t>
  </si>
  <si>
    <t>0070120241</t>
  </si>
  <si>
    <t>ACTH</t>
  </si>
  <si>
    <t>0070120258</t>
  </si>
  <si>
    <t>ALBUMIN QUANT OTH SRC</t>
  </si>
  <si>
    <t>ALBUMIN QNT</t>
  </si>
  <si>
    <t>0070120282</t>
  </si>
  <si>
    <t>ADENOVIRUS AG DFA</t>
  </si>
  <si>
    <t>ADENOVIR AG DFA</t>
  </si>
  <si>
    <t>0070120324</t>
  </si>
  <si>
    <t>0070120407</t>
  </si>
  <si>
    <t>0070120431</t>
  </si>
  <si>
    <t>0070120852</t>
  </si>
  <si>
    <t>ALDOLASE</t>
  </si>
  <si>
    <t>0070120878</t>
  </si>
  <si>
    <t>ALDOSTERONE</t>
  </si>
  <si>
    <t>0070120894</t>
  </si>
  <si>
    <t>ALDOSTERONE/2</t>
  </si>
  <si>
    <t>0070121041</t>
  </si>
  <si>
    <t>ANTITRYPSIN ALPHA PHENO</t>
  </si>
  <si>
    <t>0070121108</t>
  </si>
  <si>
    <t>ALUMINUM</t>
  </si>
  <si>
    <t>0070121116</t>
  </si>
  <si>
    <t>0070121140</t>
  </si>
  <si>
    <t>0070121306</t>
  </si>
  <si>
    <t>AMINO ACIDS QNT SNGL</t>
  </si>
  <si>
    <t>AMINO ACID QNT</t>
  </si>
  <si>
    <t>0070121397</t>
  </si>
  <si>
    <t>AMINO ACIDS 6+ QNT</t>
  </si>
  <si>
    <t xml:space="preserve">AMINO ACIDS 6+ </t>
  </si>
  <si>
    <t>0070121454</t>
  </si>
  <si>
    <t>AMPHETAMINE QUAN 1-2</t>
  </si>
  <si>
    <t xml:space="preserve">AMPHETAMINE QN </t>
  </si>
  <si>
    <t>0070121504</t>
  </si>
  <si>
    <t>0070121645</t>
  </si>
  <si>
    <t>ANGIOTENSIN CONV ENZYME</t>
  </si>
  <si>
    <t>ANGIOTNSN CN EN</t>
  </si>
  <si>
    <t>0070121694</t>
  </si>
  <si>
    <t>ACHR ANTIBODY</t>
  </si>
  <si>
    <t>ACHR AB</t>
  </si>
  <si>
    <t>0070121736</t>
  </si>
  <si>
    <t>APOLIPOPROTEIN</t>
  </si>
  <si>
    <t>0070121751</t>
  </si>
  <si>
    <t>ARSENIC</t>
  </si>
  <si>
    <t>0070121777</t>
  </si>
  <si>
    <t>ARSENIC/3</t>
  </si>
  <si>
    <t>0070121801</t>
  </si>
  <si>
    <t>ASCORBIC ACID</t>
  </si>
  <si>
    <t>0070121843</t>
  </si>
  <si>
    <t>0070121868</t>
  </si>
  <si>
    <t>BENZODIAZEPINES 1-12/3</t>
  </si>
  <si>
    <t>0070122106</t>
  </si>
  <si>
    <t>BARBITURATE/2</t>
  </si>
  <si>
    <t>0070122130</t>
  </si>
  <si>
    <t>0070122312</t>
  </si>
  <si>
    <t>0070122320</t>
  </si>
  <si>
    <t>BETA-2-MICROGLOBLN/2</t>
  </si>
  <si>
    <t>B-2-MICROGLOB/2</t>
  </si>
  <si>
    <t>0070122486</t>
  </si>
  <si>
    <t>BILIRUBIN TOTAL</t>
  </si>
  <si>
    <t>BILIRUBN TOTAL</t>
  </si>
  <si>
    <t>0070122528</t>
  </si>
  <si>
    <t>KAPPA LAMBDA LT CHN QUAN</t>
  </si>
  <si>
    <t>KAPPA LAM LTCHN</t>
  </si>
  <si>
    <t>0070122908</t>
  </si>
  <si>
    <t>SPECTROPHOTOMETRY NES</t>
  </si>
  <si>
    <t>SPECTROPHOTOMTR</t>
  </si>
  <si>
    <t>0070123005</t>
  </si>
  <si>
    <t>CADMIUM</t>
  </si>
  <si>
    <t>0070123021</t>
  </si>
  <si>
    <t>CADMIUM/2</t>
  </si>
  <si>
    <t>0070123062</t>
  </si>
  <si>
    <t>CAFFEINE QUANT</t>
  </si>
  <si>
    <t>0070123088</t>
  </si>
  <si>
    <t>CALCITONIN</t>
  </si>
  <si>
    <t>0070123104</t>
  </si>
  <si>
    <t>0070123401</t>
  </si>
  <si>
    <t>0070123658</t>
  </si>
  <si>
    <t>CALCULUS INFRARED SPCTRO/2</t>
  </si>
  <si>
    <t>CALCULS INFRSPC</t>
  </si>
  <si>
    <t>0070123849</t>
  </si>
  <si>
    <t>CATECHOLAMINES FRAC/2</t>
  </si>
  <si>
    <t>CATCHOL FRAC/2</t>
  </si>
  <si>
    <t>0070123906</t>
  </si>
  <si>
    <t>CERULOPLASMIN</t>
  </si>
  <si>
    <t>CERULOPLSMN</t>
  </si>
  <si>
    <t>0070123971</t>
  </si>
  <si>
    <t>CHEMILUMINESCENT ASY</t>
  </si>
  <si>
    <t>CHMLUMNSCNT ASY</t>
  </si>
  <si>
    <t>0070124367</t>
  </si>
  <si>
    <t>CHLORIDE URINE</t>
  </si>
  <si>
    <t>0070124722</t>
  </si>
  <si>
    <t>CHROMIUM</t>
  </si>
  <si>
    <t>0070124805</t>
  </si>
  <si>
    <t>CHOLINESTERASE PSEUDO</t>
  </si>
  <si>
    <t>CHOLINEST PSEUD</t>
  </si>
  <si>
    <t>0070124821</t>
  </si>
  <si>
    <t>CHOLINESTERASE RBC</t>
  </si>
  <si>
    <t>CHOLINESTER RBC</t>
  </si>
  <si>
    <t>0070125208</t>
  </si>
  <si>
    <t>COCAINE</t>
  </si>
  <si>
    <t>0070125257</t>
  </si>
  <si>
    <t>COPPER</t>
  </si>
  <si>
    <t>0070125265</t>
  </si>
  <si>
    <t>COPPER/2</t>
  </si>
  <si>
    <t>0070125273</t>
  </si>
  <si>
    <t>COLLAGEN CROSS LINKS</t>
  </si>
  <si>
    <t>COLLGN CRSS LNK</t>
  </si>
  <si>
    <t>0070125281</t>
  </si>
  <si>
    <t>CORTICOSTERONE</t>
  </si>
  <si>
    <t>CORTICSTERNE</t>
  </si>
  <si>
    <t>0070125299</t>
  </si>
  <si>
    <t>COPPER/3</t>
  </si>
  <si>
    <t>0070125331</t>
  </si>
  <si>
    <t>0070125356</t>
  </si>
  <si>
    <t>CORTISOL FREE</t>
  </si>
  <si>
    <t>0070125380</t>
  </si>
  <si>
    <t>CORTISOL FREE/2</t>
  </si>
  <si>
    <t>0070125414</t>
  </si>
  <si>
    <t>CHROM/MASS SPEC NES QL/3</t>
  </si>
  <si>
    <t>CHRM/MASS NES/3</t>
  </si>
  <si>
    <t>0070125463</t>
  </si>
  <si>
    <t>CANNABINOID GC/MS QUANT</t>
  </si>
  <si>
    <t>0070125489</t>
  </si>
  <si>
    <t>CHROM/MASS SPEC NES QL/5</t>
  </si>
  <si>
    <t>CHRM/MASS NES/5</t>
  </si>
  <si>
    <t>0070125554</t>
  </si>
  <si>
    <t>CHROM/MASS SPEC NES QL/6</t>
  </si>
  <si>
    <t>CHRM/MASS NES/6</t>
  </si>
  <si>
    <t>0070125604</t>
  </si>
  <si>
    <t>0070125703</t>
  </si>
  <si>
    <t>0070125729</t>
  </si>
  <si>
    <t>CREATININE OTHR SRCE/2</t>
  </si>
  <si>
    <t>0070125968</t>
  </si>
  <si>
    <t>CRYOCRIT QUAL/SEMI QNT/2</t>
  </si>
  <si>
    <t>CRYOCRT QL/SQNT</t>
  </si>
  <si>
    <t>0070126008</t>
  </si>
  <si>
    <t>CYANIDE</t>
  </si>
  <si>
    <t>0070126107</t>
  </si>
  <si>
    <t>CYSTATIN C</t>
  </si>
  <si>
    <t>0070126206</t>
  </si>
  <si>
    <t>AMINO ACIDS QNT SNGL/2</t>
  </si>
  <si>
    <t>AMINO ACID QNT/</t>
  </si>
  <si>
    <t>0070126503</t>
  </si>
  <si>
    <t>ENZYME ACTIVITY NES/2</t>
  </si>
  <si>
    <t>ENZYME ACT NES/</t>
  </si>
  <si>
    <t>0070126529</t>
  </si>
  <si>
    <t>VIT D1 25-DIHYDROXY</t>
  </si>
  <si>
    <t>VIT D1 25DIHYDR</t>
  </si>
  <si>
    <t>0070126602</t>
  </si>
  <si>
    <t>0070126628</t>
  </si>
  <si>
    <t>0070126685</t>
  </si>
  <si>
    <t>ERYTHROPOIETIN</t>
  </si>
  <si>
    <t>0070126701</t>
  </si>
  <si>
    <t>0070126719</t>
  </si>
  <si>
    <t>ESTROGENS FRACTIONATED</t>
  </si>
  <si>
    <t>ESTROGENS FRACT</t>
  </si>
  <si>
    <t>0070126867</t>
  </si>
  <si>
    <t>ENZYME ACTIVITY NES/3</t>
  </si>
  <si>
    <t>0070126933</t>
  </si>
  <si>
    <t>ETHYLENE GLYCOL</t>
  </si>
  <si>
    <t>0070127055</t>
  </si>
  <si>
    <t>FAT OR LIPID FECES QUAL</t>
  </si>
  <si>
    <t>FT/LIPD FECS QL</t>
  </si>
  <si>
    <t>0070127311</t>
  </si>
  <si>
    <t>0070127410</t>
  </si>
  <si>
    <t>FLUCYTOSINE(5-FLURCYTSN)</t>
  </si>
  <si>
    <t>FLUCYTOSINE</t>
  </si>
  <si>
    <t>0070127477</t>
  </si>
  <si>
    <t>FOLIC ACID RBC</t>
  </si>
  <si>
    <t>0070127840</t>
  </si>
  <si>
    <t>GAMMAGLOBULIN EA</t>
  </si>
  <si>
    <t>GAMAGLOB EA</t>
  </si>
  <si>
    <t>0070127865</t>
  </si>
  <si>
    <t>GAMMAGLOBULIN EA/2</t>
  </si>
  <si>
    <t>GAMAGLOB EA/2</t>
  </si>
  <si>
    <t>0070127923</t>
  </si>
  <si>
    <t>0070129341</t>
  </si>
  <si>
    <t>GIARDIA IA</t>
  </si>
  <si>
    <t>0070129416</t>
  </si>
  <si>
    <t>GASTRIN</t>
  </si>
  <si>
    <t>0070129440</t>
  </si>
  <si>
    <t>0070129457</t>
  </si>
  <si>
    <t>GLUCOSE BODY FLUID/2</t>
  </si>
  <si>
    <t>0070129556</t>
  </si>
  <si>
    <t>G6PD QUANT</t>
  </si>
  <si>
    <t>0070129614</t>
  </si>
  <si>
    <t>0070129804</t>
  </si>
  <si>
    <t>0070129853</t>
  </si>
  <si>
    <t>GLYCATED PROTEIN</t>
  </si>
  <si>
    <t>GLYCATED PROTN</t>
  </si>
  <si>
    <t>0070129945</t>
  </si>
  <si>
    <t>0070130018</t>
  </si>
  <si>
    <t>0070130026</t>
  </si>
  <si>
    <t>0070130034</t>
  </si>
  <si>
    <t>GROWTH HORMONE(HGH)</t>
  </si>
  <si>
    <t>HGH</t>
  </si>
  <si>
    <t>0070130042</t>
  </si>
  <si>
    <t>0070130109</t>
  </si>
  <si>
    <t>HAPTOGLOBIN QUANT</t>
  </si>
  <si>
    <t>HAPTOGLOBIN QN</t>
  </si>
  <si>
    <t>0070130125</t>
  </si>
  <si>
    <t>HEAVY METAL QUAN/2</t>
  </si>
  <si>
    <t>HEAVY METAL QN/</t>
  </si>
  <si>
    <t>0070130141</t>
  </si>
  <si>
    <t>0070130182</t>
  </si>
  <si>
    <t>HEAVY METAL QUAN/4</t>
  </si>
  <si>
    <t>0070130208</t>
  </si>
  <si>
    <t>HEMOGLOBN ELECTRPHORESIS</t>
  </si>
  <si>
    <t>HEMOGLBN ELCTRO</t>
  </si>
  <si>
    <t>0070130240</t>
  </si>
  <si>
    <t>HEMOGLOBIN FRAC &amp; QNT</t>
  </si>
  <si>
    <t>HEMOGLBN FRC&amp;QN</t>
  </si>
  <si>
    <t>0070130257</t>
  </si>
  <si>
    <t>HEMOGLOBIN FRAC &amp; QNT/2</t>
  </si>
  <si>
    <t>0070130281</t>
  </si>
  <si>
    <t>HEAVY METAL QUAN/5</t>
  </si>
  <si>
    <t>0070130323</t>
  </si>
  <si>
    <t>LIPOPROTEIN BY NMR</t>
  </si>
  <si>
    <t>LIPOPRO BY NMR</t>
  </si>
  <si>
    <t>0070130331</t>
  </si>
  <si>
    <t>0070130356</t>
  </si>
  <si>
    <t>ACETYLCHOLINE AB/2</t>
  </si>
  <si>
    <t>ACETYLCHOLINE A</t>
  </si>
  <si>
    <t>0070130364</t>
  </si>
  <si>
    <t>ACETYLCHOLINE AB</t>
  </si>
  <si>
    <t>0070130372</t>
  </si>
  <si>
    <t>MUSK ANITBODY</t>
  </si>
  <si>
    <t>MUSK AB</t>
  </si>
  <si>
    <t>0070130380</t>
  </si>
  <si>
    <t>MASS SPEC TNDM MS NES/2</t>
  </si>
  <si>
    <t>0070130406</t>
  </si>
  <si>
    <t>VASC ENDO GROWTH FACTOR</t>
  </si>
  <si>
    <t>VEGF</t>
  </si>
  <si>
    <t>0070130521</t>
  </si>
  <si>
    <t>SICKLING OF RBC</t>
  </si>
  <si>
    <t>0070130679</t>
  </si>
  <si>
    <t>HEMOGLOBIN FRAC &amp; QNT/3</t>
  </si>
  <si>
    <t>0070130703</t>
  </si>
  <si>
    <t>HEMOSIDERIN QUAL</t>
  </si>
  <si>
    <t>HEMOSIDERIN QL</t>
  </si>
  <si>
    <t>0070130943</t>
  </si>
  <si>
    <t>HOMOCYSTEINE QUANT</t>
  </si>
  <si>
    <t>HOMOCYSTEIN QNT</t>
  </si>
  <si>
    <t>0070131503</t>
  </si>
  <si>
    <t>HOMOVNLLC ACID(HVA)</t>
  </si>
  <si>
    <t>HVA</t>
  </si>
  <si>
    <t>0070131735</t>
  </si>
  <si>
    <t>IA INFECT AGENT AB QN NOS</t>
  </si>
  <si>
    <t>IA INF AG AB QN</t>
  </si>
  <si>
    <t>0070131776</t>
  </si>
  <si>
    <t>RESP VIRUS 3-5 AMP PROBE</t>
  </si>
  <si>
    <t>0070134879</t>
  </si>
  <si>
    <t>GLIADIN AB</t>
  </si>
  <si>
    <t>0070134911</t>
  </si>
  <si>
    <t>IMMUN NONINFC QL/SEMI/M/2</t>
  </si>
  <si>
    <t>0070134960</t>
  </si>
  <si>
    <t>IMMUN NONINFC QL/SEMI/M/3</t>
  </si>
  <si>
    <t>0070134986</t>
  </si>
  <si>
    <t>HYDRXYPRGSTRONE 17-D</t>
  </si>
  <si>
    <t>HPS 17-D</t>
  </si>
  <si>
    <t>0070135033</t>
  </si>
  <si>
    <t>GANGLIOSIDE AB</t>
  </si>
  <si>
    <t>0070135090</t>
  </si>
  <si>
    <t>RIA NONANTIBODY/2</t>
  </si>
  <si>
    <t>0070135124</t>
  </si>
  <si>
    <t>0070135132</t>
  </si>
  <si>
    <t>IG-E SERUM</t>
  </si>
  <si>
    <t>0070135140</t>
  </si>
  <si>
    <t>0070135157</t>
  </si>
  <si>
    <t>GAMMAGLOBULIN EA/6</t>
  </si>
  <si>
    <t>GAMAGLOB EA/6</t>
  </si>
  <si>
    <t>0070135165</t>
  </si>
  <si>
    <t>IMMUN NONINFC QL/SEMI/M/4</t>
  </si>
  <si>
    <t>0070135199</t>
  </si>
  <si>
    <t>GAMMAGLOBULIN EA/7</t>
  </si>
  <si>
    <t>GAMAGLOB EA/7</t>
  </si>
  <si>
    <t>0070135215</t>
  </si>
  <si>
    <t>GAMMAGLOBULIN EA/8</t>
  </si>
  <si>
    <t>GAMAGLOB EA/8</t>
  </si>
  <si>
    <t>0070135223</t>
  </si>
  <si>
    <t>TAU PROTEIN/2</t>
  </si>
  <si>
    <t>0070135264</t>
  </si>
  <si>
    <t>PRO-INSULIN</t>
  </si>
  <si>
    <t>0070135397</t>
  </si>
  <si>
    <t>0070135405</t>
  </si>
  <si>
    <t>0070135447</t>
  </si>
  <si>
    <t>GLUTAMIC ACID DECARBOXYLASE/2</t>
  </si>
  <si>
    <t>GLUTAMIC ACD AB</t>
  </si>
  <si>
    <t>0070135538</t>
  </si>
  <si>
    <t>0070135546</t>
  </si>
  <si>
    <t>0070135579</t>
  </si>
  <si>
    <t>NOS IMMUNOASSAY NON-RIA/2</t>
  </si>
  <si>
    <t>0070135611</t>
  </si>
  <si>
    <t>NOS IMMUNOASSAY NON-RIA/3</t>
  </si>
  <si>
    <t>0070135702</t>
  </si>
  <si>
    <t>3-HYDROXY-3-METHYLGLUTARY</t>
  </si>
  <si>
    <t>HMGCR AB</t>
  </si>
  <si>
    <t>0070135777</t>
  </si>
  <si>
    <t>IMMUN NONINFC QL/SEMI/M/5</t>
  </si>
  <si>
    <t>0070135793</t>
  </si>
  <si>
    <t>PTH ANTIBODY</t>
  </si>
  <si>
    <t>0070135819</t>
  </si>
  <si>
    <t>ADAMTS 13 AB</t>
  </si>
  <si>
    <t>0070135967</t>
  </si>
  <si>
    <t>CYC CITRULLINATED PEP AB</t>
  </si>
  <si>
    <t>CYC CIT AB(CCP)</t>
  </si>
  <si>
    <t>0070135975</t>
  </si>
  <si>
    <t>COLLAGEN BINDING ASSAY</t>
  </si>
  <si>
    <t>COLLAGN BND ASS</t>
  </si>
  <si>
    <t>0070135983</t>
  </si>
  <si>
    <t>ANTI-GLOMERULAR BSMNT</t>
  </si>
  <si>
    <t>ANTI GLOM BSMNT</t>
  </si>
  <si>
    <t>0070136056</t>
  </si>
  <si>
    <t>0070136163</t>
  </si>
  <si>
    <t>0070136189</t>
  </si>
  <si>
    <t>LDH-LACTIC DEHYDROGENASE/2</t>
  </si>
  <si>
    <t>LDH/2</t>
  </si>
  <si>
    <t>0070136254</t>
  </si>
  <si>
    <t>LDH-ISOENZYMES ELCTROPHR</t>
  </si>
  <si>
    <t>LDH ISOENZY ELC</t>
  </si>
  <si>
    <t>0070136304</t>
  </si>
  <si>
    <t>LACTOFERRIN FECAL QUAL</t>
  </si>
  <si>
    <t>LACTOFERRIN QL</t>
  </si>
  <si>
    <t>0070136536</t>
  </si>
  <si>
    <t>SIGNAL RECOGNITION PARTICLE AB</t>
  </si>
  <si>
    <t>SIGNAL RECOG PA</t>
  </si>
  <si>
    <t>0070136551</t>
  </si>
  <si>
    <t>LEAD QUANTITATIVE/2</t>
  </si>
  <si>
    <t>LEAD QUAN/2</t>
  </si>
  <si>
    <t>0070136593</t>
  </si>
  <si>
    <t>LEAD QUANTITATIVE/4</t>
  </si>
  <si>
    <t>LEAD QUAN/4</t>
  </si>
  <si>
    <t>0070136908</t>
  </si>
  <si>
    <t>0070137310</t>
  </si>
  <si>
    <t>0070137559</t>
  </si>
  <si>
    <t>0070137849</t>
  </si>
  <si>
    <t>MANGANESE</t>
  </si>
  <si>
    <t>0070138250</t>
  </si>
  <si>
    <t>MERCURY QUANTITATIVE/2</t>
  </si>
  <si>
    <t>MERCURY QUANT/2</t>
  </si>
  <si>
    <t>0070138300</t>
  </si>
  <si>
    <t>MERCURY QUANTITATIVE/3</t>
  </si>
  <si>
    <t>MERCURY QUANT/3</t>
  </si>
  <si>
    <t>0070138409</t>
  </si>
  <si>
    <t>METHADONE QUANT/2</t>
  </si>
  <si>
    <t>0070138540</t>
  </si>
  <si>
    <t>ORGANIC ACID SNG QNT/2</t>
  </si>
  <si>
    <t>ORGNC ACD SDL Q</t>
  </si>
  <si>
    <t>0070138748</t>
  </si>
  <si>
    <t>MYELIN BASIC PROTEIN CSF</t>
  </si>
  <si>
    <t>MYELIN BASICPRT</t>
  </si>
  <si>
    <t>0070138755</t>
  </si>
  <si>
    <t>MYOGLOBIN/3</t>
  </si>
  <si>
    <t>0070138763</t>
  </si>
  <si>
    <t>0070138839</t>
  </si>
  <si>
    <t>IA TUMOR AG NES QUAN/2</t>
  </si>
  <si>
    <t>IA TUMOR NES QN</t>
  </si>
  <si>
    <t>0070138904</t>
  </si>
  <si>
    <t>KAPPA LAMBDA LT CHN QUAN/2</t>
  </si>
  <si>
    <t>0070139027</t>
  </si>
  <si>
    <t>0070139050</t>
  </si>
  <si>
    <t>NUCLEOTIDASE 5-</t>
  </si>
  <si>
    <t>NUCLEOTIDASE 5</t>
  </si>
  <si>
    <t>0070139084</t>
  </si>
  <si>
    <t>HIV-1 QUANT</t>
  </si>
  <si>
    <t>HIV-1 QNT</t>
  </si>
  <si>
    <t>0070139175</t>
  </si>
  <si>
    <t>HCV GENOTYPE</t>
  </si>
  <si>
    <t>0070139183</t>
  </si>
  <si>
    <t>ASSAY ORGANIC ACIDS QNT</t>
  </si>
  <si>
    <t>ORGANIC ACD QNT</t>
  </si>
  <si>
    <t>0070139258</t>
  </si>
  <si>
    <t>OLIGOCLONAL BANDS</t>
  </si>
  <si>
    <t>OLIGOCLONL BAND</t>
  </si>
  <si>
    <t>0070139266</t>
  </si>
  <si>
    <t>OPIATES/4</t>
  </si>
  <si>
    <t>0070139274</t>
  </si>
  <si>
    <t>DRUG TEST PRSMV CHEM ANLYZR/15</t>
  </si>
  <si>
    <t>0070139365</t>
  </si>
  <si>
    <t>FENTANYL</t>
  </si>
  <si>
    <t>0070139381</t>
  </si>
  <si>
    <t>OSTEOCALCIN</t>
  </si>
  <si>
    <t>0070139597</t>
  </si>
  <si>
    <t>RIBOSOMAL ANTIBODY</t>
  </si>
  <si>
    <t>RIBSOMAL AB</t>
  </si>
  <si>
    <t>0070139761</t>
  </si>
  <si>
    <t>C-PEPTIDE</t>
  </si>
  <si>
    <t>0070139787</t>
  </si>
  <si>
    <t>PTH ANTIBODY/2</t>
  </si>
  <si>
    <t>0070139803</t>
  </si>
  <si>
    <t>0070139928</t>
  </si>
  <si>
    <t>PHENCYCLIDINE(PCP) QUANT</t>
  </si>
  <si>
    <t>PCP QUANT</t>
  </si>
  <si>
    <t>0070140033</t>
  </si>
  <si>
    <t>ORGANIC ACID SNG QNT/4</t>
  </si>
  <si>
    <t>0070140058</t>
  </si>
  <si>
    <t>SUGARS MULT QUAL EA SPEC</t>
  </si>
  <si>
    <t>SUGR SNG QL EA</t>
  </si>
  <si>
    <t>0070140173</t>
  </si>
  <si>
    <t>BREAST MILK CREAMATOCRIT</t>
  </si>
  <si>
    <t>BREAST MILK CRE</t>
  </si>
  <si>
    <t>0070140207</t>
  </si>
  <si>
    <t>0070140751</t>
  </si>
  <si>
    <t>0070140801</t>
  </si>
  <si>
    <t>PHOSPHATASE ISO ALK</t>
  </si>
  <si>
    <t>PHOSPHA ISO ALK</t>
  </si>
  <si>
    <t>0070141023</t>
  </si>
  <si>
    <t>0070141288</t>
  </si>
  <si>
    <t>PROTOPORPHYRIN RBC QN</t>
  </si>
  <si>
    <t>PRTOPHYRN RBC Q</t>
  </si>
  <si>
    <t>0070141403</t>
  </si>
  <si>
    <t>PREGNENOLONE</t>
  </si>
  <si>
    <t>0070141411</t>
  </si>
  <si>
    <t>PRIMIDONE</t>
  </si>
  <si>
    <t>0070141445</t>
  </si>
  <si>
    <t>PROGESTERONE</t>
  </si>
  <si>
    <t>0070141460</t>
  </si>
  <si>
    <t>PROLACTIN</t>
  </si>
  <si>
    <t>0070141478</t>
  </si>
  <si>
    <t>0070141569</t>
  </si>
  <si>
    <t>0070141577</t>
  </si>
  <si>
    <t>0070141585</t>
  </si>
  <si>
    <t>PSA TOTAL/2</t>
  </si>
  <si>
    <t>0070141601</t>
  </si>
  <si>
    <t>PROTEIN REFRACTOMETRIC</t>
  </si>
  <si>
    <t>PROTEIN REFRACT</t>
  </si>
  <si>
    <t>0070141650</t>
  </si>
  <si>
    <t>PROTEIN ELCTRO SERUM</t>
  </si>
  <si>
    <t>PROTN ELCT SR</t>
  </si>
  <si>
    <t>0070141668</t>
  </si>
  <si>
    <t>0070141809</t>
  </si>
  <si>
    <t>0070141825</t>
  </si>
  <si>
    <t>WESTERN BLOT BAND ID</t>
  </si>
  <si>
    <t>WESTERN BLT BAN</t>
  </si>
  <si>
    <t>0070141957</t>
  </si>
  <si>
    <t>0070142070</t>
  </si>
  <si>
    <t>PYRIDOXL PHOSPH VIT B6</t>
  </si>
  <si>
    <t>PYRIDOXL PHOSPH</t>
  </si>
  <si>
    <t>0070142104</t>
  </si>
  <si>
    <t>PYRUVATE</t>
  </si>
  <si>
    <t>0070142294</t>
  </si>
  <si>
    <t>RIA ALPHA SUBUNIT</t>
  </si>
  <si>
    <t>ALPHA SUB</t>
  </si>
  <si>
    <t>0070142443</t>
  </si>
  <si>
    <t>RENIN</t>
  </si>
  <si>
    <t>0070142450</t>
  </si>
  <si>
    <t>RENIN/2</t>
  </si>
  <si>
    <t>0070142500</t>
  </si>
  <si>
    <t>0070142583</t>
  </si>
  <si>
    <t>NUCLEAR ANTIGEN AB</t>
  </si>
  <si>
    <t>NUCLEAR AG AB</t>
  </si>
  <si>
    <t>0070142609</t>
  </si>
  <si>
    <t>SEROTONIN</t>
  </si>
  <si>
    <t>0070142708</t>
  </si>
  <si>
    <t>SEX HORMONE BIND GLOBULN</t>
  </si>
  <si>
    <t>SEX HRM BND GLB</t>
  </si>
  <si>
    <t>0070142732</t>
  </si>
  <si>
    <t>DRUG TEST PRSMV CHEM ANLYZR/18</t>
  </si>
  <si>
    <t>0070143029</t>
  </si>
  <si>
    <t>0070143052</t>
  </si>
  <si>
    <t>SOMATOMEDIN</t>
  </si>
  <si>
    <t>0070143086</t>
  </si>
  <si>
    <t>SOMATOSTATIN</t>
  </si>
  <si>
    <t>0070143110</t>
  </si>
  <si>
    <t>SPECTROPHOTOMETRY NES/2</t>
  </si>
  <si>
    <t>0070143151</t>
  </si>
  <si>
    <t>0070143763</t>
  </si>
  <si>
    <t>SUGARS SNGL QUAL EA SPEC</t>
  </si>
  <si>
    <t>0070144035</t>
  </si>
  <si>
    <t>0070144084</t>
  </si>
  <si>
    <t>0070144258</t>
  </si>
  <si>
    <t>THIAMINE(VITAMIN B1)</t>
  </si>
  <si>
    <t>THIAMINE</t>
  </si>
  <si>
    <t>0070144308</t>
  </si>
  <si>
    <t>THIOCYANATE</t>
  </si>
  <si>
    <t>0070144324</t>
  </si>
  <si>
    <t>THYROGLOBULIN</t>
  </si>
  <si>
    <t>0070144449</t>
  </si>
  <si>
    <t>THYROID STIM IMMUNGLBN</t>
  </si>
  <si>
    <t>THYRD STIM IG</t>
  </si>
  <si>
    <t>0070144514</t>
  </si>
  <si>
    <t>RECEPT ASSAY NON-ENDOCRN/2</t>
  </si>
  <si>
    <t>REC ASSY NONEND</t>
  </si>
  <si>
    <t>0070144696</t>
  </si>
  <si>
    <t>RECEPT ASSAY NON-ENDOCRN/5</t>
  </si>
  <si>
    <t>0070144787</t>
  </si>
  <si>
    <t>0070145214</t>
  </si>
  <si>
    <t>0070145404</t>
  </si>
  <si>
    <t>0070145578</t>
  </si>
  <si>
    <t>0070145842</t>
  </si>
  <si>
    <t>0070145867</t>
  </si>
  <si>
    <t>VMA URINE</t>
  </si>
  <si>
    <t>0070145883</t>
  </si>
  <si>
    <t>VASOPRESSIN (ADH)</t>
  </si>
  <si>
    <t>VASOPRESSIN(ADH</t>
  </si>
  <si>
    <t>0070145909</t>
  </si>
  <si>
    <t>VITAMIN A</t>
  </si>
  <si>
    <t>VIT A</t>
  </si>
  <si>
    <t>0070145958</t>
  </si>
  <si>
    <t>0070146253</t>
  </si>
  <si>
    <t>0070146303</t>
  </si>
  <si>
    <t>ZINC</t>
  </si>
  <si>
    <t>0070146311</t>
  </si>
  <si>
    <t>ZINC/2</t>
  </si>
  <si>
    <t>0070146329</t>
  </si>
  <si>
    <t>ZINC/3</t>
  </si>
  <si>
    <t>0070148986</t>
  </si>
  <si>
    <t>0070149000</t>
  </si>
  <si>
    <t>0070149018</t>
  </si>
  <si>
    <t>METANEPHRINES/3</t>
  </si>
  <si>
    <t>0070149059</t>
  </si>
  <si>
    <t>REVERSE T3</t>
  </si>
  <si>
    <t>0070149984</t>
  </si>
  <si>
    <t>0070150149</t>
  </si>
  <si>
    <t>0070152103</t>
  </si>
  <si>
    <t>CLOT FACTOR II PRTHRMBN</t>
  </si>
  <si>
    <t>CLOT FACTOR II</t>
  </si>
  <si>
    <t>0070152202</t>
  </si>
  <si>
    <t>CLOT FACTOR V (LABILE)</t>
  </si>
  <si>
    <t>CLOT FACTOR V</t>
  </si>
  <si>
    <t>0070152301</t>
  </si>
  <si>
    <t>CLOT FACTOR VII(STABLE)</t>
  </si>
  <si>
    <t>CLOT FACTOR VII</t>
  </si>
  <si>
    <t>0070152400</t>
  </si>
  <si>
    <t>CLOT FCTR VIII(AHG)1 STG</t>
  </si>
  <si>
    <t>CLOT FCTOR VIII</t>
  </si>
  <si>
    <t>0070152459</t>
  </si>
  <si>
    <t>FACTR VIII RISTO CO-FCTR</t>
  </si>
  <si>
    <t>FACT VIII RISTO</t>
  </si>
  <si>
    <t>0070152467</t>
  </si>
  <si>
    <t>FACTR VIII VW AG CO-FCTR</t>
  </si>
  <si>
    <t>FACT VIII VW AG</t>
  </si>
  <si>
    <t>0070152509</t>
  </si>
  <si>
    <t>CLOT FCTR IX(PTC/XMAS)</t>
  </si>
  <si>
    <t>CLOT FACTOR IX</t>
  </si>
  <si>
    <t>0070152608</t>
  </si>
  <si>
    <t>CLOT FCTR X(STUART-PRWR)</t>
  </si>
  <si>
    <t>CLOT FACTOR X</t>
  </si>
  <si>
    <t>0070152707</t>
  </si>
  <si>
    <t>CLOT FCTR XI(PTA)</t>
  </si>
  <si>
    <t>CLOT FACTOR XI</t>
  </si>
  <si>
    <t>0070152806</t>
  </si>
  <si>
    <t>CLOT FCTR XII(HAGEMANN)</t>
  </si>
  <si>
    <t>CLOT FACTOR XII</t>
  </si>
  <si>
    <t>0070152905</t>
  </si>
  <si>
    <t>CLOT FCTR XIII(FBRN STB)</t>
  </si>
  <si>
    <t>CLOT FCTOR XIII</t>
  </si>
  <si>
    <t>0070152913</t>
  </si>
  <si>
    <t>CLOT FCTR XIII SCREEN</t>
  </si>
  <si>
    <t>0070153002</t>
  </si>
  <si>
    <t>ANTITHROMBIN III ACTIVITY</t>
  </si>
  <si>
    <t xml:space="preserve">ANTITHRMBN III </t>
  </si>
  <si>
    <t>0070153010</t>
  </si>
  <si>
    <t>ANTITHROMBIN III ANTIGEN</t>
  </si>
  <si>
    <t>0070153036</t>
  </si>
  <si>
    <t>PROTEIN C ACTIVITY</t>
  </si>
  <si>
    <t>PROTEIN C ACTIV</t>
  </si>
  <si>
    <t>0070153358</t>
  </si>
  <si>
    <t>FACTOR INHIBITOR</t>
  </si>
  <si>
    <t>0070153986</t>
  </si>
  <si>
    <t>ADAMTS 13 ACTIVITY</t>
  </si>
  <si>
    <t>ADAMTS 13 ACT</t>
  </si>
  <si>
    <t>0070154158</t>
  </si>
  <si>
    <t>FIBRNOLTIC PLSMNOGEN ACT</t>
  </si>
  <si>
    <t>FIBRNL PLSM ACT</t>
  </si>
  <si>
    <t>0070155551</t>
  </si>
  <si>
    <t>OSMOTIC FRAG RBC UNINC</t>
  </si>
  <si>
    <t>OSMOTC FRAG RBC</t>
  </si>
  <si>
    <t>0070155593</t>
  </si>
  <si>
    <t>MICROSOMAL ANTIBODY EA</t>
  </si>
  <si>
    <t>MICROSOMAL AB E</t>
  </si>
  <si>
    <t>0070155973</t>
  </si>
  <si>
    <t>PHOSPHOLIP NEUT PLATELET</t>
  </si>
  <si>
    <t>NEUTRLZTN PLT</t>
  </si>
  <si>
    <t>0070156104</t>
  </si>
  <si>
    <t>0070156138</t>
  </si>
  <si>
    <t>RUSSL VIPR VEN TIME DIL</t>
  </si>
  <si>
    <t>RUS VIP TIME DI</t>
  </si>
  <si>
    <t>0070156195</t>
  </si>
  <si>
    <t>RUSSL VIPR VEN TIME DIL/2</t>
  </si>
  <si>
    <t>0070156351</t>
  </si>
  <si>
    <t>REPTILASE TEST</t>
  </si>
  <si>
    <t>0070156708</t>
  </si>
  <si>
    <t>THROMBIN TIME PLASMA</t>
  </si>
  <si>
    <t>THROMBIN PLASMA</t>
  </si>
  <si>
    <t>0070157003</t>
  </si>
  <si>
    <t>PTT</t>
  </si>
  <si>
    <t>0070157300</t>
  </si>
  <si>
    <t>0070157326</t>
  </si>
  <si>
    <t>0070158209</t>
  </si>
  <si>
    <t>VISCOSITY/3</t>
  </si>
  <si>
    <t>0070160007</t>
  </si>
  <si>
    <t>AGGLUTININS FEBRIL EA AG</t>
  </si>
  <si>
    <t>AGGLUTNS FEB EA</t>
  </si>
  <si>
    <t>0070160072</t>
  </si>
  <si>
    <t>ALLRGN SPEC IGE RECOMB EA</t>
  </si>
  <si>
    <t>ALLG IGE RECOMB</t>
  </si>
  <si>
    <t>0070160080</t>
  </si>
  <si>
    <t>IA INFECT AGENT AB QN NOS/3</t>
  </si>
  <si>
    <t>0070160098</t>
  </si>
  <si>
    <t>PLATELET AB</t>
  </si>
  <si>
    <t>0070160171</t>
  </si>
  <si>
    <t>PLATELET AB/3</t>
  </si>
  <si>
    <t>0070160213</t>
  </si>
  <si>
    <t>0070160239</t>
  </si>
  <si>
    <t>PLATELET IMMUNOGL ASSAY</t>
  </si>
  <si>
    <t>PLTLET IMMUN AS</t>
  </si>
  <si>
    <t>0070160254</t>
  </si>
  <si>
    <t>C-REACTIVE PROTEIN/2</t>
  </si>
  <si>
    <t>C-REACT PRTN/2</t>
  </si>
  <si>
    <t>0070160296</t>
  </si>
  <si>
    <t>PLATELET AB/4</t>
  </si>
  <si>
    <t>0070160346</t>
  </si>
  <si>
    <t>IA INFECT AGENT AB QN NOS/4</t>
  </si>
  <si>
    <t>0070160361</t>
  </si>
  <si>
    <t>IA INFECT AGENT AB QN NOS/5</t>
  </si>
  <si>
    <t>0070160379</t>
  </si>
  <si>
    <t>COMPLEMENT AG EA</t>
  </si>
  <si>
    <t>0070160411</t>
  </si>
  <si>
    <t>ANTINUCLEAR AB(ANA)TITER</t>
  </si>
  <si>
    <t>ANTINCL AB TITR</t>
  </si>
  <si>
    <t>0070160429</t>
  </si>
  <si>
    <t>INSULIN ANTIBODIES</t>
  </si>
  <si>
    <t>INSULIN AB</t>
  </si>
  <si>
    <t>0070160437</t>
  </si>
  <si>
    <t>ANTINUCLEAR AB(ANA)</t>
  </si>
  <si>
    <t>ANTINUCL AB(ANA</t>
  </si>
  <si>
    <t>0070160494</t>
  </si>
  <si>
    <t>CANDIDA AB</t>
  </si>
  <si>
    <t>0070160510</t>
  </si>
  <si>
    <t>PLATELET IMMUNOGL ASSAY/2</t>
  </si>
  <si>
    <t>0070160536</t>
  </si>
  <si>
    <t>ALLRGN SPEC IGE EA</t>
  </si>
  <si>
    <t>ALLG IGE EA</t>
  </si>
  <si>
    <t>0070160577</t>
  </si>
  <si>
    <t>HELICOBACTER PYLORI AB/2</t>
  </si>
  <si>
    <t>HELICO PYLORI A</t>
  </si>
  <si>
    <t>0070160593</t>
  </si>
  <si>
    <t>ANTI-NEUTRPHL CYTOPLASM</t>
  </si>
  <si>
    <t>ANCA</t>
  </si>
  <si>
    <t>0070160601</t>
  </si>
  <si>
    <t>ANTI-STREPTOLYSN O TITER</t>
  </si>
  <si>
    <t>ASO TITER</t>
  </si>
  <si>
    <t>0070160676</t>
  </si>
  <si>
    <t>ANTITRYPSIN ALPHA 1 TOTL</t>
  </si>
  <si>
    <t>0070160684</t>
  </si>
  <si>
    <t>0070160742</t>
  </si>
  <si>
    <t>HELICOBACTER PYLORI AB/3</t>
  </si>
  <si>
    <t>0070160767</t>
  </si>
  <si>
    <t>HELICOBACTER PYLORI AB/4</t>
  </si>
  <si>
    <t>0070161021</t>
  </si>
  <si>
    <t>COMPLEMNT FUNCT ACTIV EA</t>
  </si>
  <si>
    <t>COMP FNC ACT EA</t>
  </si>
  <si>
    <t>0070161153</t>
  </si>
  <si>
    <t>BETA 2 GLYCOPROT I AB EA</t>
  </si>
  <si>
    <t xml:space="preserve">BETA 2 GLYCO I </t>
  </si>
  <si>
    <t>0070161161</t>
  </si>
  <si>
    <t>BETA 2 GLYCOPROT I AB EA/2</t>
  </si>
  <si>
    <t>0070161278</t>
  </si>
  <si>
    <t>IA TUMOR AG NES QUAN/3</t>
  </si>
  <si>
    <t>0070161500</t>
  </si>
  <si>
    <t>MUMPS AB</t>
  </si>
  <si>
    <t>0070161518</t>
  </si>
  <si>
    <t>CARCINO-EMBRYONIC AG/2</t>
  </si>
  <si>
    <t>C E A/2</t>
  </si>
  <si>
    <t>0070161526</t>
  </si>
  <si>
    <t>0070161567</t>
  </si>
  <si>
    <t>COMPLEMNT FUNCT ACTIV EA/2</t>
  </si>
  <si>
    <t>0070161583</t>
  </si>
  <si>
    <t>COMPLEMENT TOTAL CH50</t>
  </si>
  <si>
    <t>COMPLMNT TOTAL</t>
  </si>
  <si>
    <t>0070161625</t>
  </si>
  <si>
    <t>COMPLEMENT TOTAL CH50/2</t>
  </si>
  <si>
    <t>COMPLMNT TOTAL/</t>
  </si>
  <si>
    <t>0070161682</t>
  </si>
  <si>
    <t>BLASTOMYCES AB</t>
  </si>
  <si>
    <t>0070161724</t>
  </si>
  <si>
    <t>COCCIDIOIDES ANTIBODY</t>
  </si>
  <si>
    <t>COCCIDIOIDES AN</t>
  </si>
  <si>
    <t>0070161740</t>
  </si>
  <si>
    <t>Q FEVER AB</t>
  </si>
  <si>
    <t>0070161765</t>
  </si>
  <si>
    <t>HISTOPLASMOSIS AB</t>
  </si>
  <si>
    <t>HISTOPLASMOS AB</t>
  </si>
  <si>
    <t>0070161831</t>
  </si>
  <si>
    <t>TRICHINELLA AB</t>
  </si>
  <si>
    <t>0070161849</t>
  </si>
  <si>
    <t>VIRUS ANTIBODY NES</t>
  </si>
  <si>
    <t>VIRUS AB NES</t>
  </si>
  <si>
    <t>0070161914</t>
  </si>
  <si>
    <t>ENTEROVIRUS AB/6</t>
  </si>
  <si>
    <t>ENTEROVIRUS AB/</t>
  </si>
  <si>
    <t>0070161922</t>
  </si>
  <si>
    <t>ENCEPHALITIS CA LCROS AB</t>
  </si>
  <si>
    <t>ENCEPHALITIS CA</t>
  </si>
  <si>
    <t>0070161971</t>
  </si>
  <si>
    <t>INFLUENZA VIRUS AB</t>
  </si>
  <si>
    <t>INFLUENZA VIRAB</t>
  </si>
  <si>
    <t>0070162045</t>
  </si>
  <si>
    <t>COCCIDIOIDES ANTIBODY/2</t>
  </si>
  <si>
    <t>0070162052</t>
  </si>
  <si>
    <t>ENCEPHALITIS CA LCROS AB/2</t>
  </si>
  <si>
    <t>0070162078</t>
  </si>
  <si>
    <t>ENCEPHALITIS CA LCROS AB/3</t>
  </si>
  <si>
    <t>0070162144</t>
  </si>
  <si>
    <t>ENCEPHALITIS EAST EQ AB</t>
  </si>
  <si>
    <t>ENCEPHALITIS EE</t>
  </si>
  <si>
    <t>0070162151</t>
  </si>
  <si>
    <t>DNA ANTIBODY</t>
  </si>
  <si>
    <t>DNA AB</t>
  </si>
  <si>
    <t>0070162193</t>
  </si>
  <si>
    <t>NUCLEAR ANTIGEN AB/2</t>
  </si>
  <si>
    <t>NUCLEAR AG AB/2</t>
  </si>
  <si>
    <t>0070162227</t>
  </si>
  <si>
    <t>NUCLEAR ANTIGEN AB/3</t>
  </si>
  <si>
    <t>NUCLEAR AG AB/3</t>
  </si>
  <si>
    <t>0070162243</t>
  </si>
  <si>
    <t>DNA ANTIBODY DBL STRAND</t>
  </si>
  <si>
    <t>DNA AB DBL</t>
  </si>
  <si>
    <t>0070162300</t>
  </si>
  <si>
    <t>DNA ANTIBODY DBL STRAND/2</t>
  </si>
  <si>
    <t>DNA AB DBL/2</t>
  </si>
  <si>
    <t>0070162318</t>
  </si>
  <si>
    <t>AQP4 RECEPTOR AB</t>
  </si>
  <si>
    <t>AQP4 AB</t>
  </si>
  <si>
    <t>0070162326</t>
  </si>
  <si>
    <t>FLUORESCENT AB TITER EA/2</t>
  </si>
  <si>
    <t>FLRSCNT AB TITE</t>
  </si>
  <si>
    <t>0070162334</t>
  </si>
  <si>
    <t>MYELIN AB</t>
  </si>
  <si>
    <t>0070162342</t>
  </si>
  <si>
    <t>INFECT AGNT NOS QUANT/4</t>
  </si>
  <si>
    <t>0070162359</t>
  </si>
  <si>
    <t>NUCLEAR ANTIGEN AB/4</t>
  </si>
  <si>
    <t>NUCLEAR AG AB/4</t>
  </si>
  <si>
    <t>0070162409</t>
  </si>
  <si>
    <t>NUCLEAR ANTIGEN AB/7</t>
  </si>
  <si>
    <t>NUCLEAR AG AB/7</t>
  </si>
  <si>
    <t>0070162425</t>
  </si>
  <si>
    <t>HELMINTH AB NES/3</t>
  </si>
  <si>
    <t>HELMINTH AB NES</t>
  </si>
  <si>
    <t>0070162474</t>
  </si>
  <si>
    <t>LYME DISEASE AB TEST</t>
  </si>
  <si>
    <t>LYME DISEASE AB</t>
  </si>
  <si>
    <t>0070162490</t>
  </si>
  <si>
    <t>N-METHYL-D-ASPARTATE RECEPT</t>
  </si>
  <si>
    <t>ASPARTATE RECEP</t>
  </si>
  <si>
    <t>0070162557</t>
  </si>
  <si>
    <t>FLUORESCNT SCRN EA AB</t>
  </si>
  <si>
    <t>0070162565</t>
  </si>
  <si>
    <t>FLUORESCENT AB TITER EA/3</t>
  </si>
  <si>
    <t>0070162573</t>
  </si>
  <si>
    <t>0070162581</t>
  </si>
  <si>
    <t>FLUORESCENT AB TITER EA/4</t>
  </si>
  <si>
    <t>0070162599</t>
  </si>
  <si>
    <t>FLUORESCENT AB TITER EA/5</t>
  </si>
  <si>
    <t>0070162615</t>
  </si>
  <si>
    <t>N-METHYL-D-ASPARTATE RECEPT/2</t>
  </si>
  <si>
    <t>0070162631</t>
  </si>
  <si>
    <t>ANTI CASPR2 ANTIBODIES</t>
  </si>
  <si>
    <t>ANTI CASPR2 ANT</t>
  </si>
  <si>
    <t>0070162664</t>
  </si>
  <si>
    <t>VARICELLA ZOSTER AB/2</t>
  </si>
  <si>
    <t>VARICEL ZSTR AB</t>
  </si>
  <si>
    <t>0070162672</t>
  </si>
  <si>
    <t>FLUORESCENT AB TITER EA/6</t>
  </si>
  <si>
    <t>0070162730</t>
  </si>
  <si>
    <t>VARICELLA ZOSTER AB/3</t>
  </si>
  <si>
    <t>0070162789</t>
  </si>
  <si>
    <t>IA INFECT AGENT AB QN NOS/8</t>
  </si>
  <si>
    <t>0070162839</t>
  </si>
  <si>
    <t>RUBEOLA AB</t>
  </si>
  <si>
    <t>0070162847</t>
  </si>
  <si>
    <t>RUBELLA AB</t>
  </si>
  <si>
    <t>0070162862</t>
  </si>
  <si>
    <t>RUBEOLA AB/2</t>
  </si>
  <si>
    <t>0070162870</t>
  </si>
  <si>
    <t>0070162896</t>
  </si>
  <si>
    <t>HEP B CORE AB TOTAL</t>
  </si>
  <si>
    <t>HBC AB TOTAL</t>
  </si>
  <si>
    <t>0070162912</t>
  </si>
  <si>
    <t>HEPATITIS A AB</t>
  </si>
  <si>
    <t>HEP A AB</t>
  </si>
  <si>
    <t>0070162920</t>
  </si>
  <si>
    <t>HEP B SURFACE AB</t>
  </si>
  <si>
    <t>HB SURF AB</t>
  </si>
  <si>
    <t>0070162938</t>
  </si>
  <si>
    <t>HEPATITIS BE IA</t>
  </si>
  <si>
    <t>HBE IA</t>
  </si>
  <si>
    <t>0070162946</t>
  </si>
  <si>
    <t>HEP B CORE AB IGM</t>
  </si>
  <si>
    <t>HBC AB IGM</t>
  </si>
  <si>
    <t>0070162961</t>
  </si>
  <si>
    <t>HEPATITIS BE ANTIBODY</t>
  </si>
  <si>
    <t>HEPATITIS BE AB</t>
  </si>
  <si>
    <t>0070162987</t>
  </si>
  <si>
    <t>HERPES AB SMPLX TYPE 1</t>
  </si>
  <si>
    <t xml:space="preserve">HERPES SMPLX 1 </t>
  </si>
  <si>
    <t>0070162995</t>
  </si>
  <si>
    <t>HERPES AB SMPLX TYPE 2</t>
  </si>
  <si>
    <t xml:space="preserve">HERPES SMPLX 2 </t>
  </si>
  <si>
    <t>0070163019</t>
  </si>
  <si>
    <t>HERPES AB SMPLX TYPE 2/2</t>
  </si>
  <si>
    <t>0070163043</t>
  </si>
  <si>
    <t>HEPATITIS C ANTIBODY</t>
  </si>
  <si>
    <t>HEPATITIS C AB</t>
  </si>
  <si>
    <t>0070163076</t>
  </si>
  <si>
    <t>LYME DISEASE AB/2</t>
  </si>
  <si>
    <t>0070163084</t>
  </si>
  <si>
    <t>LYME DISEASE AB TEST/2</t>
  </si>
  <si>
    <t>0070163134</t>
  </si>
  <si>
    <t>INFECT AGNT NOS AMP PRB/21</t>
  </si>
  <si>
    <t>0070163167</t>
  </si>
  <si>
    <t>0070163225</t>
  </si>
  <si>
    <t>HTLV/HIV CONFIRM AB/2</t>
  </si>
  <si>
    <t>HTLV/HIV CONF A</t>
  </si>
  <si>
    <t>0070163266</t>
  </si>
  <si>
    <t>HTLV/HIV CONFIRM AB/3</t>
  </si>
  <si>
    <t>0070163308</t>
  </si>
  <si>
    <t>NUCLEAR ANTIGEN AB/8</t>
  </si>
  <si>
    <t>NUCLEAR AG AB/8</t>
  </si>
  <si>
    <t>0070163324</t>
  </si>
  <si>
    <t>COMPLEMENT AG EA/6</t>
  </si>
  <si>
    <t>0070163357</t>
  </si>
  <si>
    <t>IMMUNOFIX ELECTRO OTHER SR</t>
  </si>
  <si>
    <t>I.F.E OTH SR</t>
  </si>
  <si>
    <t>0070163407</t>
  </si>
  <si>
    <t>IMMUNOFIX ELECTRO SERUM</t>
  </si>
  <si>
    <t>I.F.E SERUM</t>
  </si>
  <si>
    <t>0070163415</t>
  </si>
  <si>
    <t>ISLET CELL ANTIBODY</t>
  </si>
  <si>
    <t>ISLET CELL AB</t>
  </si>
  <si>
    <t>0070163423</t>
  </si>
  <si>
    <t>IA INFECT AGENT AB QN NOS/9</t>
  </si>
  <si>
    <t>0070163431</t>
  </si>
  <si>
    <t>IA INFECT AGENT AB QN NOS/10</t>
  </si>
  <si>
    <t>0070163449</t>
  </si>
  <si>
    <t>IMMUNOFIX ELECTRO OTHER SR/2</t>
  </si>
  <si>
    <t>I.F.E OTH SR/2</t>
  </si>
  <si>
    <t>0070163456</t>
  </si>
  <si>
    <t>IA TUMOR AG NES QUAN/4</t>
  </si>
  <si>
    <t>0070163464</t>
  </si>
  <si>
    <t>IA INFECT AGENT AB QN NOS/11</t>
  </si>
  <si>
    <t>0070163472</t>
  </si>
  <si>
    <t>ISLET CELL ANTIBODY/3</t>
  </si>
  <si>
    <t>ISLET CELL AB/3</t>
  </si>
  <si>
    <t>0070163480</t>
  </si>
  <si>
    <t>FLUORESCENT AB TITER EA/7</t>
  </si>
  <si>
    <t>0070163498</t>
  </si>
  <si>
    <t>FLUORESCENT AB TITER EA/8</t>
  </si>
  <si>
    <t>0070163506</t>
  </si>
  <si>
    <t>LYMPH CHORIOMENINGIT AB</t>
  </si>
  <si>
    <t>LYMPH CHORIO AB</t>
  </si>
  <si>
    <t>0070163514</t>
  </si>
  <si>
    <t>LYMPH CHORIOMENINGIT AB/2</t>
  </si>
  <si>
    <t>0070163530</t>
  </si>
  <si>
    <t>IMMUNOFIX ELECTRO OTHER SR/3</t>
  </si>
  <si>
    <t>I.F.E OTH SR/3</t>
  </si>
  <si>
    <t>0070163563</t>
  </si>
  <si>
    <t>MONONUCLEAR CELL AG QNT</t>
  </si>
  <si>
    <t>MONONUCCELLAG</t>
  </si>
  <si>
    <t>0070163597</t>
  </si>
  <si>
    <t>T CELLS TOTAL COUNT</t>
  </si>
  <si>
    <t>T CELLS TOT CNT</t>
  </si>
  <si>
    <t>0070163605</t>
  </si>
  <si>
    <t>T CELLS T4/T8 PLS RATIO</t>
  </si>
  <si>
    <t>T CELLS T4/T8</t>
  </si>
  <si>
    <t>0070163639</t>
  </si>
  <si>
    <t>0070163662</t>
  </si>
  <si>
    <t>ADENOSINE DEAMINASE</t>
  </si>
  <si>
    <t>ADENO DEAMINASE</t>
  </si>
  <si>
    <t>0070163738</t>
  </si>
  <si>
    <t>CHLAMYDIA AB</t>
  </si>
  <si>
    <t>0070163746</t>
  </si>
  <si>
    <t>MICROSOMAL ANTIBODY EA/2</t>
  </si>
  <si>
    <t>0070163795</t>
  </si>
  <si>
    <t>SMOOTH MUSCLE AB</t>
  </si>
  <si>
    <t>SM MUSCLE AB</t>
  </si>
  <si>
    <t>0070163803</t>
  </si>
  <si>
    <t>MYOCARDIAL AB</t>
  </si>
  <si>
    <t>0070163811</t>
  </si>
  <si>
    <t>CARDIOLIPIN AB EA IG/2</t>
  </si>
  <si>
    <t xml:space="preserve">CARDIOLIPIN AB </t>
  </si>
  <si>
    <t>0070163829</t>
  </si>
  <si>
    <t>NEUTRALIZATN TEST VIRAL</t>
  </si>
  <si>
    <t>NEUTRAL TST VIR</t>
  </si>
  <si>
    <t>0070163852</t>
  </si>
  <si>
    <t>CARDIOLIPIN AB EA IG/3</t>
  </si>
  <si>
    <t>0070164322</t>
  </si>
  <si>
    <t>0070164728</t>
  </si>
  <si>
    <t>WEST NILE VIRUS</t>
  </si>
  <si>
    <t>W NILE VIRUS</t>
  </si>
  <si>
    <t>0070164785</t>
  </si>
  <si>
    <t>WEST NILE VIRUS/2</t>
  </si>
  <si>
    <t>W NILE VIRUS/2</t>
  </si>
  <si>
    <t>0070164793</t>
  </si>
  <si>
    <t>WEST NILE VIRUS IGM</t>
  </si>
  <si>
    <t>W NILE VIRUS IG</t>
  </si>
  <si>
    <t>0070164801</t>
  </si>
  <si>
    <t>TB TEST CELL AG RESPONSE</t>
  </si>
  <si>
    <t>TB TEST CELL AG</t>
  </si>
  <si>
    <t>0070165923</t>
  </si>
  <si>
    <t>0070165931</t>
  </si>
  <si>
    <t>0070165949</t>
  </si>
  <si>
    <t>SYPHILIS NONTREP QUAL/2</t>
  </si>
  <si>
    <t>0070165956</t>
  </si>
  <si>
    <t>SYPHILIS NONTREP QUAN/2</t>
  </si>
  <si>
    <t>0070165964</t>
  </si>
  <si>
    <t>SYPHILIS NONTREP QUAL/3</t>
  </si>
  <si>
    <t>0070165980</t>
  </si>
  <si>
    <t>HLA TYPING ABC SNGL AG/2</t>
  </si>
  <si>
    <t xml:space="preserve">HLA TYPING ABC </t>
  </si>
  <si>
    <t>0070166004</t>
  </si>
  <si>
    <t>0070166061</t>
  </si>
  <si>
    <t>BACTERIUM AB NES/2</t>
  </si>
  <si>
    <t>BACTERIUM AB NE</t>
  </si>
  <si>
    <t>0070166079</t>
  </si>
  <si>
    <t>BARTONELLA AMP PRB</t>
  </si>
  <si>
    <t xml:space="preserve">BARTONELLA AMP </t>
  </si>
  <si>
    <t>0070166087</t>
  </si>
  <si>
    <t>BARTONELLA AB</t>
  </si>
  <si>
    <t>0070166228</t>
  </si>
  <si>
    <t>BRUCELLA AB</t>
  </si>
  <si>
    <t>0070166301</t>
  </si>
  <si>
    <t>CHLAMYDIA DFA</t>
  </si>
  <si>
    <t>0070166327</t>
  </si>
  <si>
    <t>COCCIDIOIDES ANTIBODY/3</t>
  </si>
  <si>
    <t>0070166368</t>
  </si>
  <si>
    <t>IMMUN NONINFC QL/SEMI/M/6</t>
  </si>
  <si>
    <t>0070166400</t>
  </si>
  <si>
    <t>THYROGLOBULIN AB</t>
  </si>
  <si>
    <t>THYROGLOBLN AB</t>
  </si>
  <si>
    <t>0070166442</t>
  </si>
  <si>
    <t>ENCEPHALITIS EAST EQ AB/2</t>
  </si>
  <si>
    <t>0070166459</t>
  </si>
  <si>
    <t>CYTOMEGALOVIRUS AB IGM</t>
  </si>
  <si>
    <t>CMV AB IGM</t>
  </si>
  <si>
    <t>0070166491</t>
  </si>
  <si>
    <t>ENCEPHALITIS EAST EQ AB/3</t>
  </si>
  <si>
    <t>0070166525</t>
  </si>
  <si>
    <t>ENCEPHALITIS EAST EQ AB/4</t>
  </si>
  <si>
    <t>0070166533</t>
  </si>
  <si>
    <t>ENCEPHALITIS ST LOUIS AB</t>
  </si>
  <si>
    <t>ENCEPHALITIS ST</t>
  </si>
  <si>
    <t>0070166566</t>
  </si>
  <si>
    <t>ENCEPHALITIS WEST EQ AB</t>
  </si>
  <si>
    <t>ENCEPHALITIS WE</t>
  </si>
  <si>
    <t>0070166574</t>
  </si>
  <si>
    <t>ENTEROVIRUS AB/7</t>
  </si>
  <si>
    <t>0070166608</t>
  </si>
  <si>
    <t>ENCEPHALITIS CA LCROS AB/4</t>
  </si>
  <si>
    <t>0070166624</t>
  </si>
  <si>
    <t>TREPONEMA PALLIDUM AB/3</t>
  </si>
  <si>
    <t>TREP PALLIDUM/3</t>
  </si>
  <si>
    <t>0070166681</t>
  </si>
  <si>
    <t>FRANCISELLA TULARENS AB</t>
  </si>
  <si>
    <t>F.TULARENSIS AB</t>
  </si>
  <si>
    <t>0070166756</t>
  </si>
  <si>
    <t>ENTEROVIRUS AB/8</t>
  </si>
  <si>
    <t>0070166764</t>
  </si>
  <si>
    <t>ENCEPHALITIS ST LOUIS AB/2</t>
  </si>
  <si>
    <t>0070166798</t>
  </si>
  <si>
    <t>ENCEPHALITIS WEST EQ AB/2</t>
  </si>
  <si>
    <t>0070166830</t>
  </si>
  <si>
    <t>ENCEPHALITIS ST LOUIS AB/3</t>
  </si>
  <si>
    <t>0070166863</t>
  </si>
  <si>
    <t>ENCEPHALITIS WEST EQ AB/3</t>
  </si>
  <si>
    <t>0070166913</t>
  </si>
  <si>
    <t>HERPES AB SMPLX/2</t>
  </si>
  <si>
    <t>HERPES AB SMPLX</t>
  </si>
  <si>
    <t>0070166939</t>
  </si>
  <si>
    <t>HERPES AB SMPLX/3</t>
  </si>
  <si>
    <t>0070166947</t>
  </si>
  <si>
    <t>HERPES AB SMPLX/4</t>
  </si>
  <si>
    <t>0070166954</t>
  </si>
  <si>
    <t>ENCEPHALITIS WEST EQ AB/4</t>
  </si>
  <si>
    <t>0070166962</t>
  </si>
  <si>
    <t>HERPES AB SMPLX/5</t>
  </si>
  <si>
    <t>0070166996</t>
  </si>
  <si>
    <t>HERPES AB SMPLX TYPE 1/3</t>
  </si>
  <si>
    <t>0070167010</t>
  </si>
  <si>
    <t>HIV 1 AB</t>
  </si>
  <si>
    <t>0070167028</t>
  </si>
  <si>
    <t>HIV-2 AB</t>
  </si>
  <si>
    <t>0070167044</t>
  </si>
  <si>
    <t>ENCEPHALITIS ST LOUIS AB/4</t>
  </si>
  <si>
    <t>0070167069</t>
  </si>
  <si>
    <t>HELMINTH AB NES/4</t>
  </si>
  <si>
    <t>0070167077</t>
  </si>
  <si>
    <t>DENGUE FEVER AB</t>
  </si>
  <si>
    <t>0070167085</t>
  </si>
  <si>
    <t>DENGUE FEVER AB/2</t>
  </si>
  <si>
    <t>0070167093</t>
  </si>
  <si>
    <t>HEPATITIS A AB IGM</t>
  </si>
  <si>
    <t>HEP A AB IGM</t>
  </si>
  <si>
    <t>0070167135</t>
  </si>
  <si>
    <t>PROTOZOA AB NES/2</t>
  </si>
  <si>
    <t>PROTOZOA AB NES</t>
  </si>
  <si>
    <t>0070167184</t>
  </si>
  <si>
    <t>LEISHMANIA AB</t>
  </si>
  <si>
    <t>0070167358</t>
  </si>
  <si>
    <t>MUMPS AB/3</t>
  </si>
  <si>
    <t>0070167366</t>
  </si>
  <si>
    <t>MUMPS AB/4</t>
  </si>
  <si>
    <t>0070167390</t>
  </si>
  <si>
    <t>MYCOPLASMA AB/2</t>
  </si>
  <si>
    <t>0070167408</t>
  </si>
  <si>
    <t>MYCOPLASMA AB/3</t>
  </si>
  <si>
    <t>0070167473</t>
  </si>
  <si>
    <t>RICKETTSIA AB</t>
  </si>
  <si>
    <t>0070167481</t>
  </si>
  <si>
    <t>PARVOVIRUS AB/3</t>
  </si>
  <si>
    <t>0070167499</t>
  </si>
  <si>
    <t>PARVOVIRUS AB/4</t>
  </si>
  <si>
    <t>0070167523</t>
  </si>
  <si>
    <t>PROTOZOA AB NES/3</t>
  </si>
  <si>
    <t>0070167531</t>
  </si>
  <si>
    <t>PROTOZOA AB NES/4</t>
  </si>
  <si>
    <t>0070167572</t>
  </si>
  <si>
    <t>RICKETTSIA AB/2</t>
  </si>
  <si>
    <t>0070167630</t>
  </si>
  <si>
    <t>RUBELLA AB/4</t>
  </si>
  <si>
    <t>0070167655</t>
  </si>
  <si>
    <t>RUBEOLA AB/3</t>
  </si>
  <si>
    <t>0070167663</t>
  </si>
  <si>
    <t>RUBEOLA AB/4</t>
  </si>
  <si>
    <t>0070167671</t>
  </si>
  <si>
    <t>SALMONELLA AB</t>
  </si>
  <si>
    <t>0070167762</t>
  </si>
  <si>
    <t>ENTEROVIRUS AB/9</t>
  </si>
  <si>
    <t>0070167861</t>
  </si>
  <si>
    <t>VARICELLA ZOSTER AB/4</t>
  </si>
  <si>
    <t>0070167879</t>
  </si>
  <si>
    <t>HERPES HUMAN HHV</t>
  </si>
  <si>
    <t>HERPES HUMAN HH</t>
  </si>
  <si>
    <t>0070167887</t>
  </si>
  <si>
    <t>VARICELLA ZOSTER AB/5</t>
  </si>
  <si>
    <t>0070167895</t>
  </si>
  <si>
    <t>WEST NILE VIRUS IGM/2</t>
  </si>
  <si>
    <t>0070167937</t>
  </si>
  <si>
    <t>PHOSPHOLIPIDS</t>
  </si>
  <si>
    <t>0070167978</t>
  </si>
  <si>
    <t>HEPATITIS E AB</t>
  </si>
  <si>
    <t>HEP E AB</t>
  </si>
  <si>
    <t>0070168000</t>
  </si>
  <si>
    <t>HEPATITIS E AB/2</t>
  </si>
  <si>
    <t>HEP E AB/2</t>
  </si>
  <si>
    <t>0070168182</t>
  </si>
  <si>
    <t>IMMUNOGLOB SUBCLASS EA</t>
  </si>
  <si>
    <t>IMMUNGLOB SUBCL</t>
  </si>
  <si>
    <t>0070168901</t>
  </si>
  <si>
    <t>NUCLEAR ANTIGEN AB/10</t>
  </si>
  <si>
    <t>NUCLEAR AG AB/1</t>
  </si>
  <si>
    <t>0070168984</t>
  </si>
  <si>
    <t>PROTEIN S FREE/2</t>
  </si>
  <si>
    <t>PROTEIN S FREE/</t>
  </si>
  <si>
    <t>0070169008</t>
  </si>
  <si>
    <t>IA TUMOR CA 125 QUAN/2</t>
  </si>
  <si>
    <t>0070169065</t>
  </si>
  <si>
    <t>CHLAMYDIA IGM/3</t>
  </si>
  <si>
    <t>0070169115</t>
  </si>
  <si>
    <t>ADENOVIRUS AB</t>
  </si>
  <si>
    <t>0070169206</t>
  </si>
  <si>
    <t>TOXOPLASMA AB/2</t>
  </si>
  <si>
    <t>0070169222</t>
  </si>
  <si>
    <t>TOXOPLASMA AB/3</t>
  </si>
  <si>
    <t>0070169230</t>
  </si>
  <si>
    <t>0070169248</t>
  </si>
  <si>
    <t>BORDETELLA AB</t>
  </si>
  <si>
    <t>0070169263</t>
  </si>
  <si>
    <t>ASPERGILLUS AB/2</t>
  </si>
  <si>
    <t>ASPERGILLUS AB/</t>
  </si>
  <si>
    <t>0070169297</t>
  </si>
  <si>
    <t>BORDETELLA AB/2</t>
  </si>
  <si>
    <t>0070169453</t>
  </si>
  <si>
    <t>CHLAMYDIA IGM/4</t>
  </si>
  <si>
    <t>0070170014</t>
  </si>
  <si>
    <t>INFECT AGNT NOS AMP PRB/4</t>
  </si>
  <si>
    <t>0070170162</t>
  </si>
  <si>
    <t>0070170220</t>
  </si>
  <si>
    <t>CULTURE BACT OTH SOURCE</t>
  </si>
  <si>
    <t>0070170253</t>
  </si>
  <si>
    <t>INFECTIOUS AGNT NOS IA/2</t>
  </si>
  <si>
    <t>INF AGNT IA/2</t>
  </si>
  <si>
    <t>0070170386</t>
  </si>
  <si>
    <t>0070170774</t>
  </si>
  <si>
    <t>ASSAY TOXIN/ANTITOXIN</t>
  </si>
  <si>
    <t>ASSAY TOXIN/ANT</t>
  </si>
  <si>
    <t>0070170840</t>
  </si>
  <si>
    <t>TISS CULT INOC/OBSERV/2</t>
  </si>
  <si>
    <t>OTHR VIRUS CULT</t>
  </si>
  <si>
    <t>0070170949</t>
  </si>
  <si>
    <t>TISS CULT INOC/OBSERV/3</t>
  </si>
  <si>
    <t>0070171095</t>
  </si>
  <si>
    <t>CULTURE MYCOPLASMA ANY/2</t>
  </si>
  <si>
    <t>CULT MYCOPLASMA</t>
  </si>
  <si>
    <t>0070171103</t>
  </si>
  <si>
    <t>CULTURE CHLAMYDIA</t>
  </si>
  <si>
    <t>CHLAMYDIA CULT</t>
  </si>
  <si>
    <t>0070171426</t>
  </si>
  <si>
    <t>LYME AMP PROBE</t>
  </si>
  <si>
    <t>0070171772</t>
  </si>
  <si>
    <t>0070172218</t>
  </si>
  <si>
    <t>SPECIAL STAIN SMEAR/3</t>
  </si>
  <si>
    <t>SPEC STAIN/3</t>
  </si>
  <si>
    <t>0070172275</t>
  </si>
  <si>
    <t>TISS CULT INOC/OBSERV</t>
  </si>
  <si>
    <t>0070172523</t>
  </si>
  <si>
    <t>TISS CULT INOC/OBSERV/4</t>
  </si>
  <si>
    <t>0070172580</t>
  </si>
  <si>
    <t>VIRUS INOC SHELL EACH/3</t>
  </si>
  <si>
    <t>VIRUS INNOC EA/</t>
  </si>
  <si>
    <t>0070172655</t>
  </si>
  <si>
    <t>BORDETELLA PERTUSSIS DFA</t>
  </si>
  <si>
    <t>BORD PERT DFA</t>
  </si>
  <si>
    <t>0070172739</t>
  </si>
  <si>
    <t>HERPES SIMPLEX 2 AG IF</t>
  </si>
  <si>
    <t>HSV 2 AG IF</t>
  </si>
  <si>
    <t>0070172747</t>
  </si>
  <si>
    <t>HERPES SIMPLEX 1 AG IF</t>
  </si>
  <si>
    <t>HSV 1 AG IF</t>
  </si>
  <si>
    <t>0070172754</t>
  </si>
  <si>
    <t>INFLUENZA B DFA</t>
  </si>
  <si>
    <t>INFLU B DFA</t>
  </si>
  <si>
    <t>0070172762</t>
  </si>
  <si>
    <t>INFLUENZA A DFA</t>
  </si>
  <si>
    <t>INFLNZ A DFA</t>
  </si>
  <si>
    <t>0070172788</t>
  </si>
  <si>
    <t>LEGIONELLA PNEUMOPHILA</t>
  </si>
  <si>
    <t>LGN PNEUMOPHILA</t>
  </si>
  <si>
    <t>0070172796</t>
  </si>
  <si>
    <t>LEGIONELLA AB</t>
  </si>
  <si>
    <t>0070172960</t>
  </si>
  <si>
    <t>AB DETECTION NOS DFA</t>
  </si>
  <si>
    <t>AB DETECT NOS D</t>
  </si>
  <si>
    <t>0070173000</t>
  </si>
  <si>
    <t>PNEUMOCYSTIS JIROVECII DFA</t>
  </si>
  <si>
    <t>PNEUMOCYSTIS DF</t>
  </si>
  <si>
    <t>0070173273</t>
  </si>
  <si>
    <t>CRYPTOCOCCUS NEO IA</t>
  </si>
  <si>
    <t>CRYPTOCS NEO IA</t>
  </si>
  <si>
    <t>0070173414</t>
  </si>
  <si>
    <t>H. PYLORI STOOL IA</t>
  </si>
  <si>
    <t>H.PYLORI IA</t>
  </si>
  <si>
    <t>0070173422</t>
  </si>
  <si>
    <t>HBS NEUTRALIZATION IA</t>
  </si>
  <si>
    <t>HBS NEUTRAL IA</t>
  </si>
  <si>
    <t>0070173869</t>
  </si>
  <si>
    <t>HISTOPLASMA IA</t>
  </si>
  <si>
    <t>0070173893</t>
  </si>
  <si>
    <t>HIV I AG HIV I HIV II AB</t>
  </si>
  <si>
    <t>HIV AG AB COMBO</t>
  </si>
  <si>
    <t>0070174487</t>
  </si>
  <si>
    <t>INFECTIOUS AGNT NOS IA/3</t>
  </si>
  <si>
    <t>INF AGNT IA/3</t>
  </si>
  <si>
    <t>0070174545</t>
  </si>
  <si>
    <t>INFECTIOUS AGNT NOS IA/4</t>
  </si>
  <si>
    <t>INF AGNT IA/4</t>
  </si>
  <si>
    <t>0070174834</t>
  </si>
  <si>
    <t>0070174925</t>
  </si>
  <si>
    <t>0070174974</t>
  </si>
  <si>
    <t>CYTOMEGALOVIRUS AMP PRB</t>
  </si>
  <si>
    <t>CMV AMP PRB</t>
  </si>
  <si>
    <t>0070174982</t>
  </si>
  <si>
    <t>CMV QUANT</t>
  </si>
  <si>
    <t>0070175021</t>
  </si>
  <si>
    <t>INFLUENZA 1ST 2 TYPE/SUB</t>
  </si>
  <si>
    <t>FLU 1ST 2</t>
  </si>
  <si>
    <t>0070175062</t>
  </si>
  <si>
    <t>0070175245</t>
  </si>
  <si>
    <t>HEP C QUANT</t>
  </si>
  <si>
    <t>0070175294</t>
  </si>
  <si>
    <t>HERPES SIMPLX AMP PRB</t>
  </si>
  <si>
    <t>HERPES SMPLX AM</t>
  </si>
  <si>
    <t>0070175351</t>
  </si>
  <si>
    <t>HIV 1 AMP PROBE</t>
  </si>
  <si>
    <t>HIV 1 AMP PRB</t>
  </si>
  <si>
    <t>0070175518</t>
  </si>
  <si>
    <t>MYCOBACTERIA AMP PRB</t>
  </si>
  <si>
    <t>MYCOBACTERIA AM</t>
  </si>
  <si>
    <t>0070175567</t>
  </si>
  <si>
    <t>MTB AMP PROBE</t>
  </si>
  <si>
    <t>MTB AMP PRB</t>
  </si>
  <si>
    <t>0070175922</t>
  </si>
  <si>
    <t>GC DNA AMP PRB</t>
  </si>
  <si>
    <t>0070175930</t>
  </si>
  <si>
    <t>GC DNA AMP PROBE/2</t>
  </si>
  <si>
    <t>GC DNA AMP PRB/</t>
  </si>
  <si>
    <t>0070176235</t>
  </si>
  <si>
    <t>INFECT AGNT NOS AMP PRB/3</t>
  </si>
  <si>
    <t>0070176334</t>
  </si>
  <si>
    <t>0070176599</t>
  </si>
  <si>
    <t>INFECT AGNT NOS QUANT/3</t>
  </si>
  <si>
    <t>0070176615</t>
  </si>
  <si>
    <t>TRICHOMONAS AMP PROBE</t>
  </si>
  <si>
    <t>TRICH AMP PRB</t>
  </si>
  <si>
    <t>0070177910</t>
  </si>
  <si>
    <t>INFECT AGNT NOS AMP PRB/12</t>
  </si>
  <si>
    <t>0070177928</t>
  </si>
  <si>
    <t>INFECT AGNT NOS AMP PRB/2</t>
  </si>
  <si>
    <t>0070177936</t>
  </si>
  <si>
    <t>0070177944</t>
  </si>
  <si>
    <t>INFECT AGNT NOS AMP PRB/19</t>
  </si>
  <si>
    <t>0070177969</t>
  </si>
  <si>
    <t>INFECT AGNT NOS AMP PRB/24</t>
  </si>
  <si>
    <t>0070177977</t>
  </si>
  <si>
    <t>INFECT AGNT NOS AMP PRB/8</t>
  </si>
  <si>
    <t>0070177985</t>
  </si>
  <si>
    <t>INFECT AGNT NOS AMP PRB/11</t>
  </si>
  <si>
    <t>0070178058</t>
  </si>
  <si>
    <t>INFECT AGNT NOS AMP PRB/17</t>
  </si>
  <si>
    <t>0070178066</t>
  </si>
  <si>
    <t>INFECT AGNT NOS AMP PRB/10</t>
  </si>
  <si>
    <t>0070178074</t>
  </si>
  <si>
    <t>INFECT AGNT NOS AMP PRB/7</t>
  </si>
  <si>
    <t>0070178090</t>
  </si>
  <si>
    <t>INFECT AGNT NOS AMP PRB/6</t>
  </si>
  <si>
    <t>0070178108</t>
  </si>
  <si>
    <t>INFECT AGNT NOS QUANT/7</t>
  </si>
  <si>
    <t>0070178116</t>
  </si>
  <si>
    <t>INFECT AGNT NOS QUANT</t>
  </si>
  <si>
    <t>INFECT AGNT QN</t>
  </si>
  <si>
    <t>0070178124</t>
  </si>
  <si>
    <t>INFECT AGNT NOS AMP PRB/23</t>
  </si>
  <si>
    <t>0070178157</t>
  </si>
  <si>
    <t>MULTI ORGANISMS AMP PRB/2</t>
  </si>
  <si>
    <t xml:space="preserve">MULT ORGAN AMP </t>
  </si>
  <si>
    <t>0070179049</t>
  </si>
  <si>
    <t>HCV GENOTYPE/2</t>
  </si>
  <si>
    <t>0070179064</t>
  </si>
  <si>
    <t>HEP B GENOTYPE</t>
  </si>
  <si>
    <t>0070179122</t>
  </si>
  <si>
    <t>INFECTIOUS AGNT NOS IA/6</t>
  </si>
  <si>
    <t>INF AGNT IA/6</t>
  </si>
  <si>
    <t>0070181904</t>
  </si>
  <si>
    <t>RIBOFLAVIN(VITAMIN B2)/2</t>
  </si>
  <si>
    <t>RIBOFLAVIN/2</t>
  </si>
  <si>
    <t>0070182134</t>
  </si>
  <si>
    <t>AMINO ACIDS 6+ QNT/2</t>
  </si>
  <si>
    <t>0070182209</t>
  </si>
  <si>
    <t>AMINO ACIDS 6+ QNT/3</t>
  </si>
  <si>
    <t>0070182787</t>
  </si>
  <si>
    <t>GAMMAGLOBULIN EA/9</t>
  </si>
  <si>
    <t>GAMAGLOB EA/9</t>
  </si>
  <si>
    <t>0070183066</t>
  </si>
  <si>
    <t>HEMOGLOBN ELECTRPHORESIS/2</t>
  </si>
  <si>
    <t>0070183132</t>
  </si>
  <si>
    <t>0070183439</t>
  </si>
  <si>
    <t>IMMUNCYT 1ST AB PER SPEC/2</t>
  </si>
  <si>
    <t>IMMCYT STN 1ST/</t>
  </si>
  <si>
    <t>0070183462</t>
  </si>
  <si>
    <t>IMMUNOFLOR 1ST AB PER SPEC</t>
  </si>
  <si>
    <t>IMMUNOFLR EA AB</t>
  </si>
  <si>
    <t>0070183538</t>
  </si>
  <si>
    <t>IMMUN NONINFC QL/SEMI/M/7</t>
  </si>
  <si>
    <t>0070184155</t>
  </si>
  <si>
    <t>0070184239</t>
  </si>
  <si>
    <t>PARAINFLUENZA DFA</t>
  </si>
  <si>
    <t>PARAINFLU DFA</t>
  </si>
  <si>
    <t>0070184247</t>
  </si>
  <si>
    <t>PARAINFLUENZA DFA/2</t>
  </si>
  <si>
    <t>PARAINFLU DFA/2</t>
  </si>
  <si>
    <t>0070184254</t>
  </si>
  <si>
    <t>PARAINFLUENZA DFA/3</t>
  </si>
  <si>
    <t>PARAINFLU DFA/3</t>
  </si>
  <si>
    <t>0070184262</t>
  </si>
  <si>
    <t>RSV AG DFA</t>
  </si>
  <si>
    <t>0070184403</t>
  </si>
  <si>
    <t>TESTOSTERONE TOTAL/2</t>
  </si>
  <si>
    <t>0070184619</t>
  </si>
  <si>
    <t>RIBOSOMAL P AB</t>
  </si>
  <si>
    <t>RIBSOMAL P AB</t>
  </si>
  <si>
    <t>0070185368</t>
  </si>
  <si>
    <t>0070185376</t>
  </si>
  <si>
    <t>0070185525</t>
  </si>
  <si>
    <t>HEPARIN NEUTRALIZATION</t>
  </si>
  <si>
    <t>HEPARIN NEUTRLZ</t>
  </si>
  <si>
    <t>0070185590</t>
  </si>
  <si>
    <t>PHOSPHOLIP NEUT PLATELET/2</t>
  </si>
  <si>
    <t>NEUTRLZTN PLT/2</t>
  </si>
  <si>
    <t>0070185616</t>
  </si>
  <si>
    <t>RUSSL VIPR VEN TIME DIL/3</t>
  </si>
  <si>
    <t>0070186218</t>
  </si>
  <si>
    <t>FLUORESCENT AB TITER EA/12</t>
  </si>
  <si>
    <t>0070186226</t>
  </si>
  <si>
    <t>FLUORESCENT AB TITER EA/13</t>
  </si>
  <si>
    <t>0070186440</t>
  </si>
  <si>
    <t>CELLULAR FUNCTION ASSAY</t>
  </si>
  <si>
    <t>CELL FUNCT ASSY</t>
  </si>
  <si>
    <t>0070186580</t>
  </si>
  <si>
    <t>PARIETAL CELL AB</t>
  </si>
  <si>
    <t>PARIETL CELL AB</t>
  </si>
  <si>
    <t>0070186598</t>
  </si>
  <si>
    <t>GASTRIC PARIETAL CELL AB</t>
  </si>
  <si>
    <t>0070186705</t>
  </si>
  <si>
    <t>0070186747</t>
  </si>
  <si>
    <t>FLUORESCENT AB TITER EA/16</t>
  </si>
  <si>
    <t>0070186754</t>
  </si>
  <si>
    <t>HEPATITIS B QUANT</t>
  </si>
  <si>
    <t>HEP B QUANT</t>
  </si>
  <si>
    <t>0070186762</t>
  </si>
  <si>
    <t>LYMPH CHORIOMENINGIT AB/3</t>
  </si>
  <si>
    <t>0070186770</t>
  </si>
  <si>
    <t>LYMPH CHORIOMENINGIT AB/4</t>
  </si>
  <si>
    <t>0070186788</t>
  </si>
  <si>
    <t>MUMPS AB/5</t>
  </si>
  <si>
    <t>0070186796</t>
  </si>
  <si>
    <t>LYMPH CHORIOMENINGIT AB/5</t>
  </si>
  <si>
    <t>0070187133</t>
  </si>
  <si>
    <t>LYMPH CHORIOMENINGIT AB/6</t>
  </si>
  <si>
    <t>0070187158</t>
  </si>
  <si>
    <t>CULTURE TYPNG FLUORO EA</t>
  </si>
  <si>
    <t>CULT TYPING FM</t>
  </si>
  <si>
    <t>0070187489</t>
  </si>
  <si>
    <t>CHLAMYDIA PNEUM AMP PRB</t>
  </si>
  <si>
    <t>CHLMYD PNEU AMP</t>
  </si>
  <si>
    <t>0070187505</t>
  </si>
  <si>
    <t>ENTEROVIRUS AMP PROBE</t>
  </si>
  <si>
    <t>ENTERO AMP PRB</t>
  </si>
  <si>
    <t>0070187539</t>
  </si>
  <si>
    <t>HERPES VIRUS 6 QUANT</t>
  </si>
  <si>
    <t>HHV 6 QNT</t>
  </si>
  <si>
    <t>0070187794</t>
  </si>
  <si>
    <t>0070187828</t>
  </si>
  <si>
    <t>INFECT AGNT NOS AMP PRB/16</t>
  </si>
  <si>
    <t>0070187836</t>
  </si>
  <si>
    <t>INFECT AGNT NOS AMP PRB/22</t>
  </si>
  <si>
    <t>0070187844</t>
  </si>
  <si>
    <t>INFECT AGNT NOS QUANT/6</t>
  </si>
  <si>
    <t>0070187851</t>
  </si>
  <si>
    <t>INFECT AGNT NOS QUANT/5</t>
  </si>
  <si>
    <t>0070187869</t>
  </si>
  <si>
    <t>MULTI ORGANISMS AMP PRB</t>
  </si>
  <si>
    <t>0070187893</t>
  </si>
  <si>
    <t>INFECT AGNT NOS DIR OPT</t>
  </si>
  <si>
    <t>0070190038</t>
  </si>
  <si>
    <t>UNLISTED MISCELLANEOUS</t>
  </si>
  <si>
    <t>UNLISTED MISC</t>
  </si>
  <si>
    <t>0070190616</t>
  </si>
  <si>
    <t>CYTOMEGALOVIRUS AB</t>
  </si>
  <si>
    <t>CMV AB</t>
  </si>
  <si>
    <t>0070192133</t>
  </si>
  <si>
    <t>JAK2 VARIANT</t>
  </si>
  <si>
    <t>0070193560</t>
  </si>
  <si>
    <t>TISS CULT INOC/OBSERV/5</t>
  </si>
  <si>
    <t>0070193586</t>
  </si>
  <si>
    <t>0070193602</t>
  </si>
  <si>
    <t>TISS CULT ADD STUDIES/2</t>
  </si>
  <si>
    <t>0070194253</t>
  </si>
  <si>
    <t>CYTOMEGALOVIRUS AB/2</t>
  </si>
  <si>
    <t>CMV AB/2</t>
  </si>
  <si>
    <t>0070194311</t>
  </si>
  <si>
    <t>EPSTEIN-BARR VIRUS VCA AB/2</t>
  </si>
  <si>
    <t>EB VIRUS VCA AB</t>
  </si>
  <si>
    <t>0070194337</t>
  </si>
  <si>
    <t>EPSTEIN-BARR VIRUS EA AB</t>
  </si>
  <si>
    <t>EB VIRUS EA AB</t>
  </si>
  <si>
    <t>0070194345</t>
  </si>
  <si>
    <t>EPSTEIN-BARR VIRUS NA AB</t>
  </si>
  <si>
    <t>EB VIRUS NA AB</t>
  </si>
  <si>
    <t>0070199005</t>
  </si>
  <si>
    <t>0070199013</t>
  </si>
  <si>
    <t>0070199021</t>
  </si>
  <si>
    <t>ANTI C1 ANTIBODY</t>
  </si>
  <si>
    <t>ANTI C1 ANTIBOD</t>
  </si>
  <si>
    <t>0070199039</t>
  </si>
  <si>
    <t>RESP VIRUS 12-25 AMP PROBE/3</t>
  </si>
  <si>
    <t>0070199047</t>
  </si>
  <si>
    <t>21 HYDROXYLASE AB</t>
  </si>
  <si>
    <t xml:space="preserve">21 HYDROXYLASE </t>
  </si>
  <si>
    <t>0070199054</t>
  </si>
  <si>
    <t>ZIKA VIRUS AMP PROBE</t>
  </si>
  <si>
    <t xml:space="preserve">ZIKA VIRUS AMP </t>
  </si>
  <si>
    <t>0070199062</t>
  </si>
  <si>
    <t>0070199203</t>
  </si>
  <si>
    <t>VERY LNG CHN FATTY ACID</t>
  </si>
  <si>
    <t>LNG CHN FAT ACI</t>
  </si>
  <si>
    <t>0070200373</t>
  </si>
  <si>
    <t>URINE W/O MICRO AUTO</t>
  </si>
  <si>
    <t>UR WO MICRO AUT</t>
  </si>
  <si>
    <t>0070200381</t>
  </si>
  <si>
    <t>LAMOTRIGINE QUANT</t>
  </si>
  <si>
    <t>0070200407</t>
  </si>
  <si>
    <t>HEPARIN ASSAY/2</t>
  </si>
  <si>
    <t>0070200639</t>
  </si>
  <si>
    <t>HEMGLBN METHEMOGLBN QUAN</t>
  </si>
  <si>
    <t>METHEMOGLB QUAN</t>
  </si>
  <si>
    <t>0070201017</t>
  </si>
  <si>
    <t>0070201025</t>
  </si>
  <si>
    <t>0070203005</t>
  </si>
  <si>
    <t>0070203294</t>
  </si>
  <si>
    <t>SALICYLATE</t>
  </si>
  <si>
    <t>0070203450</t>
  </si>
  <si>
    <t>BARBITURATE</t>
  </si>
  <si>
    <t>0070203484</t>
  </si>
  <si>
    <t>TACROLIMUS</t>
  </si>
  <si>
    <t>0070203542</t>
  </si>
  <si>
    <t>0070203658</t>
  </si>
  <si>
    <t>OXYCODONE/METABOLITE</t>
  </si>
  <si>
    <t>OXYCODONE/METAB</t>
  </si>
  <si>
    <t>0070203674</t>
  </si>
  <si>
    <t>PROPOXYPHENE QNT</t>
  </si>
  <si>
    <t>PROPOXYPHENE QN</t>
  </si>
  <si>
    <t>0070203682</t>
  </si>
  <si>
    <t>SEDATIVE HYPNOTICS</t>
  </si>
  <si>
    <t>SEDATIVE HYPNOT</t>
  </si>
  <si>
    <t>0070220157</t>
  </si>
  <si>
    <t>0070220553</t>
  </si>
  <si>
    <t>0070220561</t>
  </si>
  <si>
    <t>ALCOHOLS/2</t>
  </si>
  <si>
    <t>0070220629</t>
  </si>
  <si>
    <t>0070221247</t>
  </si>
  <si>
    <t>0070221858</t>
  </si>
  <si>
    <t>0070222088</t>
  </si>
  <si>
    <t>BARBITURATE/3</t>
  </si>
  <si>
    <t>0070223078</t>
  </si>
  <si>
    <t>0070223128</t>
  </si>
  <si>
    <t>0070223755</t>
  </si>
  <si>
    <t>CARBON MONOXIDE QUAN</t>
  </si>
  <si>
    <t>CARBON MON QUAN</t>
  </si>
  <si>
    <t>0070225156</t>
  </si>
  <si>
    <t>0070225339</t>
  </si>
  <si>
    <t>0070225701</t>
  </si>
  <si>
    <t>0070226113</t>
  </si>
  <si>
    <t>0070226139</t>
  </si>
  <si>
    <t>CYCLOSPORINE</t>
  </si>
  <si>
    <t>0070226436</t>
  </si>
  <si>
    <t>0070226600</t>
  </si>
  <si>
    <t>0070226618</t>
  </si>
  <si>
    <t>0070227269</t>
  </si>
  <si>
    <t>0070227319</t>
  </si>
  <si>
    <t>0070227459</t>
  </si>
  <si>
    <t>0070229463</t>
  </si>
  <si>
    <t>0070236617</t>
  </si>
  <si>
    <t>FETAL LUNG MAT L/S RATIO</t>
  </si>
  <si>
    <t>L/S RATIO QUANT</t>
  </si>
  <si>
    <t>0070237250</t>
  </si>
  <si>
    <t>0070237318</t>
  </si>
  <si>
    <t>0070238423</t>
  </si>
  <si>
    <t>0070238605</t>
  </si>
  <si>
    <t>METHOTREXATE</t>
  </si>
  <si>
    <t>0070239280</t>
  </si>
  <si>
    <t>OPIATES/2</t>
  </si>
  <si>
    <t>0070239306</t>
  </si>
  <si>
    <t>0070239355</t>
  </si>
  <si>
    <t>0070239926</t>
  </si>
  <si>
    <t>0070240205</t>
  </si>
  <si>
    <t>0070240817</t>
  </si>
  <si>
    <t>PHOSPHATIDYLGYCEROL</t>
  </si>
  <si>
    <t>PHOSPHATDYLGYCR</t>
  </si>
  <si>
    <t>0070241427</t>
  </si>
  <si>
    <t>PROCAINAMIDE</t>
  </si>
  <si>
    <t>0070241435</t>
  </si>
  <si>
    <t>N-ACETYL-PROCAINAMIDE</t>
  </si>
  <si>
    <t>NAPA</t>
  </si>
  <si>
    <t>0070241583</t>
  </si>
  <si>
    <t>0070241807</t>
  </si>
  <si>
    <t>PROTEIN URINE/2</t>
  </si>
  <si>
    <t>0070241955</t>
  </si>
  <si>
    <t>0070242300</t>
  </si>
  <si>
    <t>QUINIDINE</t>
  </si>
  <si>
    <t>0070243035</t>
  </si>
  <si>
    <t>0070244439</t>
  </si>
  <si>
    <t>0070246251</t>
  </si>
  <si>
    <t>0070250253</t>
  </si>
  <si>
    <t>0070252101</t>
  </si>
  <si>
    <t>0070252200</t>
  </si>
  <si>
    <t>0070252309</t>
  </si>
  <si>
    <t>0070252317</t>
  </si>
  <si>
    <t>CLOT FCTR VIII RELATE AG</t>
  </si>
  <si>
    <t>CLOT FCTR VIII</t>
  </si>
  <si>
    <t>0070252408</t>
  </si>
  <si>
    <t>0070252457</t>
  </si>
  <si>
    <t>0070252473</t>
  </si>
  <si>
    <t>FCTR VIII VW MLT CO-FCTR</t>
  </si>
  <si>
    <t>FCT VIII VW MLT</t>
  </si>
  <si>
    <t>0070252507</t>
  </si>
  <si>
    <t>0070252606</t>
  </si>
  <si>
    <t>0070252705</t>
  </si>
  <si>
    <t>0070252804</t>
  </si>
  <si>
    <t>0070252911</t>
  </si>
  <si>
    <t>0070253711</t>
  </si>
  <si>
    <t>FDP/FSP QUANT</t>
  </si>
  <si>
    <t>0070253794</t>
  </si>
  <si>
    <t>0070253844</t>
  </si>
  <si>
    <t>0070255203</t>
  </si>
  <si>
    <t>0070255773</t>
  </si>
  <si>
    <t>0070255781</t>
  </si>
  <si>
    <t>0070255807</t>
  </si>
  <si>
    <t>0070256102</t>
  </si>
  <si>
    <t>0070256706</t>
  </si>
  <si>
    <t>0070261516</t>
  </si>
  <si>
    <t>0070270855</t>
  </si>
  <si>
    <t>0070272059</t>
  </si>
  <si>
    <t>0070283452</t>
  </si>
  <si>
    <t>0070283502</t>
  </si>
  <si>
    <t>IMMUNOFLR AB ADDL STAIN</t>
  </si>
  <si>
    <t>IMNFLR ADL STN</t>
  </si>
  <si>
    <t>0070287172</t>
  </si>
  <si>
    <t>TISSUE GRIND FOR CULTURE</t>
  </si>
  <si>
    <t>0070299003</t>
  </si>
  <si>
    <t>0070300769</t>
  </si>
  <si>
    <t>0070300785</t>
  </si>
  <si>
    <t>INSITU 1ST PRB CMPT ASSI</t>
  </si>
  <si>
    <t>MORPH CMPT ASST</t>
  </si>
  <si>
    <t>0070300793</t>
  </si>
  <si>
    <t>INSITU 1ST PRB MANUAL</t>
  </si>
  <si>
    <t>MORPH ANL MANL</t>
  </si>
  <si>
    <t>0070300835</t>
  </si>
  <si>
    <t>TUMOR IMM PER SPEC MAN</t>
  </si>
  <si>
    <t>AB STN MANUAL</t>
  </si>
  <si>
    <t>0070310016</t>
  </si>
  <si>
    <t>TARGT SEQ ANLYS 5-50</t>
  </si>
  <si>
    <t>GEN SEQ 5-50</t>
  </si>
  <si>
    <t>0070310057</t>
  </si>
  <si>
    <t>TARGT SEQ ANLYS 5-50 /2</t>
  </si>
  <si>
    <t>GEN SEQ 5-50 /2</t>
  </si>
  <si>
    <t>0070312061</t>
  </si>
  <si>
    <t>0070312079</t>
  </si>
  <si>
    <t>BCR/ABL 1 MINOR BREAKPNT</t>
  </si>
  <si>
    <t>BCR/ABL 1 MINOR</t>
  </si>
  <si>
    <t>0070312103</t>
  </si>
  <si>
    <t>0070312350</t>
  </si>
  <si>
    <t>EGFR COMMON VARIANTS</t>
  </si>
  <si>
    <t>EGFR COM VAR</t>
  </si>
  <si>
    <t>0070312459</t>
  </si>
  <si>
    <t>FLT3 GENE ANALYSIS</t>
  </si>
  <si>
    <t>FLT3 GENE ANLS</t>
  </si>
  <si>
    <t>0070312467</t>
  </si>
  <si>
    <t>FLT3 GENE ANALYSIS TKD</t>
  </si>
  <si>
    <t>FLT3 GENE ANALY</t>
  </si>
  <si>
    <t>0070313101</t>
  </si>
  <si>
    <t>NPM1 EXON 12 VARIANTS</t>
  </si>
  <si>
    <t>NPM1 EXN 12 VAR</t>
  </si>
  <si>
    <t>0070314026</t>
  </si>
  <si>
    <t>0070314034</t>
  </si>
  <si>
    <t>0070314505</t>
  </si>
  <si>
    <t>TARGT SEQ ANLYS 5-50 /3</t>
  </si>
  <si>
    <t>GEN SEQ 5-50 /3</t>
  </si>
  <si>
    <t>0070314794</t>
  </si>
  <si>
    <t>0070321880</t>
  </si>
  <si>
    <t>MLH1 GENE</t>
  </si>
  <si>
    <t>0070380092</t>
  </si>
  <si>
    <t>INSIT MLTIPLX STAIN CMPT/2</t>
  </si>
  <si>
    <t>MLTPLX STAIN EA</t>
  </si>
  <si>
    <t>0070382338</t>
  </si>
  <si>
    <t>TISSUE CULTURE SKIN/BIOPSY</t>
  </si>
  <si>
    <t>TISS CULT SKIN/</t>
  </si>
  <si>
    <t>0070382353</t>
  </si>
  <si>
    <t>TISSUE CULTURE PLACENTA</t>
  </si>
  <si>
    <t>TISS CULT PLACE</t>
  </si>
  <si>
    <t>0070382395</t>
  </si>
  <si>
    <t>TISS CULT SOLID TUMOR</t>
  </si>
  <si>
    <t>TISS CULT TUMOR</t>
  </si>
  <si>
    <t>0070382411</t>
  </si>
  <si>
    <t>TISSUE CULT BONE MARROW</t>
  </si>
  <si>
    <t>TISS CULT F/BN</t>
  </si>
  <si>
    <t>0070382627</t>
  </si>
  <si>
    <t>CHRM ANAL 15-20 CELL W/BND</t>
  </si>
  <si>
    <t>CHRM ANAL 15-20</t>
  </si>
  <si>
    <t>0070382643</t>
  </si>
  <si>
    <t>CHRM ANAL 20-25 CELLS</t>
  </si>
  <si>
    <t>CHRM ANAL 20-25</t>
  </si>
  <si>
    <t>0070382759</t>
  </si>
  <si>
    <t>CHRM ANAL 5 CELL W/BND</t>
  </si>
  <si>
    <t>CHRM ANAL 5 CEL</t>
  </si>
  <si>
    <t>0070382809</t>
  </si>
  <si>
    <t>CHROMO ADD KARYOTYPES EA/2</t>
  </si>
  <si>
    <t>CHROMO ANALADD/</t>
  </si>
  <si>
    <t>0070382858</t>
  </si>
  <si>
    <t>CHROMOSOME ADD CELL CT EA</t>
  </si>
  <si>
    <t>CHRM AN ADD CEL</t>
  </si>
  <si>
    <t>0070383153</t>
  </si>
  <si>
    <t>0070383252</t>
  </si>
  <si>
    <t>CNSLT/RPT REFRD MATERIAL</t>
  </si>
  <si>
    <t>CNSL/RPT REF MA</t>
  </si>
  <si>
    <t>0070383393</t>
  </si>
  <si>
    <t>IMMUNOCYTO EA ADD AB STN/2</t>
  </si>
  <si>
    <t>IMM EA ADD AB/2</t>
  </si>
  <si>
    <t>0070383427</t>
  </si>
  <si>
    <t>0070383740</t>
  </si>
  <si>
    <t>INSIT MLTIPLX STAIN CMPT</t>
  </si>
  <si>
    <t>0070388376</t>
  </si>
  <si>
    <t>EA MLTPLX STAIN MANUAL</t>
  </si>
  <si>
    <t>MLTPLX MANUAL</t>
  </si>
  <si>
    <t>0070392139</t>
  </si>
  <si>
    <t>0070400015</t>
  </si>
  <si>
    <t>0070400056</t>
  </si>
  <si>
    <t>NEWBORN SCREEN PN CALIFORNIA</t>
  </si>
  <si>
    <t>NBS SCREEN PN C</t>
  </si>
  <si>
    <t>0070422613</t>
  </si>
  <si>
    <t>BIOTINIDASE EA SPEC</t>
  </si>
  <si>
    <t>BIOTINIDASE EA</t>
  </si>
  <si>
    <t>0070427760</t>
  </si>
  <si>
    <t>GALAC-1-PUT-SCREEN</t>
  </si>
  <si>
    <t>G-1-PUT SCREEN</t>
  </si>
  <si>
    <t>0070430244</t>
  </si>
  <si>
    <t>0070434980</t>
  </si>
  <si>
    <t>0070435169</t>
  </si>
  <si>
    <t>IMMUNOREACT TRYPSINOGEN</t>
  </si>
  <si>
    <t>TRYPSINOGEN</t>
  </si>
  <si>
    <t>0070444435</t>
  </si>
  <si>
    <t>0070513734</t>
  </si>
  <si>
    <t>HLA I ONE LOCUS LOW</t>
  </si>
  <si>
    <t>HLA 1 LOCUS LOW</t>
  </si>
  <si>
    <t>0070556600</t>
  </si>
  <si>
    <t>0070560123</t>
  </si>
  <si>
    <t>PRETX RBC EA ABSRP</t>
  </si>
  <si>
    <t>PRE RBC ABSRP</t>
  </si>
  <si>
    <t>0070560198</t>
  </si>
  <si>
    <t>0070560222</t>
  </si>
  <si>
    <t>PLATELET AB/2</t>
  </si>
  <si>
    <t>0070560248</t>
  </si>
  <si>
    <t>0070560339</t>
  </si>
  <si>
    <t>0070560958</t>
  </si>
  <si>
    <t>0070561006</t>
  </si>
  <si>
    <t>0070561055</t>
  </si>
  <si>
    <t>0070562137</t>
  </si>
  <si>
    <t>PRETX RBC AB W/CHEM EA</t>
  </si>
  <si>
    <t>PRETX RBC AB W/</t>
  </si>
  <si>
    <t>0070568274</t>
  </si>
  <si>
    <t>HLA CLASS I&amp;II AB QUAL</t>
  </si>
  <si>
    <t xml:space="preserve">HLA CLASS I&amp;II </t>
  </si>
  <si>
    <t>0070568282</t>
  </si>
  <si>
    <t>HLA CLASS I&amp;II AB QUAL/2</t>
  </si>
  <si>
    <t>0070568324</t>
  </si>
  <si>
    <t>HLA CLASS I HIGH DEF</t>
  </si>
  <si>
    <t>HLA CLASS I</t>
  </si>
  <si>
    <t>0070568803</t>
  </si>
  <si>
    <t>COOMBS DIRECT EA/2</t>
  </si>
  <si>
    <t>COOMBS DIR EA/2</t>
  </si>
  <si>
    <t>0070568811</t>
  </si>
  <si>
    <t>COOMBS DIRECT EA/3</t>
  </si>
  <si>
    <t>COOMBS DIR EA/3</t>
  </si>
  <si>
    <t>0070569025</t>
  </si>
  <si>
    <t>0070569033</t>
  </si>
  <si>
    <t>BLD TYPE ANTIGEN DONOR EA/2</t>
  </si>
  <si>
    <t>0070569041</t>
  </si>
  <si>
    <t>BLD TYPE ANTIGEN DONOR EA/3</t>
  </si>
  <si>
    <t>0070569058</t>
  </si>
  <si>
    <t>BLD TYPE ANTIGEN DONOR EA/4</t>
  </si>
  <si>
    <t>0070569710</t>
  </si>
  <si>
    <t>PRETX RBC AB W/ENZYM EA</t>
  </si>
  <si>
    <t>PRE RBC AB W/EN</t>
  </si>
  <si>
    <t>0070569728</t>
  </si>
  <si>
    <t>PRETX RBC AB W/DENSITY</t>
  </si>
  <si>
    <t>PRE RBC AB W/DE</t>
  </si>
  <si>
    <t>0070569769</t>
  </si>
  <si>
    <t>PRETX RBC W/DILUTION</t>
  </si>
  <si>
    <t>PRE RBC W/DIL</t>
  </si>
  <si>
    <t>0070569777</t>
  </si>
  <si>
    <t>PRETX RBC S W/INHIB EA</t>
  </si>
  <si>
    <t>PRE RBC W/INHIB</t>
  </si>
  <si>
    <t>0070586904</t>
  </si>
  <si>
    <t>BLD TYPE PAT SERUM SCRN</t>
  </si>
  <si>
    <t xml:space="preserve">BLD TYPE PT SR </t>
  </si>
  <si>
    <t>0070590617</t>
  </si>
  <si>
    <t>CYTOMEGALOVIRUS AB/3</t>
  </si>
  <si>
    <t>CMV AB/3</t>
  </si>
  <si>
    <t>0070596192</t>
  </si>
  <si>
    <t>COOMBS INDIRECT EA AB TITR/2</t>
  </si>
  <si>
    <t>0070596283</t>
  </si>
  <si>
    <t>0070600309</t>
  </si>
  <si>
    <t>CYTO/MOLECULAR REPORT</t>
  </si>
  <si>
    <t xml:space="preserve">CYTO/MOLECULAR </t>
  </si>
  <si>
    <t>0070600341</t>
  </si>
  <si>
    <t>MOLECULAR PATH LEVEL 9</t>
  </si>
  <si>
    <t>MOLEC PATH LV9</t>
  </si>
  <si>
    <t>0070600556</t>
  </si>
  <si>
    <t>FMR1 CHARACTER ALLELES/2</t>
  </si>
  <si>
    <t>FMR1 ALLELES/2</t>
  </si>
  <si>
    <t>0070600788</t>
  </si>
  <si>
    <t>0070612205</t>
  </si>
  <si>
    <t>CFTR COMMON VARIANTS</t>
  </si>
  <si>
    <t>CFTR COMMON VAR</t>
  </si>
  <si>
    <t>0070612296</t>
  </si>
  <si>
    <t>CYTOGEN VARIANT CHROME</t>
  </si>
  <si>
    <t>CYTOGEN VARIANT</t>
  </si>
  <si>
    <t>0070612445</t>
  </si>
  <si>
    <t>FMR1 CHARACTER ALLELES</t>
  </si>
  <si>
    <t>FMR1 ALLELES</t>
  </si>
  <si>
    <t>0070612700</t>
  </si>
  <si>
    <t>0070613310</t>
  </si>
  <si>
    <t>SNRPN/UBE3A METHYLATION</t>
  </si>
  <si>
    <t>SNRPN/UBE3A ANL</t>
  </si>
  <si>
    <t>0070614011</t>
  </si>
  <si>
    <t>MOLECULAR PATH LEVEL 2</t>
  </si>
  <si>
    <t>MOLEC PATH LV2</t>
  </si>
  <si>
    <t>0070620422</t>
  </si>
  <si>
    <t>0070620893</t>
  </si>
  <si>
    <t>0070621040</t>
  </si>
  <si>
    <t>0070621354</t>
  </si>
  <si>
    <t>ALA(DELTA AMINOLVLN ACID</t>
  </si>
  <si>
    <t>ALA</t>
  </si>
  <si>
    <t>0070621529</t>
  </si>
  <si>
    <t>0070621784</t>
  </si>
  <si>
    <t>HEAVY METAL QUAL</t>
  </si>
  <si>
    <t>HEAVY METAL QL</t>
  </si>
  <si>
    <t>0070623087</t>
  </si>
  <si>
    <t>0070623806</t>
  </si>
  <si>
    <t>CAROTENE</t>
  </si>
  <si>
    <t>0070626320</t>
  </si>
  <si>
    <t>DEHYDROEPIANDRSTRONE</t>
  </si>
  <si>
    <t>DHEA</t>
  </si>
  <si>
    <t>0070626528</t>
  </si>
  <si>
    <t>0070626783</t>
  </si>
  <si>
    <t>ESTRONE</t>
  </si>
  <si>
    <t>0070629555</t>
  </si>
  <si>
    <t>0070630512</t>
  </si>
  <si>
    <t>HEMOGLOBIN PLASMA</t>
  </si>
  <si>
    <t>HEMOGLOB PLASMA</t>
  </si>
  <si>
    <t>0070634985</t>
  </si>
  <si>
    <t>0070635149</t>
  </si>
  <si>
    <t>0070635214</t>
  </si>
  <si>
    <t>0070638747</t>
  </si>
  <si>
    <t>0070638754</t>
  </si>
  <si>
    <t>MYOGLOBIN/2</t>
  </si>
  <si>
    <t>0070638846</t>
  </si>
  <si>
    <t>NEPHELOMETRY EA ANALYTE</t>
  </si>
  <si>
    <t>NEPHELOMTRY EA</t>
  </si>
  <si>
    <t>0070639059</t>
  </si>
  <si>
    <t>0070639257</t>
  </si>
  <si>
    <t>0070639786</t>
  </si>
  <si>
    <t>0070641105</t>
  </si>
  <si>
    <t>PORPHOBILINOGEN URINE QN</t>
  </si>
  <si>
    <t xml:space="preserve">PORPHOBILIN UR </t>
  </si>
  <si>
    <t>0070641865</t>
  </si>
  <si>
    <t>PROTEIN WESTERN BLOT/2</t>
  </si>
  <si>
    <t>PROTN WEST BLOT</t>
  </si>
  <si>
    <t>0070642079</t>
  </si>
  <si>
    <t>0070642400</t>
  </si>
  <si>
    <t>TSH RECEPTOR AB</t>
  </si>
  <si>
    <t>TSH RECEPT AB</t>
  </si>
  <si>
    <t>0070644422</t>
  </si>
  <si>
    <t>TBG-THYROXINE BND GLOBLN</t>
  </si>
  <si>
    <t>TBG</t>
  </si>
  <si>
    <t>0070644448</t>
  </si>
  <si>
    <t>0070645882</t>
  </si>
  <si>
    <t>0070645908</t>
  </si>
  <si>
    <t>0070645957</t>
  </si>
  <si>
    <t>0070658208</t>
  </si>
  <si>
    <t>VISCOSITY</t>
  </si>
  <si>
    <t>0070660402</t>
  </si>
  <si>
    <t>0070660493</t>
  </si>
  <si>
    <t>0070660527</t>
  </si>
  <si>
    <t>HELICOBACTER PYLORI AB</t>
  </si>
  <si>
    <t>0070660758</t>
  </si>
  <si>
    <t>0070661673</t>
  </si>
  <si>
    <t>GLOMULAR AB</t>
  </si>
  <si>
    <t>ANTIGLOMULAR AB</t>
  </si>
  <si>
    <t>0070661681</t>
  </si>
  <si>
    <t>0070661723</t>
  </si>
  <si>
    <t>0070661764</t>
  </si>
  <si>
    <t>0070661780</t>
  </si>
  <si>
    <t>LEPTOSPIRA AB</t>
  </si>
  <si>
    <t>0070661814</t>
  </si>
  <si>
    <t>MYCOPLASMA AB</t>
  </si>
  <si>
    <t>0070661913</t>
  </si>
  <si>
    <t>ENTEROVIRUS AB/2</t>
  </si>
  <si>
    <t>0070662077</t>
  </si>
  <si>
    <t>INFLUENZA VIRUS AB/2</t>
  </si>
  <si>
    <t>0070662085</t>
  </si>
  <si>
    <t>INFLUENZA VIRUS AB/3</t>
  </si>
  <si>
    <t>0070662176</t>
  </si>
  <si>
    <t>0070662291</t>
  </si>
  <si>
    <t>0070662432</t>
  </si>
  <si>
    <t>ADRENAL ANTIBODIES</t>
  </si>
  <si>
    <t>ADRENAL AB</t>
  </si>
  <si>
    <t>0070662465</t>
  </si>
  <si>
    <t>PARVOVIRUS AB</t>
  </si>
  <si>
    <t>0070662473</t>
  </si>
  <si>
    <t>PARVOVIRUS AB/2</t>
  </si>
  <si>
    <t>0070662531</t>
  </si>
  <si>
    <t>VARICELLA ZOSTER AB</t>
  </si>
  <si>
    <t>0070663828</t>
  </si>
  <si>
    <t>0070663869</t>
  </si>
  <si>
    <t>CARDIOLIPIN AB EA IG/4</t>
  </si>
  <si>
    <t>0070666854</t>
  </si>
  <si>
    <t>0070669072</t>
  </si>
  <si>
    <t>ASPERGILLUS AB</t>
  </si>
  <si>
    <t>0070669114</t>
  </si>
  <si>
    <t>0070679121</t>
  </si>
  <si>
    <t>0070682307</t>
  </si>
  <si>
    <t>TISSUE CULTURE LYMPHOCYTE</t>
  </si>
  <si>
    <t>TISS CULT LYMPH</t>
  </si>
  <si>
    <t>0070682315</t>
  </si>
  <si>
    <t>TISSUE CULTURE LYMPHOCYTE/2</t>
  </si>
  <si>
    <t>0070682323</t>
  </si>
  <si>
    <t>0070682364</t>
  </si>
  <si>
    <t>0070682737</t>
  </si>
  <si>
    <t>MOLEC CYTOGEN CHRM 10-30</t>
  </si>
  <si>
    <t>CYTOGEN CHRM 10</t>
  </si>
  <si>
    <t>0070682802</t>
  </si>
  <si>
    <t>CHROMO ADD KARYOTYPES EA</t>
  </si>
  <si>
    <t>CHROMO ANALADD</t>
  </si>
  <si>
    <t>0070682851</t>
  </si>
  <si>
    <t>0070682893</t>
  </si>
  <si>
    <t>CHROMO HI RESOLUTION ADDL</t>
  </si>
  <si>
    <t>CHROMO HI RESOL</t>
  </si>
  <si>
    <t>0070686704</t>
  </si>
  <si>
    <t>0070686746</t>
  </si>
  <si>
    <t>0070686761</t>
  </si>
  <si>
    <t>ENDOMYSIAL AB</t>
  </si>
  <si>
    <t>ANTI ENDOMYSIAL</t>
  </si>
  <si>
    <t>0070688304</t>
  </si>
  <si>
    <t>MOLECULR CYTO DNA PRB EA</t>
  </si>
  <si>
    <t>MOL CYTO DNA</t>
  </si>
  <si>
    <t>0070698097</t>
  </si>
  <si>
    <t>0070700323</t>
  </si>
  <si>
    <t>ELECTRON MICROSCOPY DIAG/3</t>
  </si>
  <si>
    <t>ELECTRON MICROS</t>
  </si>
  <si>
    <t>0070700331</t>
  </si>
  <si>
    <t>HISTOCHEM STN W/FRZ SECT/2</t>
  </si>
  <si>
    <t>HISTO STN ZFRZ/</t>
  </si>
  <si>
    <t>0070700349</t>
  </si>
  <si>
    <t>ELECTRON MICROSCOPY DIAG/4</t>
  </si>
  <si>
    <t>0070700836</t>
  </si>
  <si>
    <t>0070731666</t>
  </si>
  <si>
    <t>0070751037</t>
  </si>
  <si>
    <t>0070783055</t>
  </si>
  <si>
    <t>SURGICAL PATH LEVEL IV/2</t>
  </si>
  <si>
    <t>0070783121</t>
  </si>
  <si>
    <t>0070783147</t>
  </si>
  <si>
    <t>0070783154</t>
  </si>
  <si>
    <t>0070783162</t>
  </si>
  <si>
    <t>SPEC STAINS GROUP II/2</t>
  </si>
  <si>
    <t>0070783196</t>
  </si>
  <si>
    <t>SPECIAL STAIN ID ENZYM</t>
  </si>
  <si>
    <t>SPECIAL STAIN C</t>
  </si>
  <si>
    <t>0070783311</t>
  </si>
  <si>
    <t>0070783337</t>
  </si>
  <si>
    <t>0070783451</t>
  </si>
  <si>
    <t>IMMUNOFLOR 1ST AB PER SPEC/2</t>
  </si>
  <si>
    <t>0070783469</t>
  </si>
  <si>
    <t>IMMUNOFLOR 1ST AB PER SPEC/3</t>
  </si>
  <si>
    <t>0070783493</t>
  </si>
  <si>
    <t>0070783519</t>
  </si>
  <si>
    <t>0070783618</t>
  </si>
  <si>
    <t>ELECTRON MICROSCOPY DIAG</t>
  </si>
  <si>
    <t>0070783659</t>
  </si>
  <si>
    <t>IN SITU EA PRB PER SPEC</t>
  </si>
  <si>
    <t>INSITU 1ST PRB</t>
  </si>
  <si>
    <t>0070788344</t>
  </si>
  <si>
    <t>ELECTRON MICROSCOPY DIAG/2</t>
  </si>
  <si>
    <t>0070788351</t>
  </si>
  <si>
    <t>IMMUNOCYTO EA ADD AB STN</t>
  </si>
  <si>
    <t>IMM EA ADD AB</t>
  </si>
  <si>
    <t>0070839170</t>
  </si>
  <si>
    <t>0070839345</t>
  </si>
  <si>
    <t>0070860002</t>
  </si>
  <si>
    <t>0070860010</t>
  </si>
  <si>
    <t>PARTICLE AGGLUT AB EA</t>
  </si>
  <si>
    <t>0070863279</t>
  </si>
  <si>
    <t>0070864020</t>
  </si>
  <si>
    <t>PARTICLE AGGLUT AB EA/2</t>
  </si>
  <si>
    <t>0070864038</t>
  </si>
  <si>
    <t>PARTICLE AGGLUT AB EA/3</t>
  </si>
  <si>
    <t>0070864046</t>
  </si>
  <si>
    <t>PARTICLE AGGLUT AB EA/4</t>
  </si>
  <si>
    <t>0070864749</t>
  </si>
  <si>
    <t>AGGLUTININS FEBRIL EA AG/2</t>
  </si>
  <si>
    <t>0070867890</t>
  </si>
  <si>
    <t>COLORADO TICK FEVER AB</t>
  </si>
  <si>
    <t>COLORADO TICK F</t>
  </si>
  <si>
    <t>0070871850</t>
  </si>
  <si>
    <t>0070871868</t>
  </si>
  <si>
    <t>0070875562</t>
  </si>
  <si>
    <t>0070887799</t>
  </si>
  <si>
    <t>0070926621</t>
  </si>
  <si>
    <t>0070935226</t>
  </si>
  <si>
    <t>0070935234</t>
  </si>
  <si>
    <t>14-3-3 PROTEIN</t>
  </si>
  <si>
    <t>0070935242</t>
  </si>
  <si>
    <t>ANTI MUPP44</t>
  </si>
  <si>
    <t>0070955984</t>
  </si>
  <si>
    <t>PHOSPHOLP NEUT HEXAGONAL</t>
  </si>
  <si>
    <t>NEUTRLZTN HEX</t>
  </si>
  <si>
    <t>0070956107</t>
  </si>
  <si>
    <t>0070956149</t>
  </si>
  <si>
    <t>0070956701</t>
  </si>
  <si>
    <t>0070957311</t>
  </si>
  <si>
    <t>0070961453</t>
  </si>
  <si>
    <t>CARDIOLIPIN AB EA IG</t>
  </si>
  <si>
    <t>0070961487</t>
  </si>
  <si>
    <t>0070962360</t>
  </si>
  <si>
    <t>0070962378</t>
  </si>
  <si>
    <t>0070962386</t>
  </si>
  <si>
    <t>0070962873</t>
  </si>
  <si>
    <t>0070963046</t>
  </si>
  <si>
    <t>0070965926</t>
  </si>
  <si>
    <t>0070966361</t>
  </si>
  <si>
    <t>0070982590</t>
  </si>
  <si>
    <t>CRYOCRIT QUAL/SEMI QNT</t>
  </si>
  <si>
    <t>0070985619</t>
  </si>
  <si>
    <t>0070986039</t>
  </si>
  <si>
    <t>0070986047</t>
  </si>
  <si>
    <t>0070986146</t>
  </si>
  <si>
    <t>0070986153</t>
  </si>
  <si>
    <t>ANTIPHOSPHATIDYLSERINE AB</t>
  </si>
  <si>
    <t>ANTIPHOSPHAT AB</t>
  </si>
  <si>
    <t>0070986161</t>
  </si>
  <si>
    <t>0070986245</t>
  </si>
  <si>
    <t>0070986252</t>
  </si>
  <si>
    <t>FLUORESCENT AB TITER EA</t>
  </si>
  <si>
    <t>0070986294</t>
  </si>
  <si>
    <t>0070986377</t>
  </si>
  <si>
    <t>0070986385</t>
  </si>
  <si>
    <t>0070986393</t>
  </si>
  <si>
    <t>0070986435</t>
  </si>
  <si>
    <t>0071014799</t>
  </si>
  <si>
    <t>0071041826</t>
  </si>
  <si>
    <t>0071060081</t>
  </si>
  <si>
    <t>0071182307</t>
  </si>
  <si>
    <t>0071182315</t>
  </si>
  <si>
    <t>0071182331</t>
  </si>
  <si>
    <t>TISSUE CULTURE SKIN/BIOPSY/2</t>
  </si>
  <si>
    <t>0071182372</t>
  </si>
  <si>
    <t>TISSUE CULT BONE MARROW/2</t>
  </si>
  <si>
    <t>TISS CULT F/BN/</t>
  </si>
  <si>
    <t>0071182539</t>
  </si>
  <si>
    <t>0071182547</t>
  </si>
  <si>
    <t>0071182620</t>
  </si>
  <si>
    <t>CHRM ANAL 15-20 CELL W/BND/2</t>
  </si>
  <si>
    <t>0071182737</t>
  </si>
  <si>
    <t>0071182794</t>
  </si>
  <si>
    <t>MOLECULR CYTO DNA PRB EA/2</t>
  </si>
  <si>
    <t>MOL CYTO DNA/2</t>
  </si>
  <si>
    <t>0071182828</t>
  </si>
  <si>
    <t>0071182893</t>
  </si>
  <si>
    <t>0071188239</t>
  </si>
  <si>
    <t>0071200091</t>
  </si>
  <si>
    <t>0071200760</t>
  </si>
  <si>
    <t>FLOW CYTO ADD MARKER</t>
  </si>
  <si>
    <t>0071200786</t>
  </si>
  <si>
    <t>0071200794</t>
  </si>
  <si>
    <t>0071200836</t>
  </si>
  <si>
    <t>0071212062</t>
  </si>
  <si>
    <t>0071212351</t>
  </si>
  <si>
    <t>0071212450</t>
  </si>
  <si>
    <t>0071212468</t>
  </si>
  <si>
    <t>0071212617</t>
  </si>
  <si>
    <t>IGH GENE ANLS AMP METHOD</t>
  </si>
  <si>
    <t>IGH AMP METHOD</t>
  </si>
  <si>
    <t>0071212708</t>
  </si>
  <si>
    <t>0071212757</t>
  </si>
  <si>
    <t>0071213102</t>
  </si>
  <si>
    <t>0071213425</t>
  </si>
  <si>
    <t>T CELL AG RECEPTOR GAMMA</t>
  </si>
  <si>
    <t>T CELL AG GAMA</t>
  </si>
  <si>
    <t>0071224901</t>
  </si>
  <si>
    <t>0071250971</t>
  </si>
  <si>
    <t>BONE MARROW SMEAR INTRP</t>
  </si>
  <si>
    <t>BN M SMR INTRP</t>
  </si>
  <si>
    <t>0071271894</t>
  </si>
  <si>
    <t>FLOW CYTO INTERP 9-15 MARK</t>
  </si>
  <si>
    <t xml:space="preserve">FLOW CYTO 9-15 </t>
  </si>
  <si>
    <t>0071276232</t>
  </si>
  <si>
    <t>HPV 16 18 45</t>
  </si>
  <si>
    <t>0071276240</t>
  </si>
  <si>
    <t>HPV LOW RISK</t>
  </si>
  <si>
    <t>0071276257</t>
  </si>
  <si>
    <t>HPV HIGH RISK</t>
  </si>
  <si>
    <t>0071281877</t>
  </si>
  <si>
    <t>FLOW CYTO INTERP 2-8 MARK</t>
  </si>
  <si>
    <t>FLOW CYTO 2-8 M</t>
  </si>
  <si>
    <t>0071281893</t>
  </si>
  <si>
    <t>FLOW CYTO INTERP 16+ MARK</t>
  </si>
  <si>
    <t>FLOW CYTO 16+ M</t>
  </si>
  <si>
    <t>0071282305</t>
  </si>
  <si>
    <t>0071282362</t>
  </si>
  <si>
    <t>0071282396</t>
  </si>
  <si>
    <t>0071282552</t>
  </si>
  <si>
    <t>0071282644</t>
  </si>
  <si>
    <t>0071282677</t>
  </si>
  <si>
    <t>CHRM ANAL AMNIOTIC/VILL</t>
  </si>
  <si>
    <t>CHRM AMNIOTIC/V</t>
  </si>
  <si>
    <t>0071282784</t>
  </si>
  <si>
    <t>0071282792</t>
  </si>
  <si>
    <t>0071282859</t>
  </si>
  <si>
    <t>0071283303</t>
  </si>
  <si>
    <t>0071283337</t>
  </si>
  <si>
    <t>0071283428</t>
  </si>
  <si>
    <t>0071283436</t>
  </si>
  <si>
    <t>0071283626</t>
  </si>
  <si>
    <t>TUMOR IMM PER SPEC COMPT</t>
  </si>
  <si>
    <t>AB STN COMT AST</t>
  </si>
  <si>
    <t>0071283642</t>
  </si>
  <si>
    <t>INSITU EA ADD SNGL PROBE</t>
  </si>
  <si>
    <t>INSITU AD PRB</t>
  </si>
  <si>
    <t>0071283659</t>
  </si>
  <si>
    <t>0071283683</t>
  </si>
  <si>
    <t>INSITU EA MULTIPLEX STN</t>
  </si>
  <si>
    <t>INSITU MLPLX</t>
  </si>
  <si>
    <t>0071283733</t>
  </si>
  <si>
    <t>INSIT E ADD PRB CMP ASST</t>
  </si>
  <si>
    <t>MORPH AD EA PRB</t>
  </si>
  <si>
    <t>0071283741</t>
  </si>
  <si>
    <t>0071283774</t>
  </si>
  <si>
    <t>0071283790</t>
  </si>
  <si>
    <t>INSITU ADD PROBE MANUAL</t>
  </si>
  <si>
    <t>MORPH AD PRB</t>
  </si>
  <si>
    <t>0071298095</t>
  </si>
  <si>
    <t>0071302558</t>
  </si>
  <si>
    <t>TAU PROTEIN</t>
  </si>
  <si>
    <t>0071302566</t>
  </si>
  <si>
    <t>AMYLOID BETA</t>
  </si>
  <si>
    <t>AMYLD BETA</t>
  </si>
  <si>
    <t>0071464812</t>
  </si>
  <si>
    <t>TB TEST CELL SUSPENSION</t>
  </si>
  <si>
    <t>TB CELL SUSPEND</t>
  </si>
  <si>
    <t>0071483465</t>
  </si>
  <si>
    <t>0071483523</t>
  </si>
  <si>
    <t>0071483622</t>
  </si>
  <si>
    <t>0071483689</t>
  </si>
  <si>
    <t>0071562557</t>
  </si>
  <si>
    <t>PARANEOPLASTIC AB</t>
  </si>
  <si>
    <t xml:space="preserve">PARANEOPLASTIC </t>
  </si>
  <si>
    <t>0071563415</t>
  </si>
  <si>
    <t>0071583546</t>
  </si>
  <si>
    <t>0071603708</t>
  </si>
  <si>
    <t>MERCAPTOPURINE</t>
  </si>
  <si>
    <t>0071613822</t>
  </si>
  <si>
    <t>HLA II ONE LOCUS HIGH</t>
  </si>
  <si>
    <t>HLA II HIGH</t>
  </si>
  <si>
    <t>0071614010</t>
  </si>
  <si>
    <t>0071614796</t>
  </si>
  <si>
    <t>0071623243</t>
  </si>
  <si>
    <t>GLIADIAN ANTIBODY</t>
  </si>
  <si>
    <t>GLIADIAN AB</t>
  </si>
  <si>
    <t>0071623979</t>
  </si>
  <si>
    <t>0071625446</t>
  </si>
  <si>
    <t>0071626576</t>
  </si>
  <si>
    <t>ENZYME ACTIVITY NES</t>
  </si>
  <si>
    <t>ENZYME ACT NES</t>
  </si>
  <si>
    <t>0071627301</t>
  </si>
  <si>
    <t>CHROM/MASS SPEC NES QL/2</t>
  </si>
  <si>
    <t>CHRM/MASS NES/2</t>
  </si>
  <si>
    <t>0071635122</t>
  </si>
  <si>
    <t>0071635619</t>
  </si>
  <si>
    <t>TISS TRANSGLUTAMINASE AB</t>
  </si>
  <si>
    <t>TRANSGLUTAMINAS</t>
  </si>
  <si>
    <t>0071660393</t>
  </si>
  <si>
    <t>0071672323</t>
  </si>
  <si>
    <t>GLIADIAN ANTIBODY/2</t>
  </si>
  <si>
    <t>GLIADIAN AB/2</t>
  </si>
  <si>
    <t>0071683411</t>
  </si>
  <si>
    <t>0071683460</t>
  </si>
  <si>
    <t>0071683510</t>
  </si>
  <si>
    <t>0071683528</t>
  </si>
  <si>
    <t>0071683536</t>
  </si>
  <si>
    <t>IMMUNOFLR AB ADDL STAIN/2</t>
  </si>
  <si>
    <t>IMNFLR ADL STN/</t>
  </si>
  <si>
    <t>0071683726</t>
  </si>
  <si>
    <t>ANTI SACCH QUANT</t>
  </si>
  <si>
    <t>ANTI SACC</t>
  </si>
  <si>
    <t>0071683767</t>
  </si>
  <si>
    <t>ANTI SACCH QUANT/3</t>
  </si>
  <si>
    <t>ANTI SACC/3</t>
  </si>
  <si>
    <t>0071683775</t>
  </si>
  <si>
    <t>ANTI SACCH QUANT/4</t>
  </si>
  <si>
    <t>ANTI SACC/4</t>
  </si>
  <si>
    <t>0071683783</t>
  </si>
  <si>
    <t>ANTI-NEUTROPHL QNT/2</t>
  </si>
  <si>
    <t xml:space="preserve">ANTI-NEUTROPHL </t>
  </si>
  <si>
    <t>0071683791</t>
  </si>
  <si>
    <t>ANTI OMPC/2</t>
  </si>
  <si>
    <t>0071700017</t>
  </si>
  <si>
    <t>COVID 19 CDC</t>
  </si>
  <si>
    <t>0071771067</t>
  </si>
  <si>
    <t>0071771182</t>
  </si>
  <si>
    <t>CULT MYCOBACTERIAL EA ISOL</t>
  </si>
  <si>
    <t>CULT MYCOBACT E</t>
  </si>
  <si>
    <t>0071775563</t>
  </si>
  <si>
    <t>0071787105</t>
  </si>
  <si>
    <t>0071800023</t>
  </si>
  <si>
    <t>0071800031</t>
  </si>
  <si>
    <t>0071800049</t>
  </si>
  <si>
    <t>0071800056</t>
  </si>
  <si>
    <t>0071800064</t>
  </si>
  <si>
    <t>0071800072</t>
  </si>
  <si>
    <t>HLA CLASS I HIGH DEF QL</t>
  </si>
  <si>
    <t>0071800080</t>
  </si>
  <si>
    <t>0071800114</t>
  </si>
  <si>
    <t>PRETRTMNT RBC AB DETECT/2</t>
  </si>
  <si>
    <t>PRE RBC AB DETC</t>
  </si>
  <si>
    <t>0071800304</t>
  </si>
  <si>
    <t>BLD TYPE ANTIGEN DONOR EA/7</t>
  </si>
  <si>
    <t>0071860118</t>
  </si>
  <si>
    <t>AB ID LEUKOCYTE AB</t>
  </si>
  <si>
    <t>AB ID LEUKOCYTE</t>
  </si>
  <si>
    <t>0071860126</t>
  </si>
  <si>
    <t>0071860167</t>
  </si>
  <si>
    <t>0071860191</t>
  </si>
  <si>
    <t>0071860241</t>
  </si>
  <si>
    <t>0071860266</t>
  </si>
  <si>
    <t>0071860316</t>
  </si>
  <si>
    <t>0071860738</t>
  </si>
  <si>
    <t>0071860803</t>
  </si>
  <si>
    <t>0071860951</t>
  </si>
  <si>
    <t>0071861009</t>
  </si>
  <si>
    <t>0071861058</t>
  </si>
  <si>
    <t>BLD TYP PH PHEN</t>
  </si>
  <si>
    <t>0071861223</t>
  </si>
  <si>
    <t>0071862130</t>
  </si>
  <si>
    <t>0071869028</t>
  </si>
  <si>
    <t>0071869416</t>
  </si>
  <si>
    <t>HEMO &amp; AGGLU INCUBATED</t>
  </si>
  <si>
    <t>HEMO/AGGLU INCU</t>
  </si>
  <si>
    <t>0071869721</t>
  </si>
  <si>
    <t>0071869762</t>
  </si>
  <si>
    <t>0071886154</t>
  </si>
  <si>
    <t>0071886816</t>
  </si>
  <si>
    <t>HLA TYPING ABC MULTI AG</t>
  </si>
  <si>
    <t>0071886949</t>
  </si>
  <si>
    <t>HEMO &amp; AGGLU AUTO SCR EA</t>
  </si>
  <si>
    <t>HEMO/AGGLU AUTO</t>
  </si>
  <si>
    <t>0071896245</t>
  </si>
  <si>
    <t>0071899009</t>
  </si>
  <si>
    <t>BLD TYPE ANTIGEN DONOR EA/5</t>
  </si>
  <si>
    <t>0071899017</t>
  </si>
  <si>
    <t>BLD TYPE ANTIGEN DONOR EA/6</t>
  </si>
  <si>
    <t>0071960124</t>
  </si>
  <si>
    <t>0071960165</t>
  </si>
  <si>
    <t>0071960199</t>
  </si>
  <si>
    <t>0071960249</t>
  </si>
  <si>
    <t>0071960256</t>
  </si>
  <si>
    <t>ANTIBDY IDENT RBC EA PNL/2</t>
  </si>
  <si>
    <t>AB RBC EA PNL/2</t>
  </si>
  <si>
    <t>0071960272</t>
  </si>
  <si>
    <t>0071960314</t>
  </si>
  <si>
    <t>0071960462</t>
  </si>
  <si>
    <t>ANTIBDY IDENT RBC EA PNL/3</t>
  </si>
  <si>
    <t>AB RBC EA PNL/3</t>
  </si>
  <si>
    <t>0071960801</t>
  </si>
  <si>
    <t>0071961007</t>
  </si>
  <si>
    <t>0071969026</t>
  </si>
  <si>
    <t>0071969067</t>
  </si>
  <si>
    <t>0071986905</t>
  </si>
  <si>
    <t>0071986913</t>
  </si>
  <si>
    <t>0072500051</t>
  </si>
  <si>
    <t>MOLEC CYTOGEN INTPHS 25-99</t>
  </si>
  <si>
    <t>CYTOGEN INTPH 2</t>
  </si>
  <si>
    <t>0072500085</t>
  </si>
  <si>
    <t>ADALIMUMAB</t>
  </si>
  <si>
    <t>0072500101</t>
  </si>
  <si>
    <t>CHRM ANAL 45 CELL W/BND</t>
  </si>
  <si>
    <t>CHRM ANAL 45 W/</t>
  </si>
  <si>
    <t>0072500168</t>
  </si>
  <si>
    <t>0072500184</t>
  </si>
  <si>
    <t>NAT KILLER CELL TOT CNT</t>
  </si>
  <si>
    <t>NK CELLS T CNT</t>
  </si>
  <si>
    <t>0072500408</t>
  </si>
  <si>
    <t>LAMICTAL QUANT</t>
  </si>
  <si>
    <t>0072500432</t>
  </si>
  <si>
    <t>0072500457</t>
  </si>
  <si>
    <t>IA NFCT AB SARSCOV2 MULT</t>
  </si>
  <si>
    <t xml:space="preserve">IA AB SARSCOV2 </t>
  </si>
  <si>
    <t>0072500507</t>
  </si>
  <si>
    <t>0072500515</t>
  </si>
  <si>
    <t>IA NFCT AB SARSCOV2 MULT/2</t>
  </si>
  <si>
    <t>0072500523</t>
  </si>
  <si>
    <t>IA NFCT AB SARSCOV2 MULT/3</t>
  </si>
  <si>
    <t>0072500606</t>
  </si>
  <si>
    <t>0072500747</t>
  </si>
  <si>
    <t>0072500762</t>
  </si>
  <si>
    <t>0072500994</t>
  </si>
  <si>
    <t>0072501018</t>
  </si>
  <si>
    <t>0072501828</t>
  </si>
  <si>
    <t>0072502016</t>
  </si>
  <si>
    <t>UNLISTED MOLEC PROC/4</t>
  </si>
  <si>
    <t>UNLIST MOLEC/4</t>
  </si>
  <si>
    <t>0072502032</t>
  </si>
  <si>
    <t>0072502354</t>
  </si>
  <si>
    <t>NOS IMMUNOASSAY NON-RIA/5</t>
  </si>
  <si>
    <t>0072502503</t>
  </si>
  <si>
    <t>0072502545</t>
  </si>
  <si>
    <t>SIROLIMUS</t>
  </si>
  <si>
    <t>0072502552</t>
  </si>
  <si>
    <t>LIVER DS ALYS 3 BMRK SRM ALG</t>
  </si>
  <si>
    <t>LIVER DS ALYS 3</t>
  </si>
  <si>
    <t>0072502842</t>
  </si>
  <si>
    <t>AMIODARONE</t>
  </si>
  <si>
    <t>0072502925</t>
  </si>
  <si>
    <t>0072503006</t>
  </si>
  <si>
    <t>FLECAINIDE/2</t>
  </si>
  <si>
    <t>0072503170</t>
  </si>
  <si>
    <t>OXCARBAZEPINE/2</t>
  </si>
  <si>
    <t>0072503311</t>
  </si>
  <si>
    <t>DRUG TEST PRSMV CHEM ANLYZR/27</t>
  </si>
  <si>
    <t>0072503493</t>
  </si>
  <si>
    <t>ANTIEPILEPTIC NOS 1-3/5</t>
  </si>
  <si>
    <t>0072504111</t>
  </si>
  <si>
    <t>GC DNA AMP PROBE/3</t>
  </si>
  <si>
    <t>0072504137</t>
  </si>
  <si>
    <t>NV ORTHOPOX VIR DNA AMP PROBE</t>
  </si>
  <si>
    <t>NV ORTHOPOX DNA</t>
  </si>
  <si>
    <t>0072505167</t>
  </si>
  <si>
    <t>ACTIN SMOOTH MUSCLE AB</t>
  </si>
  <si>
    <t>ACTIN SM MUS AB</t>
  </si>
  <si>
    <t>0072512106</t>
  </si>
  <si>
    <t>0072512353</t>
  </si>
  <si>
    <t>0072512601</t>
  </si>
  <si>
    <t>0072512759</t>
  </si>
  <si>
    <t>KRAS GENE VARIANTS EXON 2/2</t>
  </si>
  <si>
    <t>0072512767</t>
  </si>
  <si>
    <t>KRAS GENE VARIANTS EXON 2/3</t>
  </si>
  <si>
    <t>0072512882</t>
  </si>
  <si>
    <t>0072512924</t>
  </si>
  <si>
    <t>0072513021</t>
  </si>
  <si>
    <t>0072513112</t>
  </si>
  <si>
    <t>NRAS VARIANT EXON 2-3</t>
  </si>
  <si>
    <t>NRAS VARIANT</t>
  </si>
  <si>
    <t>0072513401</t>
  </si>
  <si>
    <t>FENTANYL/2</t>
  </si>
  <si>
    <t>0072513500</t>
  </si>
  <si>
    <t>UGT1A1 COMMON VARIANT</t>
  </si>
  <si>
    <t>0072513518</t>
  </si>
  <si>
    <t>0072514037</t>
  </si>
  <si>
    <t>MOLECULAR PATH LEVEL 4/2</t>
  </si>
  <si>
    <t>MOLEC PATH LV4/</t>
  </si>
  <si>
    <t>0072514797</t>
  </si>
  <si>
    <t>0072514821</t>
  </si>
  <si>
    <t>0072514854</t>
  </si>
  <si>
    <t>0072515968</t>
  </si>
  <si>
    <t>NFCT DS CHRNC HCV 6 ASSAYS</t>
  </si>
  <si>
    <t xml:space="preserve">NFCT CHRNC HCV </t>
  </si>
  <si>
    <t>0072520059</t>
  </si>
  <si>
    <t>0072520240</t>
  </si>
  <si>
    <t>0072520281</t>
  </si>
  <si>
    <t>0072520406</t>
  </si>
  <si>
    <t>0072520430</t>
  </si>
  <si>
    <t>0072520471</t>
  </si>
  <si>
    <t>MICRO ALBUMIN URINE QNT/3</t>
  </si>
  <si>
    <t>0072520786</t>
  </si>
  <si>
    <t>ALCOHOLS/4</t>
  </si>
  <si>
    <t>0072520851</t>
  </si>
  <si>
    <t>0072520877</t>
  </si>
  <si>
    <t>0072520893</t>
  </si>
  <si>
    <t>0072521107</t>
  </si>
  <si>
    <t>0072521115</t>
  </si>
  <si>
    <t>0072521149</t>
  </si>
  <si>
    <t>0072521255</t>
  </si>
  <si>
    <t>ORGANIC ACID SNG QNT</t>
  </si>
  <si>
    <t>0072521354</t>
  </si>
  <si>
    <t>ALA DELTA AMINOLVLN ACID</t>
  </si>
  <si>
    <t>0072521578</t>
  </si>
  <si>
    <t>ANDROSTENEDIONE</t>
  </si>
  <si>
    <t>0072521586</t>
  </si>
  <si>
    <t>0072521644</t>
  </si>
  <si>
    <t>0072521651</t>
  </si>
  <si>
    <t>ANGIOTENSIN CONV ENZYME/2</t>
  </si>
  <si>
    <t>0072521743</t>
  </si>
  <si>
    <t>APOLIPOPROTEIN/3</t>
  </si>
  <si>
    <t>APOLIPOPROTEIN/</t>
  </si>
  <si>
    <t>0072521750</t>
  </si>
  <si>
    <t>0072521768</t>
  </si>
  <si>
    <t>APOLIPOPROTEIN/4</t>
  </si>
  <si>
    <t>0072521800</t>
  </si>
  <si>
    <t>0072522311</t>
  </si>
  <si>
    <t>0072522329</t>
  </si>
  <si>
    <t>0072522410</t>
  </si>
  <si>
    <t>BILE ACIDS TOTAL/2</t>
  </si>
  <si>
    <t>BILE ACIDS TOT/</t>
  </si>
  <si>
    <t>0072522501</t>
  </si>
  <si>
    <t>0072523061</t>
  </si>
  <si>
    <t>0072523087</t>
  </si>
  <si>
    <t>0072523103</t>
  </si>
  <si>
    <t>CALCIUM/2</t>
  </si>
  <si>
    <t>0072523228</t>
  </si>
  <si>
    <t>0072523418</t>
  </si>
  <si>
    <t>0072523426</t>
  </si>
  <si>
    <t>CALCIUM URINE QUAN/3</t>
  </si>
  <si>
    <t>0072523608</t>
  </si>
  <si>
    <t>CALCULUS QUAN</t>
  </si>
  <si>
    <t>CALCULUS QN</t>
  </si>
  <si>
    <t>0072523657</t>
  </si>
  <si>
    <t>CALCULUS INFRARED SPCTRO</t>
  </si>
  <si>
    <t>0072523798</t>
  </si>
  <si>
    <t>CARNITINE</t>
  </si>
  <si>
    <t>0072523848</t>
  </si>
  <si>
    <t>CATCHOL FRAC</t>
  </si>
  <si>
    <t>0072523855</t>
  </si>
  <si>
    <t>0072523863</t>
  </si>
  <si>
    <t>CATECHOLAMINES FRAC/3</t>
  </si>
  <si>
    <t>CATCHOL FRAC/3</t>
  </si>
  <si>
    <t>0072523905</t>
  </si>
  <si>
    <t>0072523962</t>
  </si>
  <si>
    <t>CHEMILUMNESCENT ASY</t>
  </si>
  <si>
    <t>0072523970</t>
  </si>
  <si>
    <t>CHEMILUMINESCENT ASY/2</t>
  </si>
  <si>
    <t>0072523996</t>
  </si>
  <si>
    <t>IA TUMOR AG NES QUAN</t>
  </si>
  <si>
    <t>0072524028</t>
  </si>
  <si>
    <t>CHEMILUMINESCENT ASY/4</t>
  </si>
  <si>
    <t>0072524366</t>
  </si>
  <si>
    <t>0072525090</t>
  </si>
  <si>
    <t>CITRATE/2</t>
  </si>
  <si>
    <t>0072525116</t>
  </si>
  <si>
    <t>0072525173</t>
  </si>
  <si>
    <t>11-DEOXYXORTISL</t>
  </si>
  <si>
    <t>11-DEOXYCORTISL</t>
  </si>
  <si>
    <t>0072525223</t>
  </si>
  <si>
    <t>0072525256</t>
  </si>
  <si>
    <t>0072525348</t>
  </si>
  <si>
    <t>0072525355</t>
  </si>
  <si>
    <t>CORTISOL FREE/3</t>
  </si>
  <si>
    <t>0072525363</t>
  </si>
  <si>
    <t>CORTISOL TOTAL/5</t>
  </si>
  <si>
    <t>CORTISL TOTAL/5</t>
  </si>
  <si>
    <t>0072525710</t>
  </si>
  <si>
    <t>0072525744</t>
  </si>
  <si>
    <t>CREATININE OTHR SRCE/5</t>
  </si>
  <si>
    <t>0072526007</t>
  </si>
  <si>
    <t>0072526312</t>
  </si>
  <si>
    <t>DEHYDROEPIANDRST SULFATE</t>
  </si>
  <si>
    <t>DHEA-S</t>
  </si>
  <si>
    <t>0072526320</t>
  </si>
  <si>
    <t>0072526528</t>
  </si>
  <si>
    <t>CRYOCRIT QUAL/SEMI QNT/3</t>
  </si>
  <si>
    <t>0072526544</t>
  </si>
  <si>
    <t>FECAL ELASTASE EL1 QN</t>
  </si>
  <si>
    <t>FECAL ELAST QN</t>
  </si>
  <si>
    <t>0072526684</t>
  </si>
  <si>
    <t>0072526700</t>
  </si>
  <si>
    <t>0072526726</t>
  </si>
  <si>
    <t>ESTROGENS TOTAL</t>
  </si>
  <si>
    <t>0072526791</t>
  </si>
  <si>
    <t>ESTRONE/2</t>
  </si>
  <si>
    <t>0072526916</t>
  </si>
  <si>
    <t>0072527054</t>
  </si>
  <si>
    <t>0072527328</t>
  </si>
  <si>
    <t>PTT SUB EA FRACTION/2</t>
  </si>
  <si>
    <t>0072527476</t>
  </si>
  <si>
    <t>0072527856</t>
  </si>
  <si>
    <t>0072527880</t>
  </si>
  <si>
    <t>0072527898</t>
  </si>
  <si>
    <t>IMMUNOGLOB SUBCLASS EA/2</t>
  </si>
  <si>
    <t>0072527906</t>
  </si>
  <si>
    <t>IMMUNOGLOB SUBCLASS EA/3</t>
  </si>
  <si>
    <t>0072527914</t>
  </si>
  <si>
    <t>IMMUNOGLOB SUBCLASS EA/4</t>
  </si>
  <si>
    <t>0072527930</t>
  </si>
  <si>
    <t>OVARIAN ASSAY TWO PROTNS</t>
  </si>
  <si>
    <t>OVARIAN RISK</t>
  </si>
  <si>
    <t>0072529340</t>
  </si>
  <si>
    <t>0072529415</t>
  </si>
  <si>
    <t>0072529431</t>
  </si>
  <si>
    <t>GLUCAGON</t>
  </si>
  <si>
    <t>0072529555</t>
  </si>
  <si>
    <t>0072529803</t>
  </si>
  <si>
    <t>0072529852</t>
  </si>
  <si>
    <t>0072529944</t>
  </si>
  <si>
    <t>0072530017</t>
  </si>
  <si>
    <t>0072530025</t>
  </si>
  <si>
    <t>0072530033</t>
  </si>
  <si>
    <t>0072530108</t>
  </si>
  <si>
    <t>0072530215</t>
  </si>
  <si>
    <t>0072530231</t>
  </si>
  <si>
    <t>0072530256</t>
  </si>
  <si>
    <t>INTERLEUKIN/2</t>
  </si>
  <si>
    <t>0072530702</t>
  </si>
  <si>
    <t>0072530892</t>
  </si>
  <si>
    <t>HOMOCYSTEINE QUANT/2</t>
  </si>
  <si>
    <t>0072531502</t>
  </si>
  <si>
    <t>0072534969</t>
  </si>
  <si>
    <t>SOLUABLE LIVER AG</t>
  </si>
  <si>
    <t>SLA</t>
  </si>
  <si>
    <t>0072534977</t>
  </si>
  <si>
    <t>HYDRXINDOL ACD5(HIAA)QT</t>
  </si>
  <si>
    <t>5HIAA QUANT</t>
  </si>
  <si>
    <t>0072534985</t>
  </si>
  <si>
    <t>HYDRXYPRGSTRONE 17-D/2</t>
  </si>
  <si>
    <t>HPS 17-D/2</t>
  </si>
  <si>
    <t>0072535040</t>
  </si>
  <si>
    <t>HEP C AMPLIFIED PROBE/2</t>
  </si>
  <si>
    <t>HEP C AMP PROBE</t>
  </si>
  <si>
    <t>0072535073</t>
  </si>
  <si>
    <t>HISTOPLASMA IA/2</t>
  </si>
  <si>
    <t>HISTOPLASMA IA/</t>
  </si>
  <si>
    <t>0072535081</t>
  </si>
  <si>
    <t>0072535123</t>
  </si>
  <si>
    <t>0072535131</t>
  </si>
  <si>
    <t>IG-E SERUM/3</t>
  </si>
  <si>
    <t>0072535149</t>
  </si>
  <si>
    <t>0072535156</t>
  </si>
  <si>
    <t>0072535214</t>
  </si>
  <si>
    <t>0072535222</t>
  </si>
  <si>
    <t>MITCHONDRIAL ANTIBODY/2</t>
  </si>
  <si>
    <t>MITOCHONDRIL AB</t>
  </si>
  <si>
    <t>0072535255</t>
  </si>
  <si>
    <t>INSULIN TOTAL</t>
  </si>
  <si>
    <t>0072535263</t>
  </si>
  <si>
    <t>0072535297</t>
  </si>
  <si>
    <t>TRYPTASE LEVEL</t>
  </si>
  <si>
    <t>0072535388</t>
  </si>
  <si>
    <t>GLUTAMIC ACID AB</t>
  </si>
  <si>
    <t>0072535396</t>
  </si>
  <si>
    <t>0072535420</t>
  </si>
  <si>
    <t>INSULIN GF BINDING PROTEIN/2</t>
  </si>
  <si>
    <t>INSULIN GFBP/2</t>
  </si>
  <si>
    <t>0072535438</t>
  </si>
  <si>
    <t>0072535479</t>
  </si>
  <si>
    <t>INSULIN GF BINDING PROTEIN/4</t>
  </si>
  <si>
    <t>INSULIN GFBP/4</t>
  </si>
  <si>
    <t>0072535495</t>
  </si>
  <si>
    <t>INTERLEUKIN/4</t>
  </si>
  <si>
    <t>0072535545</t>
  </si>
  <si>
    <t>0072535628</t>
  </si>
  <si>
    <t>TISS TRANSGLUTAMINASE AB/2</t>
  </si>
  <si>
    <t>0072535644</t>
  </si>
  <si>
    <t>GAMMAGLOBULIN EA/10</t>
  </si>
  <si>
    <t>GAMAGLOB EA/10</t>
  </si>
  <si>
    <t>0072535677</t>
  </si>
  <si>
    <t>MYELOPEROXIDASE (MPO) AB</t>
  </si>
  <si>
    <t>MYELOPERX AB</t>
  </si>
  <si>
    <t>0072535735</t>
  </si>
  <si>
    <t>MELANOCYTE STIM HORMONE</t>
  </si>
  <si>
    <t>MSH</t>
  </si>
  <si>
    <t>0072535792</t>
  </si>
  <si>
    <t>INHIBIN B</t>
  </si>
  <si>
    <t>0072535800</t>
  </si>
  <si>
    <t>0072535818</t>
  </si>
  <si>
    <t>ACHR ANTIBODY/2</t>
  </si>
  <si>
    <t>ACHR AB/2</t>
  </si>
  <si>
    <t>0072535966</t>
  </si>
  <si>
    <t>0072536154</t>
  </si>
  <si>
    <t>0072536162</t>
  </si>
  <si>
    <t>0072536253</t>
  </si>
  <si>
    <t>0072536303</t>
  </si>
  <si>
    <t>0072536311</t>
  </si>
  <si>
    <t>LACTOFERRIN FECAL QNT</t>
  </si>
  <si>
    <t>LACTOFERRIN QNT</t>
  </si>
  <si>
    <t>0072536550</t>
  </si>
  <si>
    <t>LEAD QUANTITATIVE</t>
  </si>
  <si>
    <t>LEAD QUAN</t>
  </si>
  <si>
    <t>0072536667</t>
  </si>
  <si>
    <t>LEAD QUANTITATIVE/5</t>
  </si>
  <si>
    <t>LEAD QUAN/5</t>
  </si>
  <si>
    <t>0072536915</t>
  </si>
  <si>
    <t>LIPASE/2</t>
  </si>
  <si>
    <t>0072537046</t>
  </si>
  <si>
    <t>0072537145</t>
  </si>
  <si>
    <t>LIPO ULTRCNTRFGTN/QUAN</t>
  </si>
  <si>
    <t>LIPO ULTRCNT QU</t>
  </si>
  <si>
    <t>0072537160</t>
  </si>
  <si>
    <t>LIPOPROTEIN (A)</t>
  </si>
  <si>
    <t>0072537376</t>
  </si>
  <si>
    <t>MAGNESIUM/2</t>
  </si>
  <si>
    <t>0072537384</t>
  </si>
  <si>
    <t>DRUG TEST PRSMV CHEM ANLYZR/38</t>
  </si>
  <si>
    <t>0072538259</t>
  </si>
  <si>
    <t>MERCURY QUANTITATIVE</t>
  </si>
  <si>
    <t>MERCURY QUANT</t>
  </si>
  <si>
    <t>0072538366</t>
  </si>
  <si>
    <t>METANEPHRINES</t>
  </si>
  <si>
    <t>0072538382</t>
  </si>
  <si>
    <t>0072538689</t>
  </si>
  <si>
    <t>A-2 MACROGLOBULIN</t>
  </si>
  <si>
    <t>A-2 MACROGLOBLN</t>
  </si>
  <si>
    <t>0072538747</t>
  </si>
  <si>
    <t>0072538754</t>
  </si>
  <si>
    <t>0072538762</t>
  </si>
  <si>
    <t>MYCOPLASMA AMP PROBE/3</t>
  </si>
  <si>
    <t>0072538838</t>
  </si>
  <si>
    <t>0072538846</t>
  </si>
  <si>
    <t>0072538879</t>
  </si>
  <si>
    <t>ALKALOIDS NOS/2</t>
  </si>
  <si>
    <t>0072538887</t>
  </si>
  <si>
    <t>0072538895</t>
  </si>
  <si>
    <t>KAPPA LAMBDA LT CHN QUAN/3</t>
  </si>
  <si>
    <t>0072539026</t>
  </si>
  <si>
    <t>0072539059</t>
  </si>
  <si>
    <t>0072539257</t>
  </si>
  <si>
    <t>0072539265</t>
  </si>
  <si>
    <t>OPIATES/3</t>
  </si>
  <si>
    <t>0072539331</t>
  </si>
  <si>
    <t>0072539349</t>
  </si>
  <si>
    <t>HEP C QUANT/2</t>
  </si>
  <si>
    <t>0072539455</t>
  </si>
  <si>
    <t>OXALATE</t>
  </si>
  <si>
    <t>0072539562</t>
  </si>
  <si>
    <t>ONCOPROTEIN DCP</t>
  </si>
  <si>
    <t>0072539588</t>
  </si>
  <si>
    <t>OXALATE/2</t>
  </si>
  <si>
    <t>0072539596</t>
  </si>
  <si>
    <t>0072539760</t>
  </si>
  <si>
    <t>0072539794</t>
  </si>
  <si>
    <t>TISS TRANSGLUTAMINASE AB/5</t>
  </si>
  <si>
    <t>0072539802</t>
  </si>
  <si>
    <t>0072540016</t>
  </si>
  <si>
    <t>CALPROTECTIN FECAL</t>
  </si>
  <si>
    <t>CALPROTEC FECAL</t>
  </si>
  <si>
    <t>0072540453</t>
  </si>
  <si>
    <t>PHENYTOIN FREE</t>
  </si>
  <si>
    <t>0072540552</t>
  </si>
  <si>
    <t>MYCOPHENOLIC ACID</t>
  </si>
  <si>
    <t>MYCPHENOLC ACID</t>
  </si>
  <si>
    <t>0072540750</t>
  </si>
  <si>
    <t>0072540800</t>
  </si>
  <si>
    <t>0072541022</t>
  </si>
  <si>
    <t>0072541105</t>
  </si>
  <si>
    <t>0072541212</t>
  </si>
  <si>
    <t>PORPHYRINS URINE QN/FRACT/2</t>
  </si>
  <si>
    <t>PORPHYRNS UR QN</t>
  </si>
  <si>
    <t>0072541444</t>
  </si>
  <si>
    <t>0072541451</t>
  </si>
  <si>
    <t>0072541469</t>
  </si>
  <si>
    <t>0072541550</t>
  </si>
  <si>
    <t>0072541576</t>
  </si>
  <si>
    <t>0072541584</t>
  </si>
  <si>
    <t>0072541659</t>
  </si>
  <si>
    <t>0072541667</t>
  </si>
  <si>
    <t>0072541675</t>
  </si>
  <si>
    <t>PROTEIN ELCTRO OTHER FLUIDS</t>
  </si>
  <si>
    <t>PROTN ELCT OTHR</t>
  </si>
  <si>
    <t>0072541683</t>
  </si>
  <si>
    <t>PROTEIN ELCTRO OTHER FLUIDS/2</t>
  </si>
  <si>
    <t>0072541691</t>
  </si>
  <si>
    <t>PROTEIN ELCTRO OTHER FLUIDS/3</t>
  </si>
  <si>
    <t>0072541808</t>
  </si>
  <si>
    <t>PROTEIN URINE/4</t>
  </si>
  <si>
    <t>0072541832</t>
  </si>
  <si>
    <t>HELMINTH AB NES/2</t>
  </si>
  <si>
    <t>0072541923</t>
  </si>
  <si>
    <t>YO ANTIBODY SCRN</t>
  </si>
  <si>
    <t>YO AB SCREEN</t>
  </si>
  <si>
    <t>0072541931</t>
  </si>
  <si>
    <t>HU ANTIBODY SCREEN</t>
  </si>
  <si>
    <t>HU AB SCREEN</t>
  </si>
  <si>
    <t>0072541956</t>
  </si>
  <si>
    <t>0072542004</t>
  </si>
  <si>
    <t>0072542079</t>
  </si>
  <si>
    <t>0072542103</t>
  </si>
  <si>
    <t>0072542137</t>
  </si>
  <si>
    <t>0072542152</t>
  </si>
  <si>
    <t>GLIADIN AB/3</t>
  </si>
  <si>
    <t>0072542186</t>
  </si>
  <si>
    <t>0072542384</t>
  </si>
  <si>
    <t>VASOACTIVE INTST POLYPEP</t>
  </si>
  <si>
    <t>VIP</t>
  </si>
  <si>
    <t>0072542509</t>
  </si>
  <si>
    <t>0072542558</t>
  </si>
  <si>
    <t>SELENIUM</t>
  </si>
  <si>
    <t>0072542608</t>
  </si>
  <si>
    <t>0072543028</t>
  </si>
  <si>
    <t>SODIUM OTHER SOURCE/3</t>
  </si>
  <si>
    <t>0072543135</t>
  </si>
  <si>
    <t>0072543218</t>
  </si>
  <si>
    <t>PORPHYRINS</t>
  </si>
  <si>
    <t>0072543937</t>
  </si>
  <si>
    <t>SUGARS QUANT EA SPECIMEN</t>
  </si>
  <si>
    <t>SUGARS QNT</t>
  </si>
  <si>
    <t>0072544034</t>
  </si>
  <si>
    <t>0072544042</t>
  </si>
  <si>
    <t>0072544075</t>
  </si>
  <si>
    <t>TESTOSTERONE FREE</t>
  </si>
  <si>
    <t>TESTOSTERN FREE</t>
  </si>
  <si>
    <t>0072544232</t>
  </si>
  <si>
    <t>0072544299</t>
  </si>
  <si>
    <t>THIAMINE(VITAMIN B1)/2</t>
  </si>
  <si>
    <t>THIAMINE/2</t>
  </si>
  <si>
    <t>0072544323</t>
  </si>
  <si>
    <t>0072544364</t>
  </si>
  <si>
    <t>0072544422</t>
  </si>
  <si>
    <t>0072544448</t>
  </si>
  <si>
    <t>0072544463</t>
  </si>
  <si>
    <t>VITAMN E(TOCOPHRL ALPHA)</t>
  </si>
  <si>
    <t>VITAMIN E</t>
  </si>
  <si>
    <t>0072544513</t>
  </si>
  <si>
    <t>0072544521</t>
  </si>
  <si>
    <t>RECEPT ASSAY NON-ENDOCRN/3</t>
  </si>
  <si>
    <t>0072544539</t>
  </si>
  <si>
    <t>RECEPT ASSAY NON-ENDOCRN/4</t>
  </si>
  <si>
    <t>0072544604</t>
  </si>
  <si>
    <t>SGPT(ALT)</t>
  </si>
  <si>
    <t>0072544620</t>
  </si>
  <si>
    <t>0072544752</t>
  </si>
  <si>
    <t>0072544885</t>
  </si>
  <si>
    <t>TRYPSIN FECES QUAL</t>
  </si>
  <si>
    <t>TRYPSIN FECS QL</t>
  </si>
  <si>
    <t>0072545411</t>
  </si>
  <si>
    <t>0072545502</t>
  </si>
  <si>
    <t>0072545593</t>
  </si>
  <si>
    <t>0072545858</t>
  </si>
  <si>
    <t>0072545882</t>
  </si>
  <si>
    <t>0072545908</t>
  </si>
  <si>
    <t>0072545940</t>
  </si>
  <si>
    <t>0072545957</t>
  </si>
  <si>
    <t>VITAMIN D/25 HYDROXY/2</t>
  </si>
  <si>
    <t>0072545973</t>
  </si>
  <si>
    <t>VITAMIN K</t>
  </si>
  <si>
    <t>VIT K</t>
  </si>
  <si>
    <t>0072546310</t>
  </si>
  <si>
    <t>0072548985</t>
  </si>
  <si>
    <t>0072549009</t>
  </si>
  <si>
    <t>0072549058</t>
  </si>
  <si>
    <t>0072549983</t>
  </si>
  <si>
    <t>0072550148</t>
  </si>
  <si>
    <t>0072550411</t>
  </si>
  <si>
    <t>RBC AUTO</t>
  </si>
  <si>
    <t>0072552102</t>
  </si>
  <si>
    <t>0072552201</t>
  </si>
  <si>
    <t>0072552300</t>
  </si>
  <si>
    <t>0072552318</t>
  </si>
  <si>
    <t>CLOT FCTR VIII(AHG)1 STG/2</t>
  </si>
  <si>
    <t>0072552474</t>
  </si>
  <si>
    <t>0072552607</t>
  </si>
  <si>
    <t>0072552805</t>
  </si>
  <si>
    <t>0072553019</t>
  </si>
  <si>
    <t>0072553027</t>
  </si>
  <si>
    <t>PROTEIN C ANTIGEN</t>
  </si>
  <si>
    <t>PROTEIN C AG</t>
  </si>
  <si>
    <t>0072553043</t>
  </si>
  <si>
    <t>PROTEIN C ACTIVITY/2</t>
  </si>
  <si>
    <t>0072553050</t>
  </si>
  <si>
    <t>PROTEIN S TOTAL</t>
  </si>
  <si>
    <t>0072553076</t>
  </si>
  <si>
    <t>PROTEIN C RESIST</t>
  </si>
  <si>
    <t>PROTEIN C RES</t>
  </si>
  <si>
    <t>0072553084</t>
  </si>
  <si>
    <t>PROTEIN S FREE/3</t>
  </si>
  <si>
    <t>0072553092</t>
  </si>
  <si>
    <t>ANTITHROMBIN III ACTIVITY/2</t>
  </si>
  <si>
    <t>0072553621</t>
  </si>
  <si>
    <t>0072553845</t>
  </si>
  <si>
    <t>0072554280</t>
  </si>
  <si>
    <t>CHROM/MASS SPEC NES QL/22</t>
  </si>
  <si>
    <t>0072555360</t>
  </si>
  <si>
    <t>INTRINSIC FACTOR ANTIBDY</t>
  </si>
  <si>
    <t>INTRNSC FCTR AB</t>
  </si>
  <si>
    <t>0072555402</t>
  </si>
  <si>
    <t>LEUKOCYTE ALKA-PHSPHTASE</t>
  </si>
  <si>
    <t>LEUK ALK PHOSPH</t>
  </si>
  <si>
    <t>0072555469</t>
  </si>
  <si>
    <t>MURAMIDASE</t>
  </si>
  <si>
    <t>0072555592</t>
  </si>
  <si>
    <t>0072555980</t>
  </si>
  <si>
    <t>0072556053</t>
  </si>
  <si>
    <t>0072556103</t>
  </si>
  <si>
    <t>0072556137</t>
  </si>
  <si>
    <t>0072556152</t>
  </si>
  <si>
    <t>0072556178</t>
  </si>
  <si>
    <t>PTT SUB EA FRACTION/3</t>
  </si>
  <si>
    <t>0072556350</t>
  </si>
  <si>
    <t>0072556608</t>
  </si>
  <si>
    <t>0072556707</t>
  </si>
  <si>
    <t>THROMBIN TIME PLASMA/3</t>
  </si>
  <si>
    <t>0072557309</t>
  </si>
  <si>
    <t>0072560147</t>
  </si>
  <si>
    <t>0072560154</t>
  </si>
  <si>
    <t>0072560170</t>
  </si>
  <si>
    <t>0072560212</t>
  </si>
  <si>
    <t>0072560220</t>
  </si>
  <si>
    <t>0072560279</t>
  </si>
  <si>
    <t>PLATELET AB/6</t>
  </si>
  <si>
    <t>0072560428</t>
  </si>
  <si>
    <t>0072560436</t>
  </si>
  <si>
    <t>ANTINUCLEAR AB(ANA)/2</t>
  </si>
  <si>
    <t>0072560535</t>
  </si>
  <si>
    <t>ALLRGN SPEC IGE EA/22</t>
  </si>
  <si>
    <t>ALLG IGE EA/22</t>
  </si>
  <si>
    <t>0072560576</t>
  </si>
  <si>
    <t>0072560584</t>
  </si>
  <si>
    <t>ANTINUCLEAR AB(ANA)/3</t>
  </si>
  <si>
    <t>0072560600</t>
  </si>
  <si>
    <t>0072560642</t>
  </si>
  <si>
    <t>ALLRGN SPEC IGG EA/3</t>
  </si>
  <si>
    <t>ALLG IGG EA/3</t>
  </si>
  <si>
    <t>0072560675</t>
  </si>
  <si>
    <t>0072560683</t>
  </si>
  <si>
    <t>0072560741</t>
  </si>
  <si>
    <t>0072560766</t>
  </si>
  <si>
    <t>0072561152</t>
  </si>
  <si>
    <t>0072561160</t>
  </si>
  <si>
    <t>0072561368</t>
  </si>
  <si>
    <t>0072561426</t>
  </si>
  <si>
    <t>0072561434</t>
  </si>
  <si>
    <t>ANTIPHOSPHATIDYLSERINE AB/2</t>
  </si>
  <si>
    <t>0072561467</t>
  </si>
  <si>
    <t>BETA 2 GLYCOPROT I AB EA/4</t>
  </si>
  <si>
    <t>0072561525</t>
  </si>
  <si>
    <t>CELL ENUMERATION &amp; ID</t>
  </si>
  <si>
    <t>CELL ENUMERATIO</t>
  </si>
  <si>
    <t>0072561533</t>
  </si>
  <si>
    <t>GLIADIN AB/4</t>
  </si>
  <si>
    <t>0072561574</t>
  </si>
  <si>
    <t>0072561624</t>
  </si>
  <si>
    <t>0072561723</t>
  </si>
  <si>
    <t>0072561731</t>
  </si>
  <si>
    <t>CRYPTOCOCCIS AB</t>
  </si>
  <si>
    <t>0072561756</t>
  </si>
  <si>
    <t>0072561764</t>
  </si>
  <si>
    <t>0072561988</t>
  </si>
  <si>
    <t>0072562069</t>
  </si>
  <si>
    <t>0072562077</t>
  </si>
  <si>
    <t>0072562085</t>
  </si>
  <si>
    <t>0072562093</t>
  </si>
  <si>
    <t>INFLUENZA VIRUS AB/4</t>
  </si>
  <si>
    <t>0072562143</t>
  </si>
  <si>
    <t>0072562176</t>
  </si>
  <si>
    <t>0072562200</t>
  </si>
  <si>
    <t>0072562242</t>
  </si>
  <si>
    <t>0072562333</t>
  </si>
  <si>
    <t>NUCLEAR ANTIGEN AB/5</t>
  </si>
  <si>
    <t>NUCLEAR AG AB/5</t>
  </si>
  <si>
    <t>0072562374</t>
  </si>
  <si>
    <t>NUCLEAR ANTIGEN AB/9</t>
  </si>
  <si>
    <t>NUCLEAR AG AB/9</t>
  </si>
  <si>
    <t>0072562390</t>
  </si>
  <si>
    <t>NUCLEAR ANTIGEN AB/11</t>
  </si>
  <si>
    <t>0072562481</t>
  </si>
  <si>
    <t>0072562572</t>
  </si>
  <si>
    <t>0072562598</t>
  </si>
  <si>
    <t>0072562614</t>
  </si>
  <si>
    <t>FLUORESCENT AB TITER EA/14</t>
  </si>
  <si>
    <t>0072562663</t>
  </si>
  <si>
    <t>0072562713</t>
  </si>
  <si>
    <t>NUCLEAR ANTIGEN AB/15</t>
  </si>
  <si>
    <t>0072562739</t>
  </si>
  <si>
    <t>0072562754</t>
  </si>
  <si>
    <t>NUCLEAR ANTIGEN AB/17</t>
  </si>
  <si>
    <t>0072562879</t>
  </si>
  <si>
    <t>0072562895</t>
  </si>
  <si>
    <t>0072562911</t>
  </si>
  <si>
    <t>0072562937</t>
  </si>
  <si>
    <t>0072562945</t>
  </si>
  <si>
    <t>0072562960</t>
  </si>
  <si>
    <t>0072562978</t>
  </si>
  <si>
    <t>HEPATITIS DELTA AGENT AB</t>
  </si>
  <si>
    <t>HEP DELTA AB</t>
  </si>
  <si>
    <t>0072562986</t>
  </si>
  <si>
    <t>0072562994</t>
  </si>
  <si>
    <t>0072563034</t>
  </si>
  <si>
    <t>0072563042</t>
  </si>
  <si>
    <t>0072563083</t>
  </si>
  <si>
    <t>0072563166</t>
  </si>
  <si>
    <t>0072563190</t>
  </si>
  <si>
    <t>IA INFECT AGENT AB QN NOS/6</t>
  </si>
  <si>
    <t>0072563208</t>
  </si>
  <si>
    <t>IA INFECT AGENT AB QN NOS/7</t>
  </si>
  <si>
    <t>0072563224</t>
  </si>
  <si>
    <t>HTLV/HIV CONFIRM AB</t>
  </si>
  <si>
    <t>0072563232</t>
  </si>
  <si>
    <t>0072563240</t>
  </si>
  <si>
    <t>RUBELLA AB/2</t>
  </si>
  <si>
    <t>0072563331</t>
  </si>
  <si>
    <t>COMPLEMENT AG EA/11</t>
  </si>
  <si>
    <t>0072563372</t>
  </si>
  <si>
    <t>0072563380</t>
  </si>
  <si>
    <t>IMMUNODIFFUSION GEL QUAL/2</t>
  </si>
  <si>
    <t>IMMUNDIF GEL QL</t>
  </si>
  <si>
    <t>0072563406</t>
  </si>
  <si>
    <t>IMMUNOFIX ELECTRO SERUM/3</t>
  </si>
  <si>
    <t>I.F.E SERUM/3</t>
  </si>
  <si>
    <t>0072563414</t>
  </si>
  <si>
    <t>0072563463</t>
  </si>
  <si>
    <t>IMMUNODIFFUSION GEL QUAL/3</t>
  </si>
  <si>
    <t>0072563547</t>
  </si>
  <si>
    <t>INHIBIN A</t>
  </si>
  <si>
    <t>0072563596</t>
  </si>
  <si>
    <t>0072563604</t>
  </si>
  <si>
    <t>T CELLS T4/T8 INC RATIO</t>
  </si>
  <si>
    <t>0072563638</t>
  </si>
  <si>
    <t>0072563745</t>
  </si>
  <si>
    <t>0072563760</t>
  </si>
  <si>
    <t>MICROSOMAL ANTIBODY EA/4</t>
  </si>
  <si>
    <t>0072563786</t>
  </si>
  <si>
    <t>NUCLEAR ANTIGEN AB/20</t>
  </si>
  <si>
    <t>0072563828</t>
  </si>
  <si>
    <t>0072563851</t>
  </si>
  <si>
    <t>0072563869</t>
  </si>
  <si>
    <t>0072564305</t>
  </si>
  <si>
    <t>ISLET CELL ANTIBODY/5</t>
  </si>
  <si>
    <t>ISLET CELL AB/5</t>
  </si>
  <si>
    <t>0072564321</t>
  </si>
  <si>
    <t>0072564370</t>
  </si>
  <si>
    <t>0072564396</t>
  </si>
  <si>
    <t>RICKETTSIA AB/3</t>
  </si>
  <si>
    <t>0072564404</t>
  </si>
  <si>
    <t>RICKETTSIA AB/4</t>
  </si>
  <si>
    <t>0072564412</t>
  </si>
  <si>
    <t>RICKETTSIA AB/5</t>
  </si>
  <si>
    <t>0072564651</t>
  </si>
  <si>
    <t>ANTI-RI</t>
  </si>
  <si>
    <t>0072565419</t>
  </si>
  <si>
    <t>0072565922</t>
  </si>
  <si>
    <t>0072565930</t>
  </si>
  <si>
    <t>0072565948</t>
  </si>
  <si>
    <t>0072565963</t>
  </si>
  <si>
    <t>0072566011</t>
  </si>
  <si>
    <t>BACTERIUM AB NES</t>
  </si>
  <si>
    <t>0072566029</t>
  </si>
  <si>
    <t>ACTINOMYCES AB/3</t>
  </si>
  <si>
    <t>ACTINOMYCES AB/</t>
  </si>
  <si>
    <t>0072566037</t>
  </si>
  <si>
    <t>ACTINOMYCES AB/4</t>
  </si>
  <si>
    <t>0072566045</t>
  </si>
  <si>
    <t>ACTINOMYCES AB/5</t>
  </si>
  <si>
    <t>0072566060</t>
  </si>
  <si>
    <t>0072566110</t>
  </si>
  <si>
    <t>BARTONELLA AB/3</t>
  </si>
  <si>
    <t>0072566128</t>
  </si>
  <si>
    <t>BARTONELLA AB/4</t>
  </si>
  <si>
    <t>0072566136</t>
  </si>
  <si>
    <t>BARTONELLA AB/5</t>
  </si>
  <si>
    <t>0072566144</t>
  </si>
  <si>
    <t>BARTONELLA AB/6</t>
  </si>
  <si>
    <t>0072566177</t>
  </si>
  <si>
    <t>0072566219</t>
  </si>
  <si>
    <t>LYME DISEASE AB/5</t>
  </si>
  <si>
    <t>0072566243</t>
  </si>
  <si>
    <t>LYME DISEASE AB/6</t>
  </si>
  <si>
    <t>0072566250</t>
  </si>
  <si>
    <t>CAMPYLOBACTER AB</t>
  </si>
  <si>
    <t>CAMPYLOBACTER A</t>
  </si>
  <si>
    <t>0072566284</t>
  </si>
  <si>
    <t>BRUCELLA AB/2</t>
  </si>
  <si>
    <t>0072566292</t>
  </si>
  <si>
    <t>CHLAMYDIA IGM</t>
  </si>
  <si>
    <t>0072566300</t>
  </si>
  <si>
    <t>0072566318</t>
  </si>
  <si>
    <t>0072566326</t>
  </si>
  <si>
    <t>CHLAMYDIA IGM/2</t>
  </si>
  <si>
    <t>0072566359</t>
  </si>
  <si>
    <t>BRUCELLA AB/3</t>
  </si>
  <si>
    <t>0072566417</t>
  </si>
  <si>
    <t>0072566458</t>
  </si>
  <si>
    <t>0072566508</t>
  </si>
  <si>
    <t>TREPONEMA PALLIDUM AB</t>
  </si>
  <si>
    <t>TREP PALLIDUM</t>
  </si>
  <si>
    <t>0072566631</t>
  </si>
  <si>
    <t>0072566649</t>
  </si>
  <si>
    <t>0072566680</t>
  </si>
  <si>
    <t>ENTEROVIRUS AB/12</t>
  </si>
  <si>
    <t>0072566730</t>
  </si>
  <si>
    <t>ENTEROVIRUS AB/15</t>
  </si>
  <si>
    <t>0072566755</t>
  </si>
  <si>
    <t>ENTEROVIRUS AB/16</t>
  </si>
  <si>
    <t>0072566771</t>
  </si>
  <si>
    <t>ENTEROVIRUS AB/17</t>
  </si>
  <si>
    <t>0072566789</t>
  </si>
  <si>
    <t>ENTEROVIRUS AB/18</t>
  </si>
  <si>
    <t>0072566805</t>
  </si>
  <si>
    <t>HELMINTH AB NES/7</t>
  </si>
  <si>
    <t>0072566847</t>
  </si>
  <si>
    <t>HELMINTH AB NES/8</t>
  </si>
  <si>
    <t>0072566854</t>
  </si>
  <si>
    <t>ENTEROVIRUS AB/20</t>
  </si>
  <si>
    <t>0072566920</t>
  </si>
  <si>
    <t>ENTEROVIRUS AB/21</t>
  </si>
  <si>
    <t>0072566946</t>
  </si>
  <si>
    <t>0072566953</t>
  </si>
  <si>
    <t>0072566961</t>
  </si>
  <si>
    <t>FUNGUS AB NES/4</t>
  </si>
  <si>
    <t>0072566979</t>
  </si>
  <si>
    <t>0072567019</t>
  </si>
  <si>
    <t>0072567027</t>
  </si>
  <si>
    <t>HIV 2 AB</t>
  </si>
  <si>
    <t>0072567035</t>
  </si>
  <si>
    <t>0072567043</t>
  </si>
  <si>
    <t>HEP B CORE AB TOTAL/2</t>
  </si>
  <si>
    <t>HBC AB TOTAL/2</t>
  </si>
  <si>
    <t>0072567068</t>
  </si>
  <si>
    <t>0072567126</t>
  </si>
  <si>
    <t>0072567159</t>
  </si>
  <si>
    <t>0072567175</t>
  </si>
  <si>
    <t>0072567209</t>
  </si>
  <si>
    <t>0072567217</t>
  </si>
  <si>
    <t>COCCIDIOIDES ANTIBODY/4</t>
  </si>
  <si>
    <t>0072567225</t>
  </si>
  <si>
    <t>COCCIDIOIDES ANTIBODY/5</t>
  </si>
  <si>
    <t>0072567274</t>
  </si>
  <si>
    <t>0072567308</t>
  </si>
  <si>
    <t>ZIKA VIRUS AB IGM</t>
  </si>
  <si>
    <t>ZIKA AB IGM</t>
  </si>
  <si>
    <t>0072567357</t>
  </si>
  <si>
    <t>0072567399</t>
  </si>
  <si>
    <t>0072567407</t>
  </si>
  <si>
    <t>MYCOPLASMA AB/4</t>
  </si>
  <si>
    <t>0072567480</t>
  </si>
  <si>
    <t>0072567530</t>
  </si>
  <si>
    <t>PROTOZOA AB NES/8</t>
  </si>
  <si>
    <t>0072567621</t>
  </si>
  <si>
    <t>0072567654</t>
  </si>
  <si>
    <t>0072567779</t>
  </si>
  <si>
    <t>0072567811</t>
  </si>
  <si>
    <t>TREPONEMA PALLIDUM AB/4</t>
  </si>
  <si>
    <t>TREP PALLIDUM/4</t>
  </si>
  <si>
    <t>0072567837</t>
  </si>
  <si>
    <t>0072567845</t>
  </si>
  <si>
    <t>0072567852</t>
  </si>
  <si>
    <t>0072567860</t>
  </si>
  <si>
    <t>0072567886</t>
  </si>
  <si>
    <t>0072567894</t>
  </si>
  <si>
    <t>0072567902</t>
  </si>
  <si>
    <t>0072567910</t>
  </si>
  <si>
    <t>HTLV ANTIBODY/2</t>
  </si>
  <si>
    <t>HTLV AB/2</t>
  </si>
  <si>
    <t>0072567928</t>
  </si>
  <si>
    <t>0072568009</t>
  </si>
  <si>
    <t>THYROGLOBULIN AB/2</t>
  </si>
  <si>
    <t>THYROGLOBLN AB/</t>
  </si>
  <si>
    <t>0072568025</t>
  </si>
  <si>
    <t>TREPONEMA PALLIDUM AB/5</t>
  </si>
  <si>
    <t>TREP PALLIDUM/5</t>
  </si>
  <si>
    <t>0072568033</t>
  </si>
  <si>
    <t>HEPATITIS C ANTIBODY/2</t>
  </si>
  <si>
    <t>HEPATITIS C AB/</t>
  </si>
  <si>
    <t>0072568983</t>
  </si>
  <si>
    <t>PROTEIN S FREE/4</t>
  </si>
  <si>
    <t>0072569007</t>
  </si>
  <si>
    <t>0072569031</t>
  </si>
  <si>
    <t>CHLAMYDIA AB/5</t>
  </si>
  <si>
    <t>0072569114</t>
  </si>
  <si>
    <t>0072569155</t>
  </si>
  <si>
    <t>0072569239</t>
  </si>
  <si>
    <t>0072569247</t>
  </si>
  <si>
    <t>0072569296</t>
  </si>
  <si>
    <t>BORDETELLA AB/3</t>
  </si>
  <si>
    <t>0072569312</t>
  </si>
  <si>
    <t>ASPERGILLUS AB/3</t>
  </si>
  <si>
    <t>0072569338</t>
  </si>
  <si>
    <t>ASPERGILLUS AB/5</t>
  </si>
  <si>
    <t>0072569452</t>
  </si>
  <si>
    <t>0072570716</t>
  </si>
  <si>
    <t>CULTURE BACT OTH SOURCE/4</t>
  </si>
  <si>
    <t>0072571011</t>
  </si>
  <si>
    <t>C FUNGI SKIN HAIR NAIL</t>
  </si>
  <si>
    <t>C FUNGUS</t>
  </si>
  <si>
    <t>0072571094</t>
  </si>
  <si>
    <t>CULTURE MYCOPLASMA ANY</t>
  </si>
  <si>
    <t>0072571102</t>
  </si>
  <si>
    <t>0072571136</t>
  </si>
  <si>
    <t>CULTURE MYCOPLASMA ANY/3</t>
  </si>
  <si>
    <t>0072571169</t>
  </si>
  <si>
    <t>0072571409</t>
  </si>
  <si>
    <t>0072571490</t>
  </si>
  <si>
    <t>CULT DIR PRB EA ORGANISM/2</t>
  </si>
  <si>
    <t>0072571730</t>
  </si>
  <si>
    <t>0072571771</t>
  </si>
  <si>
    <t>OVA &amp; PARASITES SMEARS/2</t>
  </si>
  <si>
    <t>0072571920</t>
  </si>
  <si>
    <t>0072572050</t>
  </si>
  <si>
    <t>0072572100</t>
  </si>
  <si>
    <t>SMEAR FLUORESCENT/AFS/3</t>
  </si>
  <si>
    <t>0072572274</t>
  </si>
  <si>
    <t>0072572522</t>
  </si>
  <si>
    <t>0072572589</t>
  </si>
  <si>
    <t>VIRUS INOC SHELL EACH/7</t>
  </si>
  <si>
    <t>0072572605</t>
  </si>
  <si>
    <t>HSV CUL W/ID NON IMMUNO</t>
  </si>
  <si>
    <t>HSV CUL/ID NIMM</t>
  </si>
  <si>
    <t>0072572654</t>
  </si>
  <si>
    <t>0072572753</t>
  </si>
  <si>
    <t>0072572761</t>
  </si>
  <si>
    <t>0072572787</t>
  </si>
  <si>
    <t>LEGIONELLA PNEUMOPHILA/2</t>
  </si>
  <si>
    <t>0072572803</t>
  </si>
  <si>
    <t>0072572811</t>
  </si>
  <si>
    <t>PNEUMOCYST CARIN DFA</t>
  </si>
  <si>
    <t>PNEUM CARIN DFA</t>
  </si>
  <si>
    <t>0072572985</t>
  </si>
  <si>
    <t>0072572993</t>
  </si>
  <si>
    <t>AB DETECTION NOS DFA/2</t>
  </si>
  <si>
    <t>0072573058</t>
  </si>
  <si>
    <t>ADENOVIRUS IA</t>
  </si>
  <si>
    <t>0072573066</t>
  </si>
  <si>
    <t>0072573389</t>
  </si>
  <si>
    <t>0072573397</t>
  </si>
  <si>
    <t>0072573421</t>
  </si>
  <si>
    <t>0072573918</t>
  </si>
  <si>
    <t>0072574536</t>
  </si>
  <si>
    <t>COCCIDIOIDES ANTIBODY/6</t>
  </si>
  <si>
    <t>0072574783</t>
  </si>
  <si>
    <t>DENGUE FEVER AB/5</t>
  </si>
  <si>
    <t>0072574882</t>
  </si>
  <si>
    <t>0072574916</t>
  </si>
  <si>
    <t>CHLAMYDIA AMP PROBE/3</t>
  </si>
  <si>
    <t>0072574924</t>
  </si>
  <si>
    <t>CHLAMYDIA AMP PROBE/2</t>
  </si>
  <si>
    <t>0072574973</t>
  </si>
  <si>
    <t>CMV QUANT/2</t>
  </si>
  <si>
    <t>0072575004</t>
  </si>
  <si>
    <t>0072575079</t>
  </si>
  <si>
    <t>GI PATHOGEN 12-15 AMP PROBE/2</t>
  </si>
  <si>
    <t>GI PATH 12-15 A</t>
  </si>
  <si>
    <t>0072575236</t>
  </si>
  <si>
    <t>0072575293</t>
  </si>
  <si>
    <t>HERPES SIMPLX AMP PRB/3</t>
  </si>
  <si>
    <t>0072575301</t>
  </si>
  <si>
    <t>HERPES SIMPLX AMP PRB/2</t>
  </si>
  <si>
    <t>0072575319</t>
  </si>
  <si>
    <t>0072575376</t>
  </si>
  <si>
    <t>HIV-1 QUANT/5</t>
  </si>
  <si>
    <t>HIV-1 QNT/5</t>
  </si>
  <si>
    <t>0072575913</t>
  </si>
  <si>
    <t>0072575921</t>
  </si>
  <si>
    <t>0072576234</t>
  </si>
  <si>
    <t>0072576242</t>
  </si>
  <si>
    <t>0072576341</t>
  </si>
  <si>
    <t>RESP VIR 12-25 TARGETS</t>
  </si>
  <si>
    <t>RESP VIR 12-25</t>
  </si>
  <si>
    <t>0072576440</t>
  </si>
  <si>
    <t>0072577810</t>
  </si>
  <si>
    <t>0072577968</t>
  </si>
  <si>
    <t>INFECT AGNT NOS AMP PRB/48</t>
  </si>
  <si>
    <t>0072577984</t>
  </si>
  <si>
    <t>INFECT AGNT NOS AMP PRB/50</t>
  </si>
  <si>
    <t>0072578107</t>
  </si>
  <si>
    <t>0072578131</t>
  </si>
  <si>
    <t>INFECT AGNT NOS AMP PRB/49</t>
  </si>
  <si>
    <t>0072578214</t>
  </si>
  <si>
    <t>0072578933</t>
  </si>
  <si>
    <t>INFECT AGNT NOS DIR OPT/13</t>
  </si>
  <si>
    <t>0072579006</t>
  </si>
  <si>
    <t>INFECT AGNT NOS DIR OPT/2</t>
  </si>
  <si>
    <t>0072579022</t>
  </si>
  <si>
    <t>HIV GENO PROTEAS REGION</t>
  </si>
  <si>
    <t>HIV 1 GENO PRT</t>
  </si>
  <si>
    <t>0072579121</t>
  </si>
  <si>
    <t>INFECTIOUS AGNT NOS IA/5</t>
  </si>
  <si>
    <t>INF AGNT IA/5</t>
  </si>
  <si>
    <t>0072579204</t>
  </si>
  <si>
    <t>INFECT AGNT NOS DIR OPT/4</t>
  </si>
  <si>
    <t>0072580145</t>
  </si>
  <si>
    <t>DRUG TEST PRSMV CHEM ANLYZR/52</t>
  </si>
  <si>
    <t>0072580152</t>
  </si>
  <si>
    <t>DRUG TEST PRSMV CHEM ANLYZR/53</t>
  </si>
  <si>
    <t>0072581200</t>
  </si>
  <si>
    <t>CYTO UA 3/5 PRB EA SPEC</t>
  </si>
  <si>
    <t>CYTO PRB UA</t>
  </si>
  <si>
    <t>0072582000</t>
  </si>
  <si>
    <t>MOLEC CYTOGEN INTPHS 25-99/2</t>
  </si>
  <si>
    <t>0072582091</t>
  </si>
  <si>
    <t>MOLEC CYTOGEN INTPHS 25-99/3</t>
  </si>
  <si>
    <t>0072582133</t>
  </si>
  <si>
    <t>0072582174</t>
  </si>
  <si>
    <t>MOLEC CYTOGEN INTPHS 100-300/2</t>
  </si>
  <si>
    <t>CYTOGEN INTPH 1</t>
  </si>
  <si>
    <t>0072582182</t>
  </si>
  <si>
    <t>MOLEC CYTOGEN INTPHS 100-300/3</t>
  </si>
  <si>
    <t>0072582224</t>
  </si>
  <si>
    <t>TISSUE CULT BONE MARROW/3</t>
  </si>
  <si>
    <t>0072582307</t>
  </si>
  <si>
    <t>TISSUE CULTURE LYMPHOCYTE/3</t>
  </si>
  <si>
    <t>0072582398</t>
  </si>
  <si>
    <t>0072582422</t>
  </si>
  <si>
    <t>0072582471</t>
  </si>
  <si>
    <t>0072582752</t>
  </si>
  <si>
    <t>MOLEC CYTOGEN INTPHS 25-99/4</t>
  </si>
  <si>
    <t>0072582786</t>
  </si>
  <si>
    <t>GAMMAGLOBULIN EA/11</t>
  </si>
  <si>
    <t>GAMAGLOB EA/11</t>
  </si>
  <si>
    <t>0072582794</t>
  </si>
  <si>
    <t>0072582802</t>
  </si>
  <si>
    <t>0072582851</t>
  </si>
  <si>
    <t>CHROMOSOME ADD CELL CT EA/2</t>
  </si>
  <si>
    <t>0072582968</t>
  </si>
  <si>
    <t>GAMMAGLOBULIN EA/13</t>
  </si>
  <si>
    <t>GAMAGLOB EA/13</t>
  </si>
  <si>
    <t>0072583081</t>
  </si>
  <si>
    <t>0072583131</t>
  </si>
  <si>
    <t>0072583206</t>
  </si>
  <si>
    <t>0072583305</t>
  </si>
  <si>
    <t>MICRODISSECTION MANUAL/2</t>
  </si>
  <si>
    <t>MICRODISEC MAN/</t>
  </si>
  <si>
    <t>0072583362</t>
  </si>
  <si>
    <t>IN SITU EA PRB PER SPEC/4</t>
  </si>
  <si>
    <t>INSITU 1ST PRB/</t>
  </si>
  <si>
    <t>0072583370</t>
  </si>
  <si>
    <t>MOLECULR CYTO DNA PRB EA/7</t>
  </si>
  <si>
    <t>MOL CYTO DNA/7</t>
  </si>
  <si>
    <t>0072583388</t>
  </si>
  <si>
    <t>MOLECULR CYTO DNA PRB EA/6</t>
  </si>
  <si>
    <t>MOL CYTO DNA/6</t>
  </si>
  <si>
    <t>0072583412</t>
  </si>
  <si>
    <t>CHRM ANAL 15-20 CELL W/BND/5</t>
  </si>
  <si>
    <t>0072583420</t>
  </si>
  <si>
    <t>0072583446</t>
  </si>
  <si>
    <t>IMMUNCYT 1ST AB PER SPEC/3</t>
  </si>
  <si>
    <t>0072583453</t>
  </si>
  <si>
    <t>IMMUNCYT 1ST AB PER SPEC/4</t>
  </si>
  <si>
    <t>0072583529</t>
  </si>
  <si>
    <t>0072583669</t>
  </si>
  <si>
    <t>0072583859</t>
  </si>
  <si>
    <t>ACHR ANTIBODY/3</t>
  </si>
  <si>
    <t>ACHR AB/3</t>
  </si>
  <si>
    <t>0072583917</t>
  </si>
  <si>
    <t>ORGANIC ACIDS QUAL</t>
  </si>
  <si>
    <t>ORGANIC ACID QL</t>
  </si>
  <si>
    <t>0072584113</t>
  </si>
  <si>
    <t>PORPHOBILINOGEN URINE QN/2</t>
  </si>
  <si>
    <t>0072584246</t>
  </si>
  <si>
    <t>0072584436</t>
  </si>
  <si>
    <t>RECEPT ASSAY NON-ENDOCRN/7</t>
  </si>
  <si>
    <t>0072584477</t>
  </si>
  <si>
    <t>TRIGLYCERIDES/4</t>
  </si>
  <si>
    <t>TRIGLYCER/4</t>
  </si>
  <si>
    <t>0072584758</t>
  </si>
  <si>
    <t>0072584766</t>
  </si>
  <si>
    <t>INSITU EA ADD SNGL PROBE/2</t>
  </si>
  <si>
    <t>INSITU AD PRB/2</t>
  </si>
  <si>
    <t>0072585219</t>
  </si>
  <si>
    <t>MOLECULR CYTO DNA PRB EA/3</t>
  </si>
  <si>
    <t>MOL CYTO DNA/3</t>
  </si>
  <si>
    <t>0072585276</t>
  </si>
  <si>
    <t>0072585284</t>
  </si>
  <si>
    <t>0072585292</t>
  </si>
  <si>
    <t>0072585391</t>
  </si>
  <si>
    <t>0072585409</t>
  </si>
  <si>
    <t>ADAMTS 13 ACTIVITY/2</t>
  </si>
  <si>
    <t>ADAMTS 13 ACT/2</t>
  </si>
  <si>
    <t>0072585623</t>
  </si>
  <si>
    <t>0072586134</t>
  </si>
  <si>
    <t>TSH RECEPTOR ANTIBODY/2</t>
  </si>
  <si>
    <t>0072586233</t>
  </si>
  <si>
    <t>NUCLEAR ANTIGEN AB/23</t>
  </si>
  <si>
    <t>0072586258</t>
  </si>
  <si>
    <t>FLUORESCENT AB TITER EA/19</t>
  </si>
  <si>
    <t>0072586266</t>
  </si>
  <si>
    <t>NUCLEAR ANTIGEN AB/24</t>
  </si>
  <si>
    <t>0072586480</t>
  </si>
  <si>
    <t>0072586589</t>
  </si>
  <si>
    <t>0072586605</t>
  </si>
  <si>
    <t>ENTEROVIRUS AB/23</t>
  </si>
  <si>
    <t>0072586613</t>
  </si>
  <si>
    <t>0072586704</t>
  </si>
  <si>
    <t>RETICULIN AB/2</t>
  </si>
  <si>
    <t>0072586738</t>
  </si>
  <si>
    <t>HISTONE AB</t>
  </si>
  <si>
    <t>0072586753</t>
  </si>
  <si>
    <t>HEPATITIS B QUANT/3</t>
  </si>
  <si>
    <t>HEP B QUANT/3</t>
  </si>
  <si>
    <t>0072586761</t>
  </si>
  <si>
    <t>0072586779</t>
  </si>
  <si>
    <t>EPSTEIN-BARR VIRUS VCA AB/3</t>
  </si>
  <si>
    <t>0072586787</t>
  </si>
  <si>
    <t>EPSTEIN-BARR VIRUS VCA AB/4</t>
  </si>
  <si>
    <t>0072586803</t>
  </si>
  <si>
    <t>HERPES AB SMPLX TYPE 2/7</t>
  </si>
  <si>
    <t>0072586829</t>
  </si>
  <si>
    <t>COCCIDIOIDES ANTIBODY/9</t>
  </si>
  <si>
    <t>0072586910</t>
  </si>
  <si>
    <t>ASPERGILLUS AB/6</t>
  </si>
  <si>
    <t>0072586951</t>
  </si>
  <si>
    <t>HEPATITIS DELTA AGENT AB/3</t>
  </si>
  <si>
    <t>HEP DELTA AB/3</t>
  </si>
  <si>
    <t>0072586985</t>
  </si>
  <si>
    <t>LEPTOSPIRA AB/2</t>
  </si>
  <si>
    <t>0072587017</t>
  </si>
  <si>
    <t>HERPES AB SMPLX/6</t>
  </si>
  <si>
    <t>0072587140</t>
  </si>
  <si>
    <t>CULTURE BACTERIAL SCREEN/9</t>
  </si>
  <si>
    <t>0072587306</t>
  </si>
  <si>
    <t>ASPERGILLUS IA/2</t>
  </si>
  <si>
    <t>ASPERGILLUS IA/</t>
  </si>
  <si>
    <t>0072587504</t>
  </si>
  <si>
    <t>ENTEROVIRUS AMP PROBE/2</t>
  </si>
  <si>
    <t>ENTERO AMP PRB/</t>
  </si>
  <si>
    <t>0072587827</t>
  </si>
  <si>
    <t>0072587934</t>
  </si>
  <si>
    <t>INFECT AGNT NOS DIR OPT/3</t>
  </si>
  <si>
    <t>0072588262</t>
  </si>
  <si>
    <t>MOLECULR CYTO DNA PRB EA/5</t>
  </si>
  <si>
    <t>MOL CYTO DNA/5</t>
  </si>
  <si>
    <t>0072588288</t>
  </si>
  <si>
    <t>MOLECULR CYTO DNA PRB EA/8</t>
  </si>
  <si>
    <t>MOL CYTO DNA/8</t>
  </si>
  <si>
    <t>0072588320</t>
  </si>
  <si>
    <t>0072588387</t>
  </si>
  <si>
    <t>IN SITU EA PRB PER SPEC/3</t>
  </si>
  <si>
    <t>0072588395</t>
  </si>
  <si>
    <t>0072588411</t>
  </si>
  <si>
    <t>MOLECULR CYTO DNA PRB EA/4</t>
  </si>
  <si>
    <t>MOL CYTO DNA/4</t>
  </si>
  <si>
    <t>0072588437</t>
  </si>
  <si>
    <t>MOLECULR CYTO DNA PRB EA/9</t>
  </si>
  <si>
    <t>MOL CYTO DNA/9</t>
  </si>
  <si>
    <t>0072592009</t>
  </si>
  <si>
    <t>HLA I AG EQUIV EACH LOW/2</t>
  </si>
  <si>
    <t>HLA I LOW/2</t>
  </si>
  <si>
    <t>0072592017</t>
  </si>
  <si>
    <t>KRAS GENE VARIANTS EXON 2/5</t>
  </si>
  <si>
    <t>0072592074</t>
  </si>
  <si>
    <t>0072592082</t>
  </si>
  <si>
    <t>F2 GENE ANLS VARIANT/2</t>
  </si>
  <si>
    <t>F2 VARIANT/2</t>
  </si>
  <si>
    <t>0072592090</t>
  </si>
  <si>
    <t>HBA 1/2 DELETES/VARIANTS/2</t>
  </si>
  <si>
    <t>HBA1/HBA2/2</t>
  </si>
  <si>
    <t>0072592108</t>
  </si>
  <si>
    <t>MTHFR COMMON VARIANTS</t>
  </si>
  <si>
    <t>MTHFR VARIANT</t>
  </si>
  <si>
    <t>0072592116</t>
  </si>
  <si>
    <t>HEMOCHROM COMMON VARIANT/2</t>
  </si>
  <si>
    <t>HEMOCHROM VAR/2</t>
  </si>
  <si>
    <t>0072592140</t>
  </si>
  <si>
    <t>MOLECULAR PATH LEVEL 4/3</t>
  </si>
  <si>
    <t>0072593585</t>
  </si>
  <si>
    <t>0072593817</t>
  </si>
  <si>
    <t>0072594252</t>
  </si>
  <si>
    <t>CYTOMEGALOVIRUS AB/4</t>
  </si>
  <si>
    <t>CMV AB/4</t>
  </si>
  <si>
    <t>0072594310</t>
  </si>
  <si>
    <t>EPSTEIN-BARR VIRUS VCA AB/5</t>
  </si>
  <si>
    <t>0072594336</t>
  </si>
  <si>
    <t>EPSTEIN-BARR VIRUS EA AB/2</t>
  </si>
  <si>
    <t>EB VIRUS EA AB/</t>
  </si>
  <si>
    <t>0072599004</t>
  </si>
  <si>
    <t>RIVAROXABAN</t>
  </si>
  <si>
    <t>0072599012</t>
  </si>
  <si>
    <t>ANTI MDA 4 AB</t>
  </si>
  <si>
    <t>0072700016</t>
  </si>
  <si>
    <t>IDH1 COMMON VARIANTS</t>
  </si>
  <si>
    <t>IDH1 MUTATION A</t>
  </si>
  <si>
    <t>0072700024</t>
  </si>
  <si>
    <t>IDH2 COMMON VARIANTS</t>
  </si>
  <si>
    <t>IDH2 MUTATION A</t>
  </si>
  <si>
    <t>0072700032</t>
  </si>
  <si>
    <t>0072700040</t>
  </si>
  <si>
    <t>BRCA1 GENE FULL DUP/DEL ALYS</t>
  </si>
  <si>
    <t>BRCA1 GENE FULL</t>
  </si>
  <si>
    <t>0072700057</t>
  </si>
  <si>
    <t>BRCA2 GENE FULL DUP/DEL ALYS</t>
  </si>
  <si>
    <t>BRCA2 GENE FULL</t>
  </si>
  <si>
    <t>0072700065</t>
  </si>
  <si>
    <t>ABL 1 KINASE VARIANTS</t>
  </si>
  <si>
    <t>ABL 1 KINASE VA</t>
  </si>
  <si>
    <t>0072700073</t>
  </si>
  <si>
    <t>ASXL1 FULL GENE SEQUENCE</t>
  </si>
  <si>
    <t>ASXL1 FULL GENE</t>
  </si>
  <si>
    <t>0072700081</t>
  </si>
  <si>
    <t>AR GENE CHARAC ALLELES</t>
  </si>
  <si>
    <t xml:space="preserve">AR GENE CHARAC </t>
  </si>
  <si>
    <t>0072700099</t>
  </si>
  <si>
    <t>0072700107</t>
  </si>
  <si>
    <t>0072700115</t>
  </si>
  <si>
    <t>BCR/ABL1 OTHER BREAKPNT</t>
  </si>
  <si>
    <t>BCR/ABL1 OTHER</t>
  </si>
  <si>
    <t>0072700123</t>
  </si>
  <si>
    <t>0072700131</t>
  </si>
  <si>
    <t>CEPBA GENE ANALYSIS</t>
  </si>
  <si>
    <t>CEPBA GENE ANAL</t>
  </si>
  <si>
    <t>0072700149</t>
  </si>
  <si>
    <t>0072700156</t>
  </si>
  <si>
    <t>0072700172</t>
  </si>
  <si>
    <t>0072700180</t>
  </si>
  <si>
    <t>FLTS GENE ANLS</t>
  </si>
  <si>
    <t>0072700198</t>
  </si>
  <si>
    <t>0072700206</t>
  </si>
  <si>
    <t>0072700214</t>
  </si>
  <si>
    <t>IGH VARIABLE MUTATION</t>
  </si>
  <si>
    <t>IGH VAR MUTATE</t>
  </si>
  <si>
    <t>0072700222</t>
  </si>
  <si>
    <t>IGK GENE REARRANGE ANLS</t>
  </si>
  <si>
    <t>IGK GENE ANLS</t>
  </si>
  <si>
    <t>0072700230</t>
  </si>
  <si>
    <t>0072700248</t>
  </si>
  <si>
    <t>KIT GENE TARGT SEQ ANLS</t>
  </si>
  <si>
    <t>KIT GENE MUTATI</t>
  </si>
  <si>
    <t>0072700255</t>
  </si>
  <si>
    <t>KRAS VRNT CONDONS 61/146</t>
  </si>
  <si>
    <t>KRAS 61/146</t>
  </si>
  <si>
    <t>0072700263</t>
  </si>
  <si>
    <t>MGMT GENE ASSAY</t>
  </si>
  <si>
    <t>0072700271</t>
  </si>
  <si>
    <t>0072700289</t>
  </si>
  <si>
    <t>MLH1 DUP/DEL VARIANTS</t>
  </si>
  <si>
    <t>MLH1 DUP/DEL</t>
  </si>
  <si>
    <t>0072700297</t>
  </si>
  <si>
    <t>MSH2 DUP/DEL VARIANTS</t>
  </si>
  <si>
    <t>MSH1 DUP/DEL</t>
  </si>
  <si>
    <t>0072700305</t>
  </si>
  <si>
    <t>MSH6 FULL SEQUENCE ANLS</t>
  </si>
  <si>
    <t>MSH6 FULL SEQ</t>
  </si>
  <si>
    <t>0072700313</t>
  </si>
  <si>
    <t>0072700321</t>
  </si>
  <si>
    <t>MYD88 GENE P.LEU265PRO VRNT</t>
  </si>
  <si>
    <t>MYD88 GENE P.LE</t>
  </si>
  <si>
    <t>0072700339</t>
  </si>
  <si>
    <t>0072700347</t>
  </si>
  <si>
    <t>0072700354</t>
  </si>
  <si>
    <t>PDGFRA MUTATION ANALYSIS</t>
  </si>
  <si>
    <t>PDGFRA MUTATION</t>
  </si>
  <si>
    <t>0072700362</t>
  </si>
  <si>
    <t>PML/RARALPHA COM BRKPNTS</t>
  </si>
  <si>
    <t>PML/RAR BRKPNTS</t>
  </si>
  <si>
    <t>0072700370</t>
  </si>
  <si>
    <t>PMS2 FULL SEQUENCE ANLS</t>
  </si>
  <si>
    <t>PMS2 FULL SEQ</t>
  </si>
  <si>
    <t>0072700396</t>
  </si>
  <si>
    <t>TRB AMPLIFICATION METHOD</t>
  </si>
  <si>
    <t>TRB AMPLIFICATE</t>
  </si>
  <si>
    <t>0072700404</t>
  </si>
  <si>
    <t>0072700412</t>
  </si>
  <si>
    <t>TERT GENE TARGETED SEQ ALYS</t>
  </si>
  <si>
    <t xml:space="preserve">TERT GENE TRGT </t>
  </si>
  <si>
    <t>0072700420</t>
  </si>
  <si>
    <t>0072700438</t>
  </si>
  <si>
    <t>0072700446</t>
  </si>
  <si>
    <t>0072700503</t>
  </si>
  <si>
    <t>HRDTRY BRST CA-RLATD DSORDRS</t>
  </si>
  <si>
    <t xml:space="preserve">HRDTRY BRST CA </t>
  </si>
  <si>
    <t>0072700529</t>
  </si>
  <si>
    <t>0072700545</t>
  </si>
  <si>
    <t>0072700628</t>
  </si>
  <si>
    <t>0072700636</t>
  </si>
  <si>
    <t>0072700644</t>
  </si>
  <si>
    <t>0072700651</t>
  </si>
  <si>
    <t>FLOW CYTO INTERP 9-15 MARK/2</t>
  </si>
  <si>
    <t>0072700669</t>
  </si>
  <si>
    <t>FLOW CYTO INTERP 16+ MARK/2</t>
  </si>
  <si>
    <t>0072700701</t>
  </si>
  <si>
    <t>0072700719</t>
  </si>
  <si>
    <t>TISS CULT SOLID TUMOR/3</t>
  </si>
  <si>
    <t>0072700750</t>
  </si>
  <si>
    <t>0072700776</t>
  </si>
  <si>
    <t>0072700800</t>
  </si>
  <si>
    <t>0072700818</t>
  </si>
  <si>
    <t>0072700834</t>
  </si>
  <si>
    <t>CNSLT/RPT REFRD SLIDES</t>
  </si>
  <si>
    <t>CNSL/RPT REF SL</t>
  </si>
  <si>
    <t>0072700842</t>
  </si>
  <si>
    <t>0072700867</t>
  </si>
  <si>
    <t>0072700875</t>
  </si>
  <si>
    <t>0072700891</t>
  </si>
  <si>
    <t>0072700909</t>
  </si>
  <si>
    <t>0072700917</t>
  </si>
  <si>
    <t>0072700925</t>
  </si>
  <si>
    <t>0072700933</t>
  </si>
  <si>
    <t>0072700941</t>
  </si>
  <si>
    <t>0072700974</t>
  </si>
  <si>
    <t>0072700982</t>
  </si>
  <si>
    <t>0072701014</t>
  </si>
  <si>
    <t>0072701063</t>
  </si>
  <si>
    <t>0072701089</t>
  </si>
  <si>
    <t>0072701105</t>
  </si>
  <si>
    <t>CNSLT/RPT REFRD MATERIAL/2</t>
  </si>
  <si>
    <t>0072701113</t>
  </si>
  <si>
    <t>CNSLT/RPT REFRD MATERIAL/3</t>
  </si>
  <si>
    <t>0072701121</t>
  </si>
  <si>
    <t>0072701139</t>
  </si>
  <si>
    <t>IMMUNOCYTO EA ADD AB STN/3</t>
  </si>
  <si>
    <t>IMM EA ADD AB/3</t>
  </si>
  <si>
    <t>0072701147</t>
  </si>
  <si>
    <t>IN SITU EA PRB PER SPEC/2</t>
  </si>
  <si>
    <t>0072701154</t>
  </si>
  <si>
    <t>0072701162</t>
  </si>
  <si>
    <t>0072701188</t>
  </si>
  <si>
    <t>0072701238</t>
  </si>
  <si>
    <t>0072701261</t>
  </si>
  <si>
    <t>0072701279</t>
  </si>
  <si>
    <t>0072701287</t>
  </si>
  <si>
    <t>0072701295</t>
  </si>
  <si>
    <t>UNLISTED MOLEC PROC/5</t>
  </si>
  <si>
    <t>UNLIST MOLEC/5</t>
  </si>
  <si>
    <t>0072701303</t>
  </si>
  <si>
    <t>UNLISTED MOLEC PROC/6</t>
  </si>
  <si>
    <t>UNLIST MOLEC/6</t>
  </si>
  <si>
    <t>0072701311</t>
  </si>
  <si>
    <t>UNLISTED MOLEC PROC/7</t>
  </si>
  <si>
    <t>UNLIST MOLEC/7</t>
  </si>
  <si>
    <t>0072701329</t>
  </si>
  <si>
    <t>UNLISTED MOLEC PROC/8</t>
  </si>
  <si>
    <t>UNLIST MOLEC/8</t>
  </si>
  <si>
    <t>0072701337</t>
  </si>
  <si>
    <t>UNLISTED MOLEC PROC/9</t>
  </si>
  <si>
    <t>UNLIST MOLEC/9</t>
  </si>
  <si>
    <t>0072701345</t>
  </si>
  <si>
    <t>UNLISTED MOLEC PROC/10</t>
  </si>
  <si>
    <t>UNLIST MOLEC/10</t>
  </si>
  <si>
    <t>0072701410</t>
  </si>
  <si>
    <t>TUMOR IMM PER SPEC MAN/2</t>
  </si>
  <si>
    <t>AB STN MANUAL/2</t>
  </si>
  <si>
    <t>0072701436</t>
  </si>
  <si>
    <t>0072701444</t>
  </si>
  <si>
    <t>EA MLTPLX STAIN MANUAL/2</t>
  </si>
  <si>
    <t>MLTPLX MANUAL/2</t>
  </si>
  <si>
    <t>0072701451</t>
  </si>
  <si>
    <t>TUMOR IMM PER SPEC MAN/3</t>
  </si>
  <si>
    <t>AB STN MANUAL/3</t>
  </si>
  <si>
    <t>0072701469</t>
  </si>
  <si>
    <t>TUMOR IMM PER SPEC MAN/4</t>
  </si>
  <si>
    <t>AB STN MANUAL/4</t>
  </si>
  <si>
    <t>0072701493</t>
  </si>
  <si>
    <t>EA MLTPLX STAIN MANUAL/3</t>
  </si>
  <si>
    <t>MLTPLX MANUAL/3</t>
  </si>
  <si>
    <t>0072701527</t>
  </si>
  <si>
    <t>SPECSTAINS GROUP II/2</t>
  </si>
  <si>
    <t>SPECSTN GRP II/</t>
  </si>
  <si>
    <t>0072701535</t>
  </si>
  <si>
    <t>MPL GENE SEQ ALYS EXON 10</t>
  </si>
  <si>
    <t>MPL GENE SEQ EX</t>
  </si>
  <si>
    <t>0072701691</t>
  </si>
  <si>
    <t>UNLISTED MOLEC PROC/11</t>
  </si>
  <si>
    <t>UNLIST MOLEC/11</t>
  </si>
  <si>
    <t>0072701717</t>
  </si>
  <si>
    <t xml:space="preserve">UNLISTED MOLEC PROC/12	</t>
  </si>
  <si>
    <t>UNLIST MOLEC/12</t>
  </si>
  <si>
    <t>0072701725</t>
  </si>
  <si>
    <t>UNLISTED MOLEC PROC/13</t>
  </si>
  <si>
    <t>UNLIST MOLEC/13</t>
  </si>
  <si>
    <t>0072701758</t>
  </si>
  <si>
    <t>TARGT SEQ ANLYS 5-50 /6</t>
  </si>
  <si>
    <t>GEN SEQ 5-50 /6</t>
  </si>
  <si>
    <t>0072701790</t>
  </si>
  <si>
    <t>UNLISTED MOLEC PROC/15</t>
  </si>
  <si>
    <t>UNLIST MOLEC/15</t>
  </si>
  <si>
    <t>0072701808</t>
  </si>
  <si>
    <t>UNLISTED MOLEC PROC/16</t>
  </si>
  <si>
    <t>UNLIST MOLEC/16</t>
  </si>
  <si>
    <t>0072701816</t>
  </si>
  <si>
    <t>UNLISTED MOLEC PROC/17</t>
  </si>
  <si>
    <t>UNLIST MOLEC/17</t>
  </si>
  <si>
    <t>0080310279</t>
  </si>
  <si>
    <t>ANCH MITK G II</t>
  </si>
  <si>
    <t>0080313596</t>
  </si>
  <si>
    <t>BN GEL/PUTTY 2.5CC</t>
  </si>
  <si>
    <t>BN GEL/PUTTY</t>
  </si>
  <si>
    <t>0080313638</t>
  </si>
  <si>
    <t>BN GEL/PUTTY 2CC</t>
  </si>
  <si>
    <t>0080313661</t>
  </si>
  <si>
    <t>BN GEL/PUTTY 5CC</t>
  </si>
  <si>
    <t>BN GEL/PTY 5CC</t>
  </si>
  <si>
    <t>0080313687</t>
  </si>
  <si>
    <t>BN GEL</t>
  </si>
  <si>
    <t>0080313695</t>
  </si>
  <si>
    <t>BN GEL/PUTTY 10CC</t>
  </si>
  <si>
    <t>BN GEL/PTY 10CC</t>
  </si>
  <si>
    <t>0080313729</t>
  </si>
  <si>
    <t>BN PASTE 1</t>
  </si>
  <si>
    <t>0080313737</t>
  </si>
  <si>
    <t>BN PASTE 2</t>
  </si>
  <si>
    <t>0080315898</t>
  </si>
  <si>
    <t>CATH CERVICAL RIPENING</t>
  </si>
  <si>
    <t>CATH CERV RIPEN</t>
  </si>
  <si>
    <t>0080316508</t>
  </si>
  <si>
    <t>CATH SUPRAPUBIC</t>
  </si>
  <si>
    <t>0080316573</t>
  </si>
  <si>
    <t>BONE PUTTY</t>
  </si>
  <si>
    <t>0080317456</t>
  </si>
  <si>
    <t>COIL EMBOLIC</t>
  </si>
  <si>
    <t>0080319973</t>
  </si>
  <si>
    <t>DEVICE 6FR PERCLOSE</t>
  </si>
  <si>
    <t>DEV 6FR PERCLS</t>
  </si>
  <si>
    <t>0080321466</t>
  </si>
  <si>
    <t>EMB MICROSPHR 500-700MIC</t>
  </si>
  <si>
    <t>EMB MICROSPHR</t>
  </si>
  <si>
    <t>0080321532</t>
  </si>
  <si>
    <t>EMB MICROSPHR 300-500MIC</t>
  </si>
  <si>
    <t>0080325699</t>
  </si>
  <si>
    <t>KT CATH PLEURAL</t>
  </si>
  <si>
    <t>0080325731</t>
  </si>
  <si>
    <t>KT CATH CENT VEN DBL LUM</t>
  </si>
  <si>
    <t>KT VEN DBL LUM</t>
  </si>
  <si>
    <t>0080330806</t>
  </si>
  <si>
    <t>OST CLAMP BG</t>
  </si>
  <si>
    <t>0080331259</t>
  </si>
  <si>
    <t>OST IRR CONE</t>
  </si>
  <si>
    <t>0080336654</t>
  </si>
  <si>
    <t>PORTACATH</t>
  </si>
  <si>
    <t>0080340151</t>
  </si>
  <si>
    <t>SCRW INTERFEREN</t>
  </si>
  <si>
    <t>0080341696</t>
  </si>
  <si>
    <t>ST PERCUTANEOUS INTROD</t>
  </si>
  <si>
    <t>ST PERC INTROD</t>
  </si>
  <si>
    <t>0080341878</t>
  </si>
  <si>
    <t>ST ACCESS LIVER TRNSJUG</t>
  </si>
  <si>
    <t>ST ACCESS LIVER</t>
  </si>
  <si>
    <t>0080342587</t>
  </si>
  <si>
    <t>STRP PERI</t>
  </si>
  <si>
    <t>0080345598</t>
  </si>
  <si>
    <t>SYS EMBOLIC LIQUID</t>
  </si>
  <si>
    <t>SYS EMBOLIC LIQ</t>
  </si>
  <si>
    <t>0080381437</t>
  </si>
  <si>
    <t>BN GEL/PUTTY 1CC</t>
  </si>
  <si>
    <t>BN GEL/PTY 1CC</t>
  </si>
  <si>
    <t>0080385040</t>
  </si>
  <si>
    <t>KT SEALANT PROGEL PLEURL</t>
  </si>
  <si>
    <t>KT SEAL PLEURAL</t>
  </si>
  <si>
    <t>0080410285</t>
  </si>
  <si>
    <t>SHEATH URETERAL ACCESS</t>
  </si>
  <si>
    <t>SHEATH URETERA</t>
  </si>
  <si>
    <t>0080412505</t>
  </si>
  <si>
    <t>CATH URETERAL</t>
  </si>
  <si>
    <t>0080412513</t>
  </si>
  <si>
    <t>0080413198</t>
  </si>
  <si>
    <t>SHTH URETERAL ACCESS DL</t>
  </si>
  <si>
    <t>SHTH URETERAL</t>
  </si>
  <si>
    <t>0080418155</t>
  </si>
  <si>
    <t>RECAL PRS URINRY SPHNCTR</t>
  </si>
  <si>
    <t>PROS URINRY SPH</t>
  </si>
  <si>
    <t>0080500119</t>
  </si>
  <si>
    <t>CATH GUIDE RDL ACCSS SHTH 95CM</t>
  </si>
  <si>
    <t>CATH GDE RDL AC</t>
  </si>
  <si>
    <t>0080500143</t>
  </si>
  <si>
    <t>CATH REPERFUS ASPIRAT RED KIT</t>
  </si>
  <si>
    <t>CATH REPRFUS AS</t>
  </si>
  <si>
    <t>0080517253</t>
  </si>
  <si>
    <t>CATH BLN DIL RX NC TREK</t>
  </si>
  <si>
    <t>0080517261</t>
  </si>
  <si>
    <t>CATH BLN DIL MINI TREK</t>
  </si>
  <si>
    <t>0080517311</t>
  </si>
  <si>
    <t>CATH DISTAL ACCESS PHENOM PLUS</t>
  </si>
  <si>
    <t>CATH PHENOM PLU</t>
  </si>
  <si>
    <t>0080550031</t>
  </si>
  <si>
    <t>CATH ABL BIDRCT THRMCOOL</t>
  </si>
  <si>
    <t>CATH SMARTTOUCH</t>
  </si>
  <si>
    <t>0080550049</t>
  </si>
  <si>
    <t>CATH ABL INTELLA TP MIFI</t>
  </si>
  <si>
    <t>CATH ABL XP TMP</t>
  </si>
  <si>
    <t>0080550106</t>
  </si>
  <si>
    <t>CATH ABL RF ENDOVENOUS</t>
  </si>
  <si>
    <t>CATH CLOSUREFST</t>
  </si>
  <si>
    <t>0080550817</t>
  </si>
  <si>
    <t>CATH BALN DILATN N VASCL</t>
  </si>
  <si>
    <t>CATH BLN DLTN</t>
  </si>
  <si>
    <t>0080560030</t>
  </si>
  <si>
    <t>CATH ACCESS DUAL LUMEN</t>
  </si>
  <si>
    <t>CATH ACCESS DL</t>
  </si>
  <si>
    <t>0080560063</t>
  </si>
  <si>
    <t>RECL CATH BRACTX SD ADM</t>
  </si>
  <si>
    <t>CATH BRCHTX ADM</t>
  </si>
  <si>
    <t>0080560121</t>
  </si>
  <si>
    <t>CATH ANGIO COBRA</t>
  </si>
  <si>
    <t>CATH ANGIO COBR</t>
  </si>
  <si>
    <t>0080560543</t>
  </si>
  <si>
    <t>CATH BAL DIL SINUS</t>
  </si>
  <si>
    <t>CATH BAL SINUS</t>
  </si>
  <si>
    <t>0080560634</t>
  </si>
  <si>
    <t>CATH BALLOON CODA</t>
  </si>
  <si>
    <t>CATH BLN CODA</t>
  </si>
  <si>
    <t>0080560725</t>
  </si>
  <si>
    <t>CATH BLN DIL COYOTE OTW</t>
  </si>
  <si>
    <t>CATH COYOTE OTW</t>
  </si>
  <si>
    <t>0080560931</t>
  </si>
  <si>
    <t>CATH BLN DIL SC EUPHORA</t>
  </si>
  <si>
    <t>CATH SC EUPHORA</t>
  </si>
  <si>
    <t>0080560949</t>
  </si>
  <si>
    <t>CATH BLN DIL NC EUPHORA</t>
  </si>
  <si>
    <t>CATH NC EUPHORA</t>
  </si>
  <si>
    <t>0080563182</t>
  </si>
  <si>
    <t>CATH EMBOLECTOMY</t>
  </si>
  <si>
    <t>CATH EMBOLECT</t>
  </si>
  <si>
    <t>0080563240</t>
  </si>
  <si>
    <t>CATH CLOTTRIEVER</t>
  </si>
  <si>
    <t>CATH CLOTTRIEVE</t>
  </si>
  <si>
    <t>0080563703</t>
  </si>
  <si>
    <t>CATH COBRA</t>
  </si>
  <si>
    <t>0080563729</t>
  </si>
  <si>
    <t>CATH CROSSING CTO VIANCE</t>
  </si>
  <si>
    <t>CATH VIANCE</t>
  </si>
  <si>
    <t>0080563737</t>
  </si>
  <si>
    <t>CATH FGRTY EMBLA</t>
  </si>
  <si>
    <t>CATH FGRT EMBLA</t>
  </si>
  <si>
    <t>0080563869</t>
  </si>
  <si>
    <t>CATH DIAG HALO XP AUTOID</t>
  </si>
  <si>
    <t>CATH HALO XP</t>
  </si>
  <si>
    <t>0080563984</t>
  </si>
  <si>
    <t>CATH MAPPING OCTARAY NAV</t>
  </si>
  <si>
    <t>CATH MAPPING OC</t>
  </si>
  <si>
    <t>0080564248</t>
  </si>
  <si>
    <t>CATH INTRATHECAL ASCENDA</t>
  </si>
  <si>
    <t>CATH INTRATHCAL</t>
  </si>
  <si>
    <t>0080564438</t>
  </si>
  <si>
    <t>CATH GUIDE SELECTRA HOOK</t>
  </si>
  <si>
    <t>CATH SELECTRA</t>
  </si>
  <si>
    <t>0080564487</t>
  </si>
  <si>
    <t>CATH GUIDE BEBACK CROSSING</t>
  </si>
  <si>
    <t xml:space="preserve">CATH GD BEBACK </t>
  </si>
  <si>
    <t>0080564701</t>
  </si>
  <si>
    <t>CATH HICKMAN</t>
  </si>
  <si>
    <t>0080564883</t>
  </si>
  <si>
    <t>CATH HSG SILICONE BLLN</t>
  </si>
  <si>
    <t>CATH HSG</t>
  </si>
  <si>
    <t>0080565286</t>
  </si>
  <si>
    <t>CATH INTRACRAN SUPPRT NAVIEN</t>
  </si>
  <si>
    <t xml:space="preserve">CATH INTRACRAN </t>
  </si>
  <si>
    <t>0080565385</t>
  </si>
  <si>
    <t>CATH IVUS GD PIONEER PLS</t>
  </si>
  <si>
    <t>CATH IVUS GUIDE</t>
  </si>
  <si>
    <t>0080565435</t>
  </si>
  <si>
    <t>CATH IVUS DIGITL PV.035</t>
  </si>
  <si>
    <t>CATH VISIONS</t>
  </si>
  <si>
    <t>0080565823</t>
  </si>
  <si>
    <t>CATH MAPPING DECAP STEER</t>
  </si>
  <si>
    <t>CATH POLARIS X</t>
  </si>
  <si>
    <t>0080565906</t>
  </si>
  <si>
    <t>CATH MULT LUM CV</t>
  </si>
  <si>
    <t>CATH MLT LUM CV</t>
  </si>
  <si>
    <t>0080566151</t>
  </si>
  <si>
    <t>CATH NEPHROSTOMY</t>
  </si>
  <si>
    <t>CATH NEPHROSTMY</t>
  </si>
  <si>
    <t>0080566235</t>
  </si>
  <si>
    <t>CATH OCC BLN TRNSFRM COMPLIANT</t>
  </si>
  <si>
    <t>CATH OCC BLN TR</t>
  </si>
  <si>
    <t>0080566367</t>
  </si>
  <si>
    <t>CATH ORIENT BLN STINGRAY</t>
  </si>
  <si>
    <t>CATH PERC BLN</t>
  </si>
  <si>
    <t>0080566490</t>
  </si>
  <si>
    <t>CATH PTCA BLN MR EMERGE</t>
  </si>
  <si>
    <t>CATH EMERGE</t>
  </si>
  <si>
    <t>0080566516</t>
  </si>
  <si>
    <t>CATH PERCT COR CROSSBOSS</t>
  </si>
  <si>
    <t>CATH PERC COR</t>
  </si>
  <si>
    <t>0080566607</t>
  </si>
  <si>
    <t>CATH PORTACATH</t>
  </si>
  <si>
    <t>0080566631</t>
  </si>
  <si>
    <t>CATH PTA EVERCROSS BLN</t>
  </si>
  <si>
    <t>CATH PTA BLLN</t>
  </si>
  <si>
    <t>0080566649</t>
  </si>
  <si>
    <t>CATH PTA MUSTANG BLLN</t>
  </si>
  <si>
    <t>CATH PTA MUSTNG</t>
  </si>
  <si>
    <t>0080566722</t>
  </si>
  <si>
    <t>CATH PTA NANOCROSS 014</t>
  </si>
  <si>
    <t>CATH PTA OTW</t>
  </si>
  <si>
    <t>0080566896</t>
  </si>
  <si>
    <t>CATH REPERFUS ASPIRATION</t>
  </si>
  <si>
    <t>CATH INDIGO</t>
  </si>
  <si>
    <t>0080566912</t>
  </si>
  <si>
    <t>CATH RE-ENTRY ENTEER BLN</t>
  </si>
  <si>
    <t>CATH ENTEER</t>
  </si>
  <si>
    <t>0080566995</t>
  </si>
  <si>
    <t>CATH SINUS IRRG VORTEX 2</t>
  </si>
  <si>
    <t>CATH SINUS IRRG</t>
  </si>
  <si>
    <t>0080567019</t>
  </si>
  <si>
    <t>CATH SINUS GUIDE</t>
  </si>
  <si>
    <t>CATH SINUS GDE</t>
  </si>
  <si>
    <t>0080567167</t>
  </si>
  <si>
    <t>CATH STENT GRAFT BLLN</t>
  </si>
  <si>
    <t>CATH Q50 PLUS</t>
  </si>
  <si>
    <t>0080567316</t>
  </si>
  <si>
    <t>CATH SUPPRT SOFIA PLS LL</t>
  </si>
  <si>
    <t>CATH SOFIA PLUS</t>
  </si>
  <si>
    <t>0080567381</t>
  </si>
  <si>
    <t>CATH SUPPORT TRAILBLAZER</t>
  </si>
  <si>
    <t>CATH TRAILBLAZR</t>
  </si>
  <si>
    <t>0080567803</t>
  </si>
  <si>
    <t>CATH THORACIC</t>
  </si>
  <si>
    <t>0080567837</t>
  </si>
  <si>
    <t>CATH THORACIC ANGLED</t>
  </si>
  <si>
    <t>0080568041</t>
  </si>
  <si>
    <t>CATH TRI-LOBE BALLOON</t>
  </si>
  <si>
    <t>CATH TRI-LOB BL</t>
  </si>
  <si>
    <t>0080568058</t>
  </si>
  <si>
    <t>CATH TRIP-LUMEN</t>
  </si>
  <si>
    <t>0080568223</t>
  </si>
  <si>
    <t>CATH VAS MIDLN FULL KIT</t>
  </si>
  <si>
    <t>CATH POWERGLIDE</t>
  </si>
  <si>
    <t>0080568793</t>
  </si>
  <si>
    <t>CATH PLATFORM LG DSTL TRACSTAR</t>
  </si>
  <si>
    <t>CATH PLATFORM L</t>
  </si>
  <si>
    <t>0080568835</t>
  </si>
  <si>
    <t>CATH PERIPH IVL SHOCKWAVE S4</t>
  </si>
  <si>
    <t xml:space="preserve">CATH SHOCKWAVE </t>
  </si>
  <si>
    <t>0080568892</t>
  </si>
  <si>
    <t>CATH PTA FORTREX OTW BLN</t>
  </si>
  <si>
    <t>CATH PTA FORTRX</t>
  </si>
  <si>
    <t>0080569361</t>
  </si>
  <si>
    <t>CV CATH OH IABP</t>
  </si>
  <si>
    <t>0080569544</t>
  </si>
  <si>
    <t>KT CATH REPERFUSN ACE68 ASP TB</t>
  </si>
  <si>
    <t>KT CATH REPERFU</t>
  </si>
  <si>
    <t>0080570013</t>
  </si>
  <si>
    <t>CATH ANGIO IMAGER II</t>
  </si>
  <si>
    <t>CATH ANGIO</t>
  </si>
  <si>
    <t>0080577034</t>
  </si>
  <si>
    <t>CATH ASPIRATION AXS VECTA 71</t>
  </si>
  <si>
    <t>CATH ASP AXS VE</t>
  </si>
  <si>
    <t>0080580301</t>
  </si>
  <si>
    <t>CATH ATHER JETSTREAM SC</t>
  </si>
  <si>
    <t>CATH JETSCRM SC</t>
  </si>
  <si>
    <t>0080580491</t>
  </si>
  <si>
    <t>CATH CROSSING VIANCE</t>
  </si>
  <si>
    <t>0080582604</t>
  </si>
  <si>
    <t>CATH PTA IN.PACT ADMIRAL</t>
  </si>
  <si>
    <t>CATH BLN PCLTXL</t>
  </si>
  <si>
    <t>0080582679</t>
  </si>
  <si>
    <t>CATH PTA RAPIDCRSS RX BL</t>
  </si>
  <si>
    <t>CATH PTA DIL</t>
  </si>
  <si>
    <t>0080582711</t>
  </si>
  <si>
    <t>CATH REPREFUSION ZOOM 71</t>
  </si>
  <si>
    <t xml:space="preserve">CATH REPREFUSN </t>
  </si>
  <si>
    <t>0080583008</t>
  </si>
  <si>
    <t>DVC ATHERECT DIRECTONAL</t>
  </si>
  <si>
    <t>DVC HAWKONE LS</t>
  </si>
  <si>
    <t>0080583016</t>
  </si>
  <si>
    <t>DVC ATHERECT DIRECTIONAL</t>
  </si>
  <si>
    <t>DVC HAWKONE LX</t>
  </si>
  <si>
    <t>0080585029</t>
  </si>
  <si>
    <t>SYS ATHERECTOMY PHOENIX</t>
  </si>
  <si>
    <t>SYS ATHERECTOMY</t>
  </si>
  <si>
    <t>0080603004</t>
  </si>
  <si>
    <t>COIL EMBOLIC DETACH</t>
  </si>
  <si>
    <t>COIL EMB DETACH</t>
  </si>
  <si>
    <t>0080620560</t>
  </si>
  <si>
    <t>STNT B WALLFLEX RX CVR</t>
  </si>
  <si>
    <t>0080620677</t>
  </si>
  <si>
    <t>STNT C INTEGRITY BMS RX</t>
  </si>
  <si>
    <t>STNT CORONARY</t>
  </si>
  <si>
    <t>0080620685</t>
  </si>
  <si>
    <t>STNT C VERIFLEX BARE MON</t>
  </si>
  <si>
    <t>STNT C VERIFLEX</t>
  </si>
  <si>
    <t>0080620693</t>
  </si>
  <si>
    <t>STNT C RESOLUT INTEG DES</t>
  </si>
  <si>
    <t>0080620800</t>
  </si>
  <si>
    <t>STNT DBL J</t>
  </si>
  <si>
    <t>0080620818</t>
  </si>
  <si>
    <t>STNT C REBEL MR BMS</t>
  </si>
  <si>
    <t>STNT C REBEL</t>
  </si>
  <si>
    <t>0080620834</t>
  </si>
  <si>
    <t>STNT COR RESOLUTE ONYX DES RX</t>
  </si>
  <si>
    <t>STNT RESOLUTE O</t>
  </si>
  <si>
    <t>0080620875</t>
  </si>
  <si>
    <t>STNT C/CV SYNERGY MR US LRG</t>
  </si>
  <si>
    <t>STNT C/CV SYNER</t>
  </si>
  <si>
    <t>0080620909</t>
  </si>
  <si>
    <t>STNT DBL PGTL</t>
  </si>
  <si>
    <t>0080621014</t>
  </si>
  <si>
    <t>STNT ENDOPYLOTOMY</t>
  </si>
  <si>
    <t>STNT ENDOPYLTMY</t>
  </si>
  <si>
    <t>0080621261</t>
  </si>
  <si>
    <t>STNT SYS TACK ENDOVASCULAR ATK</t>
  </si>
  <si>
    <t>STNT SYS TACK E</t>
  </si>
  <si>
    <t>0080621444</t>
  </si>
  <si>
    <t>STNT URETERAL ASCERTA</t>
  </si>
  <si>
    <t>STNT ASCERTA</t>
  </si>
  <si>
    <t>0080621451</t>
  </si>
  <si>
    <t>STNT URETERAL</t>
  </si>
  <si>
    <t>0080621501</t>
  </si>
  <si>
    <t>0080621659</t>
  </si>
  <si>
    <t>STNT UROPAS</t>
  </si>
  <si>
    <t>0080621782</t>
  </si>
  <si>
    <t>STNT VASC EPIC SLF EXPND</t>
  </si>
  <si>
    <t>STNT VASC EPIC</t>
  </si>
  <si>
    <t>0080621998</t>
  </si>
  <si>
    <t>SYS STNT CAROTID</t>
  </si>
  <si>
    <t>SYS STNT CAROTD</t>
  </si>
  <si>
    <t>0080622004</t>
  </si>
  <si>
    <t>SYS STNT NEURO</t>
  </si>
  <si>
    <t>0080622053</t>
  </si>
  <si>
    <t>STNT COR XIENCE SIERRA EE RX</t>
  </si>
  <si>
    <t>STNT C XIENCE S</t>
  </si>
  <si>
    <t>0080622061</t>
  </si>
  <si>
    <t>STNT C SYNERGY DES MR</t>
  </si>
  <si>
    <t>STNT C SYNERGY</t>
  </si>
  <si>
    <t>0080622103</t>
  </si>
  <si>
    <t>STNT C XIENCE ALPINE RX</t>
  </si>
  <si>
    <t>0080622129</t>
  </si>
  <si>
    <t>STNT B ADVANX PRELD NAVF</t>
  </si>
  <si>
    <t>STNT B ADVANIX</t>
  </si>
  <si>
    <t>0080622152</t>
  </si>
  <si>
    <t>STNT ENDOPROSTH FEM ART</t>
  </si>
  <si>
    <t>STNT VIABAHN</t>
  </si>
  <si>
    <t>0080622186</t>
  </si>
  <si>
    <t>STNT B PARAMNT MINI GPS</t>
  </si>
  <si>
    <t>STNT B PARAMNT</t>
  </si>
  <si>
    <t>0080622202</t>
  </si>
  <si>
    <t>STNT ESOPHAG PC WALLFLEX</t>
  </si>
  <si>
    <t>0080622715</t>
  </si>
  <si>
    <t>STNT PERIPH PTX DRG ELUT</t>
  </si>
  <si>
    <t>STNT ZILVER PTX</t>
  </si>
  <si>
    <t>0080670847</t>
  </si>
  <si>
    <t>STNT VASC DELIVERY SYS SURPASS</t>
  </si>
  <si>
    <t>STNT DELVRY SYS</t>
  </si>
  <si>
    <t>0080675036</t>
  </si>
  <si>
    <t>SYS STNT VENOUS SLF EXP ABRE</t>
  </si>
  <si>
    <t>STNT VENOUS SLF</t>
  </si>
  <si>
    <t>0080675044</t>
  </si>
  <si>
    <t>SYS TACK ENDOVASCULAR</t>
  </si>
  <si>
    <t>SYS TACK ENDOVA</t>
  </si>
  <si>
    <t>0080678022</t>
  </si>
  <si>
    <t>SYS STENT VENOUS VENOVO</t>
  </si>
  <si>
    <t>SYS STENT VENOU</t>
  </si>
  <si>
    <t>0080730559</t>
  </si>
  <si>
    <t>GW</t>
  </si>
  <si>
    <t>0080730609</t>
  </si>
  <si>
    <t>0080730757</t>
  </si>
  <si>
    <t>0080730807</t>
  </si>
  <si>
    <t>0080730864</t>
  </si>
  <si>
    <t>0080730989</t>
  </si>
  <si>
    <t>GW CEREBRAL</t>
  </si>
  <si>
    <t>0080730997</t>
  </si>
  <si>
    <t>GW ASAHI PROWATER</t>
  </si>
  <si>
    <t>GW PROWATER</t>
  </si>
  <si>
    <t>0080731003</t>
  </si>
  <si>
    <t>GW COOK</t>
  </si>
  <si>
    <t>0080731441</t>
  </si>
  <si>
    <t>GW DRILL TIP</t>
  </si>
  <si>
    <t>0080731474</t>
  </si>
  <si>
    <t>GW ERCP</t>
  </si>
  <si>
    <t>0080731706</t>
  </si>
  <si>
    <t>GW J</t>
  </si>
  <si>
    <t>0080732449</t>
  </si>
  <si>
    <t>GW STRI FIX CORE ALL</t>
  </si>
  <si>
    <t>GW STRI FX CORE</t>
  </si>
  <si>
    <t>0080732597</t>
  </si>
  <si>
    <t>SHTH GUIDING FLEXR RAABE</t>
  </si>
  <si>
    <t>SHTH GUIDING</t>
  </si>
  <si>
    <t>0080732738</t>
  </si>
  <si>
    <t>SYS INTROD ACCUSTICK II</t>
  </si>
  <si>
    <t>SYS ACCUSTCK II</t>
  </si>
  <si>
    <t>0080818669</t>
  </si>
  <si>
    <t>KT BICEP TENODESIS REP</t>
  </si>
  <si>
    <t>TENODESIS REPR</t>
  </si>
  <si>
    <t>0080819402</t>
  </si>
  <si>
    <t>KT CV CATH PED</t>
  </si>
  <si>
    <t>0080819931</t>
  </si>
  <si>
    <t>KT DRN PLEURAL</t>
  </si>
  <si>
    <t>0080822166</t>
  </si>
  <si>
    <t>KT MICROPUNCT INTRO</t>
  </si>
  <si>
    <t>KT PUNCT INTRO</t>
  </si>
  <si>
    <t>0080822307</t>
  </si>
  <si>
    <t>KT MULTILMR CTH</t>
  </si>
  <si>
    <t>0080822711</t>
  </si>
  <si>
    <t>KT NSTIM D LD ACCESSORY</t>
  </si>
  <si>
    <t>KT NSTIM ACCESS</t>
  </si>
  <si>
    <t>0080823826</t>
  </si>
  <si>
    <t>KT PERMCATH DBL LUMEN</t>
  </si>
  <si>
    <t>KT PERMCATH LMN</t>
  </si>
  <si>
    <t>0080823982</t>
  </si>
  <si>
    <t>KT PIN PLUG DFIB/PM</t>
  </si>
  <si>
    <t>KT PIN PLUG</t>
  </si>
  <si>
    <t>0080824519</t>
  </si>
  <si>
    <t>KT REPAIR SYNDESMOSIS</t>
  </si>
  <si>
    <t>KT REPAIR SYNDE</t>
  </si>
  <si>
    <t>0080825169</t>
  </si>
  <si>
    <t>KT SHTH INTRO W/GW/DIL</t>
  </si>
  <si>
    <t>KT SHTH INTRO</t>
  </si>
  <si>
    <t>0080826811</t>
  </si>
  <si>
    <t>ST CATH EVD BACTISEAL</t>
  </si>
  <si>
    <t>ST CATH EVD</t>
  </si>
  <si>
    <t>0080836828</t>
  </si>
  <si>
    <t>TRY INTRD PERC SHLY TRCH</t>
  </si>
  <si>
    <t>TRY INTRD TRACH</t>
  </si>
  <si>
    <t>0080931553</t>
  </si>
  <si>
    <t>PROS EAR TUBE</t>
  </si>
  <si>
    <t>0081020430</t>
  </si>
  <si>
    <t>SYS CAST TOTAL CONTACT</t>
  </si>
  <si>
    <t>SYS TOTL CONTCT</t>
  </si>
  <si>
    <t>0081210650</t>
  </si>
  <si>
    <t>EAR TUBE</t>
  </si>
  <si>
    <t>0081221673</t>
  </si>
  <si>
    <t>GRFT OCULAR AMNIO MEMBRN</t>
  </si>
  <si>
    <t>GRFT OCULAR</t>
  </si>
  <si>
    <t>0081221681</t>
  </si>
  <si>
    <t>IMP NASAL</t>
  </si>
  <si>
    <t>0081229445</t>
  </si>
  <si>
    <t>IMP SINUS STEROID RELEAS</t>
  </si>
  <si>
    <t>IMP PROPEL</t>
  </si>
  <si>
    <t>0081300063</t>
  </si>
  <si>
    <t>KO IMMOBILIZER</t>
  </si>
  <si>
    <t>0081300410</t>
  </si>
  <si>
    <t>UE FX HUMERAL</t>
  </si>
  <si>
    <t>0081300451</t>
  </si>
  <si>
    <t>HO POST-OP HIP ABDUCTION</t>
  </si>
  <si>
    <t>HO POSTOP ABDCT</t>
  </si>
  <si>
    <t>0081300477</t>
  </si>
  <si>
    <t>KO ADJ JNT POS RIGD SPPT</t>
  </si>
  <si>
    <t>KO ADJ JT POS R</t>
  </si>
  <si>
    <t>0081300485</t>
  </si>
  <si>
    <t>SOFT INTERFC ABV KNEE SE</t>
  </si>
  <si>
    <t>SFT INTFC ABV K</t>
  </si>
  <si>
    <t>0081300501</t>
  </si>
  <si>
    <t>SOFT INTERFC BLW KNEE SE</t>
  </si>
  <si>
    <t>SFT INTFC BLW K</t>
  </si>
  <si>
    <t>0081300576</t>
  </si>
  <si>
    <t>PNEUMATC WALK SPLNT</t>
  </si>
  <si>
    <t>PNEUM WLK SPLNT</t>
  </si>
  <si>
    <t>0081300634</t>
  </si>
  <si>
    <t>AFO PLST MLD W/ANKLE JNT</t>
  </si>
  <si>
    <t>AFO MLD W/AK JT</t>
  </si>
  <si>
    <t>0081300642</t>
  </si>
  <si>
    <t>AFO MOLD TO PT PLSTC</t>
  </si>
  <si>
    <t>AFO PLSTC MOLD</t>
  </si>
  <si>
    <t>0081300659</t>
  </si>
  <si>
    <t>AFO POST SLD AK PLST MLD</t>
  </si>
  <si>
    <t>AFO POST SLD AK</t>
  </si>
  <si>
    <t>0081300691</t>
  </si>
  <si>
    <t>STATIC AFO</t>
  </si>
  <si>
    <t>0081300709</t>
  </si>
  <si>
    <t>PROS SOCK MULTI PLY BK</t>
  </si>
  <si>
    <t>PROS SOC MLTPLY</t>
  </si>
  <si>
    <t>0081300725</t>
  </si>
  <si>
    <t>CERV COL FOAM 2PC W THOR</t>
  </si>
  <si>
    <t>CERV CLR 2P THR</t>
  </si>
  <si>
    <t>0081300733</t>
  </si>
  <si>
    <t>CERV COL THERMPLS FM 2PC</t>
  </si>
  <si>
    <t>CERV COLR 2PC</t>
  </si>
  <si>
    <t>0081300766</t>
  </si>
  <si>
    <t>CERV PST COL OCC/MAN SUP</t>
  </si>
  <si>
    <t>CRV PST COL OC/</t>
  </si>
  <si>
    <t>0081300790</t>
  </si>
  <si>
    <t>AFO PLSTC/OTHER PREFAB</t>
  </si>
  <si>
    <t>AFO PLST/OTHER</t>
  </si>
  <si>
    <t>0081300808</t>
  </si>
  <si>
    <t>ORTH ADD LE VAR/VAL T ST</t>
  </si>
  <si>
    <t>LE VAR/VAL T</t>
  </si>
  <si>
    <t>0081300816</t>
  </si>
  <si>
    <t>ORTH ADD BODY SOCK</t>
  </si>
  <si>
    <t>BODY SOCK</t>
  </si>
  <si>
    <t>0081301012</t>
  </si>
  <si>
    <t>ORTH LO RGD A/P L1-L5</t>
  </si>
  <si>
    <t>LO RGD L1L5</t>
  </si>
  <si>
    <t>0081301053</t>
  </si>
  <si>
    <t>ORTH LSO RGD SAC/T9 PRE</t>
  </si>
  <si>
    <t>LSO SAC/T9 PRE</t>
  </si>
  <si>
    <t>0081301095</t>
  </si>
  <si>
    <t>ORTH LSO SAG CTRL SAC-T9</t>
  </si>
  <si>
    <t>LSO SAG SAC-T9</t>
  </si>
  <si>
    <t>0081301186</t>
  </si>
  <si>
    <t>ORTH SEWHO AB POS PREFAB</t>
  </si>
  <si>
    <t>SEWHO AB POS</t>
  </si>
  <si>
    <t>0081301236</t>
  </si>
  <si>
    <t>INTRPHLNGEAL JOINT SPACR</t>
  </si>
  <si>
    <t>INTRPHLNGEAL JO</t>
  </si>
  <si>
    <t>0081301335</t>
  </si>
  <si>
    <t>PLT VOLAR LCP</t>
  </si>
  <si>
    <t>0081301343</t>
  </si>
  <si>
    <t>BAR ORTHO</t>
  </si>
  <si>
    <t>0081301368</t>
  </si>
  <si>
    <t>AFO ANT TIB SPIRAL</t>
  </si>
  <si>
    <t>AFO ANT TIB SPI</t>
  </si>
  <si>
    <t>0081301665</t>
  </si>
  <si>
    <t>ASCN PIP FNGR RPLCMNT</t>
  </si>
  <si>
    <t>ASCN PIP FNGR</t>
  </si>
  <si>
    <t>0081302317</t>
  </si>
  <si>
    <t>PLT CONDYLAR TIT</t>
  </si>
  <si>
    <t>PLT CONDYLAR</t>
  </si>
  <si>
    <t>0081302366</t>
  </si>
  <si>
    <t>PROS RADIAL STEM</t>
  </si>
  <si>
    <t>PROS RADL STEM</t>
  </si>
  <si>
    <t>0081302697</t>
  </si>
  <si>
    <t>SCREW BIOCOMPRESSION</t>
  </si>
  <si>
    <t>SCRW BIOCMPRSN</t>
  </si>
  <si>
    <t>0081302747</t>
  </si>
  <si>
    <t>SCRW MANDIBULAR</t>
  </si>
  <si>
    <t>SCRW MAND</t>
  </si>
  <si>
    <t>0081309809</t>
  </si>
  <si>
    <t>TLSO TRPLNR HYPEXT PREFB</t>
  </si>
  <si>
    <t>TSLO TRPNR PREF</t>
  </si>
  <si>
    <t>0081310120</t>
  </si>
  <si>
    <t>ANCH SUT TWINFIX TITAN</t>
  </si>
  <si>
    <t>0081312605</t>
  </si>
  <si>
    <t>BN BLOCKS</t>
  </si>
  <si>
    <t>0081312753</t>
  </si>
  <si>
    <t>BN CHIPS</t>
  </si>
  <si>
    <t>0081312761</t>
  </si>
  <si>
    <t>BN FILLER</t>
  </si>
  <si>
    <t>0081312779</t>
  </si>
  <si>
    <t>BN FILLER 2</t>
  </si>
  <si>
    <t>0081312811</t>
  </si>
  <si>
    <t>BN GRANUELS 10CC</t>
  </si>
  <si>
    <t>BN GRANUEL 10CC</t>
  </si>
  <si>
    <t>0081312829</t>
  </si>
  <si>
    <t>BN GRANUELS 15CC</t>
  </si>
  <si>
    <t>BN GRANUELS15CC</t>
  </si>
  <si>
    <t>0081312837</t>
  </si>
  <si>
    <t>BN GRANUELS 30CC</t>
  </si>
  <si>
    <t>BN GRANUELS30CC</t>
  </si>
  <si>
    <t>0081312845</t>
  </si>
  <si>
    <t>BN GRANULES ANY</t>
  </si>
  <si>
    <t>0081312852</t>
  </si>
  <si>
    <t>BN GRFT</t>
  </si>
  <si>
    <t>0081312860</t>
  </si>
  <si>
    <t>BN GRFT 2</t>
  </si>
  <si>
    <t>0081312894</t>
  </si>
  <si>
    <t>BN GRFT INJ 5CC</t>
  </si>
  <si>
    <t>0081312944</t>
  </si>
  <si>
    <t>BN GRFT INJ 10CC</t>
  </si>
  <si>
    <t>BN GRFT INJ 10</t>
  </si>
  <si>
    <t>0081313165</t>
  </si>
  <si>
    <t>BOLT LOCKING 2</t>
  </si>
  <si>
    <t>0081313173</t>
  </si>
  <si>
    <t>BOLT LOCKING 1</t>
  </si>
  <si>
    <t>0081313314</t>
  </si>
  <si>
    <t>BOOT/SHOE SURGICAL</t>
  </si>
  <si>
    <t xml:space="preserve">BOOT/SHOE SURG </t>
  </si>
  <si>
    <t>0081313447</t>
  </si>
  <si>
    <t>BUTTON CERCLAGE HEX</t>
  </si>
  <si>
    <t>BUTTON CERCLAGE</t>
  </si>
  <si>
    <t>0081315079</t>
  </si>
  <si>
    <t>CAP LOCKING SCREW NCB</t>
  </si>
  <si>
    <t>CAP LOCK SCREW</t>
  </si>
  <si>
    <t>0081315087</t>
  </si>
  <si>
    <t>CAP END HUMERAL</t>
  </si>
  <si>
    <t>CAP END HUMRL</t>
  </si>
  <si>
    <t>0081315137</t>
  </si>
  <si>
    <t>CBLE FIX BN</t>
  </si>
  <si>
    <t>0081315145</t>
  </si>
  <si>
    <t>CBLE FIX BN SLEVE</t>
  </si>
  <si>
    <t>CBLE FIX BN SLV</t>
  </si>
  <si>
    <t>0081315152</t>
  </si>
  <si>
    <t>CBL ORTHO W CRIMP</t>
  </si>
  <si>
    <t>CBL W CRIMP</t>
  </si>
  <si>
    <t>0081315202</t>
  </si>
  <si>
    <t>CEMT BN</t>
  </si>
  <si>
    <t>0081315210</t>
  </si>
  <si>
    <t>CEMT BN 2</t>
  </si>
  <si>
    <t>0081315228</t>
  </si>
  <si>
    <t>CEMT BN W/ANTIBIOTIC</t>
  </si>
  <si>
    <t>CEMT W/ANTIBIOT</t>
  </si>
  <si>
    <t>0081315251</t>
  </si>
  <si>
    <t>CEMT LO VISCUS</t>
  </si>
  <si>
    <t>0081315277</t>
  </si>
  <si>
    <t>CEMT PERC DELIVERY SYS</t>
  </si>
  <si>
    <t>CEMT PERC DEL</t>
  </si>
  <si>
    <t>0081315418</t>
  </si>
  <si>
    <t>COLLAR CERV MULT ADJ</t>
  </si>
  <si>
    <t>COLLAR CER ADJ</t>
  </si>
  <si>
    <t>0081315491</t>
  </si>
  <si>
    <t>COMPONENT FX PHALANGEAL</t>
  </si>
  <si>
    <t>COMPONENT FIX</t>
  </si>
  <si>
    <t>0081315731</t>
  </si>
  <si>
    <t>DVC TROCHANTER FX W CBL2</t>
  </si>
  <si>
    <t>DVC TROCH FIX</t>
  </si>
  <si>
    <t>0081315780</t>
  </si>
  <si>
    <t>DVC PLATE/STAPLE PLAPLE</t>
  </si>
  <si>
    <t>DVC PLAPLE</t>
  </si>
  <si>
    <t>0081321259</t>
  </si>
  <si>
    <t>EXFX HOF CON ROD</t>
  </si>
  <si>
    <t>EXFX HOF CON RD</t>
  </si>
  <si>
    <t>0081321903</t>
  </si>
  <si>
    <t>EXFX WIRE BAYONT PT CORT</t>
  </si>
  <si>
    <t>EXFX WIRE BAYON</t>
  </si>
  <si>
    <t>0081321911</t>
  </si>
  <si>
    <t>EXFX WIRE W STOP</t>
  </si>
  <si>
    <t>EXFX WIRE W STP</t>
  </si>
  <si>
    <t>0081325102</t>
  </si>
  <si>
    <t>FEM NAIL</t>
  </si>
  <si>
    <t>0081326159</t>
  </si>
  <si>
    <t>FLEXIBLE NAIL AS</t>
  </si>
  <si>
    <t>FLEXIBL NAIL AS</t>
  </si>
  <si>
    <t>0081328858</t>
  </si>
  <si>
    <t>IMP BN-TENDN-BN</t>
  </si>
  <si>
    <t>IMP BN-TNDN-BN</t>
  </si>
  <si>
    <t>0081328866</t>
  </si>
  <si>
    <t>IMP BN-TNDN-BN HEMI QUAD</t>
  </si>
  <si>
    <t>0081328924</t>
  </si>
  <si>
    <t>IMP BN MATRIX 5</t>
  </si>
  <si>
    <t>0081329005</t>
  </si>
  <si>
    <t>IMP BN</t>
  </si>
  <si>
    <t>0081329088</t>
  </si>
  <si>
    <t>IMP BN FEMORAL HEAD</t>
  </si>
  <si>
    <t>IMP BN FEM HEAD</t>
  </si>
  <si>
    <t>0081329096</t>
  </si>
  <si>
    <t>IMP BN PATELLA TENDON</t>
  </si>
  <si>
    <t>IMP BN PATELLA</t>
  </si>
  <si>
    <t>0081329112</t>
  </si>
  <si>
    <t>IMP BN MATRIX 1</t>
  </si>
  <si>
    <t>0081329120</t>
  </si>
  <si>
    <t>IMP BN MATRIX 2</t>
  </si>
  <si>
    <t>0081329153</t>
  </si>
  <si>
    <t>IMP CAP LOCKING SPFUSN</t>
  </si>
  <si>
    <t>IMP CAP LOCKING</t>
  </si>
  <si>
    <t>0081329245</t>
  </si>
  <si>
    <t>IMP HELICAL BLADE</t>
  </si>
  <si>
    <t>IMP HELICAL BLD</t>
  </si>
  <si>
    <t>0081329278</t>
  </si>
  <si>
    <t>IMP NAIL TROCHANTER</t>
  </si>
  <si>
    <t>IMP NAIL TROCHN</t>
  </si>
  <si>
    <t>0081329286</t>
  </si>
  <si>
    <t>IMP RD STABLZTN PHALANGE</t>
  </si>
  <si>
    <t>RD STABLZTN</t>
  </si>
  <si>
    <t>0081329302</t>
  </si>
  <si>
    <t>IMP PLATE STRAIGHT</t>
  </si>
  <si>
    <t>IMP PLATE STR</t>
  </si>
  <si>
    <t>0081329310</t>
  </si>
  <si>
    <t>IMP PLT TROCHANTER</t>
  </si>
  <si>
    <t>IMP PLT TRCHNTR</t>
  </si>
  <si>
    <t>0081329385</t>
  </si>
  <si>
    <t>IMP SUBTALAR MBA</t>
  </si>
  <si>
    <t>IMP SUBTALAR</t>
  </si>
  <si>
    <t>0081329419</t>
  </si>
  <si>
    <t>IMP SPACER FNGR CARPEL</t>
  </si>
  <si>
    <t>IMP SPACER FNGR</t>
  </si>
  <si>
    <t>0081329427</t>
  </si>
  <si>
    <t>IMP TENDON ACHILLES</t>
  </si>
  <si>
    <t>IMP TENDN ACHIL</t>
  </si>
  <si>
    <t>0081329450</t>
  </si>
  <si>
    <t>IMP SINUS TARSI</t>
  </si>
  <si>
    <t>0081329468</t>
  </si>
  <si>
    <t>IMP NAIL CAP</t>
  </si>
  <si>
    <t>0081329484</t>
  </si>
  <si>
    <t>IMP TENDON TIBIALIS</t>
  </si>
  <si>
    <t>IMP TENDON TIB</t>
  </si>
  <si>
    <t>0081329492</t>
  </si>
  <si>
    <t>IMP NAIL TROCH CANN</t>
  </si>
  <si>
    <t>IMP NAIL TROCH</t>
  </si>
  <si>
    <t>0081329500</t>
  </si>
  <si>
    <t>K WIRE</t>
  </si>
  <si>
    <t>0081329559</t>
  </si>
  <si>
    <t>0081329583</t>
  </si>
  <si>
    <t>KT BN CEMT W MIXER</t>
  </si>
  <si>
    <t>KT BN CEMT/MIXR</t>
  </si>
  <si>
    <t>0081329609</t>
  </si>
  <si>
    <t>KT FIXATOR DISTAL RADIUS</t>
  </si>
  <si>
    <t>KT FIXATOR</t>
  </si>
  <si>
    <t>0081329641</t>
  </si>
  <si>
    <t>KT REPAIR AC TIGHTROPE</t>
  </si>
  <si>
    <t>KT REP TIGHTRP</t>
  </si>
  <si>
    <t>0081329658</t>
  </si>
  <si>
    <t>KT REPAIR MINI TIGHTROPE</t>
  </si>
  <si>
    <t>0081329666</t>
  </si>
  <si>
    <t>KT REPR MED PATL FEM LIG</t>
  </si>
  <si>
    <t>KIT REPR MPFL</t>
  </si>
  <si>
    <t>0081329690</t>
  </si>
  <si>
    <t>KO ELST PD/JNT PREFAB</t>
  </si>
  <si>
    <t>KO ELST PD/JNT</t>
  </si>
  <si>
    <t>0081329997</t>
  </si>
  <si>
    <t>NAIL ANKLE ARTHRODESIS</t>
  </si>
  <si>
    <t>NAIL ANKL ARTHR</t>
  </si>
  <si>
    <t>0081330011</t>
  </si>
  <si>
    <t>NAIL INTRAMEDULLARY TYP1</t>
  </si>
  <si>
    <t>NAIL INTRAMEDUL</t>
  </si>
  <si>
    <t>0081330029</t>
  </si>
  <si>
    <t>NAIL INTRAMEDULLARY TYP2</t>
  </si>
  <si>
    <t>0081330045</t>
  </si>
  <si>
    <t>NAIL INTRAMEDULLARY TYP4</t>
  </si>
  <si>
    <t>0081330250</t>
  </si>
  <si>
    <t>NAIL HUMERAL</t>
  </si>
  <si>
    <t>0081330755</t>
  </si>
  <si>
    <t>NAIL TIBIA</t>
  </si>
  <si>
    <t>0081330763</t>
  </si>
  <si>
    <t>NAIL TIBIA 2</t>
  </si>
  <si>
    <t>0081330813</t>
  </si>
  <si>
    <t>NAIL TITANIUM ELASTIC</t>
  </si>
  <si>
    <t>NAIL TIT ELSTC</t>
  </si>
  <si>
    <t>0081332009</t>
  </si>
  <si>
    <t>ORTH ELBOW ADJ LCK JNT</t>
  </si>
  <si>
    <t>ELBOW ADJ LCK</t>
  </si>
  <si>
    <t>0081332025</t>
  </si>
  <si>
    <t>ORTH AFO TIB FX SFT PREF</t>
  </si>
  <si>
    <t>AFO TIB FX SFT</t>
  </si>
  <si>
    <t>0081332033</t>
  </si>
  <si>
    <t>ORTH BOOT NONPNEU PREFAB</t>
  </si>
  <si>
    <t>BOOT NONPNEU</t>
  </si>
  <si>
    <t>0081332181</t>
  </si>
  <si>
    <t>ORTH CERV S-RGD OCC MAN</t>
  </si>
  <si>
    <t>CERV S-RGD SUPP</t>
  </si>
  <si>
    <t>0081332199</t>
  </si>
  <si>
    <t>ORTH KNEE DSC/DL EA JNT</t>
  </si>
  <si>
    <t>KNEE DSC/DL EA</t>
  </si>
  <si>
    <t>0081332413</t>
  </si>
  <si>
    <t>ORTH ADD NONCORRS EA BAR</t>
  </si>
  <si>
    <t>NONCORRSIVE FIN</t>
  </si>
  <si>
    <t>0081332439</t>
  </si>
  <si>
    <t>ORTH COLLR CERV FLX FOAM</t>
  </si>
  <si>
    <t>CERV COLLR FOAM</t>
  </si>
  <si>
    <t>0081332579</t>
  </si>
  <si>
    <t>ORTH TLSO TRPLNR 4 RGD</t>
  </si>
  <si>
    <t>TLSO TRPLNR 4R</t>
  </si>
  <si>
    <t>0081332603</t>
  </si>
  <si>
    <t>NUT</t>
  </si>
  <si>
    <t>0081332678</t>
  </si>
  <si>
    <t>ORTH TSLO TRPL CTRL 2PC</t>
  </si>
  <si>
    <t>TSLO TPLNR 2P</t>
  </si>
  <si>
    <t>0081332751</t>
  </si>
  <si>
    <t>ORTH LE ADD DOR/PLNT FLX</t>
  </si>
  <si>
    <t>LE DOR/PLNT FLX</t>
  </si>
  <si>
    <t>0081332769</t>
  </si>
  <si>
    <t>ORTH LE ADD VRS/VLGS COR</t>
  </si>
  <si>
    <t>LE VRS/VLGS</t>
  </si>
  <si>
    <t>0081332819</t>
  </si>
  <si>
    <t>ORTH LE ADD HIP JNT</t>
  </si>
  <si>
    <t>LE ADD HIP JNT</t>
  </si>
  <si>
    <t>0081332835</t>
  </si>
  <si>
    <t>ORTH LE ADD LW HYBRD</t>
  </si>
  <si>
    <t>LE ADD LW HYBRD</t>
  </si>
  <si>
    <t>0081333155</t>
  </si>
  <si>
    <t>PROS MANDIBULR NARRW TMJ</t>
  </si>
  <si>
    <t>PROS MANDIBULAR</t>
  </si>
  <si>
    <t>0081335408</t>
  </si>
  <si>
    <t>PIN ABSORBABLE</t>
  </si>
  <si>
    <t>0081335432</t>
  </si>
  <si>
    <t>PIN DISTRACTION</t>
  </si>
  <si>
    <t>PIN DISTRACTN</t>
  </si>
  <si>
    <t>0081335465</t>
  </si>
  <si>
    <t>PIN HALF THREAD</t>
  </si>
  <si>
    <t>PIN HALF THRD</t>
  </si>
  <si>
    <t>0081335952</t>
  </si>
  <si>
    <t>PIN MLT FIXATN</t>
  </si>
  <si>
    <t>0081336018</t>
  </si>
  <si>
    <t>PIN ORTHOSORB</t>
  </si>
  <si>
    <t>0081336323</t>
  </si>
  <si>
    <t>PIN TRANSFIX SMOOTH</t>
  </si>
  <si>
    <t>PIN TRANSFIX</t>
  </si>
  <si>
    <t>0081336356</t>
  </si>
  <si>
    <t>PIN STEINMAN PL</t>
  </si>
  <si>
    <t>0081336364</t>
  </si>
  <si>
    <t>PIN TYPE II</t>
  </si>
  <si>
    <t>PIN TYPEII</t>
  </si>
  <si>
    <t>0081336380</t>
  </si>
  <si>
    <t>PIN TYPE I</t>
  </si>
  <si>
    <t>0081336406</t>
  </si>
  <si>
    <t>PIN STEINMAN THR</t>
  </si>
  <si>
    <t>PIN STEINMN THR</t>
  </si>
  <si>
    <t>0081336752</t>
  </si>
  <si>
    <t>PLT BN MED</t>
  </si>
  <si>
    <t>0081336794</t>
  </si>
  <si>
    <t>PLT BOX MATRIXNEURO</t>
  </si>
  <si>
    <t>PLT BOX CRANIAL</t>
  </si>
  <si>
    <t>0081336802</t>
  </si>
  <si>
    <t>PLT BN SMALL</t>
  </si>
  <si>
    <t>0081336836</t>
  </si>
  <si>
    <t>PLT CALCANEAL</t>
  </si>
  <si>
    <t>0081336877</t>
  </si>
  <si>
    <t>PLT CLAVICLE HOOK</t>
  </si>
  <si>
    <t>PLT CLAV HOOK</t>
  </si>
  <si>
    <t>0081336992</t>
  </si>
  <si>
    <t>PLT COMP LCP</t>
  </si>
  <si>
    <t>0081337008</t>
  </si>
  <si>
    <t>PLT COMPRESSION</t>
  </si>
  <si>
    <t>0081337016</t>
  </si>
  <si>
    <t>PLT COMPRESSION 2</t>
  </si>
  <si>
    <t>PLT COMPRESION</t>
  </si>
  <si>
    <t>0081337024</t>
  </si>
  <si>
    <t>PLT CRANI</t>
  </si>
  <si>
    <t>0081337065</t>
  </si>
  <si>
    <t>PLT CRANI STRAIGHT</t>
  </si>
  <si>
    <t>PLT CRAN STRT</t>
  </si>
  <si>
    <t>0081337123</t>
  </si>
  <si>
    <t>PLT DISTAL LATERAL FEMUR</t>
  </si>
  <si>
    <t>PLT DST LAT FEM</t>
  </si>
  <si>
    <t>0081337131</t>
  </si>
  <si>
    <t>PLT DISTL LAT TIBIA LCK</t>
  </si>
  <si>
    <t>PLT DST LAT TIB</t>
  </si>
  <si>
    <t>0081337156</t>
  </si>
  <si>
    <t>PLT E CLOVLEAF</t>
  </si>
  <si>
    <t>0081337255</t>
  </si>
  <si>
    <t>PLT E COMP DCP</t>
  </si>
  <si>
    <t>0081337263</t>
  </si>
  <si>
    <t>PLT E COMP DCP 2</t>
  </si>
  <si>
    <t>0081337305</t>
  </si>
  <si>
    <t>PLT E COMP DHS</t>
  </si>
  <si>
    <t>0081337354</t>
  </si>
  <si>
    <t>PLT E COMP NRW</t>
  </si>
  <si>
    <t>0081337503</t>
  </si>
  <si>
    <t>PLT E CONDYLR</t>
  </si>
  <si>
    <t>0081337651</t>
  </si>
  <si>
    <t>PLT E MINI</t>
  </si>
  <si>
    <t>0081337750</t>
  </si>
  <si>
    <t>PLT E MINI T/L</t>
  </si>
  <si>
    <t>0081337800</t>
  </si>
  <si>
    <t>PLT E MULT FRG</t>
  </si>
  <si>
    <t>0081337834</t>
  </si>
  <si>
    <t>PLT NEURO</t>
  </si>
  <si>
    <t>0081337859</t>
  </si>
  <si>
    <t>PLT E SEM TUBE</t>
  </si>
  <si>
    <t>0081337958</t>
  </si>
  <si>
    <t>PLT E T</t>
  </si>
  <si>
    <t>0081338105</t>
  </si>
  <si>
    <t>PLT E T OBLIQ</t>
  </si>
  <si>
    <t>0081338253</t>
  </si>
  <si>
    <t>PLT E 1/3 TUBE</t>
  </si>
  <si>
    <t>0081338287</t>
  </si>
  <si>
    <t>PLT FEM PROX ANGLED</t>
  </si>
  <si>
    <t>PLT FEM PROX</t>
  </si>
  <si>
    <t>0081338295</t>
  </si>
  <si>
    <t>PLT FIBULA COMPOSITE</t>
  </si>
  <si>
    <t>PLT FIBULA</t>
  </si>
  <si>
    <t>0081338303</t>
  </si>
  <si>
    <t>PLT LC COMP METAPHYSEAL</t>
  </si>
  <si>
    <t>PLT METAPHYSEAL</t>
  </si>
  <si>
    <t>0081338311</t>
  </si>
  <si>
    <t>PLT LC ANGLE</t>
  </si>
  <si>
    <t>0081338337</t>
  </si>
  <si>
    <t>PLT H EXTEND</t>
  </si>
  <si>
    <t>0081338386</t>
  </si>
  <si>
    <t>PLT MTP</t>
  </si>
  <si>
    <t>0081338402</t>
  </si>
  <si>
    <t>PLT MINI FRAG</t>
  </si>
  <si>
    <t>0081338410</t>
  </si>
  <si>
    <t>PLT OLECRANON</t>
  </si>
  <si>
    <t>0081338436</t>
  </si>
  <si>
    <t>PLATE OTHER</t>
  </si>
  <si>
    <t>0081338451</t>
  </si>
  <si>
    <t>PLT RECONTSRCT</t>
  </si>
  <si>
    <t>0081338485</t>
  </si>
  <si>
    <t>PLT RECON MAND</t>
  </si>
  <si>
    <t>0081338600</t>
  </si>
  <si>
    <t>PLT SM FRAG AO</t>
  </si>
  <si>
    <t>0081338873</t>
  </si>
  <si>
    <t>PLT SYNTHES</t>
  </si>
  <si>
    <t>0081338881</t>
  </si>
  <si>
    <t>PLT VOLAR RADIUS</t>
  </si>
  <si>
    <t>PLT VOLAR RAD</t>
  </si>
  <si>
    <t>0081338899</t>
  </si>
  <si>
    <t>PLT Y DBL</t>
  </si>
  <si>
    <t>0081338964</t>
  </si>
  <si>
    <t>PLT LC CLAVICLE TIT</t>
  </si>
  <si>
    <t>PLT LC CLAVICLE</t>
  </si>
  <si>
    <t>0081338972</t>
  </si>
  <si>
    <t>PLT LC LAT PROX HUMERAL</t>
  </si>
  <si>
    <t>PLT LC HUMERAL</t>
  </si>
  <si>
    <t>0081338980</t>
  </si>
  <si>
    <t>PLT PROX HUMERAL</t>
  </si>
  <si>
    <t>PLT PROX HUMERL</t>
  </si>
  <si>
    <t>0081338998</t>
  </si>
  <si>
    <t>PLT VOLAR DISTAL RADIUS</t>
  </si>
  <si>
    <t>0081340036</t>
  </si>
  <si>
    <t>POST TAPER</t>
  </si>
  <si>
    <t>0081340341</t>
  </si>
  <si>
    <t>PLT WRIST FUSION LCP</t>
  </si>
  <si>
    <t>PLT WRIST FUSN</t>
  </si>
  <si>
    <t>0081340366</t>
  </si>
  <si>
    <t>PLT WEDGE FOOT OPEN</t>
  </si>
  <si>
    <t>PLT WEDGE</t>
  </si>
  <si>
    <t>0081340374</t>
  </si>
  <si>
    <t>PLUG CABLE</t>
  </si>
  <si>
    <t>0081341505</t>
  </si>
  <si>
    <t>PROS ARTICULAR SURFACE</t>
  </si>
  <si>
    <t>PROS ARTIC SURF</t>
  </si>
  <si>
    <t>0081342040</t>
  </si>
  <si>
    <t>PROS FEMORAL HEAD</t>
  </si>
  <si>
    <t>PROS FEMORAL HD</t>
  </si>
  <si>
    <t>0081342685</t>
  </si>
  <si>
    <t>PROS ELBOW</t>
  </si>
  <si>
    <t>0081342800</t>
  </si>
  <si>
    <t>PROS FINGER JNT</t>
  </si>
  <si>
    <t>0081343519</t>
  </si>
  <si>
    <t>PROS HUMERAL ASSEMBLY</t>
  </si>
  <si>
    <t>PROS HUMERAL</t>
  </si>
  <si>
    <t>0081344053</t>
  </si>
  <si>
    <t>PROS KNE/TIBIAL</t>
  </si>
  <si>
    <t>0081344251</t>
  </si>
  <si>
    <t>PROS KNEE</t>
  </si>
  <si>
    <t>0081344335</t>
  </si>
  <si>
    <t>PROS METACARPOPHALANGEAL</t>
  </si>
  <si>
    <t>PROS METACARP</t>
  </si>
  <si>
    <t>0081344343</t>
  </si>
  <si>
    <t>PROS PSTSURG APPL RGD</t>
  </si>
  <si>
    <t>PSTSURG RGD BK</t>
  </si>
  <si>
    <t>0081344350</t>
  </si>
  <si>
    <t>PROS RADIAL HEAD</t>
  </si>
  <si>
    <t>PROS RADIAL HEA</t>
  </si>
  <si>
    <t>0081344905</t>
  </si>
  <si>
    <t>PROS TOE GREAT</t>
  </si>
  <si>
    <t>0081344954</t>
  </si>
  <si>
    <t>PROS TOE HAMMER</t>
  </si>
  <si>
    <t>0081345001</t>
  </si>
  <si>
    <t>PROS TOE HINGE</t>
  </si>
  <si>
    <t>0081345092</t>
  </si>
  <si>
    <t>PROS ULNAR ASSEMBLY</t>
  </si>
  <si>
    <t>PROS ULNAR ASSM</t>
  </si>
  <si>
    <t>0081350019</t>
  </si>
  <si>
    <t>RD TYPE II</t>
  </si>
  <si>
    <t>RD TYPEII</t>
  </si>
  <si>
    <t>0081350035</t>
  </si>
  <si>
    <t>RD CARBON</t>
  </si>
  <si>
    <t>0081350043</t>
  </si>
  <si>
    <t>0081351504</t>
  </si>
  <si>
    <t>SCRW ARTHRO</t>
  </si>
  <si>
    <t>0081360026</t>
  </si>
  <si>
    <t>SCREW BIOABSORBABLE</t>
  </si>
  <si>
    <t>SCRW BIOABSORB</t>
  </si>
  <si>
    <t>0081360059</t>
  </si>
  <si>
    <t>SCRW BN</t>
  </si>
  <si>
    <t>0081360067</t>
  </si>
  <si>
    <t>0081360075</t>
  </si>
  <si>
    <t>0081360208</t>
  </si>
  <si>
    <t>SCRW CANCL</t>
  </si>
  <si>
    <t>0081360216</t>
  </si>
  <si>
    <t>0081360307</t>
  </si>
  <si>
    <t>SCRW CANN</t>
  </si>
  <si>
    <t>0081360315</t>
  </si>
  <si>
    <t>SCREW CANN</t>
  </si>
  <si>
    <t>0081360323</t>
  </si>
  <si>
    <t>SCRW CANN F THREAD</t>
  </si>
  <si>
    <t>0081360505</t>
  </si>
  <si>
    <t>SCRW COMPRESS</t>
  </si>
  <si>
    <t>0081360554</t>
  </si>
  <si>
    <t>0081360604</t>
  </si>
  <si>
    <t>SCRW COMPRS/LAG</t>
  </si>
  <si>
    <t>0081360679</t>
  </si>
  <si>
    <t>SCRW CORTX</t>
  </si>
  <si>
    <t>0081360687</t>
  </si>
  <si>
    <t>0081360695</t>
  </si>
  <si>
    <t>SCREW CORTX</t>
  </si>
  <si>
    <t>0081360711</t>
  </si>
  <si>
    <t>SCRW CORTICAL</t>
  </si>
  <si>
    <t>0081360760</t>
  </si>
  <si>
    <t>SCRW DISTRACTION</t>
  </si>
  <si>
    <t>SCRW DISTRACTN</t>
  </si>
  <si>
    <t>0081360851</t>
  </si>
  <si>
    <t>SCRW E CANCL6.5</t>
  </si>
  <si>
    <t>0081360901</t>
  </si>
  <si>
    <t>SCRW E CORTX</t>
  </si>
  <si>
    <t>0081361065</t>
  </si>
  <si>
    <t>SCRW MAX FACIAL</t>
  </si>
  <si>
    <t>0081361081</t>
  </si>
  <si>
    <t>SCREW MALLEOLAR</t>
  </si>
  <si>
    <t>0081361156</t>
  </si>
  <si>
    <t>SCRW E SCHANZ</t>
  </si>
  <si>
    <t>0081361305</t>
  </si>
  <si>
    <t>SCRW F/X SPINE</t>
  </si>
  <si>
    <t>0081361404</t>
  </si>
  <si>
    <t>SCRW FIXATION</t>
  </si>
  <si>
    <t>0081361552</t>
  </si>
  <si>
    <t>SCRW HI-TORQUE</t>
  </si>
  <si>
    <t>0081361701</t>
  </si>
  <si>
    <t>SCRW HIP CMP LAG</t>
  </si>
  <si>
    <t>SCRW HIP CMP LG</t>
  </si>
  <si>
    <t>0081361800</t>
  </si>
  <si>
    <t>SCRW HIP LAG</t>
  </si>
  <si>
    <t>0081361909</t>
  </si>
  <si>
    <t>SCRW ISOTEK STR</t>
  </si>
  <si>
    <t>0081361941</t>
  </si>
  <si>
    <t>SCRW LCK TIT</t>
  </si>
  <si>
    <t>0081361966</t>
  </si>
  <si>
    <t>SCRW LOCKING</t>
  </si>
  <si>
    <t>0081361974</t>
  </si>
  <si>
    <t>SCRW LOCKING CANN</t>
  </si>
  <si>
    <t>SCRW LOCKG CANN</t>
  </si>
  <si>
    <t>0081361982</t>
  </si>
  <si>
    <t>SCRW LCK CROSS DRIVE</t>
  </si>
  <si>
    <t>SCRW LC CRS DRV</t>
  </si>
  <si>
    <t>0081361990</t>
  </si>
  <si>
    <t>SCRW LCK SLF TAP</t>
  </si>
  <si>
    <t>SCRW LCK SLF TP</t>
  </si>
  <si>
    <t>0081362048</t>
  </si>
  <si>
    <t>SCRW MINI</t>
  </si>
  <si>
    <t>SCRW</t>
  </si>
  <si>
    <t>0081362071</t>
  </si>
  <si>
    <t>SCRW MICRO BON</t>
  </si>
  <si>
    <t>0081362089</t>
  </si>
  <si>
    <t>SCRW NEURO SLF-TAP</t>
  </si>
  <si>
    <t>SCRW NEURO</t>
  </si>
  <si>
    <t>0081362667</t>
  </si>
  <si>
    <t>SCREW SPECIALITY TYPEI</t>
  </si>
  <si>
    <t>SCRW SPEC TYPEI</t>
  </si>
  <si>
    <t>0081362758</t>
  </si>
  <si>
    <t>SCRW THR HIP</t>
  </si>
  <si>
    <t>0081362808</t>
  </si>
  <si>
    <t>SCRW TITAN</t>
  </si>
  <si>
    <t>0081362816</t>
  </si>
  <si>
    <t>SCRW TIT SLF DRILL</t>
  </si>
  <si>
    <t>SCRW TIT SLFDRL</t>
  </si>
  <si>
    <t>0081362915</t>
  </si>
  <si>
    <t>SCRW TWIST-OFF</t>
  </si>
  <si>
    <t>0081363152</t>
  </si>
  <si>
    <t>SHOE PLASTAZOTE CUSTM</t>
  </si>
  <si>
    <t>PLASTAZOTE SHOE</t>
  </si>
  <si>
    <t>0081365256</t>
  </si>
  <si>
    <t>SPINAL FIXATN</t>
  </si>
  <si>
    <t>0081365835</t>
  </si>
  <si>
    <t>ST SCRW LAG U-BLADE</t>
  </si>
  <si>
    <t>ST SCRW LAG</t>
  </si>
  <si>
    <t>0081366080</t>
  </si>
  <si>
    <t>SPONGE BLOCK CANCELLOUS</t>
  </si>
  <si>
    <t>SPNG BLOCK CNCL</t>
  </si>
  <si>
    <t>0081366114</t>
  </si>
  <si>
    <t>STPL BONE BARBED</t>
  </si>
  <si>
    <t>STAPLE BONE</t>
  </si>
  <si>
    <t>0081366403</t>
  </si>
  <si>
    <t>STPL FIXATION</t>
  </si>
  <si>
    <t>0081366783</t>
  </si>
  <si>
    <t>SYS ACL TIGHTROPE BTB</t>
  </si>
  <si>
    <t>SYS TIGHTROPE</t>
  </si>
  <si>
    <t>0081366825</t>
  </si>
  <si>
    <t>SYS STERNAL CLOSURE</t>
  </si>
  <si>
    <t>SYS STERNLK 360</t>
  </si>
  <si>
    <t>0081369001</t>
  </si>
  <si>
    <t>TEMPLATE MANDBLR PREBNT</t>
  </si>
  <si>
    <t>TEMPLATE MANDBL</t>
  </si>
  <si>
    <t>0081370017</t>
  </si>
  <si>
    <t>TIGHTROPE ABS NO BUTTON</t>
  </si>
  <si>
    <t>0081370488</t>
  </si>
  <si>
    <t>UE FX ADD SOCK</t>
  </si>
  <si>
    <t>0081370652</t>
  </si>
  <si>
    <t>WASHER</t>
  </si>
  <si>
    <t>0081370801</t>
  </si>
  <si>
    <t>WASHER SPIKED</t>
  </si>
  <si>
    <t>0081370884</t>
  </si>
  <si>
    <t>WEDGE ALLOGRAFT</t>
  </si>
  <si>
    <t>WEDGE ALLOGRFT</t>
  </si>
  <si>
    <t>0081371007</t>
  </si>
  <si>
    <t>WIRE KIRCHNER TH</t>
  </si>
  <si>
    <t>WIRE KIRCHNR TH</t>
  </si>
  <si>
    <t>0081371023</t>
  </si>
  <si>
    <t>WIRE KIRSCHNER W STOP</t>
  </si>
  <si>
    <t>WIRE KIRSCHNER</t>
  </si>
  <si>
    <t>0081371106</t>
  </si>
  <si>
    <t>WIRE TROCANTOR</t>
  </si>
  <si>
    <t>0081375818</t>
  </si>
  <si>
    <t>IMP PLATE O CENTER HOLE</t>
  </si>
  <si>
    <t>IMP PLATE O</t>
  </si>
  <si>
    <t>0081375826</t>
  </si>
  <si>
    <t>PLT LAPIDUS</t>
  </si>
  <si>
    <t>0081377012</t>
  </si>
  <si>
    <t>IMP SUBTALAR 2</t>
  </si>
  <si>
    <t>0081377046</t>
  </si>
  <si>
    <t>IMP TENDON GRACILIS</t>
  </si>
  <si>
    <t>0081377053</t>
  </si>
  <si>
    <t>IMP TENDON SEMI-TENDNSIS</t>
  </si>
  <si>
    <t>IMP TEND SEMI-T</t>
  </si>
  <si>
    <t>0081377210</t>
  </si>
  <si>
    <t>KT STAPLE BN FIXATION</t>
  </si>
  <si>
    <t>SUPR STPL CLASS</t>
  </si>
  <si>
    <t>0081377228</t>
  </si>
  <si>
    <t>KT BN GRF SUBST CA PHOSP</t>
  </si>
  <si>
    <t>KT STRUCSURE CP</t>
  </si>
  <si>
    <t>0081377251</t>
  </si>
  <si>
    <t>INSERT SCRW PLT LCK</t>
  </si>
  <si>
    <t>INSERT LCK PLT</t>
  </si>
  <si>
    <t>0081377277</t>
  </si>
  <si>
    <t>INSERT PHALANGEAL</t>
  </si>
  <si>
    <t>INSERT PHALANGL</t>
  </si>
  <si>
    <t>0081377988</t>
  </si>
  <si>
    <t>PIN CERCLAGE POSITION</t>
  </si>
  <si>
    <t>PIN CERCLAGE</t>
  </si>
  <si>
    <t>0081377996</t>
  </si>
  <si>
    <t>PIN BUTTRESS</t>
  </si>
  <si>
    <t>0081378218</t>
  </si>
  <si>
    <t>PLT LCP CLAVICLE</t>
  </si>
  <si>
    <t>PLT CLAVICLE</t>
  </si>
  <si>
    <t>0081378226</t>
  </si>
  <si>
    <t>PLT LCP MED PROX TIBIA</t>
  </si>
  <si>
    <t>PLT MED PRX TIB</t>
  </si>
  <si>
    <t>0081378259</t>
  </si>
  <si>
    <t>PLT FACIAL</t>
  </si>
  <si>
    <t>0081378291</t>
  </si>
  <si>
    <t>PLT LOCK MEDIAL HOOK</t>
  </si>
  <si>
    <t>PLT LCK MED HK</t>
  </si>
  <si>
    <t>0081378309</t>
  </si>
  <si>
    <t>PLT LCK STERNAL</t>
  </si>
  <si>
    <t>PLT LOCK</t>
  </si>
  <si>
    <t>0081378317</t>
  </si>
  <si>
    <t>PLT METATARSAL LP FLAT</t>
  </si>
  <si>
    <t>PLT METATARSAL</t>
  </si>
  <si>
    <t>0081378424</t>
  </si>
  <si>
    <t>PLT ORBITAL</t>
  </si>
  <si>
    <t>0081410102</t>
  </si>
  <si>
    <t>AORTIC VALVE #2</t>
  </si>
  <si>
    <t>0081410151</t>
  </si>
  <si>
    <t>ARTEGRAFT</t>
  </si>
  <si>
    <t>0081410219</t>
  </si>
  <si>
    <t>BAND ANNULOPLASTY</t>
  </si>
  <si>
    <t>BAND ANNULPLSTY</t>
  </si>
  <si>
    <t>0081410227</t>
  </si>
  <si>
    <t>BAND ANNULOPLASTY 2</t>
  </si>
  <si>
    <t>0081412504</t>
  </si>
  <si>
    <t>CATH GROSHONG</t>
  </si>
  <si>
    <t>0081412553</t>
  </si>
  <si>
    <t>0081412603</t>
  </si>
  <si>
    <t>0081412744</t>
  </si>
  <si>
    <t>CATH VENTRICULAR STNDRD</t>
  </si>
  <si>
    <t>CATH VENTRICULR</t>
  </si>
  <si>
    <t>0081412751</t>
  </si>
  <si>
    <t>CATH VENTR</t>
  </si>
  <si>
    <t>0081412850</t>
  </si>
  <si>
    <t>CLIP ANEURANEUR</t>
  </si>
  <si>
    <t>0081412900</t>
  </si>
  <si>
    <t>CLIP ANEURP</t>
  </si>
  <si>
    <t>0081417701</t>
  </si>
  <si>
    <t>GRFT SAPHNOUS UP TO 60CM</t>
  </si>
  <si>
    <t>GRFT SAPH VEIN</t>
  </si>
  <si>
    <t>0081420457</t>
  </si>
  <si>
    <t>GRFT CV FELT 6IN</t>
  </si>
  <si>
    <t>GRFT CV FELT 6</t>
  </si>
  <si>
    <t>0081420556</t>
  </si>
  <si>
    <t>GRFT CV PLEDGET</t>
  </si>
  <si>
    <t>0081420762</t>
  </si>
  <si>
    <t>MESH MARLEX PERFIX PLUG</t>
  </si>
  <si>
    <t>MESH MARLEX PLG</t>
  </si>
  <si>
    <t>0081420804</t>
  </si>
  <si>
    <t>GRFT MESH MARLX</t>
  </si>
  <si>
    <t>0081420903</t>
  </si>
  <si>
    <t>GRFT MESH PROLN</t>
  </si>
  <si>
    <t>0081421018</t>
  </si>
  <si>
    <t>GRFT MESH COMPOSIX OVAL</t>
  </si>
  <si>
    <t>GRFT MESH COMP</t>
  </si>
  <si>
    <t>0081421158</t>
  </si>
  <si>
    <t>GRFT PATCH</t>
  </si>
  <si>
    <t>0081421182</t>
  </si>
  <si>
    <t>GRFT PERICARDIAL</t>
  </si>
  <si>
    <t>GRFT PERICARDL</t>
  </si>
  <si>
    <t>0081421307</t>
  </si>
  <si>
    <t>GRFT VASC AXBFC</t>
  </si>
  <si>
    <t>0081421364</t>
  </si>
  <si>
    <t>GRAFT VASC ARTEGRAFT</t>
  </si>
  <si>
    <t>0081421455</t>
  </si>
  <si>
    <t>GRFT VASC BIF D</t>
  </si>
  <si>
    <t>0081421703</t>
  </si>
  <si>
    <t>GRFT VASC BOV</t>
  </si>
  <si>
    <t>0081422750</t>
  </si>
  <si>
    <t>GRFT VASC STR W</t>
  </si>
  <si>
    <t>0081422800</t>
  </si>
  <si>
    <t>0081434987</t>
  </si>
  <si>
    <t>OH RING ANNULOPLASTY</t>
  </si>
  <si>
    <t>RNG ANNULOPLSTY</t>
  </si>
  <si>
    <t>0081435059</t>
  </si>
  <si>
    <t>OH RING MITRAL</t>
  </si>
  <si>
    <t>0081435067</t>
  </si>
  <si>
    <t>OH RNG MITRAL/TRICUSPID</t>
  </si>
  <si>
    <t>OH RNG MITRAL</t>
  </si>
  <si>
    <t>0081435109</t>
  </si>
  <si>
    <t>OH VALVE AOR/MIT</t>
  </si>
  <si>
    <t>OH VALVE AOR/MT</t>
  </si>
  <si>
    <t>0081435158</t>
  </si>
  <si>
    <t>OH VALVE AORTIC</t>
  </si>
  <si>
    <t>0081435257</t>
  </si>
  <si>
    <t>OH VALVE MITRAL</t>
  </si>
  <si>
    <t>0081435265</t>
  </si>
  <si>
    <t>OH VALVE PERICARDIAL</t>
  </si>
  <si>
    <t>OH VALVE PERI</t>
  </si>
  <si>
    <t>0081435299</t>
  </si>
  <si>
    <t>OH VALVE ST JUDE</t>
  </si>
  <si>
    <t>OH VALV ST JUDE</t>
  </si>
  <si>
    <t>0081441636</t>
  </si>
  <si>
    <t>PTCH HERNIA OVAL 1</t>
  </si>
  <si>
    <t>PTCH HERNIA OVL</t>
  </si>
  <si>
    <t>0081441750</t>
  </si>
  <si>
    <t>RESER OMAYA</t>
  </si>
  <si>
    <t>0081450009</t>
  </si>
  <si>
    <t>SHNT</t>
  </si>
  <si>
    <t>0081450108</t>
  </si>
  <si>
    <t>SHNT CAROTID</t>
  </si>
  <si>
    <t>0081450306</t>
  </si>
  <si>
    <t>SHNT CATH LUMPR</t>
  </si>
  <si>
    <t>0081450652</t>
  </si>
  <si>
    <t>SHNT CONN</t>
  </si>
  <si>
    <t>0081451056</t>
  </si>
  <si>
    <t>SHNT INAHARA</t>
  </si>
  <si>
    <t>0081451205</t>
  </si>
  <si>
    <t>SHNT RESV</t>
  </si>
  <si>
    <t>0081451353</t>
  </si>
  <si>
    <t>SHNT VALVE FL</t>
  </si>
  <si>
    <t>0081451668</t>
  </si>
  <si>
    <t>ST PUMP IMPELLA CP CATH</t>
  </si>
  <si>
    <t>ST PUMP IMPELLA</t>
  </si>
  <si>
    <t>0081451742</t>
  </si>
  <si>
    <t>SYS VLV AORT INTUITY ELT</t>
  </si>
  <si>
    <t>SYS VLV INTUITY</t>
  </si>
  <si>
    <t>0081457558</t>
  </si>
  <si>
    <t>VENA CAVA FILT F</t>
  </si>
  <si>
    <t>VENA CAVA FILTF</t>
  </si>
  <si>
    <t>0081457921</t>
  </si>
  <si>
    <t>VLV HAKIM BACTISEAL</t>
  </si>
  <si>
    <t>VLV HAKIM</t>
  </si>
  <si>
    <t>0081457947</t>
  </si>
  <si>
    <t>VLV HAKIM PROGRAMABLE</t>
  </si>
  <si>
    <t>VLV HAKIM PROG</t>
  </si>
  <si>
    <t>0081457954</t>
  </si>
  <si>
    <t>VLV HAKIM STD</t>
  </si>
  <si>
    <t>0081510000</t>
  </si>
  <si>
    <t>ANASTOMIC DEV</t>
  </si>
  <si>
    <t>0081510059</t>
  </si>
  <si>
    <t>ANCH STATEK</t>
  </si>
  <si>
    <t>0081512105</t>
  </si>
  <si>
    <t>CLIP ANUERSYM</t>
  </si>
  <si>
    <t>0081515009</t>
  </si>
  <si>
    <t>FALLOPIAN RING</t>
  </si>
  <si>
    <t xml:space="preserve">FALLOPIAN RING </t>
  </si>
  <si>
    <t>0081519787</t>
  </si>
  <si>
    <t>IMPL ANCHOR BIOSTATAK</t>
  </si>
  <si>
    <t>IMPL ANCHOR BIO</t>
  </si>
  <si>
    <t>0081519803</t>
  </si>
  <si>
    <t>IMPL ANCHOR CRKSCRW 5MM</t>
  </si>
  <si>
    <t>IMPL CRKSCRW5MM</t>
  </si>
  <si>
    <t>0081520074</t>
  </si>
  <si>
    <t>IMPL INTERN FIX SPINE</t>
  </si>
  <si>
    <t>IMP INT FIX SPN</t>
  </si>
  <si>
    <t>0081520140</t>
  </si>
  <si>
    <t>IMPL ORBITAL</t>
  </si>
  <si>
    <t>IMP ORBITAL</t>
  </si>
  <si>
    <t>0081520173</t>
  </si>
  <si>
    <t>IMP PRIMACONNEX</t>
  </si>
  <si>
    <t>0081520199</t>
  </si>
  <si>
    <t>IMP MESH TITANIUM</t>
  </si>
  <si>
    <t>IMP MSH TITANM</t>
  </si>
  <si>
    <t>0081520256</t>
  </si>
  <si>
    <t>IMP WEDGE</t>
  </si>
  <si>
    <t>0081520363</t>
  </si>
  <si>
    <t>IMP SCAFFLD ACELL</t>
  </si>
  <si>
    <t>IMP SCAFLD ACEL</t>
  </si>
  <si>
    <t>0081520389</t>
  </si>
  <si>
    <t>IMPL SUTURE ANCHOR</t>
  </si>
  <si>
    <t>IMP SUT ANCHOR</t>
  </si>
  <si>
    <t>0081530552</t>
  </si>
  <si>
    <t>KT STNT URETR</t>
  </si>
  <si>
    <t>0081535007</t>
  </si>
  <si>
    <t>MAMMARY IMP</t>
  </si>
  <si>
    <t>0081535114</t>
  </si>
  <si>
    <t>MESH HERNIA VENT 2</t>
  </si>
  <si>
    <t>MSH HERNIA VENT</t>
  </si>
  <si>
    <t>0081540304</t>
  </si>
  <si>
    <t>PLT MAX FACL</t>
  </si>
  <si>
    <t>0081540957</t>
  </si>
  <si>
    <t>PROS DURA SUBST</t>
  </si>
  <si>
    <t>0081540965</t>
  </si>
  <si>
    <t>PROS DURA SUBST 2</t>
  </si>
  <si>
    <t>0081541500</t>
  </si>
  <si>
    <t>PROS PENILE IMP</t>
  </si>
  <si>
    <t>0081541906</t>
  </si>
  <si>
    <t>PROS TESTICULAR</t>
  </si>
  <si>
    <t>0081560369</t>
  </si>
  <si>
    <t>SYS BRTH CNTRL</t>
  </si>
  <si>
    <t>0081562704</t>
  </si>
  <si>
    <t>TMJ PROS FOSSA</t>
  </si>
  <si>
    <t>0081611006</t>
  </si>
  <si>
    <t>0081700908</t>
  </si>
  <si>
    <t>ANCH SUTURE</t>
  </si>
  <si>
    <t>0081720070</t>
  </si>
  <si>
    <t>BARRIER ADH SEPRA GEL</t>
  </si>
  <si>
    <t>BARRIER ADH GEL</t>
  </si>
  <si>
    <t>0081720104</t>
  </si>
  <si>
    <t>BARS ARCH</t>
  </si>
  <si>
    <t>0081722837</t>
  </si>
  <si>
    <t>BLD CUTTR TURBOHAWK SUPR</t>
  </si>
  <si>
    <t>BLD CUTTER</t>
  </si>
  <si>
    <t>0081728677</t>
  </si>
  <si>
    <t>BURR HOLE COVER II</t>
  </si>
  <si>
    <t>BURR HOLE COVER</t>
  </si>
  <si>
    <t>0081730004</t>
  </si>
  <si>
    <t>CABLE DALL MILE</t>
  </si>
  <si>
    <t>0081733008</t>
  </si>
  <si>
    <t>CATH BROVIAC</t>
  </si>
  <si>
    <t>0081733289</t>
  </si>
  <si>
    <t>CATH INTRATHECAL 1 PIECE</t>
  </si>
  <si>
    <t>CATH INTRATHECA</t>
  </si>
  <si>
    <t>0081735052</t>
  </si>
  <si>
    <t>CEMT BON</t>
  </si>
  <si>
    <t>0081735086</t>
  </si>
  <si>
    <t>CEMT BN INJECT</t>
  </si>
  <si>
    <t>0081737223</t>
  </si>
  <si>
    <t>COIL COMPLEX10 OPTIMA SUPRSFT</t>
  </si>
  <si>
    <t>COIL OPTIMA COM</t>
  </si>
  <si>
    <t>0081737991</t>
  </si>
  <si>
    <t>COMPONENT VEN OUTFLOW</t>
  </si>
  <si>
    <t>COMP VEN OUTFLW</t>
  </si>
  <si>
    <t>0081739252</t>
  </si>
  <si>
    <t>COUPLER ANASTOMOTIC</t>
  </si>
  <si>
    <t>COUPLER ANASTOM</t>
  </si>
  <si>
    <t>0081740144</t>
  </si>
  <si>
    <t>DVC EMBOLIC PROTECTION</t>
  </si>
  <si>
    <t>DVC SPIDERFX</t>
  </si>
  <si>
    <t>0081740185</t>
  </si>
  <si>
    <t>DVC EMBOLIZ MSH PIPELINE</t>
  </si>
  <si>
    <t>DVC EMBOLIZATN</t>
  </si>
  <si>
    <t>0081740193</t>
  </si>
  <si>
    <t>DVC THROMB FR REVASCULAR</t>
  </si>
  <si>
    <t>DVC SOLITAIRE</t>
  </si>
  <si>
    <t>0081740227</t>
  </si>
  <si>
    <t>DVC UROLIFT SYS DELIVERY</t>
  </si>
  <si>
    <t>DVC UROLIFT</t>
  </si>
  <si>
    <t>0081741134</t>
  </si>
  <si>
    <t>DVC VAS CLSR MYNX</t>
  </si>
  <si>
    <t>DVC VAS CLSR</t>
  </si>
  <si>
    <t>0081741225</t>
  </si>
  <si>
    <t>COMPONENT ART GRFT HERO</t>
  </si>
  <si>
    <t>COMP ARTERIAL</t>
  </si>
  <si>
    <t>0081748147</t>
  </si>
  <si>
    <t>HEMOSTAT SURG VITAGEL</t>
  </si>
  <si>
    <t>HEMOSTAT SURG</t>
  </si>
  <si>
    <t>0081748618</t>
  </si>
  <si>
    <t>IMP GEN NSTM RESTORESNSR</t>
  </si>
  <si>
    <t>0081749327</t>
  </si>
  <si>
    <t>INTRO CATH SHTH STD</t>
  </si>
  <si>
    <t>INTRO CATH SHTH</t>
  </si>
  <si>
    <t>0081749434</t>
  </si>
  <si>
    <t>INTRO PEEL AWAY</t>
  </si>
  <si>
    <t>0081749442</t>
  </si>
  <si>
    <t>INTR SHTH INPUT-TS</t>
  </si>
  <si>
    <t>INTR SHTH MEDTR</t>
  </si>
  <si>
    <t>0081749459</t>
  </si>
  <si>
    <t>INTRO SHTH CATH BRITE TP</t>
  </si>
  <si>
    <t>INTRO SHEATH</t>
  </si>
  <si>
    <t>0081749467</t>
  </si>
  <si>
    <t>INTR SHTH CATH AVANTI 2</t>
  </si>
  <si>
    <t>0081749970</t>
  </si>
  <si>
    <t>KIT FIRST FRACT STABILIT</t>
  </si>
  <si>
    <t>KT FIRST FRACT</t>
  </si>
  <si>
    <t>0081750127</t>
  </si>
  <si>
    <t>KT DRN NRO EXT</t>
  </si>
  <si>
    <t>0081750887</t>
  </si>
  <si>
    <t>KT REVISION SUTRLSS PMP</t>
  </si>
  <si>
    <t>KT REVISION</t>
  </si>
  <si>
    <t>0081753071</t>
  </si>
  <si>
    <t>MENISCUS ARROW I</t>
  </si>
  <si>
    <t>MENISCUS ARRW I</t>
  </si>
  <si>
    <t>0081753360</t>
  </si>
  <si>
    <t>MORCELLATOR ROTARY</t>
  </si>
  <si>
    <t>MORCELLATOR</t>
  </si>
  <si>
    <t>0081753451</t>
  </si>
  <si>
    <t>MSH PROLENE</t>
  </si>
  <si>
    <t>0081759029</t>
  </si>
  <si>
    <t>OH PATCH PERICARDL BOVIN</t>
  </si>
  <si>
    <t>OH PATCH BOVINE</t>
  </si>
  <si>
    <t>0081760753</t>
  </si>
  <si>
    <t>SHNT VENTRICULR</t>
  </si>
  <si>
    <t>SHNT VENTRICLR</t>
  </si>
  <si>
    <t>0081761272</t>
  </si>
  <si>
    <t>PRB CRYO</t>
  </si>
  <si>
    <t>0081762007</t>
  </si>
  <si>
    <t>ANCH QUICK MITEK</t>
  </si>
  <si>
    <t>ANCH QUICK</t>
  </si>
  <si>
    <t>0081763161</t>
  </si>
  <si>
    <t>ROBOTIC SYS ACCESSORIES</t>
  </si>
  <si>
    <t>0081770240</t>
  </si>
  <si>
    <t>SEPARATOR INDIGO</t>
  </si>
  <si>
    <t>SEPARATR INDIGO</t>
  </si>
  <si>
    <t>0081770281</t>
  </si>
  <si>
    <t>SHEATH CLOTTRIEVER</t>
  </si>
  <si>
    <t>SHEATH CLOTTRIE</t>
  </si>
  <si>
    <t>0081771149</t>
  </si>
  <si>
    <t>SHTH INTRO DRYSEAL FLEX</t>
  </si>
  <si>
    <t>SHTH INTRODUCER</t>
  </si>
  <si>
    <t>0081771339</t>
  </si>
  <si>
    <t>SHTH INTRO SLENDER KIT</t>
  </si>
  <si>
    <t>GLIDESHEATH</t>
  </si>
  <si>
    <t>0081771370</t>
  </si>
  <si>
    <t>SHTH TISS STABILZER EVOL</t>
  </si>
  <si>
    <t>SHTH EVOLUTION</t>
  </si>
  <si>
    <t>0081772519</t>
  </si>
  <si>
    <t>ST PERC INTRO VLV &amp; DIL</t>
  </si>
  <si>
    <t>ST PERC INTRO</t>
  </si>
  <si>
    <t>0081772568</t>
  </si>
  <si>
    <t>ST SHTH DILT ROTAT CNTRL</t>
  </si>
  <si>
    <t>ST EVOLUTION RL</t>
  </si>
  <si>
    <t>0081774481</t>
  </si>
  <si>
    <t>SYS DIL TB BLN EUSTCHIAN</t>
  </si>
  <si>
    <t>SYS DIL TB BLN</t>
  </si>
  <si>
    <t>0081774564</t>
  </si>
  <si>
    <t>SYS FRONTAL SINUS BLN</t>
  </si>
  <si>
    <t>SYS FRONTL BLN</t>
  </si>
  <si>
    <t>0081774648</t>
  </si>
  <si>
    <t>SYS MAXILLARY SINUS BLN</t>
  </si>
  <si>
    <t>SYS MAX SINUS</t>
  </si>
  <si>
    <t>0081774747</t>
  </si>
  <si>
    <t>SYS RETRV TREVO XP PROVU</t>
  </si>
  <si>
    <t>SYS RETRIEVER</t>
  </si>
  <si>
    <t>0081774887</t>
  </si>
  <si>
    <t>SYS CABLE STERNAL</t>
  </si>
  <si>
    <t>SYS CBL STRNL</t>
  </si>
  <si>
    <t>0081775850</t>
  </si>
  <si>
    <t>TISSUE EXPANDER</t>
  </si>
  <si>
    <t>0081775900</t>
  </si>
  <si>
    <t>TISSUE EXPR IMPT</t>
  </si>
  <si>
    <t>TISSUE EXPR IMP</t>
  </si>
  <si>
    <t>0081779399</t>
  </si>
  <si>
    <t>VLV DELTA</t>
  </si>
  <si>
    <t>0081779456</t>
  </si>
  <si>
    <t>VLV HYDROCEPH</t>
  </si>
  <si>
    <t>0081779753</t>
  </si>
  <si>
    <t>WIRE CERCLAGE</t>
  </si>
  <si>
    <t>0081779902</t>
  </si>
  <si>
    <t>WIREGDE AMPLTZ</t>
  </si>
  <si>
    <t>0081780603</t>
  </si>
  <si>
    <t>DVC NEEDLE GUIDE VASCULR</t>
  </si>
  <si>
    <t>DVC VWING</t>
  </si>
  <si>
    <t>0081780777</t>
  </si>
  <si>
    <t>KT ENDOPYELOTOMY STARTER</t>
  </si>
  <si>
    <t>KT ACUCISE SYS</t>
  </si>
  <si>
    <t>0081781254</t>
  </si>
  <si>
    <t>ANCH LEAD SPINL STIM</t>
  </si>
  <si>
    <t>ANCH LEAD CLIK</t>
  </si>
  <si>
    <t>0081781718</t>
  </si>
  <si>
    <t>NDL CENTESIS YUEH</t>
  </si>
  <si>
    <t>NDL CENTESIS</t>
  </si>
  <si>
    <t>0081786998</t>
  </si>
  <si>
    <t>SYS GASTRIC REFLUX LINX</t>
  </si>
  <si>
    <t>SYS GAST REFLUX</t>
  </si>
  <si>
    <t>0081787434</t>
  </si>
  <si>
    <t>SYS THROMBECTOMY FLOWTREIVER</t>
  </si>
  <si>
    <t>SYS THROMB FLOW</t>
  </si>
  <si>
    <t>0081812380</t>
  </si>
  <si>
    <t>TISS REINFORCMNT BIO-A 2</t>
  </si>
  <si>
    <t>TIS REINFORCEMN</t>
  </si>
  <si>
    <t>0081826125</t>
  </si>
  <si>
    <t>INJECTABLE BULK AGENT2</t>
  </si>
  <si>
    <t>INJ BULK AGENT</t>
  </si>
  <si>
    <t>0081828808</t>
  </si>
  <si>
    <t>KT BIOGLUE</t>
  </si>
  <si>
    <t>0081829079</t>
  </si>
  <si>
    <t>MARKER FIDUCIAL DISP</t>
  </si>
  <si>
    <t>MARKR FIDUCIAL</t>
  </si>
  <si>
    <t>0081851388</t>
  </si>
  <si>
    <t>STPL LINE REINFORCEMENT</t>
  </si>
  <si>
    <t>STPL LN REINFRC</t>
  </si>
  <si>
    <t>0081856288</t>
  </si>
  <si>
    <t>SYS GASTRIC BANDING</t>
  </si>
  <si>
    <t>SYS GASTRIC BND</t>
  </si>
  <si>
    <t>0081860991</t>
  </si>
  <si>
    <t>TISS REINFORCEMENT BIO-A</t>
  </si>
  <si>
    <t>0081870263</t>
  </si>
  <si>
    <t>COIL EMB PERIPH COMPLEX</t>
  </si>
  <si>
    <t>COIL EMB RUBY</t>
  </si>
  <si>
    <t>0081920027</t>
  </si>
  <si>
    <t>CLIP FIXATION UNICLIP</t>
  </si>
  <si>
    <t>CLIP UNICLIP</t>
  </si>
  <si>
    <t>0081920191</t>
  </si>
  <si>
    <t>DVC ATRICLIP LAA EXCULSN</t>
  </si>
  <si>
    <t>DVC ATRICLIP</t>
  </si>
  <si>
    <t>0081954067</t>
  </si>
  <si>
    <t>DVC SUT CAPTR CAPIO SLIM</t>
  </si>
  <si>
    <t>DVC CAPIO SLIM</t>
  </si>
  <si>
    <t>0082047960</t>
  </si>
  <si>
    <t>IMPL MENISCAL ARROW</t>
  </si>
  <si>
    <t>IMPL MENISL ARW</t>
  </si>
  <si>
    <t>0082073909</t>
  </si>
  <si>
    <t>TRACH COLLAR</t>
  </si>
  <si>
    <t>0082400052</t>
  </si>
  <si>
    <t>ANCH/SCRW BN/BN TISS/BN</t>
  </si>
  <si>
    <t>ANCH/SCRW BN/BN</t>
  </si>
  <si>
    <t>0082400060</t>
  </si>
  <si>
    <t>ANCH/SCRW BN/BN TISS/BN2</t>
  </si>
  <si>
    <t>ANCH/SCRW BN/B2</t>
  </si>
  <si>
    <t>0082400094</t>
  </si>
  <si>
    <t>BARRIER ADHESION</t>
  </si>
  <si>
    <t>BARRIER ADHESN</t>
  </si>
  <si>
    <t>0082400102</t>
  </si>
  <si>
    <t>BLN DISSECT SPACEMAKER</t>
  </si>
  <si>
    <t>BLN DISCT SPCMK</t>
  </si>
  <si>
    <t>0082400227</t>
  </si>
  <si>
    <t>CATH ACUNAV ULTRSND DIAG</t>
  </si>
  <si>
    <t>CATH ACUNAV US</t>
  </si>
  <si>
    <t>0082400268</t>
  </si>
  <si>
    <t>CATH ANGIOJET RHEO THROM</t>
  </si>
  <si>
    <t>CTH ANGJET RHEO</t>
  </si>
  <si>
    <t>0082400300</t>
  </si>
  <si>
    <t>CATH BLN DIL CRE</t>
  </si>
  <si>
    <t>CATH BLN DIL CR</t>
  </si>
  <si>
    <t>0082400326</t>
  </si>
  <si>
    <t>MORCLLTR LAP GYNCR XTRCT</t>
  </si>
  <si>
    <t>MORCLLTR GYNCR</t>
  </si>
  <si>
    <t>0082400441</t>
  </si>
  <si>
    <t>CATH PT DEV ARRW TREROTL</t>
  </si>
  <si>
    <t>CATH DEV ARROW</t>
  </si>
  <si>
    <t>0082400516</t>
  </si>
  <si>
    <t>CATH PTA BLN PWRFLX</t>
  </si>
  <si>
    <t>CATH BLN PWRFLX</t>
  </si>
  <si>
    <t>0082400599</t>
  </si>
  <si>
    <t>CATH PTA DIL CONQUEST</t>
  </si>
  <si>
    <t>0082400623</t>
  </si>
  <si>
    <t>CATH DIAG ENSITE 3000</t>
  </si>
  <si>
    <t>CATH ENSITE3000</t>
  </si>
  <si>
    <t>0082400789</t>
  </si>
  <si>
    <t>CATH BRACHYTHER SEED ADM</t>
  </si>
  <si>
    <t>0082400862</t>
  </si>
  <si>
    <t>CATH EP DIAG NOT3D 20OR&gt;</t>
  </si>
  <si>
    <t>CATH EP DX NOT3</t>
  </si>
  <si>
    <t>0082400904</t>
  </si>
  <si>
    <t>CATH PRPH DIL RX VTRC 14</t>
  </si>
  <si>
    <t>CTH PRPH DIL RX</t>
  </si>
  <si>
    <t>0082400912</t>
  </si>
  <si>
    <t>CATH THROMB/EMBOLECTMY 2</t>
  </si>
  <si>
    <t>CATH THRMB/EMB2</t>
  </si>
  <si>
    <t>0082400920</t>
  </si>
  <si>
    <t>CATH EP OTH THN COOL TIP</t>
  </si>
  <si>
    <t>CATH EP OTHER</t>
  </si>
  <si>
    <t>0082400953</t>
  </si>
  <si>
    <t>CATH HEMODIAL LONG TERM2</t>
  </si>
  <si>
    <t>CATH HEMODIAL</t>
  </si>
  <si>
    <t>0082400961</t>
  </si>
  <si>
    <t>CATH GUIDING</t>
  </si>
  <si>
    <t>0082400987</t>
  </si>
  <si>
    <t>CATH HEMODIAL LONG TERM</t>
  </si>
  <si>
    <t>0082401027</t>
  </si>
  <si>
    <t>CATH HEMODIAL SHORT TERM</t>
  </si>
  <si>
    <t>0082401035</t>
  </si>
  <si>
    <t>CATH GUIDING 4</t>
  </si>
  <si>
    <t>0082401076</t>
  </si>
  <si>
    <t>CATH OCCLUSION 2</t>
  </si>
  <si>
    <t>CATH OCCLUSN 2</t>
  </si>
  <si>
    <t>0082401118</t>
  </si>
  <si>
    <t>CATH INTRASPINAL</t>
  </si>
  <si>
    <t>CATH INTRASPINL</t>
  </si>
  <si>
    <t>0082401134</t>
  </si>
  <si>
    <t>CATH US INTRAVASCULAR</t>
  </si>
  <si>
    <t>CATH US INTRVAS</t>
  </si>
  <si>
    <t>0082401191</t>
  </si>
  <si>
    <t>CATH SUPRAPUBC/CYSTOSCOP</t>
  </si>
  <si>
    <t>CATH SUPRPUB/CY</t>
  </si>
  <si>
    <t>0082401217</t>
  </si>
  <si>
    <t>CATH THROMB/EMBOLECTOMY</t>
  </si>
  <si>
    <t>CATH THROMB/EMB</t>
  </si>
  <si>
    <t>0082401233</t>
  </si>
  <si>
    <t>CATH ANG TRANSLUMINL LSR</t>
  </si>
  <si>
    <t>CATH ANG TRNSLU</t>
  </si>
  <si>
    <t>0082401258</t>
  </si>
  <si>
    <t>CATH ANG TRANSLUMNL NLSR</t>
  </si>
  <si>
    <t>0082401266</t>
  </si>
  <si>
    <t>CATH ANG TRANSLUM NLSR2</t>
  </si>
  <si>
    <t>CATH ANG NLSR2</t>
  </si>
  <si>
    <t>0082401274</t>
  </si>
  <si>
    <t>CATH ATHR TRANSLUM DIREC</t>
  </si>
  <si>
    <t>CATH ATHR TRNSL</t>
  </si>
  <si>
    <t>0082401282</t>
  </si>
  <si>
    <t>CATH ANG TRANSLUM NLSR3</t>
  </si>
  <si>
    <t>CATH ANG NLSR3</t>
  </si>
  <si>
    <t>0082401316</t>
  </si>
  <si>
    <t>0082401357</t>
  </si>
  <si>
    <t>DEV REP URINARY W/SLING</t>
  </si>
  <si>
    <t>DEV REP URINARY</t>
  </si>
  <si>
    <t>0082401431</t>
  </si>
  <si>
    <t>FILTER VENA CAVA</t>
  </si>
  <si>
    <t>FILTER VENACAVA</t>
  </si>
  <si>
    <t>0082401472</t>
  </si>
  <si>
    <t>MCATH MARATHON</t>
  </si>
  <si>
    <t>0082401498</t>
  </si>
  <si>
    <t>IMP JOINT TOE</t>
  </si>
  <si>
    <t>0082401589</t>
  </si>
  <si>
    <t>GRFT VASCULAR 2</t>
  </si>
  <si>
    <t>0082401597</t>
  </si>
  <si>
    <t>GRFT VASCULAR 3</t>
  </si>
  <si>
    <t>0082401613</t>
  </si>
  <si>
    <t>GUIDEWIRE IV</t>
  </si>
  <si>
    <t>0082401639</t>
  </si>
  <si>
    <t>GUIDEWIRE II</t>
  </si>
  <si>
    <t>0082401647</t>
  </si>
  <si>
    <t>CATH LSR SPECTRANTC EXTR</t>
  </si>
  <si>
    <t>CATH LSR SPECT</t>
  </si>
  <si>
    <t>0082401654</t>
  </si>
  <si>
    <t>CATH LSR VITESSE 1.4/1.7</t>
  </si>
  <si>
    <t>CATH LSR1.4/1.7</t>
  </si>
  <si>
    <t>0082401670</t>
  </si>
  <si>
    <t>GUIDEWIRE III</t>
  </si>
  <si>
    <t>0082401779</t>
  </si>
  <si>
    <t>GRFT VASCULAR</t>
  </si>
  <si>
    <t>0082401795</t>
  </si>
  <si>
    <t>GUIDEWIRE</t>
  </si>
  <si>
    <t>0082401803</t>
  </si>
  <si>
    <t>IMP ADAP/EXT LD PM NSTIM</t>
  </si>
  <si>
    <t>IMP ADAP/EXT LD</t>
  </si>
  <si>
    <t>0082401811</t>
  </si>
  <si>
    <t>IMP PMP INF PERM N-PRGRM</t>
  </si>
  <si>
    <t>IMP PMP INF</t>
  </si>
  <si>
    <t>0082401837</t>
  </si>
  <si>
    <t>IMP PMP INF TEMP N-PRGRM</t>
  </si>
  <si>
    <t>0082401845</t>
  </si>
  <si>
    <t>IMP SYS DIALYSIS ACCESS</t>
  </si>
  <si>
    <t>IMP SYS DIAL AC</t>
  </si>
  <si>
    <t>0082401852</t>
  </si>
  <si>
    <t>IMP PMP INF PROGRAMMABLE</t>
  </si>
  <si>
    <t>0082401860</t>
  </si>
  <si>
    <t>IMP GEN NSTIM N-RECHG</t>
  </si>
  <si>
    <t>0082401878</t>
  </si>
  <si>
    <t>IMP DEV JOINT</t>
  </si>
  <si>
    <t>0082401886</t>
  </si>
  <si>
    <t>IMP LD CARDV/DFIB EC DC</t>
  </si>
  <si>
    <t>IMP LD CARDV/DF</t>
  </si>
  <si>
    <t>0082401936</t>
  </si>
  <si>
    <t>IMP LD NSTIM</t>
  </si>
  <si>
    <t>0082401951</t>
  </si>
  <si>
    <t>IMP LD NSTIM TEST KT</t>
  </si>
  <si>
    <t>IMP LD NSTM TST</t>
  </si>
  <si>
    <t>0082401993</t>
  </si>
  <si>
    <t>IMP MESH</t>
  </si>
  <si>
    <t>0082402017</t>
  </si>
  <si>
    <t>IMP PORT INDWELLING</t>
  </si>
  <si>
    <t>IMP PORT INDWEL</t>
  </si>
  <si>
    <t>0082402025</t>
  </si>
  <si>
    <t>IMP PROSTHESIS BREAST</t>
  </si>
  <si>
    <t>IMP PROSTH BRST</t>
  </si>
  <si>
    <t>0082402041</t>
  </si>
  <si>
    <t>IMP SEALANT PULM LIQUID</t>
  </si>
  <si>
    <t>IMP SEALNT PULM</t>
  </si>
  <si>
    <t>0082402066</t>
  </si>
  <si>
    <t>IMP MARKER TISSUE</t>
  </si>
  <si>
    <t>IMP MARKER TISS</t>
  </si>
  <si>
    <t>0082402074</t>
  </si>
  <si>
    <t>IMP SYS PRT VENOUS ACCSS</t>
  </si>
  <si>
    <t>IMP SYS PRT VEN</t>
  </si>
  <si>
    <t>0082402082</t>
  </si>
  <si>
    <t>IMP JOINT FINGER</t>
  </si>
  <si>
    <t>IMP JOINT FINGR</t>
  </si>
  <si>
    <t>0082402124</t>
  </si>
  <si>
    <t>LD PM CAPSURE FIX</t>
  </si>
  <si>
    <t>LD PM CAPSR FIX</t>
  </si>
  <si>
    <t>0082402132</t>
  </si>
  <si>
    <t>IMP PLATE</t>
  </si>
  <si>
    <t>0082402157</t>
  </si>
  <si>
    <t>IMP SCREW/PIN</t>
  </si>
  <si>
    <t>0082402173</t>
  </si>
  <si>
    <t>LD PM NOT TRNSVEN VDD SP</t>
  </si>
  <si>
    <t>LD PM NOT TRNSV</t>
  </si>
  <si>
    <t>0082402231</t>
  </si>
  <si>
    <t>INTRO EP IC N-LSR N-GUID</t>
  </si>
  <si>
    <t>INTRO EP IC N-L</t>
  </si>
  <si>
    <t>0082402306</t>
  </si>
  <si>
    <t>LD PM 5038</t>
  </si>
  <si>
    <t>0082402363</t>
  </si>
  <si>
    <t>LD PM CAPSURE SP NOVUS</t>
  </si>
  <si>
    <t>LD PM CAPSR NOV</t>
  </si>
  <si>
    <t>0082402470</t>
  </si>
  <si>
    <t>LD DFIB SPRINT 6947</t>
  </si>
  <si>
    <t>LD DFIB SPRINT</t>
  </si>
  <si>
    <t>0082402496</t>
  </si>
  <si>
    <t>LD DFIB RELIANCE END0158</t>
  </si>
  <si>
    <t>0082402579</t>
  </si>
  <si>
    <t>LD PM EXTENSION</t>
  </si>
  <si>
    <t>0082403536</t>
  </si>
  <si>
    <t>PROBE CRYOABLATION 2</t>
  </si>
  <si>
    <t>PROBE CRYOABLAT</t>
  </si>
  <si>
    <t>0082403551</t>
  </si>
  <si>
    <t>PROBE CRYOABLATION</t>
  </si>
  <si>
    <t>0082403577</t>
  </si>
  <si>
    <t>PROGRAMMER PT NEUROSTIM</t>
  </si>
  <si>
    <t>PROGRMR PT NSTM</t>
  </si>
  <si>
    <t>0082403585</t>
  </si>
  <si>
    <t>PROGRMR SYNERGY EZ PT</t>
  </si>
  <si>
    <t>PROGM SYNRGY EZ</t>
  </si>
  <si>
    <t>0082403742</t>
  </si>
  <si>
    <t>SYS COR ROTLNK CATH/BURR</t>
  </si>
  <si>
    <t>SYS ROTLNK CATH</t>
  </si>
  <si>
    <t>0082404088</t>
  </si>
  <si>
    <t>VAS CLS ART PERCLOSE</t>
  </si>
  <si>
    <t>VAS CLS ART PER</t>
  </si>
  <si>
    <t>0082404096</t>
  </si>
  <si>
    <t>TISS CONNECTIVE N-HUMAN</t>
  </si>
  <si>
    <t>TISS CONN N-HUM</t>
  </si>
  <si>
    <t>0082404211</t>
  </si>
  <si>
    <t>WSTNT B ENDOPROS VIABIL</t>
  </si>
  <si>
    <t>WSTNT B ENDOPRS</t>
  </si>
  <si>
    <t>0082404518</t>
  </si>
  <si>
    <t>APLIGRAF PER SQ CM</t>
  </si>
  <si>
    <t>APLIGRAF SQ CM</t>
  </si>
  <si>
    <t>0082405051</t>
  </si>
  <si>
    <t>ANCH SCRW SUTR ARTHREX</t>
  </si>
  <si>
    <t>ANCH SCRW SUT</t>
  </si>
  <si>
    <t>0082405069</t>
  </si>
  <si>
    <t>ANCH ENDOBUTTON CL BTB</t>
  </si>
  <si>
    <t>ANCH ENDOBUTTON</t>
  </si>
  <si>
    <t>0082405093</t>
  </si>
  <si>
    <t>ANCH SUTR FASTAK ARTHREX</t>
  </si>
  <si>
    <t>ANCH SUT FASTAK</t>
  </si>
  <si>
    <t>0082406190</t>
  </si>
  <si>
    <t>CATH ABL CELSIUS LNG RCH</t>
  </si>
  <si>
    <t>CATH ABL CELSIU</t>
  </si>
  <si>
    <t>0082406372</t>
  </si>
  <si>
    <t>CATH ABL BLAZER II HTORQ</t>
  </si>
  <si>
    <t>CATH ABL IIHTRQ</t>
  </si>
  <si>
    <t>0082406455</t>
  </si>
  <si>
    <t>CATH ABL NAVISTR DEFL TI</t>
  </si>
  <si>
    <t>CTH ABL DEFL TP</t>
  </si>
  <si>
    <t>0082406588</t>
  </si>
  <si>
    <t>CATH ANG BLN BYPASS SPEE</t>
  </si>
  <si>
    <t>CATH ANG BYPASS</t>
  </si>
  <si>
    <t>0082407305</t>
  </si>
  <si>
    <t>CATH ANG SURPASS</t>
  </si>
  <si>
    <t>CATH ANG SURPAS</t>
  </si>
  <si>
    <t>0082407396</t>
  </si>
  <si>
    <t>CATH ATHER SILVERHAWK</t>
  </si>
  <si>
    <t>CATH ATHER DIR</t>
  </si>
  <si>
    <t>0082407412</t>
  </si>
  <si>
    <t>CATH B FLEXIMA TEMP TIP</t>
  </si>
  <si>
    <t>CATH BIL FLXIMA</t>
  </si>
  <si>
    <t>0082407610</t>
  </si>
  <si>
    <t>CATH BLN DIL UROMAX UHP</t>
  </si>
  <si>
    <t>CATH BLN UROMAX</t>
  </si>
  <si>
    <t>0082407628</t>
  </si>
  <si>
    <t>CATH BLN DIL DIA ULT THN</t>
  </si>
  <si>
    <t>CATH BLN DILDIA</t>
  </si>
  <si>
    <t>0082407743</t>
  </si>
  <si>
    <t>CATH C ULTRCRSS2.9F30MHZ</t>
  </si>
  <si>
    <t>CATH C ULTRA2.9</t>
  </si>
  <si>
    <t>0082407776</t>
  </si>
  <si>
    <t>CATH C ATLANTIS SR</t>
  </si>
  <si>
    <t>CATH ATLANTS SR</t>
  </si>
  <si>
    <t>0082408063</t>
  </si>
  <si>
    <t>CATH EP CORDIS FIX QUAD</t>
  </si>
  <si>
    <t>CATH FIX QUAD</t>
  </si>
  <si>
    <t>0082408139</t>
  </si>
  <si>
    <t>CATH EP FIX BRDVKNG QUAD</t>
  </si>
  <si>
    <t>CATH EP BRDVKNG</t>
  </si>
  <si>
    <t>0082408451</t>
  </si>
  <si>
    <t>CATH PTCA MAVERCK MONORL</t>
  </si>
  <si>
    <t>CATH PTCA MAV</t>
  </si>
  <si>
    <t>0082408469</t>
  </si>
  <si>
    <t>CATH PTCA MAVERICK OTW</t>
  </si>
  <si>
    <t>0082408519</t>
  </si>
  <si>
    <t>CATH TESIO MEDCMP BIOFLX</t>
  </si>
  <si>
    <t>CATH TESIO MEDC</t>
  </si>
  <si>
    <t>0082408535</t>
  </si>
  <si>
    <t>CATH TESIO MEDCMP SILCON</t>
  </si>
  <si>
    <t>0082408659</t>
  </si>
  <si>
    <t>DFIB SC PRELIFE</t>
  </si>
  <si>
    <t>0082409160</t>
  </si>
  <si>
    <t>DEV CAPIO SUTURE OPEN</t>
  </si>
  <si>
    <t>DEV CAPIO SUT</t>
  </si>
  <si>
    <t>0082409442</t>
  </si>
  <si>
    <t>DEV VAG TP TENSN FR SNGL</t>
  </si>
  <si>
    <t>DEV VAG TP FR</t>
  </si>
  <si>
    <t>0082409954</t>
  </si>
  <si>
    <t>DVC FIXATION SURETAC</t>
  </si>
  <si>
    <t>DVC FIXATION</t>
  </si>
  <si>
    <t>0082409970</t>
  </si>
  <si>
    <t>DVC RETRVL FOREIGN BODY</t>
  </si>
  <si>
    <t>DVC RETRVL</t>
  </si>
  <si>
    <t>0082410697</t>
  </si>
  <si>
    <t>GCATH CRAGG-MCNAMARA</t>
  </si>
  <si>
    <t>GCATH INF</t>
  </si>
  <si>
    <t>0082410747</t>
  </si>
  <si>
    <t>GCATH CRDS VISTABRT TP 6</t>
  </si>
  <si>
    <t>GCATH CORDIS 6F</t>
  </si>
  <si>
    <t>0082410838</t>
  </si>
  <si>
    <t>GCATH INFUS MICROMEWI</t>
  </si>
  <si>
    <t>GCATH INF SD HL</t>
  </si>
  <si>
    <t>0082410846</t>
  </si>
  <si>
    <t>CATH GUIDING LAUNCHER</t>
  </si>
  <si>
    <t>0082411745</t>
  </si>
  <si>
    <t>GINTRO SEPT</t>
  </si>
  <si>
    <t>0082412255</t>
  </si>
  <si>
    <t>GRFT V IMPRA VNFL C ST30</t>
  </si>
  <si>
    <t>GRFT V IMP VEN</t>
  </si>
  <si>
    <t>0082412362</t>
  </si>
  <si>
    <t>GRFT V IMPRAVNFL C STP25</t>
  </si>
  <si>
    <t>GRFT V IMPVNFL</t>
  </si>
  <si>
    <t>0082412404</t>
  </si>
  <si>
    <t>GRFT V IMPRAVNFL C STP35</t>
  </si>
  <si>
    <t>0082412420</t>
  </si>
  <si>
    <t>GRFT V IMPRAVNFL C STP40</t>
  </si>
  <si>
    <t>0082412453</t>
  </si>
  <si>
    <t>GRFT VSC FELT TEFLON</t>
  </si>
  <si>
    <t>GRFT VSC FELT</t>
  </si>
  <si>
    <t>0082412503</t>
  </si>
  <si>
    <t>GW HI-TORQ ALL STAR</t>
  </si>
  <si>
    <t>GW HI-TORQ ALL</t>
  </si>
  <si>
    <t>0082412511</t>
  </si>
  <si>
    <t>GW CORDIS ATW MRKR STEER</t>
  </si>
  <si>
    <t>GW CORDIS ATW</t>
  </si>
  <si>
    <t>0082412545</t>
  </si>
  <si>
    <t>GW HI-TORQ BALANCE MW</t>
  </si>
  <si>
    <t>GW HI-TORQ MW</t>
  </si>
  <si>
    <t>0082412602</t>
  </si>
  <si>
    <t>GW HI-TORQ CROSS-IT</t>
  </si>
  <si>
    <t>GW HI-TORQ CROS</t>
  </si>
  <si>
    <t>0082412701</t>
  </si>
  <si>
    <t>GW HI-TORQ IRONMAN</t>
  </si>
  <si>
    <t>GW HI-TORQIRNMN</t>
  </si>
  <si>
    <t>0082414301</t>
  </si>
  <si>
    <t>IMP ANCH MITEK MINI</t>
  </si>
  <si>
    <t>IMP ANCH MINI</t>
  </si>
  <si>
    <t>0082414368</t>
  </si>
  <si>
    <t>IMP ANCH MITEK ROTATRCUF</t>
  </si>
  <si>
    <t>IMP ANCH ROTATR</t>
  </si>
  <si>
    <t>0082414533</t>
  </si>
  <si>
    <t>IMP GEN NSTIM RECHARGE</t>
  </si>
  <si>
    <t>0082414541</t>
  </si>
  <si>
    <t>IMP GEN NSTIM N-RECHG1</t>
  </si>
  <si>
    <t>IMP GEN NSSTIM</t>
  </si>
  <si>
    <t>0082414566</t>
  </si>
  <si>
    <t>IMP LD NSTIM3</t>
  </si>
  <si>
    <t>0082414590</t>
  </si>
  <si>
    <t>IMP PEG SMOOTH</t>
  </si>
  <si>
    <t>0082414681</t>
  </si>
  <si>
    <t>IMP PMP INF SYNCHROMED</t>
  </si>
  <si>
    <t>IMP PMP SYNCHRO</t>
  </si>
  <si>
    <t>0082414749</t>
  </si>
  <si>
    <t>IMP PMP INF SYNCHROMED P</t>
  </si>
  <si>
    <t>0082414756</t>
  </si>
  <si>
    <t>IMP PORT POWER BARD</t>
  </si>
  <si>
    <t>IMP PORT POWER</t>
  </si>
  <si>
    <t>0082414921</t>
  </si>
  <si>
    <t>IMP URINARY SYN 1ML</t>
  </si>
  <si>
    <t>IMP URINARY 1ML</t>
  </si>
  <si>
    <t>0082414954</t>
  </si>
  <si>
    <t>INTEGRA 2X2 PER SQ CM</t>
  </si>
  <si>
    <t>0082414962</t>
  </si>
  <si>
    <t>INTEGRA 4X5 PER SQ CM</t>
  </si>
  <si>
    <t>0082414970</t>
  </si>
  <si>
    <t>INTEGRA 4X10 PER SQ CM</t>
  </si>
  <si>
    <t>0082415092</t>
  </si>
  <si>
    <t>INTRO FLEXOR CHECKFLO</t>
  </si>
  <si>
    <t>INTRO CHECKFLO</t>
  </si>
  <si>
    <t>0082415662</t>
  </si>
  <si>
    <t>KT ANCH MAGNUM 2 PLUS</t>
  </si>
  <si>
    <t>KT ANCH MAGNUM2</t>
  </si>
  <si>
    <t>0082415704</t>
  </si>
  <si>
    <t>KT ORTHSPHER INTRPOS ART</t>
  </si>
  <si>
    <t>KT ORTHOSPHER</t>
  </si>
  <si>
    <t>0082416975</t>
  </si>
  <si>
    <t>LD DFIB EASYTRAK 4542</t>
  </si>
  <si>
    <t>0082416983</t>
  </si>
  <si>
    <t>LD DFIB EASYTRAK 4543</t>
  </si>
  <si>
    <t>0082417015</t>
  </si>
  <si>
    <t>LD DFIB EASYTRAK 4518</t>
  </si>
  <si>
    <t>0082417759</t>
  </si>
  <si>
    <t>LD LFT VENT COR VEN SYS</t>
  </si>
  <si>
    <t>LD LFT VENT COR</t>
  </si>
  <si>
    <t>0082417767</t>
  </si>
  <si>
    <t>LD LFT VENT COR VEN SYS2</t>
  </si>
  <si>
    <t>LD LFT VNT COR2</t>
  </si>
  <si>
    <t>0082418153</t>
  </si>
  <si>
    <t>LD NSTIM OCTAD 3778</t>
  </si>
  <si>
    <t>LD NSTIM OCTAD</t>
  </si>
  <si>
    <t>0082418310</t>
  </si>
  <si>
    <t>LD NSTIM SPECIFY 3999</t>
  </si>
  <si>
    <t>0082418369</t>
  </si>
  <si>
    <t>LD NSTIM PISCES QD +3888</t>
  </si>
  <si>
    <t>LD NSTIM PISCES</t>
  </si>
  <si>
    <t>0082418385</t>
  </si>
  <si>
    <t>LD NSTIM PISCES QD 3487A</t>
  </si>
  <si>
    <t>0082418609</t>
  </si>
  <si>
    <t>LD PM CAPSURE</t>
  </si>
  <si>
    <t>0082418633</t>
  </si>
  <si>
    <t>LD PM CAPSURE EPI 4968</t>
  </si>
  <si>
    <t>0082418658</t>
  </si>
  <si>
    <t>LD PM CAPSURFX NOVUS5076</t>
  </si>
  <si>
    <t>LD PM CAPSURFIX</t>
  </si>
  <si>
    <t>0082418674</t>
  </si>
  <si>
    <t>LD PM CAPSURFX NOVUS4076</t>
  </si>
  <si>
    <t>0082419078</t>
  </si>
  <si>
    <t>LD PM INNOMEDICA CRD4047</t>
  </si>
  <si>
    <t>0082419227</t>
  </si>
  <si>
    <t>LD PM FLEXTEND 4087</t>
  </si>
  <si>
    <t>LD PM FLEXTEND</t>
  </si>
  <si>
    <t>0082419268</t>
  </si>
  <si>
    <t>LD PM TENDRIL SDX 1688TC</t>
  </si>
  <si>
    <t>LD PM TENDRLSDX</t>
  </si>
  <si>
    <t>0082419433</t>
  </si>
  <si>
    <t>LD PM SELECTSECURE 3830</t>
  </si>
  <si>
    <t>LD PM SELCTSECR</t>
  </si>
  <si>
    <t>0082419441</t>
  </si>
  <si>
    <t>LD PM SELOX JT45</t>
  </si>
  <si>
    <t>LD PM SELX JT45</t>
  </si>
  <si>
    <t>0082419458</t>
  </si>
  <si>
    <t>LD PM SELOX ST53</t>
  </si>
  <si>
    <t>LD PM SELX ST53</t>
  </si>
  <si>
    <t>0082419466</t>
  </si>
  <si>
    <t>LD PM SELOX ST60</t>
  </si>
  <si>
    <t>LD PM SELX ST60</t>
  </si>
  <si>
    <t>0082419474</t>
  </si>
  <si>
    <t>LD PM SETROX S45</t>
  </si>
  <si>
    <t>LD PM SETRX S45</t>
  </si>
  <si>
    <t>0082419482</t>
  </si>
  <si>
    <t>LD PM SETROX S53</t>
  </si>
  <si>
    <t>LD PM SETRX S53</t>
  </si>
  <si>
    <t>0082419490</t>
  </si>
  <si>
    <t>LD PM SETROX S60</t>
  </si>
  <si>
    <t>LD PM SETRX S60</t>
  </si>
  <si>
    <t>0082420761</t>
  </si>
  <si>
    <t>MESH BARD 3DMAX LG</t>
  </si>
  <si>
    <t>MESH BARD 3DMAX</t>
  </si>
  <si>
    <t>0082420787</t>
  </si>
  <si>
    <t>MESH BARD 3DMAX MED</t>
  </si>
  <si>
    <t>0082420886</t>
  </si>
  <si>
    <t>MESH HERNIA COMPOSIX 48</t>
  </si>
  <si>
    <t>MESH COMPSX 48</t>
  </si>
  <si>
    <t>0082420894</t>
  </si>
  <si>
    <t>MESH HERNIA COMPOSIX 8</t>
  </si>
  <si>
    <t>MESH COMPSX 8</t>
  </si>
  <si>
    <t>0082420902</t>
  </si>
  <si>
    <t>MESH COMPOSIX E/X 4X6</t>
  </si>
  <si>
    <t>MESH COMPSX E/X</t>
  </si>
  <si>
    <t>0082420985</t>
  </si>
  <si>
    <t>MESH ULTRAPRO 15X15CM</t>
  </si>
  <si>
    <t>MESH ULTRAPRO</t>
  </si>
  <si>
    <t>0082421009</t>
  </si>
  <si>
    <t>MESH GRTX DUAL 150CM1OVL</t>
  </si>
  <si>
    <t>MESH DUAL 150CM</t>
  </si>
  <si>
    <t>0082421504</t>
  </si>
  <si>
    <t>MESH HERNIA PROLENE</t>
  </si>
  <si>
    <t>MESH HRNIA PRLN</t>
  </si>
  <si>
    <t>0082424425</t>
  </si>
  <si>
    <t>PERMACOL 10X10 PER SQ CM</t>
  </si>
  <si>
    <t>0082424441</t>
  </si>
  <si>
    <t>PERMACOL 10X15 PER SQ CM</t>
  </si>
  <si>
    <t>0082424466</t>
  </si>
  <si>
    <t>PERMACOL 20X30 PER SQ CM</t>
  </si>
  <si>
    <t>0082426008</t>
  </si>
  <si>
    <t>PM DC PRELIFE</t>
  </si>
  <si>
    <t>0082426818</t>
  </si>
  <si>
    <t>PM NOT DC/SC PRELIFE</t>
  </si>
  <si>
    <t>PM OTHR PRELIFE</t>
  </si>
  <si>
    <t>0082427444</t>
  </si>
  <si>
    <t>PM SC PRELIFE</t>
  </si>
  <si>
    <t>0082428699</t>
  </si>
  <si>
    <t>PROS BRST SAL STYLE 2000</t>
  </si>
  <si>
    <t>P[ROS BRST SAL</t>
  </si>
  <si>
    <t>0082428707</t>
  </si>
  <si>
    <t>PROS BRST MENTR SILTX GL</t>
  </si>
  <si>
    <t>PROS BRST SILTX</t>
  </si>
  <si>
    <t>0082428731</t>
  </si>
  <si>
    <t>PROS BRST MNTR SIL/SAL</t>
  </si>
  <si>
    <t>PROS BRST SIL/S</t>
  </si>
  <si>
    <t>0082428764</t>
  </si>
  <si>
    <t>PROS BRST SMOOTHSURF GEL</t>
  </si>
  <si>
    <t>PROS BRST SMSRF</t>
  </si>
  <si>
    <t>0082428780</t>
  </si>
  <si>
    <t>PROS PENILE AMS AMBICOR</t>
  </si>
  <si>
    <t>PROS PNILE AMS</t>
  </si>
  <si>
    <t>0082428822</t>
  </si>
  <si>
    <t>PROS PENILE DURA II</t>
  </si>
  <si>
    <t>PROS PNILE DURA</t>
  </si>
  <si>
    <t>0082428855</t>
  </si>
  <si>
    <t>PROS PNILE MNTR MALLEABL</t>
  </si>
  <si>
    <t>PROS PNILE MALL</t>
  </si>
  <si>
    <t>0082431354</t>
  </si>
  <si>
    <t>STNT B INTRASTENT</t>
  </si>
  <si>
    <t>STNT B INTRSTNT</t>
  </si>
  <si>
    <t>0082432642</t>
  </si>
  <si>
    <t>STNT PERPH INTRACOIL 40</t>
  </si>
  <si>
    <t>STNT PERPH INTR</t>
  </si>
  <si>
    <t>0082432733</t>
  </si>
  <si>
    <t>STNT U INLAY DBL PIGTAIL</t>
  </si>
  <si>
    <t>STNT U INLAY DB</t>
  </si>
  <si>
    <t>0082435041</t>
  </si>
  <si>
    <t>SYS ANCH TRANSFX BN W/OD</t>
  </si>
  <si>
    <t>SYS ANCH TRNSFX</t>
  </si>
  <si>
    <t>0082435306</t>
  </si>
  <si>
    <t>SYS EMBOLIZATN PROTECT</t>
  </si>
  <si>
    <t>EMBOLZN PROTECT</t>
  </si>
  <si>
    <t>0082435314</t>
  </si>
  <si>
    <t>SYS EMBOLIZTN PROTECT2</t>
  </si>
  <si>
    <t>0082436676</t>
  </si>
  <si>
    <t>SYS SLING MONARC</t>
  </si>
  <si>
    <t>SYS SLNG MONARC</t>
  </si>
  <si>
    <t>0082437922</t>
  </si>
  <si>
    <t>TISS MATRIX ACELL DERM</t>
  </si>
  <si>
    <t>TISS MTRX ACELL</t>
  </si>
  <si>
    <t>0082437948</t>
  </si>
  <si>
    <t>TISS MATRX ULCER PER 1CM</t>
  </si>
  <si>
    <t>TISS MATRX ULCR</t>
  </si>
  <si>
    <t>0082438904</t>
  </si>
  <si>
    <t>VAS CLS ANGIOSEAL 610097</t>
  </si>
  <si>
    <t>VAS CLS 610097</t>
  </si>
  <si>
    <t>0082450008</t>
  </si>
  <si>
    <t>CATH ABL BLAZER II 7</t>
  </si>
  <si>
    <t>CATH ABL BLAZ</t>
  </si>
  <si>
    <t>0082450958</t>
  </si>
  <si>
    <t>CATH BLN CUT INTERVENTNL</t>
  </si>
  <si>
    <t>CATH BLN CUT</t>
  </si>
  <si>
    <t>0082452400</t>
  </si>
  <si>
    <t>CATH BLN PTA POWERFLX P3</t>
  </si>
  <si>
    <t>CATH BLN PTA</t>
  </si>
  <si>
    <t>0082455007</t>
  </si>
  <si>
    <t>CATH DIAG EP DYNAMIC XT</t>
  </si>
  <si>
    <t>CATH DIAG EP</t>
  </si>
  <si>
    <t>0082455056</t>
  </si>
  <si>
    <t>CATH DIALYSIS/PHERESIS</t>
  </si>
  <si>
    <t>CATH DIAL/PHER</t>
  </si>
  <si>
    <t>0082455601</t>
  </si>
  <si>
    <t>CATH EP FC BS WEBSTER</t>
  </si>
  <si>
    <t>CATH EP FX CURV</t>
  </si>
  <si>
    <t>0082455726</t>
  </si>
  <si>
    <t>CATH EP FC RESPONSE</t>
  </si>
  <si>
    <t>0082455809</t>
  </si>
  <si>
    <t>CATH EP LIVEWIRE</t>
  </si>
  <si>
    <t>CATH EP LIVEWR</t>
  </si>
  <si>
    <t>0082457060</t>
  </si>
  <si>
    <t>CATH GUIDING ATTAIN MP</t>
  </si>
  <si>
    <t>CATH GD ATTAIN</t>
  </si>
  <si>
    <t>0082457219</t>
  </si>
  <si>
    <t>CATH HEMODIAL SHORT TRM2</t>
  </si>
  <si>
    <t>0082457532</t>
  </si>
  <si>
    <t>CATH INF PICC DL PWR</t>
  </si>
  <si>
    <t>CATH INF PICC</t>
  </si>
  <si>
    <t>0082457706</t>
  </si>
  <si>
    <t>CATH INF RAPID TRANSIT</t>
  </si>
  <si>
    <t>CATH INF RAPID</t>
  </si>
  <si>
    <t>0082460205</t>
  </si>
  <si>
    <t>CATH ULTRA FUSE 4</t>
  </si>
  <si>
    <t>CATH ULTRA FUSE</t>
  </si>
  <si>
    <t>0082460502</t>
  </si>
  <si>
    <t>CATH URTRL FLEXIMA</t>
  </si>
  <si>
    <t>CATH URTRL FLEX</t>
  </si>
  <si>
    <t>0082461005</t>
  </si>
  <si>
    <t>DART CHRONDRAL ARTHREX</t>
  </si>
  <si>
    <t>DART CHRONDRAL</t>
  </si>
  <si>
    <t>0082461260</t>
  </si>
  <si>
    <t>DERMAGRAFT PER SQ CM</t>
  </si>
  <si>
    <t>DERMAGRFT SQ CM</t>
  </si>
  <si>
    <t>0082461302</t>
  </si>
  <si>
    <t>DFIB DC PRELIFE</t>
  </si>
  <si>
    <t>0082461690</t>
  </si>
  <si>
    <t>DFIB PRELIFE OTHER</t>
  </si>
  <si>
    <t>DFIB PRELIFE</t>
  </si>
  <si>
    <t>0082463050</t>
  </si>
  <si>
    <t>FLTR VC TRAPEASE CORDIS</t>
  </si>
  <si>
    <t>FLTR VC TRPEASE</t>
  </si>
  <si>
    <t>0082465501</t>
  </si>
  <si>
    <t>GRFT DVF WOVN HEMASHIELD</t>
  </si>
  <si>
    <t>0082465782</t>
  </si>
  <si>
    <t>GRFT VASCULAR 4</t>
  </si>
  <si>
    <t>0082465790</t>
  </si>
  <si>
    <t>GRFT VASCULAR 5</t>
  </si>
  <si>
    <t>0082465956</t>
  </si>
  <si>
    <t>GW ASAHI MIRACLEBROS</t>
  </si>
  <si>
    <t>GW MIRACLEBROS</t>
  </si>
  <si>
    <t>0082465964</t>
  </si>
  <si>
    <t>GW ASAHI GRAND SLAM</t>
  </si>
  <si>
    <t>GW GRAND SLAM</t>
  </si>
  <si>
    <t>0082465972</t>
  </si>
  <si>
    <t>GW ASAHI CONFLANZA PRO</t>
  </si>
  <si>
    <t>GW CONFLNZA PRO</t>
  </si>
  <si>
    <t>0082466665</t>
  </si>
  <si>
    <t>GW GLIDEWIRE STD ANGLE</t>
  </si>
  <si>
    <t>GW GLIDEWIRE</t>
  </si>
  <si>
    <t>0082467259</t>
  </si>
  <si>
    <t>GW HP JAGWIRE SNGL USE</t>
  </si>
  <si>
    <t>GW HP JAGWIRE</t>
  </si>
  <si>
    <t>0082467457</t>
  </si>
  <si>
    <t>GW MIRAGE</t>
  </si>
  <si>
    <t>0082470907</t>
  </si>
  <si>
    <t>IMP MENISCUS ARROW PLA</t>
  </si>
  <si>
    <t>IMP MENISCS ARR</t>
  </si>
  <si>
    <t>0082471319</t>
  </si>
  <si>
    <t>IMP PRT BARDPRT MRI HARD</t>
  </si>
  <si>
    <t>IMP PRT BARDPRT</t>
  </si>
  <si>
    <t>0082471400</t>
  </si>
  <si>
    <t>IMP PRT/RESRVR BARD</t>
  </si>
  <si>
    <t>IMP PRT/RESRVR</t>
  </si>
  <si>
    <t>0082473018</t>
  </si>
  <si>
    <t>LD ATTAIN BIPLR 4194</t>
  </si>
  <si>
    <t>LD ATTAIN BIPLR</t>
  </si>
  <si>
    <t>0082473315</t>
  </si>
  <si>
    <t>LD DFIB RIATA ST 7011</t>
  </si>
  <si>
    <t>LD DFB RIATA ST</t>
  </si>
  <si>
    <t>0082473489</t>
  </si>
  <si>
    <t>LD DFIB SUB-Q 6996SQ</t>
  </si>
  <si>
    <t>LD DFIB SUB-Q</t>
  </si>
  <si>
    <t>0082474107</t>
  </si>
  <si>
    <t>LD PM FINELN2 EZSTER4469</t>
  </si>
  <si>
    <t>LD PM FINELN II</t>
  </si>
  <si>
    <t>0082474123</t>
  </si>
  <si>
    <t>LD PM FINELN2 EZSTER4470</t>
  </si>
  <si>
    <t>0082474222</t>
  </si>
  <si>
    <t>LD PM FINELN2 STEROX4456</t>
  </si>
  <si>
    <t>0082474248</t>
  </si>
  <si>
    <t>LD PM FINELN2 STEROX4457</t>
  </si>
  <si>
    <t>0082474289</t>
  </si>
  <si>
    <t>LD PM FINELN2 STEROX4479</t>
  </si>
  <si>
    <t>0082474305</t>
  </si>
  <si>
    <t>LD PM FINELN2 STEROX4480</t>
  </si>
  <si>
    <t>0082477027</t>
  </si>
  <si>
    <t>MATRX TISS XENFORM</t>
  </si>
  <si>
    <t>MATRX XENFORM</t>
  </si>
  <si>
    <t>0082478421</t>
  </si>
  <si>
    <t>MESH H PTCH BRDK LO14X18</t>
  </si>
  <si>
    <t>MESH H PTCH BRD</t>
  </si>
  <si>
    <t>0082478447</t>
  </si>
  <si>
    <t>MESH H PTCH BRDK MO11X14</t>
  </si>
  <si>
    <t>0082478496</t>
  </si>
  <si>
    <t>MESH HERNIA PARIETEX</t>
  </si>
  <si>
    <t>MESH H PARIETEX</t>
  </si>
  <si>
    <t>0082479965</t>
  </si>
  <si>
    <t>OASIS WND MATRIX SQ CM</t>
  </si>
  <si>
    <t>OASIS WND MATRX</t>
  </si>
  <si>
    <t>0082482829</t>
  </si>
  <si>
    <t>PROS BRST TE MENTOR CNTR</t>
  </si>
  <si>
    <t>PROS BRST TE</t>
  </si>
  <si>
    <t>0082484106</t>
  </si>
  <si>
    <t>SCRW BIOINTERFER ARTHREX</t>
  </si>
  <si>
    <t>SCRW BIOINTERFR</t>
  </si>
  <si>
    <t>0082485509</t>
  </si>
  <si>
    <t>ST INTRO PEEL-AWAY</t>
  </si>
  <si>
    <t>ST INTR PEELAWY</t>
  </si>
  <si>
    <t>0082486127</t>
  </si>
  <si>
    <t>STNT B DS PARAMNT INTRA</t>
  </si>
  <si>
    <t>STNT B DS PARAM</t>
  </si>
  <si>
    <t>0082486754</t>
  </si>
  <si>
    <t>STNT DUODENAL WALLFLEX</t>
  </si>
  <si>
    <t>STNT DUODENAL</t>
  </si>
  <si>
    <t>0082487521</t>
  </si>
  <si>
    <t>STNT U DIVERSN PERCUFLEX</t>
  </si>
  <si>
    <t>CDM as of 6/1/2025</t>
  </si>
  <si>
    <t>Evaluation &amp; Management Services (CPT Codes 99201-99499)</t>
  </si>
  <si>
    <t>2025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</si>
  <si>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</si>
  <si>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</si>
  <si>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</si>
  <si>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</si>
  <si>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</si>
  <si>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</si>
  <si>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</si>
  <si>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</si>
  <si>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</si>
  <si>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</si>
  <si>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</si>
  <si>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</si>
  <si>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</si>
  <si>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</si>
  <si>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</si>
  <si>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</si>
  <si>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</si>
  <si>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</si>
  <si>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</si>
  <si>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</si>
  <si>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</si>
  <si>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</si>
  <si>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</si>
  <si>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</si>
  <si>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</si>
  <si>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</si>
  <si>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</si>
  <si>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</si>
  <si>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</si>
  <si>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</si>
  <si>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</si>
  <si>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</si>
  <si>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</si>
  <si>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</si>
  <si>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</si>
  <si>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</si>
  <si>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</si>
  <si>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</si>
  <si>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</si>
  <si>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</si>
  <si>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</si>
  <si>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</si>
  <si>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</si>
  <si>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</si>
  <si>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</si>
  <si>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</si>
  <si>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</si>
  <si>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</si>
  <si>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</si>
  <si>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</si>
  <si>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</si>
  <si>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</si>
  <si>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</si>
  <si>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</si>
  <si>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</si>
  <si>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</si>
  <si>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</si>
  <si>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</si>
  <si>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</si>
  <si>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</si>
  <si>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</si>
  <si>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</si>
  <si>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</si>
  <si>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</si>
  <si>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</si>
  <si>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</si>
  <si>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</si>
  <si>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</si>
  <si>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</si>
  <si>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</si>
  <si>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</si>
  <si>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</si>
  <si>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</si>
  <si>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</si>
  <si>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</si>
  <si>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</si>
  <si>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</si>
  <si>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</si>
  <si>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</si>
  <si>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</si>
  <si>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</si>
  <si>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</si>
  <si>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</si>
  <si>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</si>
  <si>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</si>
  <si>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</si>
  <si>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</si>
  <si>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</si>
  <si>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</si>
  <si>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</si>
  <si>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</si>
  <si>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</si>
  <si>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</si>
  <si>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</si>
  <si>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</si>
  <si>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</si>
  <si>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</si>
  <si>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</si>
  <si>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</si>
  <si>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</si>
  <si>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</si>
  <si>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</si>
  <si>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</si>
  <si>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</si>
  <si>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</si>
  <si>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</si>
  <si>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</si>
  <si>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</si>
  <si>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</si>
  <si>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HCAI Facility No: 106301175</t>
  </si>
  <si>
    <t>Effective Date of Charges: 6/1/2025</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</si>
  <si>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</si>
  <si>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</si>
  <si>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</si>
  <si>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</si>
  <si>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</si>
  <si>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</si>
  <si>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</si>
  <si>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</si>
  <si>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</si>
  <si>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</si>
  <si>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</si>
  <si>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</si>
  <si>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</si>
  <si>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HSP CODE</t>
  </si>
  <si>
    <t>CHARGE NUMBER</t>
  </si>
  <si>
    <t>81001</t>
  </si>
  <si>
    <t>97161</t>
  </si>
  <si>
    <t>TECHNICAL DESCRIPTION</t>
  </si>
  <si>
    <t>HCPCS</t>
  </si>
  <si>
    <t>2024 QTY</t>
  </si>
  <si>
    <t>2024 REV</t>
  </si>
  <si>
    <t>2025 QTY</t>
  </si>
  <si>
    <t>2025 REV</t>
  </si>
  <si>
    <t>2024 AVG RATE</t>
  </si>
  <si>
    <t>2025 AVG RATE</t>
  </si>
  <si>
    <t>AVG RATE CHANGE</t>
  </si>
  <si>
    <t>76098</t>
  </si>
  <si>
    <t>76641</t>
  </si>
  <si>
    <t>77065</t>
  </si>
  <si>
    <t>G0008</t>
  </si>
  <si>
    <t>76818</t>
  </si>
  <si>
    <t>59025</t>
  </si>
  <si>
    <t>90471</t>
  </si>
  <si>
    <t>76815</t>
  </si>
  <si>
    <t>96360</t>
  </si>
  <si>
    <t>96361</t>
  </si>
  <si>
    <t>96365</t>
  </si>
  <si>
    <t>96366</t>
  </si>
  <si>
    <t>96367</t>
  </si>
  <si>
    <t>96368</t>
  </si>
  <si>
    <t>96374</t>
  </si>
  <si>
    <t>96375</t>
  </si>
  <si>
    <t>96376</t>
  </si>
  <si>
    <t>96372</t>
  </si>
  <si>
    <t>99465</t>
  </si>
  <si>
    <t>G0010</t>
  </si>
  <si>
    <t>90472</t>
  </si>
  <si>
    <t>Z9725</t>
  </si>
  <si>
    <t>86891</t>
  </si>
  <si>
    <t>P9022</t>
  </si>
  <si>
    <t>C1882</t>
  </si>
  <si>
    <t>C1722</t>
  </si>
  <si>
    <t>C1721</t>
  </si>
  <si>
    <t>C1900</t>
  </si>
  <si>
    <t>C1898</t>
  </si>
  <si>
    <t>C1777</t>
  </si>
  <si>
    <t>C1786</t>
  </si>
  <si>
    <t>C1785</t>
  </si>
  <si>
    <t>C1764</t>
  </si>
  <si>
    <t>C2621</t>
  </si>
  <si>
    <t>Q4186</t>
  </si>
  <si>
    <t>C1895</t>
  </si>
  <si>
    <t>C1713</t>
  </si>
  <si>
    <t>C1821</t>
  </si>
  <si>
    <t>C1889</t>
  </si>
  <si>
    <t>C1776</t>
  </si>
  <si>
    <t>J3590</t>
  </si>
  <si>
    <t>C1762</t>
  </si>
  <si>
    <t>Q4148</t>
  </si>
  <si>
    <t>C1781</t>
  </si>
  <si>
    <t>C1768</t>
  </si>
  <si>
    <t>L8699</t>
  </si>
  <si>
    <t>Q4100</t>
  </si>
  <si>
    <t>C9363</t>
  </si>
  <si>
    <t>A4648</t>
  </si>
  <si>
    <t>C1763</t>
  </si>
  <si>
    <t>Q4196</t>
  </si>
  <si>
    <t>C1771</t>
  </si>
  <si>
    <t>C1876</t>
  </si>
  <si>
    <t>C1874</t>
  </si>
  <si>
    <t>C2617</t>
  </si>
  <si>
    <t>A4649</t>
  </si>
  <si>
    <t>Q4121</t>
  </si>
  <si>
    <t>Q4156</t>
  </si>
  <si>
    <t>Q4130</t>
  </si>
  <si>
    <t>C1752</t>
  </si>
  <si>
    <t>C1724</t>
  </si>
  <si>
    <t>C1725</t>
  </si>
  <si>
    <t>C1729</t>
  </si>
  <si>
    <t>C1730</t>
  </si>
  <si>
    <t>C1731</t>
  </si>
  <si>
    <t>Q4107</t>
  </si>
  <si>
    <t>Q4104</t>
  </si>
  <si>
    <t>C1894</t>
  </si>
  <si>
    <t>C1773</t>
  </si>
  <si>
    <t>C1887</t>
  </si>
  <si>
    <t>80051</t>
  </si>
  <si>
    <t>80202</t>
  </si>
  <si>
    <t>80047</t>
  </si>
  <si>
    <t>80069</t>
  </si>
  <si>
    <t>80076</t>
  </si>
  <si>
    <t>87426</t>
  </si>
  <si>
    <t>87636</t>
  </si>
  <si>
    <t>81002</t>
  </si>
  <si>
    <t>81005</t>
  </si>
  <si>
    <t>81025</t>
  </si>
  <si>
    <t>80307</t>
  </si>
  <si>
    <t>82010</t>
  </si>
  <si>
    <t>82040</t>
  </si>
  <si>
    <t>82042</t>
  </si>
  <si>
    <t>82105</t>
  </si>
  <si>
    <t>80198</t>
  </si>
  <si>
    <t>82140</t>
  </si>
  <si>
    <t>82150</t>
  </si>
  <si>
    <t>82247</t>
  </si>
  <si>
    <t>82248</t>
  </si>
  <si>
    <t>82272</t>
  </si>
  <si>
    <t>82271</t>
  </si>
  <si>
    <t>82310</t>
  </si>
  <si>
    <t>82330</t>
  </si>
  <si>
    <t>80156</t>
  </si>
  <si>
    <t>82435</t>
  </si>
  <si>
    <t>82465</t>
  </si>
  <si>
    <t>83721</t>
  </si>
  <si>
    <t>83718</t>
  </si>
  <si>
    <t>82533</t>
  </si>
  <si>
    <t>82553</t>
  </si>
  <si>
    <t>82565</t>
  </si>
  <si>
    <t>82570</t>
  </si>
  <si>
    <t>82575</t>
  </si>
  <si>
    <t>82607</t>
  </si>
  <si>
    <t>80162</t>
  </si>
  <si>
    <t>80185</t>
  </si>
  <si>
    <t>85461</t>
  </si>
  <si>
    <t>82728</t>
  </si>
  <si>
    <t>82731</t>
  </si>
  <si>
    <t>82746</t>
  </si>
  <si>
    <t>82803</t>
  </si>
  <si>
    <t>82810</t>
  </si>
  <si>
    <t>82945</t>
  </si>
  <si>
    <t>82947</t>
  </si>
  <si>
    <t>82950</t>
  </si>
  <si>
    <t>82962</t>
  </si>
  <si>
    <t>83036</t>
  </si>
  <si>
    <t>80170</t>
  </si>
  <si>
    <t>84703</t>
  </si>
  <si>
    <t>84702</t>
  </si>
  <si>
    <t>84112</t>
  </si>
  <si>
    <t>82784</t>
  </si>
  <si>
    <t>83880</t>
  </si>
  <si>
    <t>84439</t>
  </si>
  <si>
    <t>83540</t>
  </si>
  <si>
    <t>83550</t>
  </si>
  <si>
    <t>84481</t>
  </si>
  <si>
    <t>83605</t>
  </si>
  <si>
    <t>83615</t>
  </si>
  <si>
    <t>83690</t>
  </si>
  <si>
    <t>83735</t>
  </si>
  <si>
    <t>83874</t>
  </si>
  <si>
    <t>83930</t>
  </si>
  <si>
    <t>83935</t>
  </si>
  <si>
    <t>83970</t>
  </si>
  <si>
    <t>84075</t>
  </si>
  <si>
    <t>84100</t>
  </si>
  <si>
    <t>84132</t>
  </si>
  <si>
    <t>84133</t>
  </si>
  <si>
    <t>84157</t>
  </si>
  <si>
    <t>84155</t>
  </si>
  <si>
    <t>84156</t>
  </si>
  <si>
    <t>84134</t>
  </si>
  <si>
    <t>87425</t>
  </si>
  <si>
    <t>84295</t>
  </si>
  <si>
    <t>84300</t>
  </si>
  <si>
    <t>84311</t>
  </si>
  <si>
    <t>84436</t>
  </si>
  <si>
    <t>84450</t>
  </si>
  <si>
    <t>84460</t>
  </si>
  <si>
    <t>84466</t>
  </si>
  <si>
    <t>80200</t>
  </si>
  <si>
    <t>84478</t>
  </si>
  <si>
    <t>84520</t>
  </si>
  <si>
    <t>84550</t>
  </si>
  <si>
    <t>84560</t>
  </si>
  <si>
    <t>80164</t>
  </si>
  <si>
    <t>82306</t>
  </si>
  <si>
    <t>86301</t>
  </si>
  <si>
    <t>85007</t>
  </si>
  <si>
    <t>85048</t>
  </si>
  <si>
    <t>85014</t>
  </si>
  <si>
    <t>85018</t>
  </si>
  <si>
    <t>85045</t>
  </si>
  <si>
    <t>85347</t>
  </si>
  <si>
    <t>85379</t>
  </si>
  <si>
    <t>85384</t>
  </si>
  <si>
    <t>U0002</t>
  </si>
  <si>
    <t>85460</t>
  </si>
  <si>
    <t>85520</t>
  </si>
  <si>
    <t>85576</t>
  </si>
  <si>
    <t>85049</t>
  </si>
  <si>
    <t>85652</t>
  </si>
  <si>
    <t>86308</t>
  </si>
  <si>
    <t>86850</t>
  </si>
  <si>
    <t>86140</t>
  </si>
  <si>
    <t>86870</t>
  </si>
  <si>
    <t>86880</t>
  </si>
  <si>
    <t>86900</t>
  </si>
  <si>
    <t>86905</t>
  </si>
  <si>
    <t>86901</t>
  </si>
  <si>
    <t>82378</t>
  </si>
  <si>
    <t>86920</t>
  </si>
  <si>
    <t>86922</t>
  </si>
  <si>
    <t>87467</t>
  </si>
  <si>
    <t>84153</t>
  </si>
  <si>
    <t>86160</t>
  </si>
  <si>
    <t>87430</t>
  </si>
  <si>
    <t>87420</t>
  </si>
  <si>
    <t>86592</t>
  </si>
  <si>
    <t>86593</t>
  </si>
  <si>
    <t>86902</t>
  </si>
  <si>
    <t>86923</t>
  </si>
  <si>
    <t>87015</t>
  </si>
  <si>
    <t>87070</t>
  </si>
  <si>
    <t>87185</t>
  </si>
  <si>
    <t>87081</t>
  </si>
  <si>
    <t>87040</t>
  </si>
  <si>
    <t>87075</t>
  </si>
  <si>
    <t>87076</t>
  </si>
  <si>
    <t>87102</t>
  </si>
  <si>
    <t>87088</t>
  </si>
  <si>
    <t>87103</t>
  </si>
  <si>
    <t>87106</t>
  </si>
  <si>
    <t>87107</t>
  </si>
  <si>
    <t>87116</t>
  </si>
  <si>
    <t>87168</t>
  </si>
  <si>
    <t>87147</t>
  </si>
  <si>
    <t>87149</t>
  </si>
  <si>
    <t>87186</t>
  </si>
  <si>
    <t>87206</t>
  </si>
  <si>
    <t>87207</t>
  </si>
  <si>
    <t>89055</t>
  </si>
  <si>
    <t>87205</t>
  </si>
  <si>
    <t>87210</t>
  </si>
  <si>
    <t>87324</t>
  </si>
  <si>
    <t>87400</t>
  </si>
  <si>
    <t>87449</t>
  </si>
  <si>
    <t>87483</t>
  </si>
  <si>
    <t>87491</t>
  </si>
  <si>
    <t>87506</t>
  </si>
  <si>
    <t>87591</t>
  </si>
  <si>
    <t>87633</t>
  </si>
  <si>
    <t>87798</t>
  </si>
  <si>
    <t>87806</t>
  </si>
  <si>
    <t>87899</t>
  </si>
  <si>
    <t>84145</t>
  </si>
  <si>
    <t>88720</t>
  </si>
  <si>
    <t>87077</t>
  </si>
  <si>
    <t>87493</t>
  </si>
  <si>
    <t>89050</t>
  </si>
  <si>
    <t>89051</t>
  </si>
  <si>
    <t>89060</t>
  </si>
  <si>
    <t>99001</t>
  </si>
  <si>
    <t>36416</t>
  </si>
  <si>
    <t>36415</t>
  </si>
  <si>
    <t>88314</t>
  </si>
  <si>
    <t>88305</t>
  </si>
  <si>
    <t>88104</t>
  </si>
  <si>
    <t>88112</t>
  </si>
  <si>
    <t>88173</t>
  </si>
  <si>
    <t>88300</t>
  </si>
  <si>
    <t>88302</t>
  </si>
  <si>
    <t>88307</t>
  </si>
  <si>
    <t>88309</t>
  </si>
  <si>
    <t>88311</t>
  </si>
  <si>
    <t>88312</t>
  </si>
  <si>
    <t>88313</t>
  </si>
  <si>
    <t>88342</t>
  </si>
  <si>
    <t>88331</t>
  </si>
  <si>
    <t>88332</t>
  </si>
  <si>
    <t>88304</t>
  </si>
  <si>
    <t>P9016</t>
  </si>
  <si>
    <t>P9017</t>
  </si>
  <si>
    <t>P9035</t>
  </si>
  <si>
    <t>P9012</t>
  </si>
  <si>
    <t>P9040</t>
  </si>
  <si>
    <t>93005</t>
  </si>
  <si>
    <t>93017</t>
  </si>
  <si>
    <t>93306</t>
  </si>
  <si>
    <t>G0269</t>
  </si>
  <si>
    <t>93620</t>
  </si>
  <si>
    <t>93623</t>
  </si>
  <si>
    <t>93650</t>
  </si>
  <si>
    <t>92960</t>
  </si>
  <si>
    <t>93660</t>
  </si>
  <si>
    <t>92920</t>
  </si>
  <si>
    <t>92978</t>
  </si>
  <si>
    <t>92921</t>
  </si>
  <si>
    <t>92979</t>
  </si>
  <si>
    <t>92941</t>
  </si>
  <si>
    <t>92973</t>
  </si>
  <si>
    <t>93451</t>
  </si>
  <si>
    <t>93454</t>
  </si>
  <si>
    <t>93455</t>
  </si>
  <si>
    <t>93456</t>
  </si>
  <si>
    <t>93458</t>
  </si>
  <si>
    <t>93459</t>
  </si>
  <si>
    <t>93460</t>
  </si>
  <si>
    <t>93461</t>
  </si>
  <si>
    <t>93462</t>
  </si>
  <si>
    <t>93503</t>
  </si>
  <si>
    <t>75774</t>
  </si>
  <si>
    <t>93567</t>
  </si>
  <si>
    <t>93613</t>
  </si>
  <si>
    <t>93653</t>
  </si>
  <si>
    <t>93654</t>
  </si>
  <si>
    <t>93571</t>
  </si>
  <si>
    <t>93655</t>
  </si>
  <si>
    <t>93662</t>
  </si>
  <si>
    <t>93656</t>
  </si>
  <si>
    <t>93657</t>
  </si>
  <si>
    <t>93799</t>
  </si>
  <si>
    <t>74430</t>
  </si>
  <si>
    <t>75605</t>
  </si>
  <si>
    <t>75625</t>
  </si>
  <si>
    <t>75630</t>
  </si>
  <si>
    <t>75710</t>
  </si>
  <si>
    <t>75716</t>
  </si>
  <si>
    <t>75726</t>
  </si>
  <si>
    <t>75736</t>
  </si>
  <si>
    <t>75741</t>
  </si>
  <si>
    <t>75743</t>
  </si>
  <si>
    <t>75820</t>
  </si>
  <si>
    <t>75822</t>
  </si>
  <si>
    <t>75825</t>
  </si>
  <si>
    <t>75827</t>
  </si>
  <si>
    <t>75831</t>
  </si>
  <si>
    <t>75860</t>
  </si>
  <si>
    <t>75898</t>
  </si>
  <si>
    <t>75957</t>
  </si>
  <si>
    <t>75984</t>
  </si>
  <si>
    <t>75989</t>
  </si>
  <si>
    <t>77001</t>
  </si>
  <si>
    <t>76000</t>
  </si>
  <si>
    <t>77002</t>
  </si>
  <si>
    <t>75894</t>
  </si>
  <si>
    <t>77003</t>
  </si>
  <si>
    <t>76377</t>
  </si>
  <si>
    <t>76937</t>
  </si>
  <si>
    <t>76942</t>
  </si>
  <si>
    <t>99152</t>
  </si>
  <si>
    <t>99153</t>
  </si>
  <si>
    <t>99156</t>
  </si>
  <si>
    <t>99157</t>
  </si>
  <si>
    <t>C9600</t>
  </si>
  <si>
    <t>C9601</t>
  </si>
  <si>
    <t>C9602</t>
  </si>
  <si>
    <t>C9604</t>
  </si>
  <si>
    <t>C9606</t>
  </si>
  <si>
    <t>C9607</t>
  </si>
  <si>
    <t>93922</t>
  </si>
  <si>
    <t>93923</t>
  </si>
  <si>
    <t>93308</t>
  </si>
  <si>
    <t>93320</t>
  </si>
  <si>
    <t>93325</t>
  </si>
  <si>
    <t>93350</t>
  </si>
  <si>
    <t>93312</t>
  </si>
  <si>
    <t>93970</t>
  </si>
  <si>
    <t>93930</t>
  </si>
  <si>
    <t>93880</t>
  </si>
  <si>
    <t>93882</t>
  </si>
  <si>
    <t>93925</t>
  </si>
  <si>
    <t>93926</t>
  </si>
  <si>
    <t>93931</t>
  </si>
  <si>
    <t>93303</t>
  </si>
  <si>
    <t>93971</t>
  </si>
  <si>
    <t>C8923</t>
  </si>
  <si>
    <t>C8924</t>
  </si>
  <si>
    <t>C8925</t>
  </si>
  <si>
    <t>95816</t>
  </si>
  <si>
    <t>95819</t>
  </si>
  <si>
    <t>95940</t>
  </si>
  <si>
    <t>70110</t>
  </si>
  <si>
    <t>70140</t>
  </si>
  <si>
    <t>70150</t>
  </si>
  <si>
    <t>70200</t>
  </si>
  <si>
    <t>70160</t>
  </si>
  <si>
    <t>70210</t>
  </si>
  <si>
    <t>70220</t>
  </si>
  <si>
    <t>70250</t>
  </si>
  <si>
    <t>70260</t>
  </si>
  <si>
    <t>70330</t>
  </si>
  <si>
    <t>70360</t>
  </si>
  <si>
    <t>71048</t>
  </si>
  <si>
    <t>71045</t>
  </si>
  <si>
    <t>71100</t>
  </si>
  <si>
    <t>71101</t>
  </si>
  <si>
    <t>71111</t>
  </si>
  <si>
    <t>71120</t>
  </si>
  <si>
    <t>72020</t>
  </si>
  <si>
    <t>72040</t>
  </si>
  <si>
    <t>72050</t>
  </si>
  <si>
    <t>72052</t>
  </si>
  <si>
    <t>72070</t>
  </si>
  <si>
    <t>72072</t>
  </si>
  <si>
    <t>72074</t>
  </si>
  <si>
    <t>72080</t>
  </si>
  <si>
    <t>72082</t>
  </si>
  <si>
    <t>72100</t>
  </si>
  <si>
    <t>72114</t>
  </si>
  <si>
    <t>72120</t>
  </si>
  <si>
    <t>72170</t>
  </si>
  <si>
    <t>72190</t>
  </si>
  <si>
    <t>72202</t>
  </si>
  <si>
    <t>72220</t>
  </si>
  <si>
    <t>73000</t>
  </si>
  <si>
    <t>73010</t>
  </si>
  <si>
    <t>73020</t>
  </si>
  <si>
    <t>73030</t>
  </si>
  <si>
    <t>73040</t>
  </si>
  <si>
    <t>73060</t>
  </si>
  <si>
    <t>73070</t>
  </si>
  <si>
    <t>73080</t>
  </si>
  <si>
    <t>73090</t>
  </si>
  <si>
    <t>73092</t>
  </si>
  <si>
    <t>73100</t>
  </si>
  <si>
    <t>73110</t>
  </si>
  <si>
    <t>73120</t>
  </si>
  <si>
    <t>73130</t>
  </si>
  <si>
    <t>73140</t>
  </si>
  <si>
    <t>73501</t>
  </si>
  <si>
    <t>73503</t>
  </si>
  <si>
    <t>73502</t>
  </si>
  <si>
    <t>73521</t>
  </si>
  <si>
    <t>73522</t>
  </si>
  <si>
    <t>73523</t>
  </si>
  <si>
    <t>73552</t>
  </si>
  <si>
    <t>73551</t>
  </si>
  <si>
    <t>73560</t>
  </si>
  <si>
    <t>73565</t>
  </si>
  <si>
    <t>73564</t>
  </si>
  <si>
    <t>73580</t>
  </si>
  <si>
    <t>73590</t>
  </si>
  <si>
    <t>73592</t>
  </si>
  <si>
    <t>73600</t>
  </si>
  <si>
    <t>73610</t>
  </si>
  <si>
    <t>73620</t>
  </si>
  <si>
    <t>73630</t>
  </si>
  <si>
    <t>73650</t>
  </si>
  <si>
    <t>73660</t>
  </si>
  <si>
    <t>74018</t>
  </si>
  <si>
    <t>74019</t>
  </si>
  <si>
    <t>74021</t>
  </si>
  <si>
    <t>74022</t>
  </si>
  <si>
    <t>76010</t>
  </si>
  <si>
    <t>74330</t>
  </si>
  <si>
    <t>74220</t>
  </si>
  <si>
    <t>74221</t>
  </si>
  <si>
    <t>74230</t>
  </si>
  <si>
    <t>74240</t>
  </si>
  <si>
    <t>74248</t>
  </si>
  <si>
    <t>74250</t>
  </si>
  <si>
    <t>74270</t>
  </si>
  <si>
    <t>74340</t>
  </si>
  <si>
    <t>74400</t>
  </si>
  <si>
    <t>74455</t>
  </si>
  <si>
    <t>75809</t>
  </si>
  <si>
    <t>77073</t>
  </si>
  <si>
    <t>77075</t>
  </si>
  <si>
    <t>77076</t>
  </si>
  <si>
    <t>96450</t>
  </si>
  <si>
    <t>75870</t>
  </si>
  <si>
    <t>77012</t>
  </si>
  <si>
    <t>0042T</t>
  </si>
  <si>
    <t>70486</t>
  </si>
  <si>
    <t>70488</t>
  </si>
  <si>
    <t>76380</t>
  </si>
  <si>
    <t>70460</t>
  </si>
  <si>
    <t>71275</t>
  </si>
  <si>
    <t>70470</t>
  </si>
  <si>
    <t>70487</t>
  </si>
  <si>
    <t>70490</t>
  </si>
  <si>
    <t>70491</t>
  </si>
  <si>
    <t>70492</t>
  </si>
  <si>
    <t>75635</t>
  </si>
  <si>
    <t>70496</t>
  </si>
  <si>
    <t>74175</t>
  </si>
  <si>
    <t>70498</t>
  </si>
  <si>
    <t>73206</t>
  </si>
  <si>
    <t>73706</t>
  </si>
  <si>
    <t>70480</t>
  </si>
  <si>
    <t>70481</t>
  </si>
  <si>
    <t>70482</t>
  </si>
  <si>
    <t>71250</t>
  </si>
  <si>
    <t>71260</t>
  </si>
  <si>
    <t>71270</t>
  </si>
  <si>
    <t>72125</t>
  </si>
  <si>
    <t>72126</t>
  </si>
  <si>
    <t>72127</t>
  </si>
  <si>
    <t>72128</t>
  </si>
  <si>
    <t>72129</t>
  </si>
  <si>
    <t>72130</t>
  </si>
  <si>
    <t>72131</t>
  </si>
  <si>
    <t>72132</t>
  </si>
  <si>
    <t>72133</t>
  </si>
  <si>
    <t>72192</t>
  </si>
  <si>
    <t>72194</t>
  </si>
  <si>
    <t>73200</t>
  </si>
  <si>
    <t>73201</t>
  </si>
  <si>
    <t>73202</t>
  </si>
  <si>
    <t>73700</t>
  </si>
  <si>
    <t>73701</t>
  </si>
  <si>
    <t>73702</t>
  </si>
  <si>
    <t>74150</t>
  </si>
  <si>
    <t>74170</t>
  </si>
  <si>
    <t>74174</t>
  </si>
  <si>
    <t>74177</t>
  </si>
  <si>
    <t>74178</t>
  </si>
  <si>
    <t>74176</t>
  </si>
  <si>
    <t>93975</t>
  </si>
  <si>
    <t>93976</t>
  </si>
  <si>
    <t>93978</t>
  </si>
  <si>
    <t>93886</t>
  </si>
  <si>
    <t>76536</t>
  </si>
  <si>
    <t>76604</t>
  </si>
  <si>
    <t>76705</t>
  </si>
  <si>
    <t>76770</t>
  </si>
  <si>
    <t>76776</t>
  </si>
  <si>
    <t>76870</t>
  </si>
  <si>
    <t>76800</t>
  </si>
  <si>
    <t>76801</t>
  </si>
  <si>
    <t>76802</t>
  </si>
  <si>
    <t>76817</t>
  </si>
  <si>
    <t>76816</t>
  </si>
  <si>
    <t>76506</t>
  </si>
  <si>
    <t>76830</t>
  </si>
  <si>
    <t>76810</t>
  </si>
  <si>
    <t>76856</t>
  </si>
  <si>
    <t>76857</t>
  </si>
  <si>
    <t>76881</t>
  </si>
  <si>
    <t>76882</t>
  </si>
  <si>
    <t>76872</t>
  </si>
  <si>
    <t>76998</t>
  </si>
  <si>
    <t>G0500</t>
  </si>
  <si>
    <t>A9547</t>
  </si>
  <si>
    <t>A9503</t>
  </si>
  <si>
    <t>A9521</t>
  </si>
  <si>
    <t>A9500</t>
  </si>
  <si>
    <t>A9502</t>
  </si>
  <si>
    <t>A9516</t>
  </si>
  <si>
    <t>A9537</t>
  </si>
  <si>
    <t>A9540</t>
  </si>
  <si>
    <t>A9541</t>
  </si>
  <si>
    <t>A9560</t>
  </si>
  <si>
    <t>A9562</t>
  </si>
  <si>
    <t>A9528</t>
  </si>
  <si>
    <t>78451</t>
  </si>
  <si>
    <t>78452</t>
  </si>
  <si>
    <t>78012</t>
  </si>
  <si>
    <t>78018</t>
  </si>
  <si>
    <t>78070</t>
  </si>
  <si>
    <t>78195</t>
  </si>
  <si>
    <t>78226</t>
  </si>
  <si>
    <t>78227</t>
  </si>
  <si>
    <t>78264</t>
  </si>
  <si>
    <t>78278</t>
  </si>
  <si>
    <t>78300</t>
  </si>
  <si>
    <t>78306</t>
  </si>
  <si>
    <t>78315</t>
  </si>
  <si>
    <t>78472</t>
  </si>
  <si>
    <t>78580</t>
  </si>
  <si>
    <t>78582</t>
  </si>
  <si>
    <t>78597</t>
  </si>
  <si>
    <t>78601</t>
  </si>
  <si>
    <t>78708</t>
  </si>
  <si>
    <t>78707</t>
  </si>
  <si>
    <t>78709</t>
  </si>
  <si>
    <t>78804</t>
  </si>
  <si>
    <t>79005</t>
  </si>
  <si>
    <t>72156</t>
  </si>
  <si>
    <t>72157</t>
  </si>
  <si>
    <t>72158</t>
  </si>
  <si>
    <t>70544</t>
  </si>
  <si>
    <t>70547</t>
  </si>
  <si>
    <t>72141</t>
  </si>
  <si>
    <t>72146</t>
  </si>
  <si>
    <t>72148</t>
  </si>
  <si>
    <t>70551</t>
  </si>
  <si>
    <t>70552</t>
  </si>
  <si>
    <t>70542</t>
  </si>
  <si>
    <t>70543</t>
  </si>
  <si>
    <t>73218</t>
  </si>
  <si>
    <t>73219</t>
  </si>
  <si>
    <t>73222</t>
  </si>
  <si>
    <t>73223</t>
  </si>
  <si>
    <t>72195</t>
  </si>
  <si>
    <t>72197</t>
  </si>
  <si>
    <t>74182</t>
  </si>
  <si>
    <t>74183</t>
  </si>
  <si>
    <t>73719</t>
  </si>
  <si>
    <t>73718</t>
  </si>
  <si>
    <t>73722</t>
  </si>
  <si>
    <t>73723</t>
  </si>
  <si>
    <t>70540</t>
  </si>
  <si>
    <t>72196</t>
  </si>
  <si>
    <t>73220</t>
  </si>
  <si>
    <t>73221</t>
  </si>
  <si>
    <t>73720</t>
  </si>
  <si>
    <t>73721</t>
  </si>
  <si>
    <t>74181</t>
  </si>
  <si>
    <t>72142</t>
  </si>
  <si>
    <t>72147</t>
  </si>
  <si>
    <t>72149</t>
  </si>
  <si>
    <t>A9150</t>
  </si>
  <si>
    <t>J8499</t>
  </si>
  <si>
    <t>J7500</t>
  </si>
  <si>
    <t>0053019188</t>
  </si>
  <si>
    <t>CAPECITABINE 500MG TB</t>
  </si>
  <si>
    <t>J8521</t>
  </si>
  <si>
    <t>J8522</t>
  </si>
  <si>
    <t>J8530</t>
  </si>
  <si>
    <t>J7515</t>
  </si>
  <si>
    <t>J7502</t>
  </si>
  <si>
    <t>J8999</t>
  </si>
  <si>
    <t>J8610</t>
  </si>
  <si>
    <t>J7517</t>
  </si>
  <si>
    <t>J7518</t>
  </si>
  <si>
    <t>J7512</t>
  </si>
  <si>
    <t>J7507</t>
  </si>
  <si>
    <t>J1120</t>
  </si>
  <si>
    <t>J0133</t>
  </si>
  <si>
    <t>J0132</t>
  </si>
  <si>
    <t>P9041</t>
  </si>
  <si>
    <t>P9045</t>
  </si>
  <si>
    <t>J0153</t>
  </si>
  <si>
    <t>P9047</t>
  </si>
  <si>
    <t>J3490</t>
  </si>
  <si>
    <t>J9260</t>
  </si>
  <si>
    <t>J2997</t>
  </si>
  <si>
    <t>J0278</t>
  </si>
  <si>
    <t>0053181517</t>
  </si>
  <si>
    <t>AMINOCAPROIC ACID 5GM IJ</t>
  </si>
  <si>
    <t>S0017</t>
  </si>
  <si>
    <t>J0280</t>
  </si>
  <si>
    <t>J0282</t>
  </si>
  <si>
    <t>J0285</t>
  </si>
  <si>
    <t>J0289</t>
  </si>
  <si>
    <t>J0290</t>
  </si>
  <si>
    <t>J0295</t>
  </si>
  <si>
    <t>J0348</t>
  </si>
  <si>
    <t>J0131</t>
  </si>
  <si>
    <t>J0883</t>
  </si>
  <si>
    <t>J0461</t>
  </si>
  <si>
    <t>J0456</t>
  </si>
  <si>
    <t>J0457</t>
  </si>
  <si>
    <t>J9033</t>
  </si>
  <si>
    <t>J0515</t>
  </si>
  <si>
    <t>J0702</t>
  </si>
  <si>
    <t>J9035</t>
  </si>
  <si>
    <t>J0583</t>
  </si>
  <si>
    <t>J9040</t>
  </si>
  <si>
    <t>J9041</t>
  </si>
  <si>
    <t>J0585</t>
  </si>
  <si>
    <t>90288</t>
  </si>
  <si>
    <t>J1939</t>
  </si>
  <si>
    <t>J0666</t>
  </si>
  <si>
    <t>J0595</t>
  </si>
  <si>
    <t>J0706</t>
  </si>
  <si>
    <t>J0665</t>
  </si>
  <si>
    <t>J0630</t>
  </si>
  <si>
    <t>J0612</t>
  </si>
  <si>
    <t>J0613</t>
  </si>
  <si>
    <t>J9045</t>
  </si>
  <si>
    <t>J0690</t>
  </si>
  <si>
    <t>J0692</t>
  </si>
  <si>
    <t>J0698</t>
  </si>
  <si>
    <t>J0712</t>
  </si>
  <si>
    <t>J0713</t>
  </si>
  <si>
    <t>J7999</t>
  </si>
  <si>
    <t>J0714</t>
  </si>
  <si>
    <t>J0696</t>
  </si>
  <si>
    <t>J1205</t>
  </si>
  <si>
    <t>J3230</t>
  </si>
  <si>
    <t>J9060</t>
  </si>
  <si>
    <t>C9248</t>
  </si>
  <si>
    <t>J0736</t>
  </si>
  <si>
    <t>J0834</t>
  </si>
  <si>
    <t>J9075</t>
  </si>
  <si>
    <t>0053196119</t>
  </si>
  <si>
    <t>SULFAMETH/TRIM PER 5MLIJ</t>
  </si>
  <si>
    <t>0053196127</t>
  </si>
  <si>
    <t>SULFAMETH/TRIM PER10MLIJ</t>
  </si>
  <si>
    <t>S0039</t>
  </si>
  <si>
    <t>J3420</t>
  </si>
  <si>
    <t>J9100</t>
  </si>
  <si>
    <t>J9130</t>
  </si>
  <si>
    <t>J0878</t>
  </si>
  <si>
    <t>J9150</t>
  </si>
  <si>
    <t>J2597</t>
  </si>
  <si>
    <t>J1100</t>
  </si>
  <si>
    <t>J3360</t>
  </si>
  <si>
    <t>J0500</t>
  </si>
  <si>
    <t>J1160</t>
  </si>
  <si>
    <t>J1162</t>
  </si>
  <si>
    <t>J1200</t>
  </si>
  <si>
    <t>90700</t>
  </si>
  <si>
    <t>90715</t>
  </si>
  <si>
    <t>J1250</t>
  </si>
  <si>
    <t>J9171</t>
  </si>
  <si>
    <t>J1265</t>
  </si>
  <si>
    <t>J9000</t>
  </si>
  <si>
    <t>0053202941</t>
  </si>
  <si>
    <t>DOXYCYCLINE 100MG IJ</t>
  </si>
  <si>
    <t>J1650</t>
  </si>
  <si>
    <t>J0885</t>
  </si>
  <si>
    <t>J0171</t>
  </si>
  <si>
    <t>Q5105</t>
  </si>
  <si>
    <t>Q5106</t>
  </si>
  <si>
    <t>J1335</t>
  </si>
  <si>
    <t>J1364</t>
  </si>
  <si>
    <t>J1805</t>
  </si>
  <si>
    <t>J1410</t>
  </si>
  <si>
    <t>J9181</t>
  </si>
  <si>
    <t>J7189</t>
  </si>
  <si>
    <t>0053206454</t>
  </si>
  <si>
    <t>FAMOTIDINE NEO IJ</t>
  </si>
  <si>
    <t>S0028</t>
  </si>
  <si>
    <t>0053206611</t>
  </si>
  <si>
    <t>FAMOTIDINE PER 20MG IJ</t>
  </si>
  <si>
    <t>J1450</t>
  </si>
  <si>
    <t>90656</t>
  </si>
  <si>
    <t>J9190</t>
  </si>
  <si>
    <t>J1451</t>
  </si>
  <si>
    <t>0053207387</t>
  </si>
  <si>
    <t>FOLIC ACID 5MG/1ML IJ</t>
  </si>
  <si>
    <t>Q2009</t>
  </si>
  <si>
    <t>0053207643</t>
  </si>
  <si>
    <t>FUROSEMIDE UPTO 20MG IJ</t>
  </si>
  <si>
    <t>J1940</t>
  </si>
  <si>
    <t>J1652</t>
  </si>
  <si>
    <t>J1453</t>
  </si>
  <si>
    <t>90686</t>
  </si>
  <si>
    <t>J1442</t>
  </si>
  <si>
    <t>J2820</t>
  </si>
  <si>
    <t>J1570</t>
  </si>
  <si>
    <t>J9201</t>
  </si>
  <si>
    <t>J1580</t>
  </si>
  <si>
    <t>J1610</t>
  </si>
  <si>
    <t>J1596</t>
  </si>
  <si>
    <t>90648</t>
  </si>
  <si>
    <t>J1630</t>
  </si>
  <si>
    <t>J1642</t>
  </si>
  <si>
    <t>J1644</t>
  </si>
  <si>
    <t>90371</t>
  </si>
  <si>
    <t>90746</t>
  </si>
  <si>
    <t>90744</t>
  </si>
  <si>
    <t>J3473</t>
  </si>
  <si>
    <t>J0360</t>
  </si>
  <si>
    <t>J1720</t>
  </si>
  <si>
    <t>C9399</t>
  </si>
  <si>
    <t>J1815</t>
  </si>
  <si>
    <t>J3410</t>
  </si>
  <si>
    <t>J9208</t>
  </si>
  <si>
    <t>J0743</t>
  </si>
  <si>
    <t>J1745</t>
  </si>
  <si>
    <t>J9206</t>
  </si>
  <si>
    <t>J1756</t>
  </si>
  <si>
    <t>J1568</t>
  </si>
  <si>
    <t>J1561</t>
  </si>
  <si>
    <t>J3480</t>
  </si>
  <si>
    <t>J1885</t>
  </si>
  <si>
    <t>J0640</t>
  </si>
  <si>
    <t>C9254</t>
  </si>
  <si>
    <t>J1920</t>
  </si>
  <si>
    <t>J0650</t>
  </si>
  <si>
    <t>J1953</t>
  </si>
  <si>
    <t>J1943</t>
  </si>
  <si>
    <t>J1955</t>
  </si>
  <si>
    <t>J1956</t>
  </si>
  <si>
    <t>0053217139</t>
  </si>
  <si>
    <t>LEVOTHYROXINE .1MG IJ</t>
  </si>
  <si>
    <t>0053217279</t>
  </si>
  <si>
    <t>LIDOCAINE 1% 10ML PF IJ</t>
  </si>
  <si>
    <t>0053217329</t>
  </si>
  <si>
    <t>LIDOCAIN IV PER10MGPMXIJ</t>
  </si>
  <si>
    <t>J2001</t>
  </si>
  <si>
    <t>0053217410</t>
  </si>
  <si>
    <t>LIDOCAINE.5%/EPI 50ML IJ</t>
  </si>
  <si>
    <t>0053217485</t>
  </si>
  <si>
    <t>LIDOCAINE 2%/EPI 10ML IJ</t>
  </si>
  <si>
    <t>J2002</t>
  </si>
  <si>
    <t>J2003</t>
  </si>
  <si>
    <t>J2004</t>
  </si>
  <si>
    <t>0053217600</t>
  </si>
  <si>
    <t>LIDOCAINE 1%/EPI 30ML IJ</t>
  </si>
  <si>
    <t>0053217618</t>
  </si>
  <si>
    <t>LIDOCAINE 1%/EPI 20ML IJ</t>
  </si>
  <si>
    <t>0053217626</t>
  </si>
  <si>
    <t>LIDOCAINE 1%/EPI 50ML IJ</t>
  </si>
  <si>
    <t>0053217667</t>
  </si>
  <si>
    <t>LIDOCAIN/EPI 1% 10ML IJ</t>
  </si>
  <si>
    <t>0053217675</t>
  </si>
  <si>
    <t>LIDOCAIN/EPI 1% 10MLPFIJ</t>
  </si>
  <si>
    <t>0053217709</t>
  </si>
  <si>
    <t>LIDOCAINE 1% 30ML PF IJ</t>
  </si>
  <si>
    <t>0053217717</t>
  </si>
  <si>
    <t>LIDOCAINE 1% 20ML PF IJ</t>
  </si>
  <si>
    <t>0053217725</t>
  </si>
  <si>
    <t>LIDOCAINE 1% 50ML MDV IJ</t>
  </si>
  <si>
    <t>0053217741</t>
  </si>
  <si>
    <t>LIDOCAINE 1% 2ML PF IJ</t>
  </si>
  <si>
    <t>0053217758</t>
  </si>
  <si>
    <t>LIDOCAINE 1% 5ML PF IJ</t>
  </si>
  <si>
    <t>0053217766</t>
  </si>
  <si>
    <t>LIDOCAINE 1% 10ML IJ</t>
  </si>
  <si>
    <t>0053217899</t>
  </si>
  <si>
    <t>LIDOCAINE 2% 2ML PF IJ</t>
  </si>
  <si>
    <t>0053217923</t>
  </si>
  <si>
    <t>LIDOCAINE 2% 10ML PF IJ</t>
  </si>
  <si>
    <t>0053217931</t>
  </si>
  <si>
    <t>LIDOCAINE 2% 20ML IJ</t>
  </si>
  <si>
    <t>0053217956</t>
  </si>
  <si>
    <t>LIDOCAINE 2%/EPI 20ML IJ</t>
  </si>
  <si>
    <t>0053217972</t>
  </si>
  <si>
    <t>LIDOCAINE 2%/EPI 50ML IJ</t>
  </si>
  <si>
    <t>0053218038</t>
  </si>
  <si>
    <t>LIDOCAINE 2% 10ML IJ</t>
  </si>
  <si>
    <t>0053218046</t>
  </si>
  <si>
    <t>LIDOCAINE 2% 50ML IJ</t>
  </si>
  <si>
    <t>0053218053</t>
  </si>
  <si>
    <t>LIDOCAINE 2% 5ML PF IJ</t>
  </si>
  <si>
    <t>0053218079</t>
  </si>
  <si>
    <t>LIDOCAINE 4% 5ML PF IJ</t>
  </si>
  <si>
    <t>0053218103</t>
  </si>
  <si>
    <t>LIDOCAINE100MG 5ML SG IJ</t>
  </si>
  <si>
    <t>J2020</t>
  </si>
  <si>
    <t>J2060</t>
  </si>
  <si>
    <t>J3475</t>
  </si>
  <si>
    <t>J2150</t>
  </si>
  <si>
    <t>90707</t>
  </si>
  <si>
    <t>90734</t>
  </si>
  <si>
    <t>J0670</t>
  </si>
  <si>
    <t>J2185</t>
  </si>
  <si>
    <t>J9209</t>
  </si>
  <si>
    <t>J2800</t>
  </si>
  <si>
    <t>J2210</t>
  </si>
  <si>
    <t>J2212</t>
  </si>
  <si>
    <t>J1010</t>
  </si>
  <si>
    <t>J2919</t>
  </si>
  <si>
    <t>0053223152</t>
  </si>
  <si>
    <t>METHYLPRED SS UPTO40MGIJ</t>
  </si>
  <si>
    <t>J2920</t>
  </si>
  <si>
    <t>0053223251</t>
  </si>
  <si>
    <t>METHYLPRE SS UPTO125MGIJ</t>
  </si>
  <si>
    <t>J2930</t>
  </si>
  <si>
    <t>J2765</t>
  </si>
  <si>
    <t>J1836</t>
  </si>
  <si>
    <t>J2248</t>
  </si>
  <si>
    <t>J2260</t>
  </si>
  <si>
    <t>J2250</t>
  </si>
  <si>
    <t>J2265</t>
  </si>
  <si>
    <t>J2290</t>
  </si>
  <si>
    <t>0053226643</t>
  </si>
  <si>
    <t>NAFCILLIN PER 2GM IJ</t>
  </si>
  <si>
    <t>S0032</t>
  </si>
  <si>
    <t>J2916</t>
  </si>
  <si>
    <t>J2300</t>
  </si>
  <si>
    <t>J2310</t>
  </si>
  <si>
    <t>J2710</t>
  </si>
  <si>
    <t>J2404</t>
  </si>
  <si>
    <t>90380</t>
  </si>
  <si>
    <t>90381</t>
  </si>
  <si>
    <t>J2354</t>
  </si>
  <si>
    <t>J2405</t>
  </si>
  <si>
    <t>J2305</t>
  </si>
  <si>
    <t>J2359</t>
  </si>
  <si>
    <t>J2700</t>
  </si>
  <si>
    <t>J9263</t>
  </si>
  <si>
    <t>J2590</t>
  </si>
  <si>
    <t>J9267</t>
  </si>
  <si>
    <t>J2430</t>
  </si>
  <si>
    <t>J2470</t>
  </si>
  <si>
    <t>J2440</t>
  </si>
  <si>
    <t>J9305</t>
  </si>
  <si>
    <t>J9271</t>
  </si>
  <si>
    <t>J0561</t>
  </si>
  <si>
    <t>J2540</t>
  </si>
  <si>
    <t>J9306</t>
  </si>
  <si>
    <t>J2371</t>
  </si>
  <si>
    <t>J1165</t>
  </si>
  <si>
    <t>J3430</t>
  </si>
  <si>
    <t>J2543</t>
  </si>
  <si>
    <t>90670</t>
  </si>
  <si>
    <t>90732</t>
  </si>
  <si>
    <t>90713</t>
  </si>
  <si>
    <t>J2690</t>
  </si>
  <si>
    <t>J0780</t>
  </si>
  <si>
    <t>J2550</t>
  </si>
  <si>
    <t>J1800</t>
  </si>
  <si>
    <t>J2704</t>
  </si>
  <si>
    <t>J2720</t>
  </si>
  <si>
    <t>J7168</t>
  </si>
  <si>
    <t>J3415</t>
  </si>
  <si>
    <t>90675</t>
  </si>
  <si>
    <t>J2785</t>
  </si>
  <si>
    <t>J2783</t>
  </si>
  <si>
    <t>J0248</t>
  </si>
  <si>
    <t>J2791</t>
  </si>
  <si>
    <t>Q5119</t>
  </si>
  <si>
    <t>J9312</t>
  </si>
  <si>
    <t>0053240156</t>
  </si>
  <si>
    <t>RIFAMPIN 600MG IJ</t>
  </si>
  <si>
    <t>0053240271</t>
  </si>
  <si>
    <t>ROMIPLOSTIM PER10MCG IJ</t>
  </si>
  <si>
    <t>J2796</t>
  </si>
  <si>
    <t>J2795</t>
  </si>
  <si>
    <t>A4216</t>
  </si>
  <si>
    <t>J0330</t>
  </si>
  <si>
    <t>J3030</t>
  </si>
  <si>
    <t>J3105</t>
  </si>
  <si>
    <t>J3101</t>
  </si>
  <si>
    <t>J1447</t>
  </si>
  <si>
    <t>J1071</t>
  </si>
  <si>
    <t>J3411</t>
  </si>
  <si>
    <t>J3243</t>
  </si>
  <si>
    <t>J3246</t>
  </si>
  <si>
    <t>J3260</t>
  </si>
  <si>
    <t>J3262</t>
  </si>
  <si>
    <t>J9351</t>
  </si>
  <si>
    <t>J9355</t>
  </si>
  <si>
    <t>J3301</t>
  </si>
  <si>
    <t>J3370</t>
  </si>
  <si>
    <t>J2598</t>
  </si>
  <si>
    <t>J9360</t>
  </si>
  <si>
    <t>J9370</t>
  </si>
  <si>
    <t>J3465</t>
  </si>
  <si>
    <t>J3489</t>
  </si>
  <si>
    <t>J3486</t>
  </si>
  <si>
    <t>J3010</t>
  </si>
  <si>
    <t>0053275921</t>
  </si>
  <si>
    <t>HYDROMORPHONE UPTO4MG IJ</t>
  </si>
  <si>
    <t>J1170</t>
  </si>
  <si>
    <t>J2175</t>
  </si>
  <si>
    <t>S0109</t>
  </si>
  <si>
    <t>J1171</t>
  </si>
  <si>
    <t>J2274</t>
  </si>
  <si>
    <t>J2270</t>
  </si>
  <si>
    <t>0053278933</t>
  </si>
  <si>
    <t>HYDROMORPH PER4MG PCA IJ</t>
  </si>
  <si>
    <t>J2560</t>
  </si>
  <si>
    <t>J2401</t>
  </si>
  <si>
    <t>J3535</t>
  </si>
  <si>
    <t>A9576</t>
  </si>
  <si>
    <t>Q9963</t>
  </si>
  <si>
    <t>Q9968</t>
  </si>
  <si>
    <t>Q9967</t>
  </si>
  <si>
    <t>Q9966</t>
  </si>
  <si>
    <t>Q9957</t>
  </si>
  <si>
    <t>J2805</t>
  </si>
  <si>
    <t>Q4081</t>
  </si>
  <si>
    <t>J7121</t>
  </si>
  <si>
    <t>S5010</t>
  </si>
  <si>
    <t>J7042</t>
  </si>
  <si>
    <t>J7060</t>
  </si>
  <si>
    <t>J7070</t>
  </si>
  <si>
    <t>S5012</t>
  </si>
  <si>
    <t>J7120</t>
  </si>
  <si>
    <t>J7050</t>
  </si>
  <si>
    <t>J7040</t>
  </si>
  <si>
    <t>J7030</t>
  </si>
  <si>
    <t>A4217</t>
  </si>
  <si>
    <t>94664</t>
  </si>
  <si>
    <t>92950</t>
  </si>
  <si>
    <t>99406</t>
  </si>
  <si>
    <t>94660</t>
  </si>
  <si>
    <t>94002</t>
  </si>
  <si>
    <t>94003</t>
  </si>
  <si>
    <t>36600</t>
  </si>
  <si>
    <t>94070</t>
  </si>
  <si>
    <t>94010</t>
  </si>
  <si>
    <t>94060</t>
  </si>
  <si>
    <t>94150</t>
  </si>
  <si>
    <t>94760</t>
  </si>
  <si>
    <t>94200</t>
  </si>
  <si>
    <t>94610</t>
  </si>
  <si>
    <t>94644</t>
  </si>
  <si>
    <t>94645</t>
  </si>
  <si>
    <t>94799</t>
  </si>
  <si>
    <t>94667</t>
  </si>
  <si>
    <t>94668</t>
  </si>
  <si>
    <t>94727</t>
  </si>
  <si>
    <t>94729</t>
  </si>
  <si>
    <t>94761</t>
  </si>
  <si>
    <t>94762</t>
  </si>
  <si>
    <t>G0257</t>
  </si>
  <si>
    <t>90945</t>
  </si>
  <si>
    <t>90935</t>
  </si>
  <si>
    <t>97162</t>
  </si>
  <si>
    <t>97163</t>
  </si>
  <si>
    <t>97112</t>
  </si>
  <si>
    <t>97530</t>
  </si>
  <si>
    <t>97535</t>
  </si>
  <si>
    <t>97542</t>
  </si>
  <si>
    <t>97597</t>
  </si>
  <si>
    <t>97598</t>
  </si>
  <si>
    <t>97602</t>
  </si>
  <si>
    <t>97606</t>
  </si>
  <si>
    <t>97605</t>
  </si>
  <si>
    <t>97165</t>
  </si>
  <si>
    <t>97166</t>
  </si>
  <si>
    <t>97167</t>
  </si>
  <si>
    <t>92523</t>
  </si>
  <si>
    <t>92507</t>
  </si>
  <si>
    <t>92526</t>
  </si>
  <si>
    <t>92522</t>
  </si>
  <si>
    <t>92610</t>
  </si>
  <si>
    <t>92611</t>
  </si>
  <si>
    <t>99281</t>
  </si>
  <si>
    <t>99291</t>
  </si>
  <si>
    <t>99292</t>
  </si>
  <si>
    <t>99151</t>
  </si>
  <si>
    <t>99202</t>
  </si>
  <si>
    <t>99212</t>
  </si>
  <si>
    <t>99203</t>
  </si>
  <si>
    <t>G0378</t>
  </si>
  <si>
    <t>G0009</t>
  </si>
  <si>
    <t>97802</t>
  </si>
  <si>
    <t>97803</t>
  </si>
  <si>
    <t>99204</t>
  </si>
  <si>
    <t>99205</t>
  </si>
  <si>
    <t>99211</t>
  </si>
  <si>
    <t>99214</t>
  </si>
  <si>
    <t>99215</t>
  </si>
  <si>
    <t>83520</t>
  </si>
  <si>
    <t>83986</t>
  </si>
  <si>
    <t>87481</t>
  </si>
  <si>
    <t>87254</t>
  </si>
  <si>
    <t>83516</t>
  </si>
  <si>
    <t>80074</t>
  </si>
  <si>
    <t>84540</t>
  </si>
  <si>
    <t>80285</t>
  </si>
  <si>
    <t>86356</t>
  </si>
  <si>
    <t>86255</t>
  </si>
  <si>
    <t>87631</t>
  </si>
  <si>
    <t>81161</t>
  </si>
  <si>
    <t>87305</t>
  </si>
  <si>
    <t>83018</t>
  </si>
  <si>
    <t>80348</t>
  </si>
  <si>
    <t>81162</t>
  </si>
  <si>
    <t>81206</t>
  </si>
  <si>
    <t>81219</t>
  </si>
  <si>
    <t>81503</t>
  </si>
  <si>
    <t>87260</t>
  </si>
  <si>
    <t>82088</t>
  </si>
  <si>
    <t>80346</t>
  </si>
  <si>
    <t>80345</t>
  </si>
  <si>
    <t>82495</t>
  </si>
  <si>
    <t>80353</t>
  </si>
  <si>
    <t>80349</t>
  </si>
  <si>
    <t>82610</t>
  </si>
  <si>
    <t>82955</t>
  </si>
  <si>
    <t>83519</t>
  </si>
  <si>
    <t>83498</t>
  </si>
  <si>
    <t>82785</t>
  </si>
  <si>
    <t>80358</t>
  </si>
  <si>
    <t>87581</t>
  </si>
  <si>
    <t>87536</t>
  </si>
  <si>
    <t>83992</t>
  </si>
  <si>
    <t>84270</t>
  </si>
  <si>
    <t>85250</t>
  </si>
  <si>
    <t>86022</t>
  </si>
  <si>
    <t>86317</t>
  </si>
  <si>
    <t>86003</t>
  </si>
  <si>
    <t>86036</t>
  </si>
  <si>
    <t>86635</t>
  </si>
  <si>
    <t>86638</t>
  </si>
  <si>
    <t>86790</t>
  </si>
  <si>
    <t>86215</t>
  </si>
  <si>
    <t>86256</t>
  </si>
  <si>
    <t>86617</t>
  </si>
  <si>
    <t>86618</t>
  </si>
  <si>
    <t>86787</t>
  </si>
  <si>
    <t>86696</t>
  </si>
  <si>
    <t>86689</t>
  </si>
  <si>
    <t>86341</t>
  </si>
  <si>
    <t>86335</t>
  </si>
  <si>
    <t>86789</t>
  </si>
  <si>
    <t>86788</t>
  </si>
  <si>
    <t>86645</t>
  </si>
  <si>
    <t>86780</t>
  </si>
  <si>
    <t>86694</t>
  </si>
  <si>
    <t>86695</t>
  </si>
  <si>
    <t>86701</t>
  </si>
  <si>
    <t>86735</t>
  </si>
  <si>
    <t>86757</t>
  </si>
  <si>
    <t>86762</t>
  </si>
  <si>
    <t>86765</t>
  </si>
  <si>
    <t>86778</t>
  </si>
  <si>
    <t>87476</t>
  </si>
  <si>
    <t>87177</t>
  </si>
  <si>
    <t>87273</t>
  </si>
  <si>
    <t>87274</t>
  </si>
  <si>
    <t>87275</t>
  </si>
  <si>
    <t>87276</t>
  </si>
  <si>
    <t>87299</t>
  </si>
  <si>
    <t>87389</t>
  </si>
  <si>
    <t>87496</t>
  </si>
  <si>
    <t>87497</t>
  </si>
  <si>
    <t>87529</t>
  </si>
  <si>
    <t>87799</t>
  </si>
  <si>
    <t>87209</t>
  </si>
  <si>
    <t>87279</t>
  </si>
  <si>
    <t>87280</t>
  </si>
  <si>
    <t>86352</t>
  </si>
  <si>
    <t>87498</t>
  </si>
  <si>
    <t>87533</t>
  </si>
  <si>
    <t>81270</t>
  </si>
  <si>
    <t>86644</t>
  </si>
  <si>
    <t>86665</t>
  </si>
  <si>
    <t>86663</t>
  </si>
  <si>
    <t>86664</t>
  </si>
  <si>
    <t>81479</t>
  </si>
  <si>
    <t>87662</t>
  </si>
  <si>
    <t>80175</t>
  </si>
  <si>
    <t>80177</t>
  </si>
  <si>
    <t>80197</t>
  </si>
  <si>
    <t>80354</t>
  </si>
  <si>
    <t>80365</t>
  </si>
  <si>
    <t>80324</t>
  </si>
  <si>
    <t>80150</t>
  </si>
  <si>
    <t>80158</t>
  </si>
  <si>
    <t>80178</t>
  </si>
  <si>
    <t>80361</t>
  </si>
  <si>
    <t>80184</t>
  </si>
  <si>
    <t>85244</t>
  </si>
  <si>
    <t>85240</t>
  </si>
  <si>
    <t>85245</t>
  </si>
  <si>
    <t>85247</t>
  </si>
  <si>
    <t>85370</t>
  </si>
  <si>
    <t>S3620</t>
  </si>
  <si>
    <t>88291</t>
  </si>
  <si>
    <t>81220</t>
  </si>
  <si>
    <t>81229</t>
  </si>
  <si>
    <t>88230</t>
  </si>
  <si>
    <t>88233</t>
  </si>
  <si>
    <t>88280</t>
  </si>
  <si>
    <t>88285</t>
  </si>
  <si>
    <t>88261</t>
  </si>
  <si>
    <t>88346</t>
  </si>
  <si>
    <t>88348</t>
  </si>
  <si>
    <t>87556</t>
  </si>
  <si>
    <t>82397</t>
  </si>
  <si>
    <t>88350</t>
  </si>
  <si>
    <t>86769</t>
  </si>
  <si>
    <t>86682</t>
  </si>
  <si>
    <t>80151</t>
  </si>
  <si>
    <t>80183</t>
  </si>
  <si>
    <t>87593</t>
  </si>
  <si>
    <t>86015</t>
  </si>
  <si>
    <t>81596</t>
  </si>
  <si>
    <t>82024</t>
  </si>
  <si>
    <t>82043</t>
  </si>
  <si>
    <t>80320</t>
  </si>
  <si>
    <t>82085</t>
  </si>
  <si>
    <t>82108</t>
  </si>
  <si>
    <t>83921</t>
  </si>
  <si>
    <t>82175</t>
  </si>
  <si>
    <t>82164</t>
  </si>
  <si>
    <t>82232</t>
  </si>
  <si>
    <t>82239</t>
  </si>
  <si>
    <t>82308</t>
  </si>
  <si>
    <t>82340</t>
  </si>
  <si>
    <t>82365</t>
  </si>
  <si>
    <t>82384</t>
  </si>
  <si>
    <t>82390</t>
  </si>
  <si>
    <t>86316</t>
  </si>
  <si>
    <t>82436</t>
  </si>
  <si>
    <t>82525</t>
  </si>
  <si>
    <t>82530</t>
  </si>
  <si>
    <t>82627</t>
  </si>
  <si>
    <t>82626</t>
  </si>
  <si>
    <t>82595</t>
  </si>
  <si>
    <t>82653</t>
  </si>
  <si>
    <t>82668</t>
  </si>
  <si>
    <t>82670</t>
  </si>
  <si>
    <t>82693</t>
  </si>
  <si>
    <t>82705</t>
  </si>
  <si>
    <t>85732</t>
  </si>
  <si>
    <t>82747</t>
  </si>
  <si>
    <t>86334</t>
  </si>
  <si>
    <t>82787</t>
  </si>
  <si>
    <t>87329</t>
  </si>
  <si>
    <t>82941</t>
  </si>
  <si>
    <t>82943</t>
  </si>
  <si>
    <t>82977</t>
  </si>
  <si>
    <t>82985</t>
  </si>
  <si>
    <t>83001</t>
  </si>
  <si>
    <t>83002</t>
  </si>
  <si>
    <t>83003</t>
  </si>
  <si>
    <t>83010</t>
  </si>
  <si>
    <t>83020</t>
  </si>
  <si>
    <t>83090</t>
  </si>
  <si>
    <t>83150</t>
  </si>
  <si>
    <t>83497</t>
  </si>
  <si>
    <t>87385</t>
  </si>
  <si>
    <t>86258</t>
  </si>
  <si>
    <t>86381</t>
  </si>
  <si>
    <t>83525</t>
  </si>
  <si>
    <t>84206</t>
  </si>
  <si>
    <t>84480</t>
  </si>
  <si>
    <t>84305</t>
  </si>
  <si>
    <t>86364</t>
  </si>
  <si>
    <t>86200</t>
  </si>
  <si>
    <t>83631</t>
  </si>
  <si>
    <t>83655</t>
  </si>
  <si>
    <t>83695</t>
  </si>
  <si>
    <t>83825</t>
  </si>
  <si>
    <t>83835</t>
  </si>
  <si>
    <t>83873</t>
  </si>
  <si>
    <t>83521</t>
  </si>
  <si>
    <t>83916</t>
  </si>
  <si>
    <t>87522</t>
  </si>
  <si>
    <t>83945</t>
  </si>
  <si>
    <t>84681</t>
  </si>
  <si>
    <t>83993</t>
  </si>
  <si>
    <t>80180</t>
  </si>
  <si>
    <t>84080</t>
  </si>
  <si>
    <t>84120</t>
  </si>
  <si>
    <t>84144</t>
  </si>
  <si>
    <t>84146</t>
  </si>
  <si>
    <t>84165</t>
  </si>
  <si>
    <t>84166</t>
  </si>
  <si>
    <t>84154</t>
  </si>
  <si>
    <t>84207</t>
  </si>
  <si>
    <t>84479</t>
  </si>
  <si>
    <t>84260</t>
  </si>
  <si>
    <t>84378</t>
  </si>
  <si>
    <t>84403</t>
  </si>
  <si>
    <t>84402</t>
  </si>
  <si>
    <t>84425</t>
  </si>
  <si>
    <t>84432</t>
  </si>
  <si>
    <t>84445</t>
  </si>
  <si>
    <t>84238</t>
  </si>
  <si>
    <t>84585</t>
  </si>
  <si>
    <t>84588</t>
  </si>
  <si>
    <t>84590</t>
  </si>
  <si>
    <t>82652</t>
  </si>
  <si>
    <t>84630</t>
  </si>
  <si>
    <t>86300</t>
  </si>
  <si>
    <t>84482</t>
  </si>
  <si>
    <t>85041</t>
  </si>
  <si>
    <t>85210</t>
  </si>
  <si>
    <t>85220</t>
  </si>
  <si>
    <t>85230</t>
  </si>
  <si>
    <t>85260</t>
  </si>
  <si>
    <t>85301</t>
  </si>
  <si>
    <t>85302</t>
  </si>
  <si>
    <t>85303</t>
  </si>
  <si>
    <t>85307</t>
  </si>
  <si>
    <t>85306</t>
  </si>
  <si>
    <t>85300</t>
  </si>
  <si>
    <t>85362</t>
  </si>
  <si>
    <t>86340</t>
  </si>
  <si>
    <t>85549</t>
  </si>
  <si>
    <t>86376</t>
  </si>
  <si>
    <t>85598</t>
  </si>
  <si>
    <t>85613</t>
  </si>
  <si>
    <t>85660</t>
  </si>
  <si>
    <t>86157</t>
  </si>
  <si>
    <t>86337</t>
  </si>
  <si>
    <t>86038</t>
  </si>
  <si>
    <t>86060</t>
  </si>
  <si>
    <t>82103</t>
  </si>
  <si>
    <t>86146</t>
  </si>
  <si>
    <t>86148</t>
  </si>
  <si>
    <t>86162</t>
  </si>
  <si>
    <t>86641</t>
  </si>
  <si>
    <t>86800</t>
  </si>
  <si>
    <t>86698</t>
  </si>
  <si>
    <t>86612</t>
  </si>
  <si>
    <t>86225</t>
  </si>
  <si>
    <t>86235</t>
  </si>
  <si>
    <t>86747</t>
  </si>
  <si>
    <t>86708</t>
  </si>
  <si>
    <t>87350</t>
  </si>
  <si>
    <t>86705</t>
  </si>
  <si>
    <t>86707</t>
  </si>
  <si>
    <t>86692</t>
  </si>
  <si>
    <t>86709</t>
  </si>
  <si>
    <t>86803</t>
  </si>
  <si>
    <t>86331</t>
  </si>
  <si>
    <t>86336</t>
  </si>
  <si>
    <t>86360</t>
  </si>
  <si>
    <t>86141</t>
  </si>
  <si>
    <t>86147</t>
  </si>
  <si>
    <t>86431</t>
  </si>
  <si>
    <t>86609</t>
  </si>
  <si>
    <t>86602</t>
  </si>
  <si>
    <t>86606</t>
  </si>
  <si>
    <t>86611</t>
  </si>
  <si>
    <t>86622</t>
  </si>
  <si>
    <t>86632</t>
  </si>
  <si>
    <t>86658</t>
  </si>
  <si>
    <t>86671</t>
  </si>
  <si>
    <t>86704</t>
  </si>
  <si>
    <t>86738</t>
  </si>
  <si>
    <t>86753</t>
  </si>
  <si>
    <t>86777</t>
  </si>
  <si>
    <t>86304</t>
  </si>
  <si>
    <t>86615</t>
  </si>
  <si>
    <t>87110</t>
  </si>
  <si>
    <t>87109</t>
  </si>
  <si>
    <t>87140</t>
  </si>
  <si>
    <t>85810</t>
  </si>
  <si>
    <t>87252</t>
  </si>
  <si>
    <t>87255</t>
  </si>
  <si>
    <t>87278</t>
  </si>
  <si>
    <t>87281</t>
  </si>
  <si>
    <t>87338</t>
  </si>
  <si>
    <t>87337</t>
  </si>
  <si>
    <t>87486</t>
  </si>
  <si>
    <t>87507</t>
  </si>
  <si>
    <t>87902</t>
  </si>
  <si>
    <t>87901</t>
  </si>
  <si>
    <t>86161</t>
  </si>
  <si>
    <t>84110</t>
  </si>
  <si>
    <t>84244</t>
  </si>
  <si>
    <t>85397</t>
  </si>
  <si>
    <t>86480</t>
  </si>
  <si>
    <t>87517</t>
  </si>
  <si>
    <t>86231</t>
  </si>
  <si>
    <t>86720</t>
  </si>
  <si>
    <t>81374</t>
  </si>
  <si>
    <t>81241</t>
  </si>
  <si>
    <t>81240</t>
  </si>
  <si>
    <t>81291</t>
  </si>
  <si>
    <t>81256</t>
  </si>
  <si>
    <t>80299</t>
  </si>
  <si>
    <t>81210</t>
  </si>
  <si>
    <t>81235</t>
  </si>
  <si>
    <t>81272</t>
  </si>
  <si>
    <t>81276</t>
  </si>
  <si>
    <t>81287</t>
  </si>
  <si>
    <t>81288</t>
  </si>
  <si>
    <t>81301</t>
  </si>
  <si>
    <t>81305</t>
  </si>
  <si>
    <t>81310</t>
  </si>
  <si>
    <t>81311</t>
  </si>
  <si>
    <t>81342</t>
  </si>
  <si>
    <t>88184</t>
  </si>
  <si>
    <t>88185</t>
  </si>
  <si>
    <t>88187</t>
  </si>
  <si>
    <t>88189</t>
  </si>
  <si>
    <t>88237</t>
  </si>
  <si>
    <t>88361</t>
  </si>
  <si>
    <t>88364</t>
  </si>
  <si>
    <t>88323</t>
  </si>
  <si>
    <t>88341</t>
  </si>
  <si>
    <t>88365</t>
  </si>
  <si>
    <t>81450</t>
  </si>
  <si>
    <t>88360</t>
  </si>
  <si>
    <t>88374</t>
  </si>
  <si>
    <t>88377</t>
  </si>
  <si>
    <t>C1726</t>
  </si>
  <si>
    <t>C2627</t>
  </si>
  <si>
    <t>C1751</t>
  </si>
  <si>
    <t>C1788</t>
  </si>
  <si>
    <t>C2615</t>
  </si>
  <si>
    <t>C1758</t>
  </si>
  <si>
    <t>C1757</t>
  </si>
  <si>
    <t>C1732</t>
  </si>
  <si>
    <t>C1893</t>
  </si>
  <si>
    <t>C2628</t>
  </si>
  <si>
    <t>C2623</t>
  </si>
  <si>
    <t>C1714</t>
  </si>
  <si>
    <t>C2625</t>
  </si>
  <si>
    <t>C1769</t>
  </si>
  <si>
    <t>C1883</t>
  </si>
  <si>
    <t>L8613</t>
  </si>
  <si>
    <t>L1832</t>
  </si>
  <si>
    <t>L8630</t>
  </si>
  <si>
    <t>L8641</t>
  </si>
  <si>
    <t>L8600</t>
  </si>
  <si>
    <t>C1765</t>
  </si>
  <si>
    <t>C1884</t>
  </si>
  <si>
    <t>C1760</t>
  </si>
  <si>
    <t>A6010</t>
  </si>
  <si>
    <t>C1789</t>
  </si>
  <si>
    <t>L8606</t>
  </si>
  <si>
    <t>C1759</t>
  </si>
  <si>
    <t>C1750</t>
  </si>
  <si>
    <t>C1753</t>
  </si>
  <si>
    <t>C1778</t>
  </si>
  <si>
    <t>C1739</t>
  </si>
  <si>
    <t>C2618</t>
  </si>
  <si>
    <t>C1733</t>
  </si>
  <si>
    <t>Q4106</t>
  </si>
  <si>
    <t>C1880</t>
  </si>
  <si>
    <t>C1892</t>
  </si>
  <si>
    <t>Facility to review</t>
  </si>
  <si>
    <t>COVID Drug - No Charge</t>
  </si>
  <si>
    <t>UCI Health - Fountain Valley Regional Medical Center</t>
  </si>
  <si>
    <t>Hospital Name: UCI Health- Fountain Valley Regional Medical Center</t>
  </si>
  <si>
    <t>2023 Gross Charges</t>
  </si>
  <si>
    <t>2024 Gross Charges</t>
  </si>
  <si>
    <t>Percentage Increase</t>
  </si>
  <si>
    <t>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</si>
</sst>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1" x14ac:knownFonts="1">
    <font>
      <sz val="11"/>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sz val="11"/>
      <color theme="1"/>
      <name val="Times New Roman"/>
      <family val="1"/>
    </font>
    <font>
      <b/>
      <sz val="11"/>
      <color theme="1"/>
      <name val="Times New Roman"/>
      <family val="1"/>
    </font>
    <font>
      <b/>
      <sz val="10"/>
      <color theme="1"/>
      <name val="Times New Roman"/>
      <family val="1"/>
    </font>
    <font>
      <sz val="10"/>
      <color theme="1"/>
      <name val="Times New Roman"/>
      <family val="1"/>
    </font>
    <font>
      <b/>
      <sz val="10"/>
      <color indexed="9"/>
      <name val="Times New Roman"/>
      <family val="1"/>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62">
    <xf numFmtId="0" fontId="0" fillId="0" borderId="0" xfId="0"/>
    <xf numFmtId="0" fontId="1" fillId="0" borderId="0" xfId="0" applyFont="1" applyAlignment="1">
      <alignment vertical="top"/>
    </xf>
    <xf numFmtId="0" fontId="1" fillId="0" borderId="0" xfId="0" applyFont="1" applyAlignment="1">
      <alignment horizontal="center" vertical="top"/>
    </xf>
    <xf numFmtId="0" fontId="2" fillId="4" borderId="2" xfId="0" applyFont="1" applyFill="1" applyBorder="1" applyAlignment="1">
      <alignment vertical="top"/>
    </xf>
    <xf numFmtId="0" fontId="1" fillId="0" borderId="2" xfId="0" applyFont="1" applyBorder="1" applyAlignment="1">
      <alignment horizontal="left" vertical="top" indent="1"/>
    </xf>
    <xf numFmtId="0" fontId="1" fillId="0" borderId="2" xfId="0" applyFont="1" applyBorder="1" applyAlignment="1">
      <alignment vertical="top"/>
    </xf>
    <xf numFmtId="0" fontId="2" fillId="4" borderId="3" xfId="0" applyFont="1" applyFill="1" applyBorder="1" applyAlignment="1">
      <alignment horizontal="center" vertical="top"/>
    </xf>
    <xf numFmtId="0" fontId="1" fillId="0" borderId="3" xfId="0" applyFont="1" applyBorder="1" applyAlignment="1">
      <alignment horizontal="center" vertical="top"/>
    </xf>
    <xf numFmtId="0" fontId="2" fillId="0" borderId="5" xfId="0" applyFont="1" applyBorder="1" applyAlignment="1">
      <alignment horizontal="left" vertical="top" indent="1"/>
    </xf>
    <xf numFmtId="0" fontId="1" fillId="0" borderId="6" xfId="0" applyFont="1" applyBorder="1" applyAlignment="1">
      <alignment horizontal="center" vertical="top"/>
    </xf>
    <xf numFmtId="0" fontId="2" fillId="5" borderId="0" xfId="0" applyFont="1" applyFill="1" applyAlignment="1">
      <alignment vertical="top"/>
    </xf>
    <xf numFmtId="0" fontId="1" fillId="5" borderId="0" xfId="0" applyFont="1" applyFill="1" applyAlignment="1">
      <alignment horizontal="center" vertical="top"/>
    </xf>
    <xf numFmtId="0" fontId="1" fillId="5" borderId="0" xfId="0" applyFont="1" applyFill="1" applyAlignment="1">
      <alignment vertical="top"/>
    </xf>
    <xf numFmtId="165" fontId="0" fillId="0" borderId="0" xfId="0" applyNumberFormat="1" applyAlignment="1">
      <alignment horizontal="right" vertical="top"/>
    </xf>
    <xf numFmtId="0" fontId="0" fillId="0" borderId="0" xfId="0" applyAlignment="1">
      <alignment horizontal="center"/>
    </xf>
    <xf numFmtId="0" fontId="7" fillId="3" borderId="0" xfId="0" applyFont="1" applyFill="1" applyAlignment="1">
      <alignment vertical="top"/>
    </xf>
    <xf numFmtId="0" fontId="9" fillId="3" borderId="0" xfId="0" applyFont="1" applyFill="1" applyAlignment="1">
      <alignment vertical="top"/>
    </xf>
    <xf numFmtId="0" fontId="9" fillId="3" borderId="0" xfId="0" applyFont="1" applyFill="1" applyAlignment="1">
      <alignment horizontal="center" vertical="top"/>
    </xf>
    <xf numFmtId="0" fontId="9" fillId="3" borderId="0" xfId="0" applyFont="1" applyFill="1" applyAlignment="1" applyProtection="1">
      <alignment horizontal="center" vertical="top"/>
      <protection locked="0"/>
    </xf>
    <xf numFmtId="164" fontId="9" fillId="3" borderId="0" xfId="0" applyNumberFormat="1" applyFont="1" applyFill="1" applyAlignment="1">
      <alignment horizontal="right" vertical="top"/>
    </xf>
    <xf numFmtId="0" fontId="10" fillId="2" borderId="0" xfId="0" applyFont="1" applyFill="1" applyAlignment="1">
      <alignment horizontal="center" vertical="top"/>
    </xf>
    <xf numFmtId="0" fontId="10" fillId="2" borderId="0" xfId="0" applyFont="1" applyFill="1" applyAlignment="1">
      <alignment vertical="top"/>
    </xf>
    <xf numFmtId="164" fontId="10" fillId="2" borderId="0" xfId="0" applyNumberFormat="1" applyFont="1" applyFill="1" applyAlignment="1">
      <alignment horizontal="right" vertical="top"/>
    </xf>
    <xf numFmtId="0" fontId="10" fillId="2" borderId="0" xfId="0" applyFont="1" applyFill="1" applyAlignment="1" applyProtection="1">
      <alignment horizontal="center" vertical="top"/>
      <protection locked="0"/>
    </xf>
    <xf numFmtId="0" fontId="9" fillId="0" borderId="0" xfId="0" applyFont="1" applyAlignment="1">
      <alignment horizontal="center" vertical="top"/>
    </xf>
    <xf numFmtId="0" fontId="9" fillId="0" borderId="0" xfId="0" applyFont="1" applyAlignment="1">
      <alignment vertical="top"/>
    </xf>
    <xf numFmtId="164" fontId="9" fillId="0" borderId="0" xfId="0" applyNumberFormat="1" applyFont="1" applyAlignment="1">
      <alignment horizontal="right" vertical="top"/>
    </xf>
    <xf numFmtId="0" fontId="9" fillId="0" borderId="0" xfId="0" applyFont="1" applyAlignment="1" applyProtection="1">
      <alignment horizontal="center" vertical="top"/>
      <protection locked="0"/>
    </xf>
    <xf numFmtId="164" fontId="1" fillId="5" borderId="0" xfId="0" applyNumberFormat="1" applyFont="1" applyFill="1" applyAlignment="1">
      <alignment horizontal="center" vertical="top"/>
    </xf>
    <xf numFmtId="164" fontId="2" fillId="4" borderId="4" xfId="0" applyNumberFormat="1" applyFont="1" applyFill="1" applyBorder="1" applyAlignment="1">
      <alignment horizontal="center" vertical="top"/>
    </xf>
    <xf numFmtId="164" fontId="1" fillId="0" borderId="4" xfId="0" applyNumberFormat="1" applyFont="1" applyBorder="1" applyAlignment="1">
      <alignment horizontal="center" vertical="top"/>
    </xf>
    <xf numFmtId="3" fontId="2" fillId="0" borderId="7" xfId="0" applyNumberFormat="1" applyFont="1" applyBorder="1" applyAlignment="1">
      <alignment horizontal="center" vertical="top"/>
    </xf>
    <xf numFmtId="164" fontId="1" fillId="0" borderId="0" xfId="0" applyNumberFormat="1" applyFont="1" applyAlignment="1">
      <alignment horizontal="center" vertical="top"/>
    </xf>
    <xf numFmtId="0" fontId="7" fillId="0" borderId="0" xfId="0" applyFont="1" applyAlignment="1">
      <alignment vertical="top"/>
    </xf>
    <xf numFmtId="0" fontId="6" fillId="0" borderId="0" xfId="0" applyFont="1" applyAlignment="1">
      <alignment horizontal="center"/>
    </xf>
    <xf numFmtId="0" fontId="6" fillId="0" borderId="0" xfId="0" applyFont="1"/>
    <xf numFmtId="0" fontId="6" fillId="0" borderId="0" xfId="0" applyFont="1" applyAlignment="1">
      <alignment wrapText="1"/>
    </xf>
    <xf numFmtId="3" fontId="9" fillId="0" borderId="0" xfId="0" applyNumberFormat="1" applyFont="1" applyAlignment="1">
      <alignment horizontal="center" vertical="top"/>
    </xf>
    <xf numFmtId="165" fontId="9" fillId="0" borderId="0" xfId="0" applyNumberFormat="1" applyFont="1" applyAlignment="1">
      <alignment horizontal="center" vertical="top"/>
    </xf>
    <xf numFmtId="166" fontId="9" fillId="0" borderId="0" xfId="0" applyNumberFormat="1" applyFont="1" applyAlignment="1">
      <alignment horizontal="center" vertical="top"/>
    </xf>
    <xf numFmtId="3" fontId="9" fillId="0" borderId="0" xfId="0" applyNumberFormat="1" applyFont="1" applyAlignment="1">
      <alignment horizontal="right" vertical="top"/>
    </xf>
    <xf numFmtId="165" fontId="9" fillId="0" borderId="0" xfId="0" applyNumberFormat="1" applyFont="1" applyAlignment="1">
      <alignment horizontal="right" vertical="top"/>
    </xf>
    <xf numFmtId="166" fontId="9" fillId="0" borderId="0" xfId="0" applyNumberFormat="1" applyFont="1" applyAlignment="1">
      <alignment horizontal="right" vertical="top"/>
    </xf>
    <xf numFmtId="0" fontId="10" fillId="2" borderId="0" xfId="0" applyFont="1" applyFill="1" applyAlignment="1">
      <alignment horizontal="center" vertical="top" wrapText="1"/>
    </xf>
    <xf numFmtId="0" fontId="10" fillId="2" borderId="0" xfId="0" applyFont="1" applyFill="1" applyAlignment="1">
      <alignment vertical="top" wrapText="1"/>
    </xf>
    <xf numFmtId="3" fontId="10" fillId="2" borderId="0" xfId="0" applyNumberFormat="1" applyFont="1" applyFill="1" applyAlignment="1">
      <alignment horizontal="right" vertical="top" wrapText="1"/>
    </xf>
    <xf numFmtId="165" fontId="10" fillId="2" borderId="0" xfId="0" applyNumberFormat="1" applyFont="1" applyFill="1" applyAlignment="1">
      <alignment horizontal="right" vertical="top" wrapText="1"/>
    </xf>
    <xf numFmtId="166" fontId="10" fillId="2" borderId="0" xfId="0" applyNumberFormat="1" applyFont="1" applyFill="1" applyAlignment="1">
      <alignment horizontal="right" vertical="top" wrapText="1"/>
    </xf>
    <xf numFmtId="0" fontId="9" fillId="0" borderId="0" xfId="0" applyFont="1" applyAlignment="1">
      <alignment horizontal="left" vertical="top"/>
    </xf>
    <xf numFmtId="0" fontId="8" fillId="0" borderId="0" xfId="0" applyFont="1" applyAlignment="1">
      <alignment horizontal="left" vertical="top"/>
    </xf>
    <xf numFmtId="0" fontId="9" fillId="0" borderId="0" xfId="0" quotePrefix="1" applyFont="1" applyAlignment="1">
      <alignment horizontal="left" vertical="top"/>
    </xf>
    <xf numFmtId="0" fontId="4" fillId="5" borderId="12" xfId="0" applyFont="1" applyFill="1" applyBorder="1" applyAlignment="1">
      <alignment vertical="top"/>
    </xf>
    <xf numFmtId="0" fontId="5" fillId="5" borderId="9" xfId="0" applyFont="1" applyFill="1" applyBorder="1" applyAlignment="1">
      <alignment vertical="top"/>
    </xf>
    <xf numFmtId="0" fontId="5" fillId="5" borderId="15" xfId="0" applyFont="1" applyFill="1" applyBorder="1" applyAlignment="1">
      <alignment vertical="top"/>
    </xf>
    <xf numFmtId="0" fontId="1" fillId="5" borderId="1" xfId="0" applyFont="1" applyFill="1" applyBorder="1" applyAlignment="1">
      <alignment vertical="top" wrapText="1"/>
    </xf>
    <xf numFmtId="0" fontId="0" fillId="5" borderId="1" xfId="0" applyFill="1" applyBorder="1" applyAlignment="1">
      <alignment vertical="top" wrapText="1"/>
    </xf>
    <xf numFmtId="0" fontId="3"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4" fillId="5" borderId="11" xfId="0" applyFont="1" applyFill="1" applyBorder="1" applyAlignment="1">
      <alignment vertical="top"/>
    </xf>
    <xf numFmtId="0" fontId="5" fillId="5" borderId="0" xfId="0" applyFont="1" applyFill="1" applyAlignment="1">
      <alignment vertical="top"/>
    </xf>
    <xf numFmtId="0" fontId="5" fillId="5" borderId="14"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0B416-7B0E-4915-8728-AEF4716C9AA0}">
  <sheetPr>
    <pageSetUpPr fitToPage="1"/>
  </sheetPr>
  <dimension ref="A1:G8411"/>
  <sheetViews>
    <sheetView tabSelected="1" workbookViewId="0">
      <pane ySplit="4" topLeftCell="A5" activePane="bottomLeft" state="frozen"/>
      <selection pane="bottomLeft" activeCell="B19" sqref="B19"/>
    </sheetView>
  </sheetViews>
  <sheetFormatPr defaultRowHeight="15" x14ac:dyDescent="0.25"/>
  <cols>
    <col min="1" max="1" width="9" style="24" bestFit="1" customWidth="1"/>
    <col min="2" max="2" width="18.28515625" style="24" bestFit="1" customWidth="1"/>
    <col min="3" max="3" width="35.42578125" style="25" bestFit="1" customWidth="1"/>
    <col min="4" max="4" width="22.5703125" style="25" bestFit="1" customWidth="1"/>
    <col min="5" max="5" width="17.5703125" style="26" bestFit="1" customWidth="1"/>
    <col min="6" max="6" width="7.7109375" style="24" bestFit="1" customWidth="1"/>
    <col min="7" max="7" width="22.42578125" style="27" bestFit="1" customWidth="1"/>
  </cols>
  <sheetData>
    <row r="1" spans="1:7" s="14" customFormat="1" ht="15" customHeight="1" x14ac:dyDescent="0.25">
      <c r="A1" s="15" t="s">
        <v>22611</v>
      </c>
      <c r="B1" s="16"/>
      <c r="C1" s="16"/>
      <c r="D1" s="16"/>
      <c r="E1" s="16"/>
      <c r="F1" s="17"/>
      <c r="G1" s="18"/>
    </row>
    <row r="2" spans="1:7" x14ac:dyDescent="0.25">
      <c r="A2" s="15" t="s">
        <v>21098</v>
      </c>
      <c r="B2" s="16"/>
      <c r="C2" s="16"/>
      <c r="D2" s="16"/>
      <c r="E2" s="16"/>
      <c r="F2" s="17"/>
      <c r="G2" s="18"/>
    </row>
    <row r="3" spans="1:7" x14ac:dyDescent="0.25">
      <c r="A3" s="17"/>
      <c r="B3" s="17"/>
      <c r="C3" s="16"/>
      <c r="D3" s="16"/>
      <c r="E3" s="19"/>
      <c r="F3" s="17"/>
      <c r="G3" s="18"/>
    </row>
    <row r="4" spans="1:7" x14ac:dyDescent="0.25">
      <c r="A4" s="20" t="s">
        <v>0</v>
      </c>
      <c r="B4" s="20" t="s">
        <v>1</v>
      </c>
      <c r="C4" s="21" t="s">
        <v>2</v>
      </c>
      <c r="D4" s="21" t="s">
        <v>3</v>
      </c>
      <c r="E4" s="22" t="s">
        <v>4</v>
      </c>
      <c r="F4" s="20" t="s">
        <v>5</v>
      </c>
      <c r="G4" s="23" t="s">
        <v>6</v>
      </c>
    </row>
    <row r="5" spans="1:7" x14ac:dyDescent="0.25">
      <c r="A5" s="24" t="s">
        <v>7</v>
      </c>
      <c r="B5" s="24" t="s">
        <v>8</v>
      </c>
      <c r="C5" s="25" t="s">
        <v>9</v>
      </c>
      <c r="D5" s="25" t="s">
        <v>10</v>
      </c>
      <c r="E5" s="26">
        <v>8210</v>
      </c>
    </row>
    <row r="6" spans="1:7" x14ac:dyDescent="0.25">
      <c r="A6" s="24" t="s">
        <v>7</v>
      </c>
      <c r="B6" s="24" t="s">
        <v>11</v>
      </c>
      <c r="C6" s="25" t="s">
        <v>12</v>
      </c>
      <c r="D6" s="25" t="s">
        <v>13</v>
      </c>
      <c r="E6" s="26">
        <v>7464</v>
      </c>
    </row>
    <row r="7" spans="1:7" x14ac:dyDescent="0.25">
      <c r="A7" s="24" t="s">
        <v>7</v>
      </c>
      <c r="B7" s="24" t="s">
        <v>14</v>
      </c>
      <c r="C7" s="25" t="s">
        <v>15</v>
      </c>
      <c r="D7" s="25" t="s">
        <v>16</v>
      </c>
      <c r="E7" s="26">
        <v>19578</v>
      </c>
    </row>
    <row r="8" spans="1:7" x14ac:dyDescent="0.25">
      <c r="A8" s="24" t="s">
        <v>7</v>
      </c>
      <c r="B8" s="24" t="s">
        <v>17</v>
      </c>
      <c r="C8" s="25" t="s">
        <v>18</v>
      </c>
      <c r="D8" s="25" t="s">
        <v>19</v>
      </c>
      <c r="E8" s="26">
        <v>7464</v>
      </c>
    </row>
    <row r="9" spans="1:7" x14ac:dyDescent="0.25">
      <c r="A9" s="24" t="s">
        <v>7</v>
      </c>
      <c r="B9" s="24" t="s">
        <v>20</v>
      </c>
      <c r="C9" s="25" t="s">
        <v>21</v>
      </c>
      <c r="D9" s="25" t="s">
        <v>22</v>
      </c>
      <c r="E9" s="26">
        <v>5633</v>
      </c>
    </row>
    <row r="10" spans="1:7" x14ac:dyDescent="0.25">
      <c r="A10" s="24" t="s">
        <v>7</v>
      </c>
      <c r="B10" s="24" t="s">
        <v>23</v>
      </c>
      <c r="C10" s="25" t="s">
        <v>24</v>
      </c>
      <c r="D10" s="25" t="s">
        <v>25</v>
      </c>
      <c r="E10" s="26">
        <v>10844</v>
      </c>
    </row>
    <row r="11" spans="1:7" x14ac:dyDescent="0.25">
      <c r="A11" s="24" t="s">
        <v>7</v>
      </c>
      <c r="B11" s="24" t="s">
        <v>26</v>
      </c>
      <c r="C11" s="25" t="s">
        <v>27</v>
      </c>
      <c r="D11" s="25" t="s">
        <v>28</v>
      </c>
      <c r="E11" s="26">
        <v>12978</v>
      </c>
    </row>
    <row r="12" spans="1:7" x14ac:dyDescent="0.25">
      <c r="A12" s="24" t="s">
        <v>7</v>
      </c>
      <c r="B12" s="24" t="s">
        <v>29</v>
      </c>
      <c r="C12" s="25" t="s">
        <v>30</v>
      </c>
      <c r="D12" s="25" t="s">
        <v>31</v>
      </c>
      <c r="E12" s="26">
        <v>12978</v>
      </c>
    </row>
    <row r="13" spans="1:7" x14ac:dyDescent="0.25">
      <c r="A13" s="24" t="s">
        <v>7</v>
      </c>
      <c r="B13" s="24" t="s">
        <v>32</v>
      </c>
      <c r="C13" s="25" t="s">
        <v>33</v>
      </c>
      <c r="D13" s="25" t="s">
        <v>34</v>
      </c>
      <c r="E13" s="26">
        <v>12939</v>
      </c>
    </row>
    <row r="14" spans="1:7" x14ac:dyDescent="0.25">
      <c r="A14" s="24" t="s">
        <v>7</v>
      </c>
      <c r="B14" s="24" t="s">
        <v>35</v>
      </c>
      <c r="C14" s="25" t="s">
        <v>9</v>
      </c>
      <c r="D14" s="25" t="s">
        <v>10</v>
      </c>
      <c r="E14" s="26">
        <v>8210</v>
      </c>
    </row>
    <row r="15" spans="1:7" x14ac:dyDescent="0.25">
      <c r="A15" s="24" t="s">
        <v>7</v>
      </c>
      <c r="B15" s="24" t="s">
        <v>36</v>
      </c>
      <c r="C15" s="25" t="s">
        <v>12</v>
      </c>
      <c r="D15" s="25" t="s">
        <v>13</v>
      </c>
      <c r="E15" s="26">
        <v>7464</v>
      </c>
    </row>
    <row r="16" spans="1:7" x14ac:dyDescent="0.25">
      <c r="A16" s="24" t="s">
        <v>7</v>
      </c>
      <c r="B16" s="24" t="s">
        <v>37</v>
      </c>
      <c r="C16" s="25" t="s">
        <v>38</v>
      </c>
      <c r="D16" s="25" t="s">
        <v>39</v>
      </c>
      <c r="E16" s="26">
        <v>11763</v>
      </c>
    </row>
    <row r="17" spans="1:5" x14ac:dyDescent="0.25">
      <c r="A17" s="24" t="s">
        <v>7</v>
      </c>
      <c r="B17" s="24" t="s">
        <v>40</v>
      </c>
      <c r="C17" s="25" t="s">
        <v>18</v>
      </c>
      <c r="D17" s="25" t="s">
        <v>19</v>
      </c>
      <c r="E17" s="26">
        <v>7464</v>
      </c>
    </row>
    <row r="18" spans="1:5" x14ac:dyDescent="0.25">
      <c r="A18" s="24" t="s">
        <v>7</v>
      </c>
      <c r="B18" s="24" t="s">
        <v>41</v>
      </c>
      <c r="C18" s="25" t="s">
        <v>21</v>
      </c>
      <c r="D18" s="25" t="s">
        <v>22</v>
      </c>
      <c r="E18" s="26">
        <v>5633</v>
      </c>
    </row>
    <row r="19" spans="1:5" x14ac:dyDescent="0.25">
      <c r="A19" s="24" t="s">
        <v>7</v>
      </c>
      <c r="B19" s="24" t="s">
        <v>42</v>
      </c>
      <c r="C19" s="25" t="s">
        <v>27</v>
      </c>
      <c r="D19" s="25" t="s">
        <v>28</v>
      </c>
      <c r="E19" s="26">
        <v>12978</v>
      </c>
    </row>
    <row r="20" spans="1:5" x14ac:dyDescent="0.25">
      <c r="A20" s="24" t="s">
        <v>7</v>
      </c>
      <c r="B20" s="24" t="s">
        <v>43</v>
      </c>
      <c r="C20" s="25" t="s">
        <v>30</v>
      </c>
      <c r="D20" s="25" t="s">
        <v>31</v>
      </c>
      <c r="E20" s="26">
        <v>12978</v>
      </c>
    </row>
    <row r="21" spans="1:5" x14ac:dyDescent="0.25">
      <c r="A21" s="24" t="s">
        <v>7</v>
      </c>
      <c r="B21" s="24" t="s">
        <v>44</v>
      </c>
      <c r="C21" s="25" t="s">
        <v>33</v>
      </c>
      <c r="D21" s="25" t="s">
        <v>34</v>
      </c>
      <c r="E21" s="26">
        <v>12939</v>
      </c>
    </row>
    <row r="22" spans="1:5" x14ac:dyDescent="0.25">
      <c r="A22" s="24" t="s">
        <v>7</v>
      </c>
      <c r="B22" s="24" t="s">
        <v>45</v>
      </c>
      <c r="C22" s="25" t="s">
        <v>12</v>
      </c>
      <c r="D22" s="25" t="s">
        <v>13</v>
      </c>
      <c r="E22" s="26">
        <v>7464</v>
      </c>
    </row>
    <row r="23" spans="1:5" x14ac:dyDescent="0.25">
      <c r="A23" s="24" t="s">
        <v>7</v>
      </c>
      <c r="B23" s="24" t="s">
        <v>46</v>
      </c>
      <c r="C23" s="25" t="s">
        <v>38</v>
      </c>
      <c r="D23" s="25" t="s">
        <v>39</v>
      </c>
      <c r="E23" s="26">
        <v>11763</v>
      </c>
    </row>
    <row r="24" spans="1:5" x14ac:dyDescent="0.25">
      <c r="A24" s="24" t="s">
        <v>7</v>
      </c>
      <c r="B24" s="24" t="s">
        <v>47</v>
      </c>
      <c r="C24" s="25" t="s">
        <v>18</v>
      </c>
      <c r="D24" s="25" t="s">
        <v>19</v>
      </c>
      <c r="E24" s="26">
        <v>7464</v>
      </c>
    </row>
    <row r="25" spans="1:5" x14ac:dyDescent="0.25">
      <c r="A25" s="24" t="s">
        <v>7</v>
      </c>
      <c r="B25" s="24" t="s">
        <v>48</v>
      </c>
      <c r="C25" s="25" t="s">
        <v>21</v>
      </c>
      <c r="D25" s="25" t="s">
        <v>22</v>
      </c>
      <c r="E25" s="26">
        <v>5633</v>
      </c>
    </row>
    <row r="26" spans="1:5" x14ac:dyDescent="0.25">
      <c r="A26" s="24" t="s">
        <v>7</v>
      </c>
      <c r="B26" s="24" t="s">
        <v>49</v>
      </c>
      <c r="C26" s="25" t="s">
        <v>27</v>
      </c>
      <c r="D26" s="25" t="s">
        <v>28</v>
      </c>
      <c r="E26" s="26">
        <v>12978</v>
      </c>
    </row>
    <row r="27" spans="1:5" x14ac:dyDescent="0.25">
      <c r="A27" s="24" t="s">
        <v>7</v>
      </c>
      <c r="B27" s="24" t="s">
        <v>50</v>
      </c>
      <c r="C27" s="25" t="s">
        <v>30</v>
      </c>
      <c r="D27" s="25" t="s">
        <v>31</v>
      </c>
      <c r="E27" s="26">
        <v>12978</v>
      </c>
    </row>
    <row r="28" spans="1:5" x14ac:dyDescent="0.25">
      <c r="A28" s="24" t="s">
        <v>7</v>
      </c>
      <c r="B28" s="24" t="s">
        <v>51</v>
      </c>
      <c r="C28" s="25" t="s">
        <v>33</v>
      </c>
      <c r="D28" s="25" t="s">
        <v>34</v>
      </c>
      <c r="E28" s="26">
        <v>12939</v>
      </c>
    </row>
    <row r="29" spans="1:5" x14ac:dyDescent="0.25">
      <c r="A29" s="24" t="s">
        <v>7</v>
      </c>
      <c r="B29" s="24" t="s">
        <v>52</v>
      </c>
      <c r="C29" s="25" t="s">
        <v>9</v>
      </c>
      <c r="D29" s="25" t="s">
        <v>10</v>
      </c>
      <c r="E29" s="26">
        <v>8210</v>
      </c>
    </row>
    <row r="30" spans="1:5" x14ac:dyDescent="0.25">
      <c r="A30" s="24" t="s">
        <v>7</v>
      </c>
      <c r="B30" s="24" t="s">
        <v>53</v>
      </c>
      <c r="C30" s="25" t="s">
        <v>12</v>
      </c>
      <c r="D30" s="25" t="s">
        <v>13</v>
      </c>
      <c r="E30" s="26">
        <v>7464</v>
      </c>
    </row>
    <row r="31" spans="1:5" x14ac:dyDescent="0.25">
      <c r="A31" s="24" t="s">
        <v>7</v>
      </c>
      <c r="B31" s="24" t="s">
        <v>54</v>
      </c>
      <c r="C31" s="25" t="s">
        <v>55</v>
      </c>
      <c r="D31" s="25" t="s">
        <v>56</v>
      </c>
      <c r="E31" s="26">
        <v>8210</v>
      </c>
    </row>
    <row r="32" spans="1:5" x14ac:dyDescent="0.25">
      <c r="A32" s="24" t="s">
        <v>7</v>
      </c>
      <c r="B32" s="24" t="s">
        <v>57</v>
      </c>
      <c r="C32" s="25" t="s">
        <v>58</v>
      </c>
      <c r="D32" s="25" t="s">
        <v>59</v>
      </c>
      <c r="E32" s="26">
        <v>7464</v>
      </c>
    </row>
    <row r="33" spans="1:5" x14ac:dyDescent="0.25">
      <c r="A33" s="24" t="s">
        <v>7</v>
      </c>
      <c r="B33" s="24" t="s">
        <v>60</v>
      </c>
      <c r="C33" s="25" t="s">
        <v>38</v>
      </c>
      <c r="D33" s="25" t="s">
        <v>39</v>
      </c>
      <c r="E33" s="26">
        <v>11763</v>
      </c>
    </row>
    <row r="34" spans="1:5" x14ac:dyDescent="0.25">
      <c r="A34" s="24" t="s">
        <v>7</v>
      </c>
      <c r="B34" s="24" t="s">
        <v>61</v>
      </c>
      <c r="C34" s="25" t="s">
        <v>18</v>
      </c>
      <c r="D34" s="25" t="s">
        <v>19</v>
      </c>
      <c r="E34" s="26">
        <v>7464</v>
      </c>
    </row>
    <row r="35" spans="1:5" x14ac:dyDescent="0.25">
      <c r="A35" s="24" t="s">
        <v>7</v>
      </c>
      <c r="B35" s="24" t="s">
        <v>62</v>
      </c>
      <c r="C35" s="25" t="s">
        <v>21</v>
      </c>
      <c r="D35" s="25" t="s">
        <v>22</v>
      </c>
      <c r="E35" s="26">
        <v>5633</v>
      </c>
    </row>
    <row r="36" spans="1:5" x14ac:dyDescent="0.25">
      <c r="A36" s="24" t="s">
        <v>7</v>
      </c>
      <c r="B36" s="24" t="s">
        <v>63</v>
      </c>
      <c r="C36" s="25" t="s">
        <v>27</v>
      </c>
      <c r="D36" s="25" t="s">
        <v>28</v>
      </c>
      <c r="E36" s="26">
        <v>12978</v>
      </c>
    </row>
    <row r="37" spans="1:5" x14ac:dyDescent="0.25">
      <c r="A37" s="24" t="s">
        <v>7</v>
      </c>
      <c r="B37" s="24" t="s">
        <v>64</v>
      </c>
      <c r="C37" s="25" t="s">
        <v>30</v>
      </c>
      <c r="D37" s="25" t="s">
        <v>31</v>
      </c>
      <c r="E37" s="26">
        <v>12978</v>
      </c>
    </row>
    <row r="38" spans="1:5" x14ac:dyDescent="0.25">
      <c r="A38" s="24" t="s">
        <v>7</v>
      </c>
      <c r="B38" s="24" t="s">
        <v>65</v>
      </c>
      <c r="C38" s="25" t="s">
        <v>33</v>
      </c>
      <c r="D38" s="25" t="s">
        <v>34</v>
      </c>
      <c r="E38" s="26">
        <v>12939</v>
      </c>
    </row>
    <row r="39" spans="1:5" x14ac:dyDescent="0.25">
      <c r="A39" s="24" t="s">
        <v>7</v>
      </c>
      <c r="B39" s="24" t="s">
        <v>66</v>
      </c>
      <c r="C39" s="25" t="s">
        <v>9</v>
      </c>
      <c r="D39" s="25" t="s">
        <v>10</v>
      </c>
      <c r="E39" s="26">
        <v>8210</v>
      </c>
    </row>
    <row r="40" spans="1:5" x14ac:dyDescent="0.25">
      <c r="A40" s="24" t="s">
        <v>7</v>
      </c>
      <c r="B40" s="24" t="s">
        <v>67</v>
      </c>
      <c r="C40" s="25" t="s">
        <v>12</v>
      </c>
      <c r="D40" s="25" t="s">
        <v>13</v>
      </c>
      <c r="E40" s="26">
        <v>7464</v>
      </c>
    </row>
    <row r="41" spans="1:5" x14ac:dyDescent="0.25">
      <c r="A41" s="24" t="s">
        <v>7</v>
      </c>
      <c r="B41" s="24" t="s">
        <v>68</v>
      </c>
      <c r="C41" s="25" t="s">
        <v>24</v>
      </c>
      <c r="D41" s="25" t="s">
        <v>25</v>
      </c>
      <c r="E41" s="26">
        <v>10844</v>
      </c>
    </row>
    <row r="42" spans="1:5" x14ac:dyDescent="0.25">
      <c r="A42" s="24" t="s">
        <v>7</v>
      </c>
      <c r="B42" s="24" t="s">
        <v>69</v>
      </c>
      <c r="C42" s="25" t="s">
        <v>70</v>
      </c>
      <c r="D42" s="25" t="s">
        <v>71</v>
      </c>
      <c r="E42" s="26">
        <v>5440</v>
      </c>
    </row>
    <row r="43" spans="1:5" x14ac:dyDescent="0.25">
      <c r="A43" s="24" t="s">
        <v>7</v>
      </c>
      <c r="B43" s="24" t="s">
        <v>72</v>
      </c>
      <c r="C43" s="25" t="s">
        <v>73</v>
      </c>
      <c r="D43" s="25" t="s">
        <v>74</v>
      </c>
      <c r="E43" s="26">
        <v>5293</v>
      </c>
    </row>
    <row r="44" spans="1:5" x14ac:dyDescent="0.25">
      <c r="A44" s="24" t="s">
        <v>7</v>
      </c>
      <c r="B44" s="24" t="s">
        <v>75</v>
      </c>
      <c r="C44" s="25" t="s">
        <v>30</v>
      </c>
      <c r="D44" s="25" t="s">
        <v>31</v>
      </c>
      <c r="E44" s="26">
        <v>12978</v>
      </c>
    </row>
    <row r="45" spans="1:5" x14ac:dyDescent="0.25">
      <c r="A45" s="24" t="s">
        <v>7</v>
      </c>
      <c r="B45" s="24" t="s">
        <v>76</v>
      </c>
      <c r="C45" s="25" t="s">
        <v>77</v>
      </c>
      <c r="D45" s="25" t="s">
        <v>78</v>
      </c>
      <c r="E45" s="26">
        <v>2636</v>
      </c>
    </row>
    <row r="46" spans="1:5" x14ac:dyDescent="0.25">
      <c r="A46" s="24" t="s">
        <v>7</v>
      </c>
      <c r="B46" s="24" t="s">
        <v>79</v>
      </c>
      <c r="C46" s="25" t="s">
        <v>80</v>
      </c>
      <c r="D46" s="25" t="s">
        <v>80</v>
      </c>
      <c r="E46" s="26">
        <v>4301</v>
      </c>
    </row>
    <row r="47" spans="1:5" x14ac:dyDescent="0.25">
      <c r="A47" s="24" t="s">
        <v>7</v>
      </c>
      <c r="B47" s="24" t="s">
        <v>81</v>
      </c>
      <c r="C47" s="25" t="s">
        <v>82</v>
      </c>
      <c r="D47" s="25" t="s">
        <v>83</v>
      </c>
      <c r="E47" s="26">
        <v>10366</v>
      </c>
    </row>
    <row r="48" spans="1:5" x14ac:dyDescent="0.25">
      <c r="A48" s="24" t="s">
        <v>7</v>
      </c>
      <c r="B48" s="24" t="s">
        <v>84</v>
      </c>
      <c r="C48" s="25" t="s">
        <v>85</v>
      </c>
      <c r="D48" s="25" t="s">
        <v>85</v>
      </c>
      <c r="E48" s="26">
        <v>10366</v>
      </c>
    </row>
    <row r="49" spans="1:5" x14ac:dyDescent="0.25">
      <c r="A49" s="24" t="s">
        <v>7</v>
      </c>
      <c r="B49" s="24" t="s">
        <v>86</v>
      </c>
      <c r="C49" s="25" t="s">
        <v>87</v>
      </c>
      <c r="D49" s="25" t="s">
        <v>87</v>
      </c>
      <c r="E49" s="26">
        <v>25906</v>
      </c>
    </row>
    <row r="50" spans="1:5" x14ac:dyDescent="0.25">
      <c r="A50" s="24" t="s">
        <v>7</v>
      </c>
      <c r="B50" s="24" t="s">
        <v>88</v>
      </c>
      <c r="C50" s="25" t="s">
        <v>89</v>
      </c>
      <c r="D50" s="25" t="s">
        <v>89</v>
      </c>
      <c r="E50" s="26">
        <v>16070</v>
      </c>
    </row>
    <row r="51" spans="1:5" x14ac:dyDescent="0.25">
      <c r="A51" s="24" t="s">
        <v>7</v>
      </c>
      <c r="B51" s="24" t="s">
        <v>90</v>
      </c>
      <c r="C51" s="25" t="s">
        <v>9</v>
      </c>
      <c r="D51" s="25" t="s">
        <v>10</v>
      </c>
      <c r="E51" s="26">
        <v>8210</v>
      </c>
    </row>
    <row r="52" spans="1:5" x14ac:dyDescent="0.25">
      <c r="A52" s="24" t="s">
        <v>7</v>
      </c>
      <c r="B52" s="24" t="s">
        <v>91</v>
      </c>
      <c r="C52" s="25" t="s">
        <v>12</v>
      </c>
      <c r="D52" s="25" t="s">
        <v>13</v>
      </c>
      <c r="E52" s="26">
        <v>7464</v>
      </c>
    </row>
    <row r="53" spans="1:5" x14ac:dyDescent="0.25">
      <c r="A53" s="24" t="s">
        <v>7</v>
      </c>
      <c r="B53" s="24" t="s">
        <v>92</v>
      </c>
      <c r="C53" s="25" t="s">
        <v>38</v>
      </c>
      <c r="D53" s="25" t="s">
        <v>39</v>
      </c>
      <c r="E53" s="26">
        <v>11763</v>
      </c>
    </row>
    <row r="54" spans="1:5" x14ac:dyDescent="0.25">
      <c r="A54" s="24" t="s">
        <v>7</v>
      </c>
      <c r="B54" s="24" t="s">
        <v>93</v>
      </c>
      <c r="C54" s="25" t="s">
        <v>18</v>
      </c>
      <c r="D54" s="25" t="s">
        <v>19</v>
      </c>
      <c r="E54" s="26">
        <v>7464</v>
      </c>
    </row>
    <row r="55" spans="1:5" x14ac:dyDescent="0.25">
      <c r="A55" s="24" t="s">
        <v>7</v>
      </c>
      <c r="B55" s="24" t="s">
        <v>94</v>
      </c>
      <c r="C55" s="25" t="s">
        <v>21</v>
      </c>
      <c r="D55" s="25" t="s">
        <v>22</v>
      </c>
      <c r="E55" s="26">
        <v>5633</v>
      </c>
    </row>
    <row r="56" spans="1:5" x14ac:dyDescent="0.25">
      <c r="A56" s="24" t="s">
        <v>7</v>
      </c>
      <c r="B56" s="24" t="s">
        <v>95</v>
      </c>
      <c r="C56" s="25" t="s">
        <v>33</v>
      </c>
      <c r="D56" s="25" t="s">
        <v>34</v>
      </c>
      <c r="E56" s="26">
        <v>12939</v>
      </c>
    </row>
    <row r="57" spans="1:5" x14ac:dyDescent="0.25">
      <c r="A57" s="24" t="s">
        <v>7</v>
      </c>
      <c r="B57" s="24" t="s">
        <v>96</v>
      </c>
      <c r="C57" s="25" t="s">
        <v>9</v>
      </c>
      <c r="D57" s="25" t="s">
        <v>10</v>
      </c>
      <c r="E57" s="26">
        <v>8210</v>
      </c>
    </row>
    <row r="58" spans="1:5" x14ac:dyDescent="0.25">
      <c r="A58" s="24" t="s">
        <v>7</v>
      </c>
      <c r="B58" s="24" t="s">
        <v>97</v>
      </c>
      <c r="C58" s="25" t="s">
        <v>12</v>
      </c>
      <c r="D58" s="25" t="s">
        <v>13</v>
      </c>
      <c r="E58" s="26">
        <v>7464</v>
      </c>
    </row>
    <row r="59" spans="1:5" x14ac:dyDescent="0.25">
      <c r="A59" s="24" t="s">
        <v>7</v>
      </c>
      <c r="B59" s="24" t="s">
        <v>98</v>
      </c>
      <c r="C59" s="25" t="s">
        <v>38</v>
      </c>
      <c r="D59" s="25" t="s">
        <v>39</v>
      </c>
      <c r="E59" s="26">
        <v>11763</v>
      </c>
    </row>
    <row r="60" spans="1:5" x14ac:dyDescent="0.25">
      <c r="A60" s="24" t="s">
        <v>7</v>
      </c>
      <c r="B60" s="24" t="s">
        <v>99</v>
      </c>
      <c r="C60" s="25" t="s">
        <v>100</v>
      </c>
      <c r="D60" s="25" t="s">
        <v>101</v>
      </c>
      <c r="E60" s="26">
        <v>5971</v>
      </c>
    </row>
    <row r="61" spans="1:5" x14ac:dyDescent="0.25">
      <c r="A61" s="24" t="s">
        <v>7</v>
      </c>
      <c r="B61" s="24" t="s">
        <v>102</v>
      </c>
      <c r="C61" s="25" t="s">
        <v>33</v>
      </c>
      <c r="D61" s="25" t="s">
        <v>34</v>
      </c>
      <c r="E61" s="26">
        <v>12939</v>
      </c>
    </row>
    <row r="62" spans="1:5" x14ac:dyDescent="0.25">
      <c r="A62" s="24" t="s">
        <v>7</v>
      </c>
      <c r="B62" s="24" t="s">
        <v>103</v>
      </c>
      <c r="C62" s="25" t="s">
        <v>9</v>
      </c>
      <c r="D62" s="25" t="s">
        <v>10</v>
      </c>
      <c r="E62" s="26">
        <v>8210</v>
      </c>
    </row>
    <row r="63" spans="1:5" x14ac:dyDescent="0.25">
      <c r="A63" s="24" t="s">
        <v>7</v>
      </c>
      <c r="B63" s="24" t="s">
        <v>104</v>
      </c>
      <c r="C63" s="25" t="s">
        <v>12</v>
      </c>
      <c r="D63" s="25" t="s">
        <v>13</v>
      </c>
      <c r="E63" s="26">
        <v>7464</v>
      </c>
    </row>
    <row r="64" spans="1:5" x14ac:dyDescent="0.25">
      <c r="A64" s="24" t="s">
        <v>7</v>
      </c>
      <c r="B64" s="24" t="s">
        <v>105</v>
      </c>
      <c r="C64" s="25" t="s">
        <v>55</v>
      </c>
      <c r="D64" s="25" t="s">
        <v>56</v>
      </c>
      <c r="E64" s="26">
        <v>8210</v>
      </c>
    </row>
    <row r="65" spans="1:5" x14ac:dyDescent="0.25">
      <c r="A65" s="24" t="s">
        <v>7</v>
      </c>
      <c r="B65" s="24" t="s">
        <v>106</v>
      </c>
      <c r="C65" s="25" t="s">
        <v>58</v>
      </c>
      <c r="D65" s="25" t="s">
        <v>59</v>
      </c>
      <c r="E65" s="26">
        <v>7464</v>
      </c>
    </row>
    <row r="66" spans="1:5" x14ac:dyDescent="0.25">
      <c r="A66" s="24" t="s">
        <v>7</v>
      </c>
      <c r="B66" s="24" t="s">
        <v>107</v>
      </c>
      <c r="C66" s="25" t="s">
        <v>38</v>
      </c>
      <c r="D66" s="25" t="s">
        <v>39</v>
      </c>
      <c r="E66" s="26">
        <v>11763</v>
      </c>
    </row>
    <row r="67" spans="1:5" x14ac:dyDescent="0.25">
      <c r="A67" s="24" t="s">
        <v>7</v>
      </c>
      <c r="B67" s="24" t="s">
        <v>108</v>
      </c>
      <c r="C67" s="25" t="s">
        <v>18</v>
      </c>
      <c r="D67" s="25" t="s">
        <v>19</v>
      </c>
      <c r="E67" s="26">
        <v>7464</v>
      </c>
    </row>
    <row r="68" spans="1:5" x14ac:dyDescent="0.25">
      <c r="A68" s="24" t="s">
        <v>7</v>
      </c>
      <c r="B68" s="24" t="s">
        <v>109</v>
      </c>
      <c r="C68" s="25" t="s">
        <v>21</v>
      </c>
      <c r="D68" s="25" t="s">
        <v>22</v>
      </c>
      <c r="E68" s="26">
        <v>5633</v>
      </c>
    </row>
    <row r="69" spans="1:5" x14ac:dyDescent="0.25">
      <c r="A69" s="24" t="s">
        <v>7</v>
      </c>
      <c r="B69" s="24" t="s">
        <v>110</v>
      </c>
      <c r="C69" s="25" t="s">
        <v>33</v>
      </c>
      <c r="D69" s="25" t="s">
        <v>34</v>
      </c>
      <c r="E69" s="26">
        <v>12939</v>
      </c>
    </row>
    <row r="70" spans="1:5" x14ac:dyDescent="0.25">
      <c r="A70" s="24" t="s">
        <v>7</v>
      </c>
      <c r="B70" s="24" t="s">
        <v>111</v>
      </c>
      <c r="C70" s="25" t="s">
        <v>9</v>
      </c>
      <c r="D70" s="25" t="s">
        <v>10</v>
      </c>
      <c r="E70" s="26">
        <v>8210</v>
      </c>
    </row>
    <row r="71" spans="1:5" x14ac:dyDescent="0.25">
      <c r="A71" s="24" t="s">
        <v>7</v>
      </c>
      <c r="B71" s="24" t="s">
        <v>112</v>
      </c>
      <c r="C71" s="25" t="s">
        <v>12</v>
      </c>
      <c r="D71" s="25" t="s">
        <v>13</v>
      </c>
      <c r="E71" s="26">
        <v>7464</v>
      </c>
    </row>
    <row r="72" spans="1:5" x14ac:dyDescent="0.25">
      <c r="A72" s="24" t="s">
        <v>7</v>
      </c>
      <c r="B72" s="24" t="s">
        <v>113</v>
      </c>
      <c r="C72" s="25" t="s">
        <v>55</v>
      </c>
      <c r="D72" s="25" t="s">
        <v>56</v>
      </c>
      <c r="E72" s="26">
        <v>8210</v>
      </c>
    </row>
    <row r="73" spans="1:5" x14ac:dyDescent="0.25">
      <c r="A73" s="24" t="s">
        <v>7</v>
      </c>
      <c r="B73" s="24" t="s">
        <v>114</v>
      </c>
      <c r="C73" s="25" t="s">
        <v>58</v>
      </c>
      <c r="D73" s="25" t="s">
        <v>59</v>
      </c>
      <c r="E73" s="26">
        <v>7464</v>
      </c>
    </row>
    <row r="74" spans="1:5" x14ac:dyDescent="0.25">
      <c r="A74" s="24" t="s">
        <v>7</v>
      </c>
      <c r="B74" s="24" t="s">
        <v>115</v>
      </c>
      <c r="C74" s="25" t="s">
        <v>38</v>
      </c>
      <c r="D74" s="25" t="s">
        <v>39</v>
      </c>
      <c r="E74" s="26">
        <v>11763</v>
      </c>
    </row>
    <row r="75" spans="1:5" x14ac:dyDescent="0.25">
      <c r="A75" s="24" t="s">
        <v>7</v>
      </c>
      <c r="B75" s="24" t="s">
        <v>116</v>
      </c>
      <c r="C75" s="25" t="s">
        <v>18</v>
      </c>
      <c r="D75" s="25" t="s">
        <v>19</v>
      </c>
      <c r="E75" s="26">
        <v>7464</v>
      </c>
    </row>
    <row r="76" spans="1:5" x14ac:dyDescent="0.25">
      <c r="A76" s="24" t="s">
        <v>7</v>
      </c>
      <c r="B76" s="24" t="s">
        <v>117</v>
      </c>
      <c r="C76" s="25" t="s">
        <v>21</v>
      </c>
      <c r="D76" s="25" t="s">
        <v>22</v>
      </c>
      <c r="E76" s="26">
        <v>5633</v>
      </c>
    </row>
    <row r="77" spans="1:5" x14ac:dyDescent="0.25">
      <c r="A77" s="24" t="s">
        <v>7</v>
      </c>
      <c r="B77" s="24" t="s">
        <v>118</v>
      </c>
      <c r="C77" s="25" t="s">
        <v>33</v>
      </c>
      <c r="D77" s="25" t="s">
        <v>34</v>
      </c>
      <c r="E77" s="26">
        <v>12939</v>
      </c>
    </row>
    <row r="78" spans="1:5" x14ac:dyDescent="0.25">
      <c r="A78" s="24" t="s">
        <v>7</v>
      </c>
      <c r="B78" s="24" t="s">
        <v>119</v>
      </c>
      <c r="C78" s="25" t="s">
        <v>12</v>
      </c>
      <c r="D78" s="25" t="s">
        <v>13</v>
      </c>
      <c r="E78" s="26">
        <v>7464</v>
      </c>
    </row>
    <row r="79" spans="1:5" x14ac:dyDescent="0.25">
      <c r="A79" s="24" t="s">
        <v>7</v>
      </c>
      <c r="B79" s="24" t="s">
        <v>120</v>
      </c>
      <c r="C79" s="25" t="s">
        <v>18</v>
      </c>
      <c r="D79" s="25" t="s">
        <v>19</v>
      </c>
      <c r="E79" s="26">
        <v>7464</v>
      </c>
    </row>
    <row r="80" spans="1:5" x14ac:dyDescent="0.25">
      <c r="A80" s="24" t="s">
        <v>7</v>
      </c>
      <c r="B80" s="24" t="s">
        <v>121</v>
      </c>
      <c r="C80" s="25" t="s">
        <v>21</v>
      </c>
      <c r="D80" s="25" t="s">
        <v>22</v>
      </c>
      <c r="E80" s="26">
        <v>5633</v>
      </c>
    </row>
    <row r="81" spans="1:5" x14ac:dyDescent="0.25">
      <c r="A81" s="24" t="s">
        <v>7</v>
      </c>
      <c r="B81" s="24" t="s">
        <v>122</v>
      </c>
      <c r="C81" s="25" t="s">
        <v>100</v>
      </c>
      <c r="D81" s="25" t="s">
        <v>101</v>
      </c>
      <c r="E81" s="26">
        <v>5971</v>
      </c>
    </row>
    <row r="82" spans="1:5" x14ac:dyDescent="0.25">
      <c r="A82" s="24" t="s">
        <v>7</v>
      </c>
      <c r="B82" s="24" t="s">
        <v>123</v>
      </c>
      <c r="C82" s="25" t="s">
        <v>70</v>
      </c>
      <c r="D82" s="25" t="s">
        <v>71</v>
      </c>
      <c r="E82" s="26">
        <v>5440</v>
      </c>
    </row>
    <row r="83" spans="1:5" x14ac:dyDescent="0.25">
      <c r="A83" s="24" t="s">
        <v>7</v>
      </c>
      <c r="B83" s="24" t="s">
        <v>124</v>
      </c>
      <c r="C83" s="25" t="s">
        <v>73</v>
      </c>
      <c r="D83" s="25" t="s">
        <v>74</v>
      </c>
      <c r="E83" s="26">
        <v>5293</v>
      </c>
    </row>
    <row r="84" spans="1:5" x14ac:dyDescent="0.25">
      <c r="A84" s="24" t="s">
        <v>7</v>
      </c>
      <c r="B84" s="24" t="s">
        <v>125</v>
      </c>
      <c r="C84" s="25" t="s">
        <v>30</v>
      </c>
      <c r="D84" s="25" t="s">
        <v>31</v>
      </c>
      <c r="E84" s="26">
        <v>12978</v>
      </c>
    </row>
    <row r="85" spans="1:5" x14ac:dyDescent="0.25">
      <c r="A85" s="24" t="s">
        <v>7</v>
      </c>
      <c r="B85" s="24" t="s">
        <v>126</v>
      </c>
      <c r="C85" s="25" t="s">
        <v>12</v>
      </c>
      <c r="D85" s="25" t="s">
        <v>13</v>
      </c>
      <c r="E85" s="26">
        <v>7464</v>
      </c>
    </row>
    <row r="86" spans="1:5" x14ac:dyDescent="0.25">
      <c r="A86" s="24" t="s">
        <v>7</v>
      </c>
      <c r="B86" s="24" t="s">
        <v>127</v>
      </c>
      <c r="C86" s="25" t="s">
        <v>18</v>
      </c>
      <c r="D86" s="25" t="s">
        <v>19</v>
      </c>
      <c r="E86" s="26">
        <v>7464</v>
      </c>
    </row>
    <row r="87" spans="1:5" x14ac:dyDescent="0.25">
      <c r="A87" s="24" t="s">
        <v>7</v>
      </c>
      <c r="B87" s="24" t="s">
        <v>128</v>
      </c>
      <c r="C87" s="25" t="s">
        <v>21</v>
      </c>
      <c r="D87" s="25" t="s">
        <v>22</v>
      </c>
      <c r="E87" s="26">
        <v>5633</v>
      </c>
    </row>
    <row r="88" spans="1:5" x14ac:dyDescent="0.25">
      <c r="A88" s="24" t="s">
        <v>7</v>
      </c>
      <c r="B88" s="24" t="s">
        <v>129</v>
      </c>
      <c r="C88" s="25" t="s">
        <v>130</v>
      </c>
      <c r="D88" s="25" t="s">
        <v>131</v>
      </c>
      <c r="E88" s="26">
        <v>6569</v>
      </c>
    </row>
    <row r="89" spans="1:5" x14ac:dyDescent="0.25">
      <c r="A89" s="24" t="s">
        <v>7</v>
      </c>
      <c r="B89" s="24" t="s">
        <v>132</v>
      </c>
      <c r="C89" s="25" t="s">
        <v>100</v>
      </c>
      <c r="D89" s="25" t="s">
        <v>101</v>
      </c>
      <c r="E89" s="26">
        <v>5971</v>
      </c>
    </row>
    <row r="90" spans="1:5" x14ac:dyDescent="0.25">
      <c r="A90" s="24" t="s">
        <v>7</v>
      </c>
      <c r="B90" s="24" t="s">
        <v>133</v>
      </c>
      <c r="C90" s="25" t="s">
        <v>77</v>
      </c>
      <c r="D90" s="25" t="s">
        <v>78</v>
      </c>
      <c r="E90" s="26">
        <v>2636</v>
      </c>
    </row>
    <row r="91" spans="1:5" x14ac:dyDescent="0.25">
      <c r="A91" s="24" t="s">
        <v>7</v>
      </c>
      <c r="B91" s="24" t="s">
        <v>134</v>
      </c>
      <c r="C91" s="25" t="s">
        <v>80</v>
      </c>
      <c r="D91" s="25" t="s">
        <v>80</v>
      </c>
      <c r="E91" s="26">
        <v>4301</v>
      </c>
    </row>
    <row r="92" spans="1:5" x14ac:dyDescent="0.25">
      <c r="A92" s="24" t="s">
        <v>7</v>
      </c>
      <c r="B92" s="24" t="s">
        <v>135</v>
      </c>
      <c r="C92" s="25" t="s">
        <v>136</v>
      </c>
      <c r="D92" s="25" t="s">
        <v>137</v>
      </c>
      <c r="E92" s="26">
        <v>1424</v>
      </c>
    </row>
    <row r="93" spans="1:5" x14ac:dyDescent="0.25">
      <c r="A93" s="24" t="s">
        <v>7</v>
      </c>
      <c r="B93" s="24" t="s">
        <v>138</v>
      </c>
      <c r="C93" s="25" t="s">
        <v>139</v>
      </c>
      <c r="D93" s="25" t="s">
        <v>140</v>
      </c>
      <c r="E93" s="26">
        <v>1084</v>
      </c>
    </row>
    <row r="94" spans="1:5" x14ac:dyDescent="0.25">
      <c r="A94" s="24" t="s">
        <v>7</v>
      </c>
      <c r="B94" s="24" t="s">
        <v>141</v>
      </c>
      <c r="C94" s="25" t="s">
        <v>142</v>
      </c>
      <c r="D94" s="25" t="s">
        <v>143</v>
      </c>
      <c r="E94" s="26">
        <v>980</v>
      </c>
    </row>
    <row r="95" spans="1:5" x14ac:dyDescent="0.25">
      <c r="A95" s="24" t="s">
        <v>7</v>
      </c>
      <c r="B95" s="24" t="s">
        <v>144</v>
      </c>
      <c r="C95" s="25" t="s">
        <v>145</v>
      </c>
      <c r="D95" s="25" t="s">
        <v>146</v>
      </c>
      <c r="E95" s="26">
        <v>1092</v>
      </c>
    </row>
    <row r="96" spans="1:5" x14ac:dyDescent="0.25">
      <c r="A96" s="24" t="s">
        <v>7</v>
      </c>
      <c r="B96" s="24" t="s">
        <v>147</v>
      </c>
      <c r="C96" s="25" t="s">
        <v>148</v>
      </c>
      <c r="D96" s="25" t="s">
        <v>149</v>
      </c>
      <c r="E96" s="26">
        <v>672</v>
      </c>
    </row>
    <row r="97" spans="1:5" x14ac:dyDescent="0.25">
      <c r="A97" s="24" t="s">
        <v>7</v>
      </c>
      <c r="B97" s="24" t="s">
        <v>150</v>
      </c>
      <c r="C97" s="25" t="s">
        <v>151</v>
      </c>
      <c r="D97" s="25" t="s">
        <v>152</v>
      </c>
      <c r="E97" s="26">
        <v>945</v>
      </c>
    </row>
    <row r="98" spans="1:5" x14ac:dyDescent="0.25">
      <c r="A98" s="24" t="s">
        <v>7</v>
      </c>
      <c r="B98" s="24" t="s">
        <v>153</v>
      </c>
      <c r="C98" s="25" t="s">
        <v>154</v>
      </c>
      <c r="D98" s="25" t="s">
        <v>155</v>
      </c>
      <c r="E98" s="26">
        <v>1171</v>
      </c>
    </row>
    <row r="99" spans="1:5" x14ac:dyDescent="0.25">
      <c r="A99" s="24" t="s">
        <v>7</v>
      </c>
      <c r="B99" s="24" t="s">
        <v>156</v>
      </c>
      <c r="C99" s="25" t="s">
        <v>157</v>
      </c>
      <c r="D99" s="25" t="s">
        <v>158</v>
      </c>
      <c r="E99" s="26">
        <v>273</v>
      </c>
    </row>
    <row r="100" spans="1:5" x14ac:dyDescent="0.25">
      <c r="A100" s="24" t="s">
        <v>7</v>
      </c>
      <c r="B100" s="24" t="s">
        <v>159</v>
      </c>
      <c r="C100" s="25" t="s">
        <v>160</v>
      </c>
      <c r="D100" s="25" t="s">
        <v>161</v>
      </c>
      <c r="E100" s="26">
        <v>1358</v>
      </c>
    </row>
    <row r="101" spans="1:5" x14ac:dyDescent="0.25">
      <c r="A101" s="24" t="s">
        <v>7</v>
      </c>
      <c r="B101" s="24" t="s">
        <v>162</v>
      </c>
      <c r="C101" s="25" t="s">
        <v>163</v>
      </c>
      <c r="D101" s="25" t="s">
        <v>164</v>
      </c>
      <c r="E101" s="26">
        <v>2413</v>
      </c>
    </row>
    <row r="102" spans="1:5" x14ac:dyDescent="0.25">
      <c r="A102" s="24" t="s">
        <v>7</v>
      </c>
      <c r="B102" s="24" t="s">
        <v>165</v>
      </c>
      <c r="C102" s="25" t="s">
        <v>166</v>
      </c>
      <c r="D102" s="25" t="s">
        <v>167</v>
      </c>
      <c r="E102" s="26">
        <v>1840</v>
      </c>
    </row>
    <row r="103" spans="1:5" x14ac:dyDescent="0.25">
      <c r="A103" s="24" t="s">
        <v>7</v>
      </c>
      <c r="B103" s="24" t="s">
        <v>168</v>
      </c>
      <c r="C103" s="25" t="s">
        <v>169</v>
      </c>
      <c r="D103" s="25" t="s">
        <v>170</v>
      </c>
      <c r="E103" s="26">
        <v>1865</v>
      </c>
    </row>
    <row r="104" spans="1:5" x14ac:dyDescent="0.25">
      <c r="A104" s="24" t="s">
        <v>7</v>
      </c>
      <c r="B104" s="24" t="s">
        <v>171</v>
      </c>
      <c r="C104" s="25" t="s">
        <v>172</v>
      </c>
      <c r="D104" s="25" t="s">
        <v>173</v>
      </c>
      <c r="E104" s="26">
        <v>3819.27</v>
      </c>
    </row>
    <row r="105" spans="1:5" x14ac:dyDescent="0.25">
      <c r="A105" s="24" t="s">
        <v>7</v>
      </c>
      <c r="B105" s="24" t="s">
        <v>174</v>
      </c>
      <c r="C105" s="25" t="s">
        <v>175</v>
      </c>
      <c r="D105" s="25" t="s">
        <v>176</v>
      </c>
      <c r="E105" s="26">
        <v>2211</v>
      </c>
    </row>
    <row r="106" spans="1:5" x14ac:dyDescent="0.25">
      <c r="A106" s="24" t="s">
        <v>7</v>
      </c>
      <c r="B106" s="24" t="s">
        <v>177</v>
      </c>
      <c r="C106" s="25" t="s">
        <v>178</v>
      </c>
      <c r="D106" s="25" t="s">
        <v>179</v>
      </c>
      <c r="E106" s="26">
        <v>5493</v>
      </c>
    </row>
    <row r="107" spans="1:5" x14ac:dyDescent="0.25">
      <c r="A107" s="24" t="s">
        <v>7</v>
      </c>
      <c r="B107" s="24" t="s">
        <v>180</v>
      </c>
      <c r="C107" s="25" t="s">
        <v>181</v>
      </c>
      <c r="D107" s="25" t="s">
        <v>179</v>
      </c>
      <c r="E107" s="26">
        <v>1406</v>
      </c>
    </row>
    <row r="108" spans="1:5" x14ac:dyDescent="0.25">
      <c r="A108" s="24" t="s">
        <v>7</v>
      </c>
      <c r="B108" s="24" t="s">
        <v>182</v>
      </c>
      <c r="C108" s="25" t="s">
        <v>183</v>
      </c>
      <c r="D108" s="25" t="s">
        <v>184</v>
      </c>
      <c r="E108" s="26">
        <v>22640</v>
      </c>
    </row>
    <row r="109" spans="1:5" x14ac:dyDescent="0.25">
      <c r="A109" s="24" t="s">
        <v>7</v>
      </c>
      <c r="B109" s="24" t="s">
        <v>185</v>
      </c>
      <c r="C109" s="25" t="s">
        <v>184</v>
      </c>
      <c r="D109" s="25" t="s">
        <v>184</v>
      </c>
      <c r="E109" s="26">
        <v>5221</v>
      </c>
    </row>
    <row r="110" spans="1:5" x14ac:dyDescent="0.25">
      <c r="A110" s="24" t="s">
        <v>7</v>
      </c>
      <c r="B110" s="24" t="s">
        <v>186</v>
      </c>
      <c r="C110" s="25" t="s">
        <v>187</v>
      </c>
      <c r="D110" s="25" t="s">
        <v>188</v>
      </c>
      <c r="E110" s="26">
        <v>31458</v>
      </c>
    </row>
    <row r="111" spans="1:5" x14ac:dyDescent="0.25">
      <c r="A111" s="24" t="s">
        <v>7</v>
      </c>
      <c r="B111" s="24" t="s">
        <v>189</v>
      </c>
      <c r="C111" s="25" t="s">
        <v>190</v>
      </c>
      <c r="D111" s="25" t="s">
        <v>191</v>
      </c>
      <c r="E111" s="26">
        <v>224</v>
      </c>
    </row>
    <row r="112" spans="1:5" x14ac:dyDescent="0.25">
      <c r="A112" s="24" t="s">
        <v>7</v>
      </c>
      <c r="B112" s="24" t="s">
        <v>192</v>
      </c>
      <c r="C112" s="25" t="s">
        <v>193</v>
      </c>
      <c r="D112" s="25" t="s">
        <v>194</v>
      </c>
      <c r="E112" s="26">
        <v>2416</v>
      </c>
    </row>
    <row r="113" spans="1:5" x14ac:dyDescent="0.25">
      <c r="A113" s="24" t="s">
        <v>7</v>
      </c>
      <c r="B113" s="24" t="s">
        <v>195</v>
      </c>
      <c r="C113" s="25" t="s">
        <v>196</v>
      </c>
      <c r="D113" s="25" t="s">
        <v>197</v>
      </c>
      <c r="E113" s="26">
        <v>561</v>
      </c>
    </row>
    <row r="114" spans="1:5" x14ac:dyDescent="0.25">
      <c r="A114" s="24" t="s">
        <v>7</v>
      </c>
      <c r="B114" s="24" t="s">
        <v>198</v>
      </c>
      <c r="C114" s="25" t="s">
        <v>199</v>
      </c>
      <c r="D114" s="25" t="s">
        <v>200</v>
      </c>
      <c r="E114" s="26">
        <v>2514</v>
      </c>
    </row>
    <row r="115" spans="1:5" x14ac:dyDescent="0.25">
      <c r="A115" s="24" t="s">
        <v>7</v>
      </c>
      <c r="B115" s="24" t="s">
        <v>201</v>
      </c>
      <c r="C115" s="25" t="s">
        <v>202</v>
      </c>
      <c r="D115" s="25" t="s">
        <v>203</v>
      </c>
      <c r="E115" s="26">
        <v>475</v>
      </c>
    </row>
    <row r="116" spans="1:5" x14ac:dyDescent="0.25">
      <c r="A116" s="24" t="s">
        <v>7</v>
      </c>
      <c r="B116" s="24" t="s">
        <v>204</v>
      </c>
      <c r="C116" s="25" t="s">
        <v>205</v>
      </c>
      <c r="D116" s="25" t="s">
        <v>206</v>
      </c>
      <c r="E116" s="26">
        <v>260</v>
      </c>
    </row>
    <row r="117" spans="1:5" x14ac:dyDescent="0.25">
      <c r="A117" s="24" t="s">
        <v>7</v>
      </c>
      <c r="B117" s="24" t="s">
        <v>207</v>
      </c>
      <c r="C117" s="25" t="s">
        <v>208</v>
      </c>
      <c r="D117" s="25" t="s">
        <v>209</v>
      </c>
      <c r="E117" s="26">
        <v>2249</v>
      </c>
    </row>
    <row r="118" spans="1:5" x14ac:dyDescent="0.25">
      <c r="A118" s="24" t="s">
        <v>7</v>
      </c>
      <c r="B118" s="24" t="s">
        <v>210</v>
      </c>
      <c r="C118" s="25" t="s">
        <v>211</v>
      </c>
      <c r="D118" s="25" t="s">
        <v>212</v>
      </c>
      <c r="E118" s="26">
        <v>4490</v>
      </c>
    </row>
    <row r="119" spans="1:5" x14ac:dyDescent="0.25">
      <c r="A119" s="24" t="s">
        <v>7</v>
      </c>
      <c r="B119" s="24" t="s">
        <v>213</v>
      </c>
      <c r="C119" s="25" t="s">
        <v>214</v>
      </c>
      <c r="D119" s="25" t="s">
        <v>215</v>
      </c>
      <c r="E119" s="26">
        <v>616</v>
      </c>
    </row>
    <row r="120" spans="1:5" x14ac:dyDescent="0.25">
      <c r="A120" s="24" t="s">
        <v>7</v>
      </c>
      <c r="B120" s="24" t="s">
        <v>216</v>
      </c>
      <c r="C120" s="25" t="s">
        <v>217</v>
      </c>
      <c r="D120" s="25" t="s">
        <v>218</v>
      </c>
      <c r="E120" s="26">
        <v>267</v>
      </c>
    </row>
    <row r="121" spans="1:5" x14ac:dyDescent="0.25">
      <c r="A121" s="24" t="s">
        <v>7</v>
      </c>
      <c r="B121" s="24" t="s">
        <v>219</v>
      </c>
      <c r="C121" s="25" t="s">
        <v>220</v>
      </c>
      <c r="D121" s="25" t="s">
        <v>221</v>
      </c>
      <c r="E121" s="26">
        <v>560</v>
      </c>
    </row>
    <row r="122" spans="1:5" x14ac:dyDescent="0.25">
      <c r="A122" s="24" t="s">
        <v>7</v>
      </c>
      <c r="B122" s="24" t="s">
        <v>222</v>
      </c>
      <c r="C122" s="25" t="s">
        <v>223</v>
      </c>
      <c r="D122" s="25" t="s">
        <v>224</v>
      </c>
      <c r="E122" s="26">
        <v>548</v>
      </c>
    </row>
    <row r="123" spans="1:5" x14ac:dyDescent="0.25">
      <c r="A123" s="24" t="s">
        <v>7</v>
      </c>
      <c r="B123" s="24" t="s">
        <v>225</v>
      </c>
      <c r="C123" s="25" t="s">
        <v>226</v>
      </c>
      <c r="D123" s="25" t="s">
        <v>227</v>
      </c>
      <c r="E123" s="26">
        <v>524</v>
      </c>
    </row>
    <row r="124" spans="1:5" x14ac:dyDescent="0.25">
      <c r="A124" s="24" t="s">
        <v>7</v>
      </c>
      <c r="B124" s="24" t="s">
        <v>228</v>
      </c>
      <c r="C124" s="25" t="s">
        <v>229</v>
      </c>
      <c r="D124" s="25" t="s">
        <v>230</v>
      </c>
      <c r="E124" s="26">
        <v>148</v>
      </c>
    </row>
    <row r="125" spans="1:5" x14ac:dyDescent="0.25">
      <c r="A125" s="24" t="s">
        <v>7</v>
      </c>
      <c r="B125" s="24" t="s">
        <v>231</v>
      </c>
      <c r="C125" s="25" t="s">
        <v>232</v>
      </c>
      <c r="D125" s="25" t="s">
        <v>233</v>
      </c>
      <c r="E125" s="26">
        <v>397</v>
      </c>
    </row>
    <row r="126" spans="1:5" x14ac:dyDescent="0.25">
      <c r="A126" s="24" t="s">
        <v>7</v>
      </c>
      <c r="B126" s="24" t="s">
        <v>234</v>
      </c>
      <c r="C126" s="25" t="s">
        <v>235</v>
      </c>
      <c r="D126" s="25" t="s">
        <v>236</v>
      </c>
      <c r="E126" s="26">
        <v>139</v>
      </c>
    </row>
    <row r="127" spans="1:5" x14ac:dyDescent="0.25">
      <c r="A127" s="24" t="s">
        <v>7</v>
      </c>
      <c r="B127" s="24" t="s">
        <v>237</v>
      </c>
      <c r="C127" s="25" t="s">
        <v>238</v>
      </c>
      <c r="D127" s="25" t="s">
        <v>239</v>
      </c>
      <c r="E127" s="26">
        <v>251</v>
      </c>
    </row>
    <row r="128" spans="1:5" x14ac:dyDescent="0.25">
      <c r="A128" s="24" t="s">
        <v>7</v>
      </c>
      <c r="B128" s="24" t="s">
        <v>240</v>
      </c>
      <c r="C128" s="25" t="s">
        <v>241</v>
      </c>
      <c r="D128" s="25" t="s">
        <v>242</v>
      </c>
      <c r="E128" s="26">
        <v>167</v>
      </c>
    </row>
    <row r="129" spans="1:5" x14ac:dyDescent="0.25">
      <c r="A129" s="24" t="s">
        <v>7</v>
      </c>
      <c r="B129" s="24" t="s">
        <v>243</v>
      </c>
      <c r="C129" s="25" t="s">
        <v>244</v>
      </c>
      <c r="D129" s="25" t="s">
        <v>245</v>
      </c>
      <c r="E129" s="26">
        <v>718</v>
      </c>
    </row>
    <row r="130" spans="1:5" x14ac:dyDescent="0.25">
      <c r="A130" s="24" t="s">
        <v>7</v>
      </c>
      <c r="B130" s="24" t="s">
        <v>246</v>
      </c>
      <c r="C130" s="25" t="s">
        <v>247</v>
      </c>
      <c r="D130" s="25" t="s">
        <v>248</v>
      </c>
      <c r="E130" s="26">
        <v>433</v>
      </c>
    </row>
    <row r="131" spans="1:5" x14ac:dyDescent="0.25">
      <c r="A131" s="24" t="s">
        <v>7</v>
      </c>
      <c r="B131" s="24" t="s">
        <v>249</v>
      </c>
      <c r="C131" s="25" t="s">
        <v>250</v>
      </c>
      <c r="D131" s="25" t="s">
        <v>251</v>
      </c>
      <c r="E131" s="26">
        <v>2786</v>
      </c>
    </row>
    <row r="132" spans="1:5" x14ac:dyDescent="0.25">
      <c r="A132" s="24" t="s">
        <v>7</v>
      </c>
      <c r="B132" s="24" t="s">
        <v>252</v>
      </c>
      <c r="C132" s="25" t="s">
        <v>253</v>
      </c>
      <c r="D132" s="25" t="s">
        <v>254</v>
      </c>
      <c r="E132" s="26">
        <v>645</v>
      </c>
    </row>
    <row r="133" spans="1:5" x14ac:dyDescent="0.25">
      <c r="A133" s="24" t="s">
        <v>7</v>
      </c>
      <c r="B133" s="24" t="s">
        <v>255</v>
      </c>
      <c r="C133" s="25" t="s">
        <v>256</v>
      </c>
      <c r="D133" s="25" t="s">
        <v>257</v>
      </c>
      <c r="E133" s="26">
        <v>3132</v>
      </c>
    </row>
    <row r="134" spans="1:5" x14ac:dyDescent="0.25">
      <c r="A134" s="24" t="s">
        <v>7</v>
      </c>
      <c r="B134" s="24" t="s">
        <v>258</v>
      </c>
      <c r="C134" s="25" t="s">
        <v>259</v>
      </c>
      <c r="D134" s="25" t="s">
        <v>260</v>
      </c>
      <c r="E134" s="26">
        <v>686</v>
      </c>
    </row>
    <row r="135" spans="1:5" x14ac:dyDescent="0.25">
      <c r="A135" s="24" t="s">
        <v>7</v>
      </c>
      <c r="B135" s="24" t="s">
        <v>261</v>
      </c>
      <c r="C135" s="25" t="s">
        <v>262</v>
      </c>
      <c r="D135" s="25" t="s">
        <v>263</v>
      </c>
      <c r="E135" s="26">
        <v>5106</v>
      </c>
    </row>
    <row r="136" spans="1:5" x14ac:dyDescent="0.25">
      <c r="A136" s="24" t="s">
        <v>7</v>
      </c>
      <c r="B136" s="24" t="s">
        <v>264</v>
      </c>
      <c r="C136" s="25" t="s">
        <v>265</v>
      </c>
      <c r="D136" s="25" t="s">
        <v>266</v>
      </c>
      <c r="E136" s="26">
        <v>944</v>
      </c>
    </row>
    <row r="137" spans="1:5" x14ac:dyDescent="0.25">
      <c r="A137" s="24" t="s">
        <v>7</v>
      </c>
      <c r="B137" s="24" t="s">
        <v>267</v>
      </c>
      <c r="C137" s="25" t="s">
        <v>268</v>
      </c>
      <c r="D137" s="25" t="s">
        <v>269</v>
      </c>
      <c r="E137" s="26">
        <v>9450</v>
      </c>
    </row>
    <row r="138" spans="1:5" x14ac:dyDescent="0.25">
      <c r="A138" s="24" t="s">
        <v>7</v>
      </c>
      <c r="B138" s="24" t="s">
        <v>270</v>
      </c>
      <c r="C138" s="25" t="s">
        <v>271</v>
      </c>
      <c r="D138" s="25" t="s">
        <v>272</v>
      </c>
      <c r="E138" s="26">
        <v>8351</v>
      </c>
    </row>
    <row r="139" spans="1:5" x14ac:dyDescent="0.25">
      <c r="A139" s="24" t="s">
        <v>7</v>
      </c>
      <c r="B139" s="24" t="s">
        <v>273</v>
      </c>
      <c r="C139" s="25" t="s">
        <v>274</v>
      </c>
      <c r="D139" s="25" t="s">
        <v>275</v>
      </c>
      <c r="E139" s="26">
        <v>5246</v>
      </c>
    </row>
    <row r="140" spans="1:5" x14ac:dyDescent="0.25">
      <c r="A140" s="24" t="s">
        <v>7</v>
      </c>
      <c r="B140" s="24" t="s">
        <v>276</v>
      </c>
      <c r="C140" s="25" t="s">
        <v>277</v>
      </c>
      <c r="D140" s="25" t="s">
        <v>278</v>
      </c>
      <c r="E140" s="26">
        <v>2859</v>
      </c>
    </row>
    <row r="141" spans="1:5" x14ac:dyDescent="0.25">
      <c r="A141" s="24" t="s">
        <v>7</v>
      </c>
      <c r="B141" s="24" t="s">
        <v>279</v>
      </c>
      <c r="C141" s="25" t="s">
        <v>280</v>
      </c>
      <c r="D141" s="25" t="s">
        <v>281</v>
      </c>
      <c r="E141" s="26">
        <v>10126</v>
      </c>
    </row>
    <row r="142" spans="1:5" x14ac:dyDescent="0.25">
      <c r="A142" s="24" t="s">
        <v>7</v>
      </c>
      <c r="B142" s="24" t="s">
        <v>282</v>
      </c>
      <c r="C142" s="25" t="s">
        <v>283</v>
      </c>
      <c r="D142" s="25" t="s">
        <v>284</v>
      </c>
      <c r="E142" s="26">
        <v>2460</v>
      </c>
    </row>
    <row r="143" spans="1:5" x14ac:dyDescent="0.25">
      <c r="A143" s="24" t="s">
        <v>7</v>
      </c>
      <c r="B143" s="24" t="s">
        <v>285</v>
      </c>
      <c r="C143" s="25" t="s">
        <v>286</v>
      </c>
      <c r="D143" s="25" t="s">
        <v>287</v>
      </c>
      <c r="E143" s="26">
        <v>13019</v>
      </c>
    </row>
    <row r="144" spans="1:5" x14ac:dyDescent="0.25">
      <c r="A144" s="24" t="s">
        <v>7</v>
      </c>
      <c r="B144" s="24" t="s">
        <v>288</v>
      </c>
      <c r="C144" s="25" t="s">
        <v>289</v>
      </c>
      <c r="D144" s="25" t="s">
        <v>290</v>
      </c>
      <c r="E144" s="26">
        <v>2893</v>
      </c>
    </row>
    <row r="145" spans="1:5" x14ac:dyDescent="0.25">
      <c r="A145" s="24" t="s">
        <v>7</v>
      </c>
      <c r="B145" s="24" t="s">
        <v>291</v>
      </c>
      <c r="C145" s="25" t="s">
        <v>292</v>
      </c>
      <c r="D145" s="25" t="s">
        <v>293</v>
      </c>
      <c r="E145" s="26">
        <v>17358</v>
      </c>
    </row>
    <row r="146" spans="1:5" x14ac:dyDescent="0.25">
      <c r="A146" s="24" t="s">
        <v>7</v>
      </c>
      <c r="B146" s="24" t="s">
        <v>294</v>
      </c>
      <c r="C146" s="25" t="s">
        <v>295</v>
      </c>
      <c r="D146" s="25" t="s">
        <v>296</v>
      </c>
      <c r="E146" s="26">
        <v>4340</v>
      </c>
    </row>
    <row r="147" spans="1:5" x14ac:dyDescent="0.25">
      <c r="A147" s="24" t="s">
        <v>7</v>
      </c>
      <c r="B147" s="24" t="s">
        <v>297</v>
      </c>
      <c r="C147" s="25" t="s">
        <v>298</v>
      </c>
      <c r="D147" s="25" t="s">
        <v>299</v>
      </c>
      <c r="E147" s="26">
        <v>1018</v>
      </c>
    </row>
    <row r="148" spans="1:5" x14ac:dyDescent="0.25">
      <c r="A148" s="24" t="s">
        <v>7</v>
      </c>
      <c r="B148" s="24" t="s">
        <v>300</v>
      </c>
      <c r="C148" s="25" t="s">
        <v>301</v>
      </c>
      <c r="D148" s="25" t="s">
        <v>302</v>
      </c>
      <c r="E148" s="26">
        <v>400</v>
      </c>
    </row>
    <row r="149" spans="1:5" x14ac:dyDescent="0.25">
      <c r="A149" s="24" t="s">
        <v>7</v>
      </c>
      <c r="B149" s="24" t="s">
        <v>303</v>
      </c>
      <c r="C149" s="25" t="s">
        <v>304</v>
      </c>
      <c r="D149" s="25" t="s">
        <v>304</v>
      </c>
      <c r="E149" s="26">
        <v>3777</v>
      </c>
    </row>
    <row r="150" spans="1:5" x14ac:dyDescent="0.25">
      <c r="A150" s="24" t="s">
        <v>7</v>
      </c>
      <c r="B150" s="24" t="s">
        <v>305</v>
      </c>
      <c r="C150" s="25" t="s">
        <v>306</v>
      </c>
      <c r="D150" s="25" t="s">
        <v>307</v>
      </c>
      <c r="E150" s="26">
        <v>8116</v>
      </c>
    </row>
    <row r="151" spans="1:5" x14ac:dyDescent="0.25">
      <c r="A151" s="24" t="s">
        <v>7</v>
      </c>
      <c r="B151" s="24" t="s">
        <v>308</v>
      </c>
      <c r="C151" s="25" t="s">
        <v>309</v>
      </c>
      <c r="D151" s="25" t="s">
        <v>310</v>
      </c>
      <c r="E151" s="26">
        <v>895</v>
      </c>
    </row>
    <row r="152" spans="1:5" x14ac:dyDescent="0.25">
      <c r="A152" s="24" t="s">
        <v>7</v>
      </c>
      <c r="B152" s="24" t="s">
        <v>311</v>
      </c>
      <c r="C152" s="25" t="s">
        <v>312</v>
      </c>
      <c r="D152" s="25" t="s">
        <v>313</v>
      </c>
      <c r="E152" s="26">
        <v>75</v>
      </c>
    </row>
    <row r="153" spans="1:5" x14ac:dyDescent="0.25">
      <c r="A153" s="24" t="s">
        <v>7</v>
      </c>
      <c r="B153" s="24" t="s">
        <v>314</v>
      </c>
      <c r="C153" s="25" t="s">
        <v>202</v>
      </c>
      <c r="D153" s="25" t="s">
        <v>203</v>
      </c>
      <c r="E153" s="26">
        <v>75</v>
      </c>
    </row>
    <row r="154" spans="1:5" x14ac:dyDescent="0.25">
      <c r="A154" s="24" t="s">
        <v>7</v>
      </c>
      <c r="B154" s="24" t="s">
        <v>315</v>
      </c>
      <c r="C154" s="25" t="s">
        <v>205</v>
      </c>
      <c r="D154" s="25" t="s">
        <v>206</v>
      </c>
      <c r="E154" s="26">
        <v>221</v>
      </c>
    </row>
    <row r="155" spans="1:5" x14ac:dyDescent="0.25">
      <c r="A155" s="24" t="s">
        <v>7</v>
      </c>
      <c r="B155" s="24" t="s">
        <v>316</v>
      </c>
      <c r="C155" s="25" t="s">
        <v>317</v>
      </c>
      <c r="D155" s="25" t="s">
        <v>318</v>
      </c>
      <c r="E155" s="26">
        <v>7656</v>
      </c>
    </row>
    <row r="156" spans="1:5" x14ac:dyDescent="0.25">
      <c r="A156" s="24" t="s">
        <v>7</v>
      </c>
      <c r="B156" s="24" t="s">
        <v>319</v>
      </c>
      <c r="C156" s="25" t="s">
        <v>320</v>
      </c>
      <c r="D156" s="25" t="s">
        <v>321</v>
      </c>
      <c r="E156" s="26">
        <v>14265</v>
      </c>
    </row>
    <row r="157" spans="1:5" x14ac:dyDescent="0.25">
      <c r="A157" s="24" t="s">
        <v>7</v>
      </c>
      <c r="B157" s="24" t="s">
        <v>322</v>
      </c>
      <c r="C157" s="25" t="s">
        <v>323</v>
      </c>
      <c r="D157" s="25" t="s">
        <v>324</v>
      </c>
      <c r="E157" s="26">
        <v>13458</v>
      </c>
    </row>
    <row r="158" spans="1:5" x14ac:dyDescent="0.25">
      <c r="A158" s="24" t="s">
        <v>7</v>
      </c>
      <c r="B158" s="24" t="s">
        <v>325</v>
      </c>
      <c r="C158" s="25" t="s">
        <v>326</v>
      </c>
      <c r="D158" s="25" t="s">
        <v>326</v>
      </c>
      <c r="E158" s="26">
        <v>11424</v>
      </c>
    </row>
    <row r="159" spans="1:5" x14ac:dyDescent="0.25">
      <c r="A159" s="24" t="s">
        <v>7</v>
      </c>
      <c r="B159" s="24" t="s">
        <v>327</v>
      </c>
      <c r="C159" s="25" t="s">
        <v>328</v>
      </c>
      <c r="D159" s="25" t="s">
        <v>329</v>
      </c>
      <c r="E159" s="26">
        <v>540</v>
      </c>
    </row>
    <row r="160" spans="1:5" x14ac:dyDescent="0.25">
      <c r="A160" s="24" t="s">
        <v>7</v>
      </c>
      <c r="B160" s="24" t="s">
        <v>330</v>
      </c>
      <c r="C160" s="25" t="s">
        <v>331</v>
      </c>
      <c r="D160" s="25" t="s">
        <v>332</v>
      </c>
      <c r="E160" s="26">
        <v>42</v>
      </c>
    </row>
    <row r="161" spans="1:5" x14ac:dyDescent="0.25">
      <c r="A161" s="24" t="s">
        <v>7</v>
      </c>
      <c r="B161" s="24" t="s">
        <v>333</v>
      </c>
      <c r="C161" s="25" t="s">
        <v>334</v>
      </c>
      <c r="D161" s="25" t="s">
        <v>335</v>
      </c>
      <c r="E161" s="26">
        <v>6364</v>
      </c>
    </row>
    <row r="162" spans="1:5" x14ac:dyDescent="0.25">
      <c r="A162" s="24" t="s">
        <v>7</v>
      </c>
      <c r="B162" s="24" t="s">
        <v>336</v>
      </c>
      <c r="C162" s="25" t="s">
        <v>337</v>
      </c>
      <c r="D162" s="25" t="s">
        <v>338</v>
      </c>
      <c r="E162" s="26">
        <v>1952</v>
      </c>
    </row>
    <row r="163" spans="1:5" x14ac:dyDescent="0.25">
      <c r="A163" s="24" t="s">
        <v>7</v>
      </c>
      <c r="B163" s="24" t="s">
        <v>339</v>
      </c>
      <c r="C163" s="25" t="s">
        <v>340</v>
      </c>
      <c r="D163" s="25" t="s">
        <v>281</v>
      </c>
      <c r="E163" s="26">
        <v>10126</v>
      </c>
    </row>
    <row r="164" spans="1:5" x14ac:dyDescent="0.25">
      <c r="A164" s="24" t="s">
        <v>7</v>
      </c>
      <c r="B164" s="24" t="s">
        <v>341</v>
      </c>
      <c r="C164" s="25" t="s">
        <v>342</v>
      </c>
      <c r="D164" s="25" t="s">
        <v>343</v>
      </c>
      <c r="E164" s="26">
        <v>2460</v>
      </c>
    </row>
    <row r="165" spans="1:5" x14ac:dyDescent="0.25">
      <c r="A165" s="24" t="s">
        <v>7</v>
      </c>
      <c r="B165" s="24" t="s">
        <v>344</v>
      </c>
      <c r="C165" s="25" t="s">
        <v>345</v>
      </c>
      <c r="D165" s="25" t="s">
        <v>287</v>
      </c>
      <c r="E165" s="26">
        <v>13019</v>
      </c>
    </row>
    <row r="166" spans="1:5" x14ac:dyDescent="0.25">
      <c r="A166" s="24" t="s">
        <v>7</v>
      </c>
      <c r="B166" s="24" t="s">
        <v>346</v>
      </c>
      <c r="C166" s="25" t="s">
        <v>347</v>
      </c>
      <c r="D166" s="25" t="s">
        <v>290</v>
      </c>
      <c r="E166" s="26">
        <v>2893</v>
      </c>
    </row>
    <row r="167" spans="1:5" x14ac:dyDescent="0.25">
      <c r="A167" s="24" t="s">
        <v>7</v>
      </c>
      <c r="B167" s="24" t="s">
        <v>348</v>
      </c>
      <c r="C167" s="25" t="s">
        <v>349</v>
      </c>
      <c r="D167" s="25" t="s">
        <v>293</v>
      </c>
      <c r="E167" s="26">
        <v>17358</v>
      </c>
    </row>
    <row r="168" spans="1:5" x14ac:dyDescent="0.25">
      <c r="A168" s="24" t="s">
        <v>7</v>
      </c>
      <c r="B168" s="24" t="s">
        <v>350</v>
      </c>
      <c r="C168" s="25" t="s">
        <v>351</v>
      </c>
      <c r="D168" s="25" t="s">
        <v>352</v>
      </c>
      <c r="E168" s="26">
        <v>4340</v>
      </c>
    </row>
    <row r="169" spans="1:5" x14ac:dyDescent="0.25">
      <c r="A169" s="24" t="s">
        <v>7</v>
      </c>
      <c r="B169" s="24" t="s">
        <v>353</v>
      </c>
      <c r="C169" s="25" t="s">
        <v>354</v>
      </c>
      <c r="D169" s="25" t="s">
        <v>355</v>
      </c>
      <c r="E169" s="26">
        <v>13060</v>
      </c>
    </row>
    <row r="170" spans="1:5" x14ac:dyDescent="0.25">
      <c r="A170" s="24" t="s">
        <v>7</v>
      </c>
      <c r="B170" s="24" t="s">
        <v>356</v>
      </c>
      <c r="C170" s="25" t="s">
        <v>357</v>
      </c>
      <c r="D170" s="25" t="s">
        <v>355</v>
      </c>
      <c r="E170" s="26">
        <v>6228</v>
      </c>
    </row>
    <row r="171" spans="1:5" x14ac:dyDescent="0.25">
      <c r="A171" s="24" t="s">
        <v>7</v>
      </c>
      <c r="B171" s="24" t="s">
        <v>358</v>
      </c>
      <c r="C171" s="25" t="s">
        <v>359</v>
      </c>
      <c r="D171" s="25" t="s">
        <v>360</v>
      </c>
      <c r="E171" s="26">
        <v>19065</v>
      </c>
    </row>
    <row r="172" spans="1:5" x14ac:dyDescent="0.25">
      <c r="A172" s="24" t="s">
        <v>7</v>
      </c>
      <c r="B172" s="24" t="s">
        <v>361</v>
      </c>
      <c r="C172" s="25" t="s">
        <v>362</v>
      </c>
      <c r="D172" s="25" t="s">
        <v>360</v>
      </c>
      <c r="E172" s="26">
        <v>9233</v>
      </c>
    </row>
    <row r="173" spans="1:5" x14ac:dyDescent="0.25">
      <c r="A173" s="24" t="s">
        <v>7</v>
      </c>
      <c r="B173" s="24" t="s">
        <v>363</v>
      </c>
      <c r="C173" s="25" t="s">
        <v>364</v>
      </c>
      <c r="D173" s="25" t="s">
        <v>365</v>
      </c>
      <c r="E173" s="26">
        <v>11963</v>
      </c>
    </row>
    <row r="174" spans="1:5" x14ac:dyDescent="0.25">
      <c r="A174" s="24" t="s">
        <v>7</v>
      </c>
      <c r="B174" s="24" t="s">
        <v>366</v>
      </c>
      <c r="C174" s="25" t="s">
        <v>367</v>
      </c>
      <c r="D174" s="25" t="s">
        <v>365</v>
      </c>
      <c r="E174" s="26">
        <v>5705</v>
      </c>
    </row>
    <row r="175" spans="1:5" x14ac:dyDescent="0.25">
      <c r="A175" s="24" t="s">
        <v>7</v>
      </c>
      <c r="B175" s="24" t="s">
        <v>368</v>
      </c>
      <c r="C175" s="25" t="s">
        <v>369</v>
      </c>
      <c r="D175" s="25" t="s">
        <v>370</v>
      </c>
      <c r="E175" s="26">
        <v>15153</v>
      </c>
    </row>
    <row r="176" spans="1:5" x14ac:dyDescent="0.25">
      <c r="A176" s="24" t="s">
        <v>7</v>
      </c>
      <c r="B176" s="24" t="s">
        <v>371</v>
      </c>
      <c r="C176" s="25" t="s">
        <v>372</v>
      </c>
      <c r="D176" s="25" t="s">
        <v>370</v>
      </c>
      <c r="E176" s="26">
        <v>7293</v>
      </c>
    </row>
    <row r="177" spans="1:5" x14ac:dyDescent="0.25">
      <c r="A177" s="24" t="s">
        <v>7</v>
      </c>
      <c r="B177" s="24" t="s">
        <v>373</v>
      </c>
      <c r="C177" s="25" t="s">
        <v>374</v>
      </c>
      <c r="D177" s="25" t="s">
        <v>375</v>
      </c>
      <c r="E177" s="26">
        <v>19065</v>
      </c>
    </row>
    <row r="178" spans="1:5" x14ac:dyDescent="0.25">
      <c r="A178" s="24" t="s">
        <v>7</v>
      </c>
      <c r="B178" s="24" t="s">
        <v>376</v>
      </c>
      <c r="C178" s="25" t="s">
        <v>377</v>
      </c>
      <c r="D178" s="25" t="s">
        <v>375</v>
      </c>
      <c r="E178" s="26">
        <v>9233</v>
      </c>
    </row>
    <row r="179" spans="1:5" x14ac:dyDescent="0.25">
      <c r="A179" s="24" t="s">
        <v>7</v>
      </c>
      <c r="B179" s="24" t="s">
        <v>378</v>
      </c>
      <c r="C179" s="25" t="s">
        <v>379</v>
      </c>
      <c r="D179" s="25" t="s">
        <v>380</v>
      </c>
      <c r="E179" s="26">
        <v>10126</v>
      </c>
    </row>
    <row r="180" spans="1:5" x14ac:dyDescent="0.25">
      <c r="A180" s="24" t="s">
        <v>7</v>
      </c>
      <c r="B180" s="24" t="s">
        <v>381</v>
      </c>
      <c r="C180" s="25" t="s">
        <v>382</v>
      </c>
      <c r="D180" s="25" t="s">
        <v>380</v>
      </c>
      <c r="E180" s="26">
        <v>2460</v>
      </c>
    </row>
    <row r="181" spans="1:5" x14ac:dyDescent="0.25">
      <c r="A181" s="24" t="s">
        <v>7</v>
      </c>
      <c r="B181" s="24" t="s">
        <v>383</v>
      </c>
      <c r="C181" s="25" t="s">
        <v>384</v>
      </c>
      <c r="D181" s="25" t="s">
        <v>385</v>
      </c>
      <c r="E181" s="26">
        <v>13019</v>
      </c>
    </row>
    <row r="182" spans="1:5" x14ac:dyDescent="0.25">
      <c r="A182" s="24" t="s">
        <v>7</v>
      </c>
      <c r="B182" s="24" t="s">
        <v>386</v>
      </c>
      <c r="C182" s="25" t="s">
        <v>387</v>
      </c>
      <c r="D182" s="25" t="s">
        <v>385</v>
      </c>
      <c r="E182" s="26">
        <v>2893</v>
      </c>
    </row>
    <row r="183" spans="1:5" x14ac:dyDescent="0.25">
      <c r="A183" s="24" t="s">
        <v>7</v>
      </c>
      <c r="B183" s="24" t="s">
        <v>388</v>
      </c>
      <c r="C183" s="25" t="s">
        <v>389</v>
      </c>
      <c r="D183" s="25" t="s">
        <v>390</v>
      </c>
      <c r="E183" s="26">
        <v>17358</v>
      </c>
    </row>
    <row r="184" spans="1:5" x14ac:dyDescent="0.25">
      <c r="A184" s="24" t="s">
        <v>7</v>
      </c>
      <c r="B184" s="24" t="s">
        <v>391</v>
      </c>
      <c r="C184" s="25" t="s">
        <v>392</v>
      </c>
      <c r="D184" s="25" t="s">
        <v>390</v>
      </c>
      <c r="E184" s="26">
        <v>4340</v>
      </c>
    </row>
    <row r="185" spans="1:5" x14ac:dyDescent="0.25">
      <c r="A185" s="24" t="s">
        <v>7</v>
      </c>
      <c r="B185" s="24" t="s">
        <v>393</v>
      </c>
      <c r="C185" s="25" t="s">
        <v>394</v>
      </c>
      <c r="D185" s="25" t="s">
        <v>395</v>
      </c>
      <c r="E185" s="26">
        <v>520</v>
      </c>
    </row>
    <row r="186" spans="1:5" x14ac:dyDescent="0.25">
      <c r="A186" s="24" t="s">
        <v>7</v>
      </c>
      <c r="B186" s="24" t="s">
        <v>396</v>
      </c>
      <c r="C186" s="25" t="s">
        <v>397</v>
      </c>
      <c r="D186" s="25" t="s">
        <v>398</v>
      </c>
      <c r="E186" s="26">
        <v>646</v>
      </c>
    </row>
    <row r="187" spans="1:5" x14ac:dyDescent="0.25">
      <c r="A187" s="24" t="s">
        <v>7</v>
      </c>
      <c r="B187" s="24" t="s">
        <v>399</v>
      </c>
      <c r="C187" s="25" t="s">
        <v>400</v>
      </c>
      <c r="D187" s="25" t="s">
        <v>299</v>
      </c>
      <c r="E187" s="26">
        <v>1018</v>
      </c>
    </row>
    <row r="188" spans="1:5" x14ac:dyDescent="0.25">
      <c r="A188" s="24" t="s">
        <v>7</v>
      </c>
      <c r="B188" s="24" t="s">
        <v>401</v>
      </c>
      <c r="C188" s="25" t="s">
        <v>402</v>
      </c>
      <c r="D188" s="25" t="s">
        <v>403</v>
      </c>
      <c r="E188" s="26">
        <v>573</v>
      </c>
    </row>
    <row r="189" spans="1:5" x14ac:dyDescent="0.25">
      <c r="A189" s="24" t="s">
        <v>7</v>
      </c>
      <c r="B189" s="24" t="s">
        <v>404</v>
      </c>
      <c r="C189" s="25" t="s">
        <v>405</v>
      </c>
      <c r="D189" s="25" t="s">
        <v>406</v>
      </c>
      <c r="E189" s="26">
        <v>10126</v>
      </c>
    </row>
    <row r="190" spans="1:5" x14ac:dyDescent="0.25">
      <c r="A190" s="24" t="s">
        <v>7</v>
      </c>
      <c r="B190" s="24" t="s">
        <v>407</v>
      </c>
      <c r="C190" s="25" t="s">
        <v>408</v>
      </c>
      <c r="D190" s="25" t="s">
        <v>409</v>
      </c>
      <c r="E190" s="26">
        <v>2460</v>
      </c>
    </row>
    <row r="191" spans="1:5" x14ac:dyDescent="0.25">
      <c r="A191" s="24" t="s">
        <v>7</v>
      </c>
      <c r="B191" s="24" t="s">
        <v>410</v>
      </c>
      <c r="C191" s="25" t="s">
        <v>394</v>
      </c>
      <c r="D191" s="25" t="s">
        <v>411</v>
      </c>
      <c r="E191" s="26">
        <v>520</v>
      </c>
    </row>
    <row r="192" spans="1:5" x14ac:dyDescent="0.25">
      <c r="A192" s="24" t="s">
        <v>7</v>
      </c>
      <c r="B192" s="24" t="s">
        <v>412</v>
      </c>
      <c r="C192" s="25" t="s">
        <v>397</v>
      </c>
      <c r="D192" s="25" t="s">
        <v>398</v>
      </c>
      <c r="E192" s="26">
        <v>646</v>
      </c>
    </row>
    <row r="193" spans="1:5" x14ac:dyDescent="0.25">
      <c r="A193" s="24" t="s">
        <v>7</v>
      </c>
      <c r="B193" s="24" t="s">
        <v>413</v>
      </c>
      <c r="C193" s="25" t="s">
        <v>334</v>
      </c>
      <c r="D193" s="25" t="s">
        <v>414</v>
      </c>
      <c r="E193" s="26">
        <v>8993</v>
      </c>
    </row>
    <row r="194" spans="1:5" x14ac:dyDescent="0.25">
      <c r="A194" s="24" t="s">
        <v>7</v>
      </c>
      <c r="B194" s="24" t="s">
        <v>415</v>
      </c>
      <c r="C194" s="25" t="s">
        <v>416</v>
      </c>
      <c r="D194" s="25" t="s">
        <v>417</v>
      </c>
      <c r="E194" s="26">
        <v>4226</v>
      </c>
    </row>
    <row r="195" spans="1:5" x14ac:dyDescent="0.25">
      <c r="A195" s="24" t="s">
        <v>7</v>
      </c>
      <c r="B195" s="24" t="s">
        <v>418</v>
      </c>
      <c r="C195" s="25" t="s">
        <v>419</v>
      </c>
      <c r="D195" s="25" t="s">
        <v>420</v>
      </c>
      <c r="E195" s="26">
        <v>18217</v>
      </c>
    </row>
    <row r="196" spans="1:5" x14ac:dyDescent="0.25">
      <c r="A196" s="24" t="s">
        <v>7</v>
      </c>
      <c r="B196" s="24" t="s">
        <v>421</v>
      </c>
      <c r="C196" s="25" t="s">
        <v>422</v>
      </c>
      <c r="D196" s="25" t="s">
        <v>284</v>
      </c>
      <c r="E196" s="26">
        <v>8294</v>
      </c>
    </row>
    <row r="197" spans="1:5" x14ac:dyDescent="0.25">
      <c r="A197" s="24" t="s">
        <v>7</v>
      </c>
      <c r="B197" s="24" t="s">
        <v>423</v>
      </c>
      <c r="C197" s="25" t="s">
        <v>424</v>
      </c>
      <c r="D197" s="25" t="s">
        <v>425</v>
      </c>
      <c r="E197" s="26">
        <v>14362</v>
      </c>
    </row>
    <row r="198" spans="1:5" x14ac:dyDescent="0.25">
      <c r="A198" s="24" t="s">
        <v>7</v>
      </c>
      <c r="B198" s="24" t="s">
        <v>426</v>
      </c>
      <c r="C198" s="25" t="s">
        <v>427</v>
      </c>
      <c r="D198" s="25" t="s">
        <v>290</v>
      </c>
      <c r="E198" s="26">
        <v>6912</v>
      </c>
    </row>
    <row r="199" spans="1:5" x14ac:dyDescent="0.25">
      <c r="A199" s="24" t="s">
        <v>7</v>
      </c>
      <c r="B199" s="24" t="s">
        <v>428</v>
      </c>
      <c r="C199" s="25" t="s">
        <v>429</v>
      </c>
      <c r="D199" s="25" t="s">
        <v>430</v>
      </c>
      <c r="E199" s="26">
        <v>3798</v>
      </c>
    </row>
    <row r="200" spans="1:5" x14ac:dyDescent="0.25">
      <c r="A200" s="24" t="s">
        <v>7</v>
      </c>
      <c r="B200" s="24" t="s">
        <v>431</v>
      </c>
      <c r="C200" s="25" t="s">
        <v>432</v>
      </c>
      <c r="D200" s="25" t="s">
        <v>433</v>
      </c>
      <c r="E200" s="26">
        <v>1569</v>
      </c>
    </row>
    <row r="201" spans="1:5" x14ac:dyDescent="0.25">
      <c r="A201" s="24" t="s">
        <v>7</v>
      </c>
      <c r="B201" s="24" t="s">
        <v>434</v>
      </c>
      <c r="C201" s="25" t="s">
        <v>400</v>
      </c>
      <c r="D201" s="25" t="s">
        <v>299</v>
      </c>
      <c r="E201" s="26">
        <v>3700</v>
      </c>
    </row>
    <row r="202" spans="1:5" x14ac:dyDescent="0.25">
      <c r="A202" s="24" t="s">
        <v>7</v>
      </c>
      <c r="B202" s="24" t="s">
        <v>435</v>
      </c>
      <c r="C202" s="25" t="s">
        <v>436</v>
      </c>
      <c r="D202" s="25" t="s">
        <v>437</v>
      </c>
      <c r="E202" s="26">
        <v>311</v>
      </c>
    </row>
    <row r="203" spans="1:5" x14ac:dyDescent="0.25">
      <c r="A203" s="24" t="s">
        <v>7</v>
      </c>
      <c r="B203" s="24" t="s">
        <v>438</v>
      </c>
      <c r="C203" s="25" t="s">
        <v>439</v>
      </c>
      <c r="D203" s="25" t="s">
        <v>440</v>
      </c>
      <c r="E203" s="26">
        <v>249</v>
      </c>
    </row>
    <row r="204" spans="1:5" x14ac:dyDescent="0.25">
      <c r="A204" s="24" t="s">
        <v>7</v>
      </c>
      <c r="B204" s="24" t="s">
        <v>441</v>
      </c>
      <c r="C204" s="25" t="s">
        <v>442</v>
      </c>
      <c r="D204" s="25" t="s">
        <v>443</v>
      </c>
      <c r="E204" s="26">
        <v>683</v>
      </c>
    </row>
    <row r="205" spans="1:5" x14ac:dyDescent="0.25">
      <c r="A205" s="24" t="s">
        <v>7</v>
      </c>
      <c r="B205" s="24" t="s">
        <v>444</v>
      </c>
      <c r="C205" s="25" t="s">
        <v>445</v>
      </c>
      <c r="D205" s="25" t="s">
        <v>446</v>
      </c>
      <c r="E205" s="26">
        <v>417</v>
      </c>
    </row>
    <row r="206" spans="1:5" x14ac:dyDescent="0.25">
      <c r="A206" s="24" t="s">
        <v>7</v>
      </c>
      <c r="B206" s="24" t="s">
        <v>447</v>
      </c>
      <c r="C206" s="25" t="s">
        <v>448</v>
      </c>
      <c r="D206" s="25" t="s">
        <v>448</v>
      </c>
      <c r="E206" s="26">
        <v>321</v>
      </c>
    </row>
    <row r="207" spans="1:5" x14ac:dyDescent="0.25">
      <c r="A207" s="24" t="s">
        <v>7</v>
      </c>
      <c r="B207" s="24" t="s">
        <v>449</v>
      </c>
      <c r="C207" s="25" t="s">
        <v>429</v>
      </c>
      <c r="D207" s="25" t="s">
        <v>450</v>
      </c>
      <c r="E207" s="26">
        <v>2168</v>
      </c>
    </row>
    <row r="208" spans="1:5" x14ac:dyDescent="0.25">
      <c r="A208" s="24" t="s">
        <v>7</v>
      </c>
      <c r="B208" s="24" t="s">
        <v>451</v>
      </c>
      <c r="C208" s="25" t="s">
        <v>452</v>
      </c>
      <c r="D208" s="25" t="s">
        <v>433</v>
      </c>
      <c r="E208" s="26">
        <v>576</v>
      </c>
    </row>
    <row r="209" spans="1:5" x14ac:dyDescent="0.25">
      <c r="A209" s="24" t="s">
        <v>7</v>
      </c>
      <c r="B209" s="24" t="s">
        <v>453</v>
      </c>
      <c r="C209" s="25" t="s">
        <v>454</v>
      </c>
      <c r="D209" s="25" t="s">
        <v>455</v>
      </c>
      <c r="E209" s="26">
        <v>134236</v>
      </c>
    </row>
    <row r="210" spans="1:5" x14ac:dyDescent="0.25">
      <c r="A210" s="24" t="s">
        <v>7</v>
      </c>
      <c r="B210" s="24" t="s">
        <v>456</v>
      </c>
      <c r="C210" s="25" t="s">
        <v>457</v>
      </c>
      <c r="D210" s="25" t="s">
        <v>458</v>
      </c>
      <c r="E210" s="26">
        <v>117142</v>
      </c>
    </row>
    <row r="211" spans="1:5" x14ac:dyDescent="0.25">
      <c r="A211" s="24" t="s">
        <v>7</v>
      </c>
      <c r="B211" s="24" t="s">
        <v>459</v>
      </c>
      <c r="C211" s="25" t="s">
        <v>460</v>
      </c>
      <c r="D211" s="25" t="s">
        <v>461</v>
      </c>
      <c r="E211" s="26">
        <v>34734</v>
      </c>
    </row>
    <row r="212" spans="1:5" x14ac:dyDescent="0.25">
      <c r="A212" s="24" t="s">
        <v>7</v>
      </c>
      <c r="B212" s="24" t="s">
        <v>462</v>
      </c>
      <c r="C212" s="25" t="s">
        <v>463</v>
      </c>
      <c r="D212" s="25" t="s">
        <v>464</v>
      </c>
      <c r="E212" s="26">
        <v>294586</v>
      </c>
    </row>
    <row r="213" spans="1:5" x14ac:dyDescent="0.25">
      <c r="A213" s="24" t="s">
        <v>7</v>
      </c>
      <c r="B213" s="24" t="s">
        <v>465</v>
      </c>
      <c r="C213" s="25" t="s">
        <v>466</v>
      </c>
      <c r="D213" s="25" t="s">
        <v>464</v>
      </c>
      <c r="E213" s="26">
        <v>272868</v>
      </c>
    </row>
    <row r="214" spans="1:5" x14ac:dyDescent="0.25">
      <c r="A214" s="24" t="s">
        <v>7</v>
      </c>
      <c r="B214" s="24" t="s">
        <v>467</v>
      </c>
      <c r="C214" s="25" t="s">
        <v>468</v>
      </c>
      <c r="D214" s="25" t="s">
        <v>469</v>
      </c>
      <c r="E214" s="26">
        <v>115681</v>
      </c>
    </row>
    <row r="215" spans="1:5" x14ac:dyDescent="0.25">
      <c r="A215" s="24" t="s">
        <v>7</v>
      </c>
      <c r="B215" s="24" t="s">
        <v>470</v>
      </c>
      <c r="C215" s="25" t="s">
        <v>471</v>
      </c>
      <c r="D215" s="25" t="s">
        <v>472</v>
      </c>
      <c r="E215" s="26">
        <v>234865</v>
      </c>
    </row>
    <row r="216" spans="1:5" x14ac:dyDescent="0.25">
      <c r="A216" s="24" t="s">
        <v>7</v>
      </c>
      <c r="B216" s="24" t="s">
        <v>473</v>
      </c>
      <c r="C216" s="25" t="s">
        <v>474</v>
      </c>
      <c r="D216" s="25" t="s">
        <v>475</v>
      </c>
      <c r="E216" s="26">
        <v>178700</v>
      </c>
    </row>
    <row r="217" spans="1:5" x14ac:dyDescent="0.25">
      <c r="A217" s="24" t="s">
        <v>7</v>
      </c>
      <c r="B217" s="24" t="s">
        <v>476</v>
      </c>
      <c r="C217" s="25" t="s">
        <v>477</v>
      </c>
      <c r="D217" s="25" t="s">
        <v>478</v>
      </c>
      <c r="E217" s="26">
        <v>227978</v>
      </c>
    </row>
    <row r="218" spans="1:5" x14ac:dyDescent="0.25">
      <c r="A218" s="24" t="s">
        <v>7</v>
      </c>
      <c r="B218" s="24" t="s">
        <v>479</v>
      </c>
      <c r="C218" s="25" t="s">
        <v>480</v>
      </c>
      <c r="D218" s="25" t="s">
        <v>475</v>
      </c>
      <c r="E218" s="26">
        <v>178700</v>
      </c>
    </row>
    <row r="219" spans="1:5" x14ac:dyDescent="0.25">
      <c r="A219" s="24" t="s">
        <v>7</v>
      </c>
      <c r="B219" s="24" t="s">
        <v>481</v>
      </c>
      <c r="C219" s="25" t="s">
        <v>482</v>
      </c>
      <c r="D219" s="25" t="s">
        <v>483</v>
      </c>
      <c r="E219" s="26">
        <v>196005</v>
      </c>
    </row>
    <row r="220" spans="1:5" x14ac:dyDescent="0.25">
      <c r="A220" s="24" t="s">
        <v>7</v>
      </c>
      <c r="B220" s="24" t="s">
        <v>484</v>
      </c>
      <c r="C220" s="25" t="s">
        <v>485</v>
      </c>
      <c r="D220" s="25" t="s">
        <v>486</v>
      </c>
      <c r="E220" s="26">
        <v>161081</v>
      </c>
    </row>
    <row r="221" spans="1:5" x14ac:dyDescent="0.25">
      <c r="A221" s="24" t="s">
        <v>7</v>
      </c>
      <c r="B221" s="24" t="s">
        <v>487</v>
      </c>
      <c r="C221" s="25" t="s">
        <v>488</v>
      </c>
      <c r="D221" s="25" t="s">
        <v>489</v>
      </c>
      <c r="E221" s="26">
        <v>139646</v>
      </c>
    </row>
    <row r="222" spans="1:5" x14ac:dyDescent="0.25">
      <c r="A222" s="24" t="s">
        <v>7</v>
      </c>
      <c r="B222" s="24" t="s">
        <v>490</v>
      </c>
      <c r="C222" s="25" t="s">
        <v>491</v>
      </c>
      <c r="D222" s="25" t="s">
        <v>492</v>
      </c>
      <c r="E222" s="26">
        <v>167185</v>
      </c>
    </row>
    <row r="223" spans="1:5" x14ac:dyDescent="0.25">
      <c r="A223" s="24" t="s">
        <v>7</v>
      </c>
      <c r="B223" s="24" t="s">
        <v>493</v>
      </c>
      <c r="C223" s="25" t="s">
        <v>494</v>
      </c>
      <c r="D223" s="25" t="s">
        <v>495</v>
      </c>
      <c r="E223" s="26">
        <v>99787</v>
      </c>
    </row>
    <row r="224" spans="1:5" x14ac:dyDescent="0.25">
      <c r="A224" s="24" t="s">
        <v>7</v>
      </c>
      <c r="B224" s="24" t="s">
        <v>496</v>
      </c>
      <c r="C224" s="25" t="s">
        <v>497</v>
      </c>
      <c r="D224" s="25" t="s">
        <v>498</v>
      </c>
      <c r="E224" s="26">
        <v>195977</v>
      </c>
    </row>
    <row r="225" spans="1:6" x14ac:dyDescent="0.25">
      <c r="A225" s="24" t="s">
        <v>7</v>
      </c>
      <c r="B225" s="24" t="s">
        <v>499</v>
      </c>
      <c r="C225" s="25" t="s">
        <v>500</v>
      </c>
      <c r="D225" s="25" t="s">
        <v>501</v>
      </c>
      <c r="E225" s="26">
        <v>178048</v>
      </c>
      <c r="F225" s="24" t="s">
        <v>502</v>
      </c>
    </row>
    <row r="226" spans="1:6" x14ac:dyDescent="0.25">
      <c r="A226" s="24" t="s">
        <v>7</v>
      </c>
      <c r="B226" s="24" t="s">
        <v>503</v>
      </c>
      <c r="C226" s="25" t="s">
        <v>504</v>
      </c>
      <c r="D226" s="25" t="s">
        <v>504</v>
      </c>
      <c r="E226" s="26">
        <v>196640</v>
      </c>
    </row>
    <row r="227" spans="1:6" x14ac:dyDescent="0.25">
      <c r="A227" s="24" t="s">
        <v>7</v>
      </c>
      <c r="B227" s="24" t="s">
        <v>505</v>
      </c>
      <c r="C227" s="25" t="s">
        <v>506</v>
      </c>
      <c r="D227" s="25" t="s">
        <v>507</v>
      </c>
      <c r="E227" s="26">
        <v>113167</v>
      </c>
    </row>
    <row r="228" spans="1:6" x14ac:dyDescent="0.25">
      <c r="A228" s="24" t="s">
        <v>7</v>
      </c>
      <c r="B228" s="24" t="s">
        <v>508</v>
      </c>
      <c r="C228" s="25" t="s">
        <v>509</v>
      </c>
      <c r="D228" s="25" t="s">
        <v>510</v>
      </c>
      <c r="E228" s="26">
        <v>167185</v>
      </c>
    </row>
    <row r="229" spans="1:6" x14ac:dyDescent="0.25">
      <c r="A229" s="24" t="s">
        <v>7</v>
      </c>
      <c r="B229" s="24" t="s">
        <v>511</v>
      </c>
      <c r="C229" s="25" t="s">
        <v>512</v>
      </c>
      <c r="D229" s="25" t="s">
        <v>513</v>
      </c>
      <c r="E229" s="26">
        <v>93689</v>
      </c>
    </row>
    <row r="230" spans="1:6" x14ac:dyDescent="0.25">
      <c r="A230" s="24" t="s">
        <v>7</v>
      </c>
      <c r="B230" s="24" t="s">
        <v>514</v>
      </c>
      <c r="C230" s="25" t="s">
        <v>515</v>
      </c>
      <c r="D230" s="25" t="s">
        <v>513</v>
      </c>
      <c r="E230" s="26">
        <v>92471</v>
      </c>
    </row>
    <row r="231" spans="1:6" x14ac:dyDescent="0.25">
      <c r="A231" s="24" t="s">
        <v>7</v>
      </c>
      <c r="B231" s="24" t="s">
        <v>516</v>
      </c>
      <c r="C231" s="25" t="s">
        <v>517</v>
      </c>
      <c r="D231" s="25" t="s">
        <v>513</v>
      </c>
      <c r="E231" s="26">
        <v>92471</v>
      </c>
    </row>
    <row r="232" spans="1:6" x14ac:dyDescent="0.25">
      <c r="A232" s="24" t="s">
        <v>7</v>
      </c>
      <c r="B232" s="24" t="s">
        <v>518</v>
      </c>
      <c r="C232" s="25" t="s">
        <v>519</v>
      </c>
      <c r="D232" s="25" t="s">
        <v>520</v>
      </c>
      <c r="E232" s="26">
        <v>95081</v>
      </c>
    </row>
    <row r="233" spans="1:6" x14ac:dyDescent="0.25">
      <c r="A233" s="24" t="s">
        <v>7</v>
      </c>
      <c r="B233" s="24" t="s">
        <v>521</v>
      </c>
      <c r="C233" s="25" t="s">
        <v>522</v>
      </c>
      <c r="D233" s="25" t="s">
        <v>523</v>
      </c>
      <c r="E233" s="26">
        <v>103618</v>
      </c>
    </row>
    <row r="234" spans="1:6" x14ac:dyDescent="0.25">
      <c r="A234" s="24" t="s">
        <v>7</v>
      </c>
      <c r="B234" s="24" t="s">
        <v>524</v>
      </c>
      <c r="C234" s="25" t="s">
        <v>525</v>
      </c>
      <c r="D234" s="25" t="s">
        <v>526</v>
      </c>
      <c r="E234" s="26">
        <v>125294</v>
      </c>
    </row>
    <row r="235" spans="1:6" x14ac:dyDescent="0.25">
      <c r="A235" s="24" t="s">
        <v>7</v>
      </c>
      <c r="B235" s="24" t="s">
        <v>527</v>
      </c>
      <c r="C235" s="25" t="s">
        <v>528</v>
      </c>
      <c r="D235" s="25" t="s">
        <v>529</v>
      </c>
      <c r="E235" s="26">
        <v>85503</v>
      </c>
    </row>
    <row r="236" spans="1:6" x14ac:dyDescent="0.25">
      <c r="A236" s="24" t="s">
        <v>7</v>
      </c>
      <c r="B236" s="24" t="s">
        <v>530</v>
      </c>
      <c r="C236" s="25" t="s">
        <v>531</v>
      </c>
      <c r="D236" s="25" t="s">
        <v>532</v>
      </c>
      <c r="E236" s="26">
        <v>196187</v>
      </c>
    </row>
    <row r="237" spans="1:6" x14ac:dyDescent="0.25">
      <c r="A237" s="24" t="s">
        <v>7</v>
      </c>
      <c r="B237" s="24" t="s">
        <v>533</v>
      </c>
      <c r="C237" s="25" t="s">
        <v>534</v>
      </c>
      <c r="D237" s="25" t="s">
        <v>535</v>
      </c>
      <c r="E237" s="26">
        <v>150890</v>
      </c>
    </row>
    <row r="238" spans="1:6" x14ac:dyDescent="0.25">
      <c r="A238" s="24" t="s">
        <v>7</v>
      </c>
      <c r="B238" s="24" t="s">
        <v>536</v>
      </c>
      <c r="C238" s="25" t="s">
        <v>537</v>
      </c>
      <c r="D238" s="25" t="s">
        <v>535</v>
      </c>
      <c r="E238" s="26">
        <v>180228</v>
      </c>
    </row>
    <row r="239" spans="1:6" x14ac:dyDescent="0.25">
      <c r="A239" s="24" t="s">
        <v>7</v>
      </c>
      <c r="B239" s="24" t="s">
        <v>538</v>
      </c>
      <c r="C239" s="25" t="s">
        <v>539</v>
      </c>
      <c r="D239" s="25" t="s">
        <v>535</v>
      </c>
      <c r="E239" s="26">
        <v>178390</v>
      </c>
    </row>
    <row r="240" spans="1:6" x14ac:dyDescent="0.25">
      <c r="A240" s="24" t="s">
        <v>7</v>
      </c>
      <c r="B240" s="24" t="s">
        <v>540</v>
      </c>
      <c r="C240" s="25" t="s">
        <v>541</v>
      </c>
      <c r="D240" s="25" t="s">
        <v>542</v>
      </c>
      <c r="E240" s="26">
        <v>129851</v>
      </c>
    </row>
    <row r="241" spans="1:6" x14ac:dyDescent="0.25">
      <c r="A241" s="24" t="s">
        <v>7</v>
      </c>
      <c r="B241" s="24" t="s">
        <v>543</v>
      </c>
      <c r="C241" s="25" t="s">
        <v>544</v>
      </c>
      <c r="D241" s="25" t="s">
        <v>545</v>
      </c>
      <c r="E241" s="26">
        <v>218352</v>
      </c>
    </row>
    <row r="242" spans="1:6" x14ac:dyDescent="0.25">
      <c r="A242" s="24" t="s">
        <v>7</v>
      </c>
      <c r="B242" s="24" t="s">
        <v>546</v>
      </c>
      <c r="C242" s="25" t="s">
        <v>547</v>
      </c>
      <c r="D242" s="25" t="s">
        <v>548</v>
      </c>
      <c r="E242" s="26">
        <v>98248</v>
      </c>
    </row>
    <row r="243" spans="1:6" x14ac:dyDescent="0.25">
      <c r="A243" s="24" t="s">
        <v>7</v>
      </c>
      <c r="B243" s="24" t="s">
        <v>549</v>
      </c>
      <c r="C243" s="25" t="s">
        <v>550</v>
      </c>
      <c r="D243" s="25" t="s">
        <v>548</v>
      </c>
      <c r="E243" s="26">
        <v>105124</v>
      </c>
    </row>
    <row r="244" spans="1:6" x14ac:dyDescent="0.25">
      <c r="A244" s="24" t="s">
        <v>7</v>
      </c>
      <c r="B244" s="24" t="s">
        <v>551</v>
      </c>
      <c r="C244" s="25" t="s">
        <v>552</v>
      </c>
      <c r="D244" s="25" t="s">
        <v>553</v>
      </c>
      <c r="E244" s="26">
        <v>114364</v>
      </c>
    </row>
    <row r="245" spans="1:6" x14ac:dyDescent="0.25">
      <c r="A245" s="24" t="s">
        <v>7</v>
      </c>
      <c r="B245" s="24" t="s">
        <v>554</v>
      </c>
      <c r="C245" s="25" t="s">
        <v>555</v>
      </c>
      <c r="D245" s="25" t="s">
        <v>553</v>
      </c>
      <c r="E245" s="26">
        <v>98461</v>
      </c>
    </row>
    <row r="246" spans="1:6" x14ac:dyDescent="0.25">
      <c r="A246" s="24" t="s">
        <v>7</v>
      </c>
      <c r="B246" s="24" t="s">
        <v>556</v>
      </c>
      <c r="C246" s="25" t="s">
        <v>557</v>
      </c>
      <c r="D246" s="25" t="s">
        <v>558</v>
      </c>
      <c r="E246" s="26">
        <v>86803</v>
      </c>
    </row>
    <row r="247" spans="1:6" x14ac:dyDescent="0.25">
      <c r="A247" s="24" t="s">
        <v>7</v>
      </c>
      <c r="B247" s="24" t="s">
        <v>559</v>
      </c>
      <c r="C247" s="25" t="s">
        <v>560</v>
      </c>
      <c r="D247" s="25" t="s">
        <v>561</v>
      </c>
      <c r="E247" s="26">
        <v>145354</v>
      </c>
    </row>
    <row r="248" spans="1:6" x14ac:dyDescent="0.25">
      <c r="A248" s="24" t="s">
        <v>7</v>
      </c>
      <c r="B248" s="24" t="s">
        <v>562</v>
      </c>
      <c r="C248" s="25" t="s">
        <v>563</v>
      </c>
      <c r="D248" s="25" t="s">
        <v>564</v>
      </c>
      <c r="E248" s="26">
        <v>146125</v>
      </c>
    </row>
    <row r="249" spans="1:6" x14ac:dyDescent="0.25">
      <c r="A249" s="24" t="s">
        <v>7</v>
      </c>
      <c r="B249" s="24" t="s">
        <v>565</v>
      </c>
      <c r="C249" s="25" t="s">
        <v>566</v>
      </c>
      <c r="D249" s="25" t="s">
        <v>567</v>
      </c>
      <c r="E249" s="26">
        <v>113102</v>
      </c>
    </row>
    <row r="250" spans="1:6" x14ac:dyDescent="0.25">
      <c r="A250" s="24" t="s">
        <v>7</v>
      </c>
      <c r="B250" s="24" t="s">
        <v>568</v>
      </c>
      <c r="C250" s="25" t="s">
        <v>569</v>
      </c>
      <c r="D250" s="25" t="s">
        <v>570</v>
      </c>
      <c r="E250" s="26">
        <v>80422</v>
      </c>
    </row>
    <row r="251" spans="1:6" x14ac:dyDescent="0.25">
      <c r="A251" s="24" t="s">
        <v>7</v>
      </c>
      <c r="B251" s="24" t="s">
        <v>571</v>
      </c>
      <c r="C251" s="25" t="s">
        <v>572</v>
      </c>
      <c r="D251" s="25" t="s">
        <v>573</v>
      </c>
      <c r="E251" s="26">
        <v>90476</v>
      </c>
    </row>
    <row r="252" spans="1:6" x14ac:dyDescent="0.25">
      <c r="A252" s="24" t="s">
        <v>7</v>
      </c>
      <c r="B252" s="24" t="s">
        <v>574</v>
      </c>
      <c r="C252" s="25" t="s">
        <v>575</v>
      </c>
      <c r="D252" s="25" t="s">
        <v>567</v>
      </c>
      <c r="E252" s="26">
        <v>59860</v>
      </c>
      <c r="F252" s="24" t="s">
        <v>502</v>
      </c>
    </row>
    <row r="253" spans="1:6" x14ac:dyDescent="0.25">
      <c r="A253" s="24" t="s">
        <v>7</v>
      </c>
      <c r="B253" s="24" t="s">
        <v>576</v>
      </c>
      <c r="C253" s="25" t="s">
        <v>577</v>
      </c>
      <c r="D253" s="25" t="s">
        <v>573</v>
      </c>
      <c r="E253" s="26">
        <v>102471</v>
      </c>
    </row>
    <row r="254" spans="1:6" x14ac:dyDescent="0.25">
      <c r="A254" s="24" t="s">
        <v>7</v>
      </c>
      <c r="B254" s="24" t="s">
        <v>578</v>
      </c>
      <c r="C254" s="25" t="s">
        <v>579</v>
      </c>
      <c r="D254" s="25" t="s">
        <v>580</v>
      </c>
      <c r="E254" s="26">
        <v>188082</v>
      </c>
    </row>
    <row r="255" spans="1:6" x14ac:dyDescent="0.25">
      <c r="A255" s="24" t="s">
        <v>7</v>
      </c>
      <c r="B255" s="24" t="s">
        <v>581</v>
      </c>
      <c r="C255" s="25" t="s">
        <v>582</v>
      </c>
      <c r="D255" s="25" t="s">
        <v>583</v>
      </c>
      <c r="E255" s="26">
        <v>208981</v>
      </c>
    </row>
    <row r="256" spans="1:6" x14ac:dyDescent="0.25">
      <c r="A256" s="24" t="s">
        <v>7</v>
      </c>
      <c r="B256" s="24" t="s">
        <v>584</v>
      </c>
      <c r="C256" s="25" t="s">
        <v>585</v>
      </c>
      <c r="D256" s="25" t="s">
        <v>586</v>
      </c>
      <c r="E256" s="26">
        <v>119452</v>
      </c>
    </row>
    <row r="257" spans="1:6" x14ac:dyDescent="0.25">
      <c r="A257" s="24" t="s">
        <v>7</v>
      </c>
      <c r="B257" s="24" t="s">
        <v>587</v>
      </c>
      <c r="C257" s="25" t="s">
        <v>588</v>
      </c>
      <c r="D257" s="25" t="s">
        <v>589</v>
      </c>
      <c r="E257" s="26">
        <v>119452</v>
      </c>
    </row>
    <row r="258" spans="1:6" x14ac:dyDescent="0.25">
      <c r="A258" s="24" t="s">
        <v>7</v>
      </c>
      <c r="B258" s="24" t="s">
        <v>590</v>
      </c>
      <c r="C258" s="25" t="s">
        <v>591</v>
      </c>
      <c r="D258" s="25" t="s">
        <v>592</v>
      </c>
      <c r="E258" s="26">
        <v>205375</v>
      </c>
    </row>
    <row r="259" spans="1:6" x14ac:dyDescent="0.25">
      <c r="A259" s="24" t="s">
        <v>7</v>
      </c>
      <c r="B259" s="24" t="s">
        <v>593</v>
      </c>
      <c r="C259" s="25" t="s">
        <v>594</v>
      </c>
      <c r="D259" s="25" t="s">
        <v>595</v>
      </c>
      <c r="E259" s="26">
        <v>51228</v>
      </c>
      <c r="F259" s="24" t="s">
        <v>502</v>
      </c>
    </row>
    <row r="260" spans="1:6" x14ac:dyDescent="0.25">
      <c r="A260" s="24" t="s">
        <v>7</v>
      </c>
      <c r="B260" s="24" t="s">
        <v>596</v>
      </c>
      <c r="C260" s="25" t="s">
        <v>597</v>
      </c>
      <c r="D260" s="25" t="s">
        <v>595</v>
      </c>
      <c r="E260" s="26">
        <v>36206</v>
      </c>
      <c r="F260" s="24" t="s">
        <v>502</v>
      </c>
    </row>
    <row r="261" spans="1:6" x14ac:dyDescent="0.25">
      <c r="A261" s="24" t="s">
        <v>7</v>
      </c>
      <c r="B261" s="24" t="s">
        <v>598</v>
      </c>
      <c r="C261" s="25" t="s">
        <v>599</v>
      </c>
      <c r="D261" s="25" t="s">
        <v>595</v>
      </c>
      <c r="E261" s="26">
        <v>100165.21</v>
      </c>
    </row>
    <row r="262" spans="1:6" x14ac:dyDescent="0.25">
      <c r="A262" s="24" t="s">
        <v>7</v>
      </c>
      <c r="B262" s="24" t="s">
        <v>600</v>
      </c>
      <c r="C262" s="25" t="s">
        <v>601</v>
      </c>
      <c r="D262" s="25" t="s">
        <v>602</v>
      </c>
      <c r="E262" s="26">
        <v>134236</v>
      </c>
    </row>
    <row r="263" spans="1:6" x14ac:dyDescent="0.25">
      <c r="A263" s="24" t="s">
        <v>7</v>
      </c>
      <c r="B263" s="24" t="s">
        <v>603</v>
      </c>
      <c r="C263" s="25" t="s">
        <v>604</v>
      </c>
      <c r="D263" s="25" t="s">
        <v>605</v>
      </c>
      <c r="E263" s="26">
        <v>32319</v>
      </c>
    </row>
    <row r="264" spans="1:6" x14ac:dyDescent="0.25">
      <c r="A264" s="24" t="s">
        <v>7</v>
      </c>
      <c r="B264" s="24" t="s">
        <v>606</v>
      </c>
      <c r="C264" s="25" t="s">
        <v>607</v>
      </c>
      <c r="D264" s="25" t="s">
        <v>608</v>
      </c>
      <c r="E264" s="26">
        <v>104982</v>
      </c>
    </row>
    <row r="265" spans="1:6" x14ac:dyDescent="0.25">
      <c r="A265" s="24" t="s">
        <v>7</v>
      </c>
      <c r="B265" s="24" t="s">
        <v>609</v>
      </c>
      <c r="C265" s="25" t="s">
        <v>610</v>
      </c>
      <c r="D265" s="25" t="s">
        <v>611</v>
      </c>
      <c r="E265" s="26">
        <v>34734</v>
      </c>
    </row>
    <row r="266" spans="1:6" x14ac:dyDescent="0.25">
      <c r="A266" s="24" t="s">
        <v>7</v>
      </c>
      <c r="B266" s="24" t="s">
        <v>612</v>
      </c>
      <c r="C266" s="25" t="s">
        <v>613</v>
      </c>
      <c r="D266" s="25" t="s">
        <v>614</v>
      </c>
      <c r="E266" s="26">
        <v>105098</v>
      </c>
    </row>
    <row r="267" spans="1:6" x14ac:dyDescent="0.25">
      <c r="A267" s="24" t="s">
        <v>7</v>
      </c>
      <c r="B267" s="24" t="s">
        <v>615</v>
      </c>
      <c r="C267" s="25" t="s">
        <v>616</v>
      </c>
      <c r="D267" s="25" t="s">
        <v>617</v>
      </c>
      <c r="E267" s="26">
        <v>36206</v>
      </c>
    </row>
    <row r="268" spans="1:6" x14ac:dyDescent="0.25">
      <c r="A268" s="24" t="s">
        <v>7</v>
      </c>
      <c r="B268" s="24" t="s">
        <v>618</v>
      </c>
      <c r="C268" s="25" t="s">
        <v>619</v>
      </c>
      <c r="D268" s="25" t="s">
        <v>620</v>
      </c>
      <c r="E268" s="26">
        <v>51228</v>
      </c>
    </row>
    <row r="269" spans="1:6" x14ac:dyDescent="0.25">
      <c r="A269" s="24" t="s">
        <v>7</v>
      </c>
      <c r="B269" s="24" t="s">
        <v>621</v>
      </c>
      <c r="C269" s="25" t="s">
        <v>622</v>
      </c>
      <c r="D269" s="25" t="s">
        <v>623</v>
      </c>
      <c r="E269" s="26">
        <v>37064.22</v>
      </c>
    </row>
    <row r="270" spans="1:6" x14ac:dyDescent="0.25">
      <c r="A270" s="24" t="s">
        <v>7</v>
      </c>
      <c r="B270" s="24" t="s">
        <v>624</v>
      </c>
      <c r="C270" s="25" t="s">
        <v>625</v>
      </c>
      <c r="D270" s="25" t="s">
        <v>626</v>
      </c>
      <c r="E270" s="26">
        <v>103107</v>
      </c>
    </row>
    <row r="271" spans="1:6" x14ac:dyDescent="0.25">
      <c r="A271" s="24" t="s">
        <v>7</v>
      </c>
      <c r="B271" s="24" t="s">
        <v>627</v>
      </c>
      <c r="C271" s="25" t="s">
        <v>628</v>
      </c>
      <c r="D271" s="25" t="s">
        <v>629</v>
      </c>
      <c r="E271" s="26">
        <v>143307</v>
      </c>
    </row>
    <row r="272" spans="1:6" x14ac:dyDescent="0.25">
      <c r="A272" s="24" t="s">
        <v>7</v>
      </c>
      <c r="B272" s="24" t="s">
        <v>630</v>
      </c>
      <c r="C272" s="25" t="s">
        <v>631</v>
      </c>
      <c r="D272" s="25" t="s">
        <v>629</v>
      </c>
      <c r="E272" s="26">
        <v>148850</v>
      </c>
    </row>
    <row r="273" spans="1:6" x14ac:dyDescent="0.25">
      <c r="A273" s="24" t="s">
        <v>7</v>
      </c>
      <c r="B273" s="24" t="s">
        <v>632</v>
      </c>
      <c r="C273" s="25" t="s">
        <v>633</v>
      </c>
      <c r="D273" s="25" t="s">
        <v>629</v>
      </c>
      <c r="E273" s="26">
        <v>85503</v>
      </c>
    </row>
    <row r="274" spans="1:6" x14ac:dyDescent="0.25">
      <c r="A274" s="24" t="s">
        <v>7</v>
      </c>
      <c r="B274" s="24" t="s">
        <v>634</v>
      </c>
      <c r="C274" s="25" t="s">
        <v>635</v>
      </c>
      <c r="D274" s="25" t="s">
        <v>636</v>
      </c>
      <c r="E274" s="26">
        <v>170787</v>
      </c>
    </row>
    <row r="275" spans="1:6" x14ac:dyDescent="0.25">
      <c r="A275" s="24" t="s">
        <v>7</v>
      </c>
      <c r="B275" s="24" t="s">
        <v>637</v>
      </c>
      <c r="C275" s="25" t="s">
        <v>638</v>
      </c>
      <c r="D275" s="25" t="s">
        <v>639</v>
      </c>
      <c r="E275" s="26">
        <v>167133</v>
      </c>
    </row>
    <row r="276" spans="1:6" x14ac:dyDescent="0.25">
      <c r="A276" s="24" t="s">
        <v>7</v>
      </c>
      <c r="B276" s="24" t="s">
        <v>640</v>
      </c>
      <c r="C276" s="25" t="s">
        <v>641</v>
      </c>
      <c r="D276" s="25" t="s">
        <v>642</v>
      </c>
      <c r="E276" s="26">
        <v>95619</v>
      </c>
    </row>
    <row r="277" spans="1:6" x14ac:dyDescent="0.25">
      <c r="A277" s="24" t="s">
        <v>7</v>
      </c>
      <c r="B277" s="24" t="s">
        <v>643</v>
      </c>
      <c r="C277" s="25" t="s">
        <v>644</v>
      </c>
      <c r="D277" s="25" t="s">
        <v>645</v>
      </c>
      <c r="E277" s="26">
        <v>136684</v>
      </c>
    </row>
    <row r="278" spans="1:6" x14ac:dyDescent="0.25">
      <c r="A278" s="24" t="s">
        <v>7</v>
      </c>
      <c r="B278" s="24" t="s">
        <v>646</v>
      </c>
      <c r="C278" s="25" t="s">
        <v>647</v>
      </c>
      <c r="D278" s="25" t="s">
        <v>648</v>
      </c>
      <c r="E278" s="26">
        <v>154381</v>
      </c>
    </row>
    <row r="279" spans="1:6" x14ac:dyDescent="0.25">
      <c r="A279" s="24" t="s">
        <v>7</v>
      </c>
      <c r="B279" s="24" t="s">
        <v>649</v>
      </c>
      <c r="C279" s="25" t="s">
        <v>650</v>
      </c>
      <c r="D279" s="25" t="s">
        <v>651</v>
      </c>
      <c r="E279" s="26">
        <v>114624</v>
      </c>
    </row>
    <row r="280" spans="1:6" x14ac:dyDescent="0.25">
      <c r="A280" s="24" t="s">
        <v>7</v>
      </c>
      <c r="B280" s="24" t="s">
        <v>652</v>
      </c>
      <c r="C280" s="25" t="s">
        <v>653</v>
      </c>
      <c r="D280" s="25" t="s">
        <v>651</v>
      </c>
      <c r="E280" s="26">
        <v>109908</v>
      </c>
    </row>
    <row r="281" spans="1:6" x14ac:dyDescent="0.25">
      <c r="A281" s="24" t="s">
        <v>7</v>
      </c>
      <c r="B281" s="24" t="s">
        <v>654</v>
      </c>
      <c r="C281" s="25" t="s">
        <v>655</v>
      </c>
      <c r="D281" s="25" t="s">
        <v>656</v>
      </c>
      <c r="E281" s="26">
        <v>3890</v>
      </c>
      <c r="F281" s="24" t="s">
        <v>502</v>
      </c>
    </row>
    <row r="282" spans="1:6" x14ac:dyDescent="0.25">
      <c r="A282" s="24" t="s">
        <v>7</v>
      </c>
      <c r="B282" s="24" t="s">
        <v>657</v>
      </c>
      <c r="C282" s="25" t="s">
        <v>658</v>
      </c>
      <c r="D282" s="25" t="s">
        <v>659</v>
      </c>
      <c r="E282" s="26">
        <v>49649</v>
      </c>
    </row>
    <row r="283" spans="1:6" x14ac:dyDescent="0.25">
      <c r="A283" s="24" t="s">
        <v>7</v>
      </c>
      <c r="B283" s="24" t="s">
        <v>660</v>
      </c>
      <c r="C283" s="25" t="s">
        <v>661</v>
      </c>
      <c r="D283" s="25" t="s">
        <v>662</v>
      </c>
      <c r="E283" s="26">
        <v>24875</v>
      </c>
      <c r="F283" s="24" t="s">
        <v>502</v>
      </c>
    </row>
    <row r="284" spans="1:6" x14ac:dyDescent="0.25">
      <c r="A284" s="24" t="s">
        <v>7</v>
      </c>
      <c r="B284" s="24" t="s">
        <v>663</v>
      </c>
      <c r="C284" s="25" t="s">
        <v>664</v>
      </c>
      <c r="D284" s="25" t="s">
        <v>665</v>
      </c>
      <c r="E284" s="26">
        <v>20288</v>
      </c>
      <c r="F284" s="24" t="s">
        <v>502</v>
      </c>
    </row>
    <row r="285" spans="1:6" x14ac:dyDescent="0.25">
      <c r="A285" s="24" t="s">
        <v>7</v>
      </c>
      <c r="B285" s="24" t="s">
        <v>666</v>
      </c>
      <c r="C285" s="25" t="s">
        <v>667</v>
      </c>
      <c r="D285" s="25" t="s">
        <v>668</v>
      </c>
      <c r="E285" s="26">
        <v>14801</v>
      </c>
      <c r="F285" s="24" t="s">
        <v>502</v>
      </c>
    </row>
    <row r="286" spans="1:6" x14ac:dyDescent="0.25">
      <c r="A286" s="24" t="s">
        <v>7</v>
      </c>
      <c r="B286" s="24" t="s">
        <v>669</v>
      </c>
      <c r="C286" s="25" t="s">
        <v>670</v>
      </c>
      <c r="D286" s="25" t="s">
        <v>671</v>
      </c>
      <c r="E286" s="26">
        <v>8517</v>
      </c>
    </row>
    <row r="287" spans="1:6" x14ac:dyDescent="0.25">
      <c r="A287" s="24" t="s">
        <v>7</v>
      </c>
      <c r="B287" s="24" t="s">
        <v>672</v>
      </c>
      <c r="C287" s="25" t="s">
        <v>673</v>
      </c>
      <c r="D287" s="25" t="s">
        <v>674</v>
      </c>
      <c r="E287" s="26">
        <v>8071</v>
      </c>
      <c r="F287" s="24" t="s">
        <v>502</v>
      </c>
    </row>
    <row r="288" spans="1:6" x14ac:dyDescent="0.25">
      <c r="A288" s="24" t="s">
        <v>7</v>
      </c>
      <c r="B288" s="24" t="s">
        <v>675</v>
      </c>
      <c r="C288" s="25" t="s">
        <v>676</v>
      </c>
      <c r="D288" s="25" t="s">
        <v>674</v>
      </c>
      <c r="E288" s="26">
        <v>14441</v>
      </c>
      <c r="F288" s="24" t="s">
        <v>502</v>
      </c>
    </row>
    <row r="289" spans="1:6" x14ac:dyDescent="0.25">
      <c r="A289" s="24" t="s">
        <v>7</v>
      </c>
      <c r="B289" s="24" t="s">
        <v>677</v>
      </c>
      <c r="C289" s="25" t="s">
        <v>678</v>
      </c>
      <c r="D289" s="25" t="s">
        <v>674</v>
      </c>
      <c r="E289" s="26">
        <v>8071</v>
      </c>
    </row>
    <row r="290" spans="1:6" x14ac:dyDescent="0.25">
      <c r="A290" s="24" t="s">
        <v>7</v>
      </c>
      <c r="B290" s="24" t="s">
        <v>679</v>
      </c>
      <c r="C290" s="25" t="s">
        <v>680</v>
      </c>
      <c r="D290" s="25" t="s">
        <v>674</v>
      </c>
      <c r="E290" s="26">
        <v>8071</v>
      </c>
    </row>
    <row r="291" spans="1:6" x14ac:dyDescent="0.25">
      <c r="A291" s="24" t="s">
        <v>7</v>
      </c>
      <c r="B291" s="24" t="s">
        <v>681</v>
      </c>
      <c r="C291" s="25" t="s">
        <v>682</v>
      </c>
      <c r="D291" s="25" t="s">
        <v>683</v>
      </c>
      <c r="E291" s="26">
        <v>18876</v>
      </c>
    </row>
    <row r="292" spans="1:6" x14ac:dyDescent="0.25">
      <c r="A292" s="24" t="s">
        <v>7</v>
      </c>
      <c r="B292" s="24" t="s">
        <v>684</v>
      </c>
      <c r="C292" s="25" t="s">
        <v>685</v>
      </c>
      <c r="D292" s="25" t="s">
        <v>686</v>
      </c>
      <c r="E292" s="26">
        <v>9164</v>
      </c>
    </row>
    <row r="293" spans="1:6" x14ac:dyDescent="0.25">
      <c r="A293" s="24" t="s">
        <v>7</v>
      </c>
      <c r="B293" s="24" t="s">
        <v>687</v>
      </c>
      <c r="C293" s="25" t="s">
        <v>688</v>
      </c>
      <c r="D293" s="25" t="s">
        <v>686</v>
      </c>
      <c r="E293" s="26">
        <v>10615</v>
      </c>
      <c r="F293" s="24" t="s">
        <v>502</v>
      </c>
    </row>
    <row r="294" spans="1:6" x14ac:dyDescent="0.25">
      <c r="A294" s="24" t="s">
        <v>7</v>
      </c>
      <c r="B294" s="24" t="s">
        <v>689</v>
      </c>
      <c r="C294" s="25" t="s">
        <v>690</v>
      </c>
      <c r="D294" s="25" t="s">
        <v>686</v>
      </c>
      <c r="E294" s="26">
        <v>8697</v>
      </c>
      <c r="F294" s="24" t="s">
        <v>502</v>
      </c>
    </row>
    <row r="295" spans="1:6" x14ac:dyDescent="0.25">
      <c r="A295" s="24" t="s">
        <v>7</v>
      </c>
      <c r="B295" s="24" t="s">
        <v>691</v>
      </c>
      <c r="C295" s="25" t="s">
        <v>692</v>
      </c>
      <c r="D295" s="25" t="s">
        <v>693</v>
      </c>
      <c r="E295" s="26">
        <v>51098</v>
      </c>
      <c r="F295" s="24" t="s">
        <v>502</v>
      </c>
    </row>
    <row r="296" spans="1:6" x14ac:dyDescent="0.25">
      <c r="A296" s="24" t="s">
        <v>7</v>
      </c>
      <c r="B296" s="24" t="s">
        <v>694</v>
      </c>
      <c r="C296" s="25" t="s">
        <v>695</v>
      </c>
      <c r="D296" s="25" t="s">
        <v>696</v>
      </c>
      <c r="E296" s="26">
        <v>2093</v>
      </c>
      <c r="F296" s="24" t="s">
        <v>502</v>
      </c>
    </row>
    <row r="297" spans="1:6" x14ac:dyDescent="0.25">
      <c r="A297" s="24" t="s">
        <v>7</v>
      </c>
      <c r="B297" s="24" t="s">
        <v>697</v>
      </c>
      <c r="C297" s="25" t="s">
        <v>698</v>
      </c>
      <c r="D297" s="25" t="s">
        <v>699</v>
      </c>
      <c r="E297" s="26">
        <v>5084</v>
      </c>
      <c r="F297" s="24" t="s">
        <v>502</v>
      </c>
    </row>
    <row r="298" spans="1:6" x14ac:dyDescent="0.25">
      <c r="A298" s="24" t="s">
        <v>7</v>
      </c>
      <c r="B298" s="24" t="s">
        <v>700</v>
      </c>
      <c r="C298" s="25" t="s">
        <v>701</v>
      </c>
      <c r="D298" s="25" t="s">
        <v>699</v>
      </c>
      <c r="E298" s="26">
        <v>3462</v>
      </c>
      <c r="F298" s="24" t="s">
        <v>502</v>
      </c>
    </row>
    <row r="299" spans="1:6" x14ac:dyDescent="0.25">
      <c r="A299" s="24" t="s">
        <v>7</v>
      </c>
      <c r="B299" s="24" t="s">
        <v>702</v>
      </c>
      <c r="C299" s="25" t="s">
        <v>703</v>
      </c>
      <c r="D299" s="25" t="s">
        <v>699</v>
      </c>
      <c r="E299" s="26">
        <v>3143</v>
      </c>
      <c r="F299" s="24" t="s">
        <v>502</v>
      </c>
    </row>
    <row r="300" spans="1:6" x14ac:dyDescent="0.25">
      <c r="A300" s="24" t="s">
        <v>7</v>
      </c>
      <c r="B300" s="24" t="s">
        <v>704</v>
      </c>
      <c r="C300" s="25" t="s">
        <v>705</v>
      </c>
      <c r="D300" s="25" t="s">
        <v>706</v>
      </c>
      <c r="E300" s="26">
        <v>3061</v>
      </c>
      <c r="F300" s="24" t="s">
        <v>502</v>
      </c>
    </row>
    <row r="301" spans="1:6" x14ac:dyDescent="0.25">
      <c r="A301" s="24" t="s">
        <v>7</v>
      </c>
      <c r="B301" s="24" t="s">
        <v>707</v>
      </c>
      <c r="C301" s="25" t="s">
        <v>708</v>
      </c>
      <c r="D301" s="25" t="s">
        <v>709</v>
      </c>
      <c r="E301" s="26">
        <v>2685</v>
      </c>
    </row>
    <row r="302" spans="1:6" x14ac:dyDescent="0.25">
      <c r="A302" s="24" t="s">
        <v>7</v>
      </c>
      <c r="B302" s="24" t="s">
        <v>710</v>
      </c>
      <c r="C302" s="25" t="s">
        <v>711</v>
      </c>
      <c r="D302" s="25" t="s">
        <v>712</v>
      </c>
      <c r="E302" s="26">
        <v>13024</v>
      </c>
    </row>
    <row r="303" spans="1:6" x14ac:dyDescent="0.25">
      <c r="A303" s="24" t="s">
        <v>7</v>
      </c>
      <c r="B303" s="24" t="s">
        <v>713</v>
      </c>
      <c r="C303" s="25" t="s">
        <v>714</v>
      </c>
      <c r="D303" s="25" t="s">
        <v>715</v>
      </c>
      <c r="E303" s="26">
        <v>2847</v>
      </c>
    </row>
    <row r="304" spans="1:6" x14ac:dyDescent="0.25">
      <c r="A304" s="24" t="s">
        <v>7</v>
      </c>
      <c r="B304" s="24" t="s">
        <v>716</v>
      </c>
      <c r="C304" s="25" t="s">
        <v>717</v>
      </c>
      <c r="D304" s="25" t="s">
        <v>718</v>
      </c>
      <c r="E304" s="26">
        <v>21864</v>
      </c>
    </row>
    <row r="305" spans="1:6" x14ac:dyDescent="0.25">
      <c r="A305" s="24" t="s">
        <v>7</v>
      </c>
      <c r="B305" s="24" t="s">
        <v>719</v>
      </c>
      <c r="C305" s="25" t="s">
        <v>720</v>
      </c>
      <c r="D305" s="25" t="s">
        <v>721</v>
      </c>
      <c r="E305" s="26">
        <v>19821</v>
      </c>
    </row>
    <row r="306" spans="1:6" x14ac:dyDescent="0.25">
      <c r="A306" s="24" t="s">
        <v>7</v>
      </c>
      <c r="B306" s="24" t="s">
        <v>722</v>
      </c>
      <c r="C306" s="25" t="s">
        <v>723</v>
      </c>
      <c r="D306" s="25" t="s">
        <v>724</v>
      </c>
      <c r="E306" s="26">
        <v>16335</v>
      </c>
    </row>
    <row r="307" spans="1:6" x14ac:dyDescent="0.25">
      <c r="A307" s="24" t="s">
        <v>7</v>
      </c>
      <c r="B307" s="24" t="s">
        <v>725</v>
      </c>
      <c r="C307" s="25" t="s">
        <v>726</v>
      </c>
      <c r="D307" s="25" t="s">
        <v>721</v>
      </c>
      <c r="E307" s="26">
        <v>18842</v>
      </c>
    </row>
    <row r="308" spans="1:6" x14ac:dyDescent="0.25">
      <c r="A308" s="24" t="s">
        <v>7</v>
      </c>
      <c r="B308" s="24" t="s">
        <v>727</v>
      </c>
      <c r="C308" s="25" t="s">
        <v>728</v>
      </c>
      <c r="D308" s="25" t="s">
        <v>729</v>
      </c>
      <c r="E308" s="26">
        <v>25654</v>
      </c>
      <c r="F308" s="24" t="s">
        <v>502</v>
      </c>
    </row>
    <row r="309" spans="1:6" x14ac:dyDescent="0.25">
      <c r="A309" s="24" t="s">
        <v>7</v>
      </c>
      <c r="B309" s="24" t="s">
        <v>730</v>
      </c>
      <c r="C309" s="25" t="s">
        <v>731</v>
      </c>
      <c r="D309" s="25" t="s">
        <v>729</v>
      </c>
      <c r="E309" s="26">
        <v>58522</v>
      </c>
    </row>
    <row r="310" spans="1:6" x14ac:dyDescent="0.25">
      <c r="A310" s="24" t="s">
        <v>7</v>
      </c>
      <c r="B310" s="24" t="s">
        <v>732</v>
      </c>
      <c r="C310" s="25" t="s">
        <v>733</v>
      </c>
      <c r="D310" s="25" t="s">
        <v>734</v>
      </c>
      <c r="E310" s="26">
        <v>29377</v>
      </c>
    </row>
    <row r="311" spans="1:6" x14ac:dyDescent="0.25">
      <c r="A311" s="24" t="s">
        <v>7</v>
      </c>
      <c r="B311" s="24" t="s">
        <v>735</v>
      </c>
      <c r="C311" s="25" t="s">
        <v>736</v>
      </c>
      <c r="D311" s="25" t="s">
        <v>729</v>
      </c>
      <c r="E311" s="26">
        <v>36249</v>
      </c>
    </row>
    <row r="312" spans="1:6" x14ac:dyDescent="0.25">
      <c r="A312" s="24" t="s">
        <v>7</v>
      </c>
      <c r="B312" s="24" t="s">
        <v>737</v>
      </c>
      <c r="C312" s="25" t="s">
        <v>738</v>
      </c>
      <c r="D312" s="25" t="s">
        <v>739</v>
      </c>
      <c r="E312" s="26">
        <v>15715</v>
      </c>
      <c r="F312" s="24" t="s">
        <v>502</v>
      </c>
    </row>
    <row r="313" spans="1:6" x14ac:dyDescent="0.25">
      <c r="A313" s="24" t="s">
        <v>7</v>
      </c>
      <c r="B313" s="24" t="s">
        <v>740</v>
      </c>
      <c r="C313" s="25" t="s">
        <v>741</v>
      </c>
      <c r="D313" s="25" t="s">
        <v>742</v>
      </c>
      <c r="E313" s="26">
        <v>15715</v>
      </c>
      <c r="F313" s="24" t="s">
        <v>502</v>
      </c>
    </row>
    <row r="314" spans="1:6" x14ac:dyDescent="0.25">
      <c r="A314" s="24" t="s">
        <v>7</v>
      </c>
      <c r="B314" s="24" t="s">
        <v>743</v>
      </c>
      <c r="C314" s="25" t="s">
        <v>744</v>
      </c>
      <c r="D314" s="25" t="s">
        <v>745</v>
      </c>
      <c r="E314" s="26">
        <v>30815</v>
      </c>
    </row>
    <row r="315" spans="1:6" x14ac:dyDescent="0.25">
      <c r="A315" s="24" t="s">
        <v>7</v>
      </c>
      <c r="B315" s="24" t="s">
        <v>746</v>
      </c>
      <c r="C315" s="25" t="s">
        <v>747</v>
      </c>
      <c r="D315" s="25" t="s">
        <v>748</v>
      </c>
      <c r="E315" s="26">
        <v>26788</v>
      </c>
    </row>
    <row r="316" spans="1:6" x14ac:dyDescent="0.25">
      <c r="A316" s="24" t="s">
        <v>7</v>
      </c>
      <c r="B316" s="24" t="s">
        <v>749</v>
      </c>
      <c r="C316" s="25" t="s">
        <v>750</v>
      </c>
      <c r="D316" s="25" t="s">
        <v>751</v>
      </c>
      <c r="E316" s="26">
        <v>28761.46</v>
      </c>
    </row>
    <row r="317" spans="1:6" x14ac:dyDescent="0.25">
      <c r="A317" s="24" t="s">
        <v>7</v>
      </c>
      <c r="B317" s="24" t="s">
        <v>752</v>
      </c>
      <c r="C317" s="25" t="s">
        <v>753</v>
      </c>
      <c r="D317" s="25" t="s">
        <v>754</v>
      </c>
      <c r="E317" s="26">
        <v>11891</v>
      </c>
    </row>
    <row r="318" spans="1:6" x14ac:dyDescent="0.25">
      <c r="A318" s="24" t="s">
        <v>7</v>
      </c>
      <c r="B318" s="24" t="s">
        <v>755</v>
      </c>
      <c r="C318" s="25" t="s">
        <v>756</v>
      </c>
      <c r="D318" s="25" t="s">
        <v>757</v>
      </c>
      <c r="E318" s="26">
        <v>44702</v>
      </c>
    </row>
    <row r="319" spans="1:6" x14ac:dyDescent="0.25">
      <c r="A319" s="24" t="s">
        <v>7</v>
      </c>
      <c r="B319" s="24" t="s">
        <v>758</v>
      </c>
      <c r="C319" s="25" t="s">
        <v>759</v>
      </c>
      <c r="D319" s="25" t="s">
        <v>760</v>
      </c>
      <c r="E319" s="26">
        <v>57081</v>
      </c>
    </row>
    <row r="320" spans="1:6" x14ac:dyDescent="0.25">
      <c r="A320" s="24" t="s">
        <v>7</v>
      </c>
      <c r="B320" s="24" t="s">
        <v>761</v>
      </c>
      <c r="C320" s="25" t="s">
        <v>762</v>
      </c>
      <c r="D320" s="25" t="s">
        <v>760</v>
      </c>
      <c r="E320" s="26">
        <v>47531</v>
      </c>
    </row>
    <row r="321" spans="1:6" x14ac:dyDescent="0.25">
      <c r="A321" s="24" t="s">
        <v>7</v>
      </c>
      <c r="B321" s="24" t="s">
        <v>763</v>
      </c>
      <c r="C321" s="25" t="s">
        <v>764</v>
      </c>
      <c r="D321" s="25" t="s">
        <v>765</v>
      </c>
      <c r="E321" s="26">
        <v>25177</v>
      </c>
    </row>
    <row r="322" spans="1:6" x14ac:dyDescent="0.25">
      <c r="A322" s="24" t="s">
        <v>7</v>
      </c>
      <c r="B322" s="24" t="s">
        <v>766</v>
      </c>
      <c r="C322" s="25" t="s">
        <v>767</v>
      </c>
      <c r="D322" s="25" t="s">
        <v>768</v>
      </c>
      <c r="E322" s="26">
        <v>43704</v>
      </c>
    </row>
    <row r="323" spans="1:6" x14ac:dyDescent="0.25">
      <c r="A323" s="24" t="s">
        <v>7</v>
      </c>
      <c r="B323" s="24" t="s">
        <v>769</v>
      </c>
      <c r="C323" s="25" t="s">
        <v>770</v>
      </c>
      <c r="D323" s="25" t="s">
        <v>768</v>
      </c>
      <c r="E323" s="26">
        <v>45047</v>
      </c>
      <c r="F323" s="24" t="s">
        <v>502</v>
      </c>
    </row>
    <row r="324" spans="1:6" x14ac:dyDescent="0.25">
      <c r="A324" s="24" t="s">
        <v>7</v>
      </c>
      <c r="B324" s="24" t="s">
        <v>771</v>
      </c>
      <c r="C324" s="25" t="s">
        <v>772</v>
      </c>
      <c r="D324" s="25" t="s">
        <v>773</v>
      </c>
      <c r="E324" s="26">
        <v>37776</v>
      </c>
      <c r="F324" s="24" t="s">
        <v>502</v>
      </c>
    </row>
    <row r="325" spans="1:6" x14ac:dyDescent="0.25">
      <c r="A325" s="24" t="s">
        <v>7</v>
      </c>
      <c r="B325" s="24" t="s">
        <v>774</v>
      </c>
      <c r="C325" s="25" t="s">
        <v>775</v>
      </c>
      <c r="D325" s="25" t="s">
        <v>776</v>
      </c>
      <c r="E325" s="26">
        <v>33153</v>
      </c>
    </row>
    <row r="326" spans="1:6" x14ac:dyDescent="0.25">
      <c r="A326" s="24" t="s">
        <v>7</v>
      </c>
      <c r="B326" s="24" t="s">
        <v>777</v>
      </c>
      <c r="C326" s="25" t="s">
        <v>778</v>
      </c>
      <c r="D326" s="25" t="s">
        <v>779</v>
      </c>
      <c r="E326" s="26">
        <v>14331</v>
      </c>
    </row>
    <row r="327" spans="1:6" x14ac:dyDescent="0.25">
      <c r="A327" s="24" t="s">
        <v>7</v>
      </c>
      <c r="B327" s="24" t="s">
        <v>780</v>
      </c>
      <c r="C327" s="25" t="s">
        <v>781</v>
      </c>
      <c r="D327" s="25" t="s">
        <v>782</v>
      </c>
      <c r="E327" s="26">
        <v>17862</v>
      </c>
    </row>
    <row r="328" spans="1:6" x14ac:dyDescent="0.25">
      <c r="A328" s="24" t="s">
        <v>7</v>
      </c>
      <c r="B328" s="24" t="s">
        <v>783</v>
      </c>
      <c r="C328" s="25" t="s">
        <v>784</v>
      </c>
      <c r="D328" s="25" t="s">
        <v>785</v>
      </c>
      <c r="E328" s="26">
        <v>17373</v>
      </c>
    </row>
    <row r="329" spans="1:6" x14ac:dyDescent="0.25">
      <c r="A329" s="24" t="s">
        <v>7</v>
      </c>
      <c r="B329" s="24" t="s">
        <v>786</v>
      </c>
      <c r="C329" s="25" t="s">
        <v>787</v>
      </c>
      <c r="D329" s="25" t="s">
        <v>776</v>
      </c>
      <c r="E329" s="26">
        <v>41192</v>
      </c>
    </row>
    <row r="330" spans="1:6" x14ac:dyDescent="0.25">
      <c r="A330" s="24" t="s">
        <v>7</v>
      </c>
      <c r="B330" s="24" t="s">
        <v>788</v>
      </c>
      <c r="C330" s="25" t="s">
        <v>789</v>
      </c>
      <c r="D330" s="25" t="s">
        <v>790</v>
      </c>
      <c r="E330" s="26">
        <v>30739</v>
      </c>
    </row>
    <row r="331" spans="1:6" x14ac:dyDescent="0.25">
      <c r="A331" s="24" t="s">
        <v>7</v>
      </c>
      <c r="B331" s="24" t="s">
        <v>791</v>
      </c>
      <c r="C331" s="25" t="s">
        <v>792</v>
      </c>
      <c r="D331" s="25" t="s">
        <v>793</v>
      </c>
      <c r="E331" s="26">
        <v>45819</v>
      </c>
    </row>
    <row r="332" spans="1:6" x14ac:dyDescent="0.25">
      <c r="A332" s="24" t="s">
        <v>7</v>
      </c>
      <c r="B332" s="24" t="s">
        <v>794</v>
      </c>
      <c r="C332" s="25" t="s">
        <v>795</v>
      </c>
      <c r="D332" s="25" t="s">
        <v>796</v>
      </c>
      <c r="E332" s="26">
        <v>22569</v>
      </c>
    </row>
    <row r="333" spans="1:6" x14ac:dyDescent="0.25">
      <c r="A333" s="24" t="s">
        <v>7</v>
      </c>
      <c r="B333" s="24" t="s">
        <v>797</v>
      </c>
      <c r="C333" s="25" t="s">
        <v>798</v>
      </c>
      <c r="D333" s="25" t="s">
        <v>796</v>
      </c>
      <c r="E333" s="26">
        <v>59540</v>
      </c>
    </row>
    <row r="334" spans="1:6" x14ac:dyDescent="0.25">
      <c r="A334" s="24" t="s">
        <v>7</v>
      </c>
      <c r="B334" s="24" t="s">
        <v>799</v>
      </c>
      <c r="C334" s="25" t="s">
        <v>800</v>
      </c>
      <c r="D334" s="25" t="s">
        <v>796</v>
      </c>
      <c r="E334" s="26">
        <v>30817</v>
      </c>
    </row>
    <row r="335" spans="1:6" x14ac:dyDescent="0.25">
      <c r="A335" s="24" t="s">
        <v>7</v>
      </c>
      <c r="B335" s="24" t="s">
        <v>801</v>
      </c>
      <c r="C335" s="25" t="s">
        <v>802</v>
      </c>
      <c r="D335" s="25" t="s">
        <v>796</v>
      </c>
      <c r="E335" s="26">
        <v>15120</v>
      </c>
    </row>
    <row r="336" spans="1:6" x14ac:dyDescent="0.25">
      <c r="A336" s="24" t="s">
        <v>7</v>
      </c>
      <c r="B336" s="24" t="s">
        <v>803</v>
      </c>
      <c r="C336" s="25" t="s">
        <v>804</v>
      </c>
      <c r="D336" s="25" t="s">
        <v>796</v>
      </c>
      <c r="E336" s="26">
        <v>33661</v>
      </c>
    </row>
    <row r="337" spans="1:5" x14ac:dyDescent="0.25">
      <c r="A337" s="24" t="s">
        <v>7</v>
      </c>
      <c r="B337" s="24" t="s">
        <v>805</v>
      </c>
      <c r="C337" s="25" t="s">
        <v>806</v>
      </c>
      <c r="D337" s="25" t="s">
        <v>796</v>
      </c>
      <c r="E337" s="26">
        <v>28817</v>
      </c>
    </row>
    <row r="338" spans="1:5" x14ac:dyDescent="0.25">
      <c r="A338" s="24" t="s">
        <v>7</v>
      </c>
      <c r="B338" s="24" t="s">
        <v>807</v>
      </c>
      <c r="C338" s="25" t="s">
        <v>808</v>
      </c>
      <c r="D338" s="25" t="s">
        <v>796</v>
      </c>
      <c r="E338" s="26">
        <v>15715</v>
      </c>
    </row>
    <row r="339" spans="1:5" x14ac:dyDescent="0.25">
      <c r="A339" s="24" t="s">
        <v>7</v>
      </c>
      <c r="B339" s="24" t="s">
        <v>809</v>
      </c>
      <c r="C339" s="25" t="s">
        <v>810</v>
      </c>
      <c r="D339" s="25" t="s">
        <v>796</v>
      </c>
      <c r="E339" s="26">
        <v>63708</v>
      </c>
    </row>
    <row r="340" spans="1:5" x14ac:dyDescent="0.25">
      <c r="A340" s="24" t="s">
        <v>7</v>
      </c>
      <c r="B340" s="24" t="s">
        <v>811</v>
      </c>
      <c r="C340" s="25" t="s">
        <v>812</v>
      </c>
      <c r="D340" s="25" t="s">
        <v>796</v>
      </c>
      <c r="E340" s="26">
        <v>32188</v>
      </c>
    </row>
    <row r="341" spans="1:5" x14ac:dyDescent="0.25">
      <c r="A341" s="24" t="s">
        <v>7</v>
      </c>
      <c r="B341" s="24" t="s">
        <v>813</v>
      </c>
      <c r="C341" s="25" t="s">
        <v>814</v>
      </c>
      <c r="D341" s="25" t="s">
        <v>796</v>
      </c>
      <c r="E341" s="26">
        <v>32188</v>
      </c>
    </row>
    <row r="342" spans="1:5" x14ac:dyDescent="0.25">
      <c r="A342" s="24" t="s">
        <v>7</v>
      </c>
      <c r="B342" s="24" t="s">
        <v>815</v>
      </c>
      <c r="C342" s="25" t="s">
        <v>816</v>
      </c>
      <c r="D342" s="25" t="s">
        <v>796</v>
      </c>
      <c r="E342" s="26">
        <v>41130</v>
      </c>
    </row>
    <row r="343" spans="1:5" x14ac:dyDescent="0.25">
      <c r="A343" s="24" t="s">
        <v>7</v>
      </c>
      <c r="B343" s="24" t="s">
        <v>817</v>
      </c>
      <c r="C343" s="25" t="s">
        <v>818</v>
      </c>
      <c r="D343" s="25" t="s">
        <v>796</v>
      </c>
      <c r="E343" s="26">
        <v>32188</v>
      </c>
    </row>
    <row r="344" spans="1:5" x14ac:dyDescent="0.25">
      <c r="A344" s="24" t="s">
        <v>7</v>
      </c>
      <c r="B344" s="24" t="s">
        <v>819</v>
      </c>
      <c r="C344" s="25" t="s">
        <v>820</v>
      </c>
      <c r="D344" s="25" t="s">
        <v>796</v>
      </c>
      <c r="E344" s="26">
        <v>33661</v>
      </c>
    </row>
    <row r="345" spans="1:5" x14ac:dyDescent="0.25">
      <c r="A345" s="24" t="s">
        <v>7</v>
      </c>
      <c r="B345" s="24" t="s">
        <v>821</v>
      </c>
      <c r="C345" s="25" t="s">
        <v>822</v>
      </c>
      <c r="D345" s="25" t="s">
        <v>796</v>
      </c>
      <c r="E345" s="26">
        <v>52390</v>
      </c>
    </row>
    <row r="346" spans="1:5" x14ac:dyDescent="0.25">
      <c r="A346" s="24" t="s">
        <v>7</v>
      </c>
      <c r="B346" s="24" t="s">
        <v>823</v>
      </c>
      <c r="C346" s="25" t="s">
        <v>824</v>
      </c>
      <c r="D346" s="25" t="s">
        <v>796</v>
      </c>
      <c r="E346" s="26">
        <v>31436</v>
      </c>
    </row>
    <row r="347" spans="1:5" x14ac:dyDescent="0.25">
      <c r="A347" s="24" t="s">
        <v>7</v>
      </c>
      <c r="B347" s="24" t="s">
        <v>825</v>
      </c>
      <c r="C347" s="25" t="s">
        <v>826</v>
      </c>
      <c r="D347" s="25" t="s">
        <v>796</v>
      </c>
      <c r="E347" s="26">
        <v>28918</v>
      </c>
    </row>
    <row r="348" spans="1:5" x14ac:dyDescent="0.25">
      <c r="A348" s="24" t="s">
        <v>7</v>
      </c>
      <c r="B348" s="24" t="s">
        <v>827</v>
      </c>
      <c r="C348" s="25" t="s">
        <v>828</v>
      </c>
      <c r="D348" s="25" t="s">
        <v>796</v>
      </c>
      <c r="E348" s="26">
        <v>32692</v>
      </c>
    </row>
    <row r="349" spans="1:5" x14ac:dyDescent="0.25">
      <c r="A349" s="24" t="s">
        <v>7</v>
      </c>
      <c r="B349" s="24" t="s">
        <v>829</v>
      </c>
      <c r="C349" s="25" t="s">
        <v>830</v>
      </c>
      <c r="D349" s="25" t="s">
        <v>796</v>
      </c>
      <c r="E349" s="26">
        <v>30681</v>
      </c>
    </row>
    <row r="350" spans="1:5" x14ac:dyDescent="0.25">
      <c r="A350" s="24" t="s">
        <v>7</v>
      </c>
      <c r="B350" s="24" t="s">
        <v>831</v>
      </c>
      <c r="C350" s="25" t="s">
        <v>832</v>
      </c>
      <c r="D350" s="25" t="s">
        <v>796</v>
      </c>
      <c r="E350" s="26">
        <v>39169</v>
      </c>
    </row>
    <row r="351" spans="1:5" x14ac:dyDescent="0.25">
      <c r="A351" s="24" t="s">
        <v>7</v>
      </c>
      <c r="B351" s="24" t="s">
        <v>833</v>
      </c>
      <c r="C351" s="25" t="s">
        <v>834</v>
      </c>
      <c r="D351" s="25" t="s">
        <v>796</v>
      </c>
      <c r="E351" s="26">
        <v>38771</v>
      </c>
    </row>
    <row r="352" spans="1:5" x14ac:dyDescent="0.25">
      <c r="A352" s="24" t="s">
        <v>7</v>
      </c>
      <c r="B352" s="24" t="s">
        <v>835</v>
      </c>
      <c r="C352" s="25" t="s">
        <v>836</v>
      </c>
      <c r="D352" s="25" t="s">
        <v>796</v>
      </c>
      <c r="E352" s="26">
        <v>60296</v>
      </c>
    </row>
    <row r="353" spans="1:6" x14ac:dyDescent="0.25">
      <c r="A353" s="24" t="s">
        <v>7</v>
      </c>
      <c r="B353" s="24" t="s">
        <v>837</v>
      </c>
      <c r="C353" s="25" t="s">
        <v>838</v>
      </c>
      <c r="D353" s="25" t="s">
        <v>796</v>
      </c>
      <c r="E353" s="26">
        <v>59680</v>
      </c>
    </row>
    <row r="354" spans="1:6" x14ac:dyDescent="0.25">
      <c r="A354" s="24" t="s">
        <v>7</v>
      </c>
      <c r="B354" s="24" t="s">
        <v>839</v>
      </c>
      <c r="C354" s="25" t="s">
        <v>840</v>
      </c>
      <c r="D354" s="25" t="s">
        <v>841</v>
      </c>
      <c r="E354" s="26">
        <v>49823</v>
      </c>
    </row>
    <row r="355" spans="1:6" x14ac:dyDescent="0.25">
      <c r="A355" s="24" t="s">
        <v>7</v>
      </c>
      <c r="B355" s="24" t="s">
        <v>842</v>
      </c>
      <c r="C355" s="25" t="s">
        <v>843</v>
      </c>
      <c r="D355" s="25" t="s">
        <v>841</v>
      </c>
      <c r="E355" s="26">
        <v>60268</v>
      </c>
    </row>
    <row r="356" spans="1:6" x14ac:dyDescent="0.25">
      <c r="A356" s="24" t="s">
        <v>7</v>
      </c>
      <c r="B356" s="24" t="s">
        <v>844</v>
      </c>
      <c r="C356" s="25" t="s">
        <v>845</v>
      </c>
      <c r="D356" s="25" t="s">
        <v>846</v>
      </c>
      <c r="E356" s="26">
        <v>54001</v>
      </c>
    </row>
    <row r="357" spans="1:6" x14ac:dyDescent="0.25">
      <c r="A357" s="24" t="s">
        <v>7</v>
      </c>
      <c r="B357" s="24" t="s">
        <v>847</v>
      </c>
      <c r="C357" s="25" t="s">
        <v>848</v>
      </c>
      <c r="D357" s="25" t="s">
        <v>849</v>
      </c>
      <c r="E357" s="26">
        <v>18348</v>
      </c>
    </row>
    <row r="358" spans="1:6" x14ac:dyDescent="0.25">
      <c r="A358" s="24" t="s">
        <v>7</v>
      </c>
      <c r="B358" s="24" t="s">
        <v>850</v>
      </c>
      <c r="C358" s="25" t="s">
        <v>851</v>
      </c>
      <c r="D358" s="25" t="s">
        <v>852</v>
      </c>
      <c r="E358" s="26">
        <v>16889</v>
      </c>
    </row>
    <row r="359" spans="1:6" x14ac:dyDescent="0.25">
      <c r="A359" s="24" t="s">
        <v>7</v>
      </c>
      <c r="B359" s="24" t="s">
        <v>853</v>
      </c>
      <c r="C359" s="25" t="s">
        <v>854</v>
      </c>
      <c r="D359" s="25" t="s">
        <v>849</v>
      </c>
      <c r="E359" s="26">
        <v>19781</v>
      </c>
    </row>
    <row r="360" spans="1:6" x14ac:dyDescent="0.25">
      <c r="A360" s="24" t="s">
        <v>7</v>
      </c>
      <c r="B360" s="24" t="s">
        <v>855</v>
      </c>
      <c r="C360" s="25" t="s">
        <v>856</v>
      </c>
      <c r="D360" s="25" t="s">
        <v>857</v>
      </c>
      <c r="E360" s="26">
        <v>65955</v>
      </c>
    </row>
    <row r="361" spans="1:6" x14ac:dyDescent="0.25">
      <c r="A361" s="24" t="s">
        <v>7</v>
      </c>
      <c r="B361" s="24" t="s">
        <v>858</v>
      </c>
      <c r="C361" s="25" t="s">
        <v>859</v>
      </c>
      <c r="D361" s="25" t="s">
        <v>860</v>
      </c>
      <c r="E361" s="26">
        <v>37811</v>
      </c>
    </row>
    <row r="362" spans="1:6" x14ac:dyDescent="0.25">
      <c r="A362" s="24" t="s">
        <v>7</v>
      </c>
      <c r="B362" s="24" t="s">
        <v>861</v>
      </c>
      <c r="C362" s="25" t="s">
        <v>862</v>
      </c>
      <c r="D362" s="25" t="s">
        <v>860</v>
      </c>
      <c r="E362" s="26">
        <v>39850</v>
      </c>
    </row>
    <row r="363" spans="1:6" x14ac:dyDescent="0.25">
      <c r="A363" s="24" t="s">
        <v>7</v>
      </c>
      <c r="B363" s="24" t="s">
        <v>863</v>
      </c>
      <c r="C363" s="25" t="s">
        <v>864</v>
      </c>
      <c r="D363" s="25" t="s">
        <v>865</v>
      </c>
      <c r="E363" s="26">
        <v>102469</v>
      </c>
    </row>
    <row r="364" spans="1:6" x14ac:dyDescent="0.25">
      <c r="A364" s="24" t="s">
        <v>7</v>
      </c>
      <c r="B364" s="24" t="s">
        <v>866</v>
      </c>
      <c r="C364" s="25" t="s">
        <v>867</v>
      </c>
      <c r="D364" s="25" t="s">
        <v>865</v>
      </c>
      <c r="E364" s="26">
        <v>37811</v>
      </c>
    </row>
    <row r="365" spans="1:6" x14ac:dyDescent="0.25">
      <c r="A365" s="24" t="s">
        <v>7</v>
      </c>
      <c r="B365" s="24" t="s">
        <v>868</v>
      </c>
      <c r="C365" s="25" t="s">
        <v>869</v>
      </c>
      <c r="D365" s="25" t="s">
        <v>870</v>
      </c>
      <c r="E365" s="26">
        <v>33685</v>
      </c>
    </row>
    <row r="366" spans="1:6" x14ac:dyDescent="0.25">
      <c r="A366" s="24" t="s">
        <v>7</v>
      </c>
      <c r="B366" s="24" t="s">
        <v>871</v>
      </c>
      <c r="C366" s="25" t="s">
        <v>872</v>
      </c>
      <c r="D366" s="25" t="s">
        <v>873</v>
      </c>
      <c r="E366" s="26">
        <v>19062</v>
      </c>
      <c r="F366" s="24" t="s">
        <v>502</v>
      </c>
    </row>
    <row r="367" spans="1:6" x14ac:dyDescent="0.25">
      <c r="A367" s="24" t="s">
        <v>7</v>
      </c>
      <c r="B367" s="24" t="s">
        <v>874</v>
      </c>
      <c r="C367" s="25" t="s">
        <v>875</v>
      </c>
      <c r="D367" s="25" t="s">
        <v>876</v>
      </c>
      <c r="E367" s="26">
        <v>15197</v>
      </c>
    </row>
    <row r="368" spans="1:6" x14ac:dyDescent="0.25">
      <c r="A368" s="24" t="s">
        <v>7</v>
      </c>
      <c r="B368" s="24" t="s">
        <v>877</v>
      </c>
      <c r="C368" s="25" t="s">
        <v>878</v>
      </c>
      <c r="D368" s="25" t="s">
        <v>879</v>
      </c>
      <c r="E368" s="26">
        <v>26158</v>
      </c>
    </row>
    <row r="369" spans="1:6" x14ac:dyDescent="0.25">
      <c r="A369" s="24" t="s">
        <v>7</v>
      </c>
      <c r="B369" s="24" t="s">
        <v>880</v>
      </c>
      <c r="C369" s="25" t="s">
        <v>881</v>
      </c>
      <c r="D369" s="25" t="s">
        <v>882</v>
      </c>
      <c r="E369" s="26">
        <v>23891</v>
      </c>
    </row>
    <row r="370" spans="1:6" x14ac:dyDescent="0.25">
      <c r="A370" s="24" t="s">
        <v>7</v>
      </c>
      <c r="B370" s="24" t="s">
        <v>883</v>
      </c>
      <c r="C370" s="25" t="s">
        <v>884</v>
      </c>
      <c r="D370" s="25" t="s">
        <v>882</v>
      </c>
      <c r="E370" s="26">
        <v>39935</v>
      </c>
    </row>
    <row r="371" spans="1:6" x14ac:dyDescent="0.25">
      <c r="A371" s="24" t="s">
        <v>7</v>
      </c>
      <c r="B371" s="24" t="s">
        <v>885</v>
      </c>
      <c r="C371" s="25" t="s">
        <v>886</v>
      </c>
      <c r="D371" s="25" t="s">
        <v>882</v>
      </c>
      <c r="E371" s="26">
        <v>18850</v>
      </c>
    </row>
    <row r="372" spans="1:6" x14ac:dyDescent="0.25">
      <c r="A372" s="24" t="s">
        <v>7</v>
      </c>
      <c r="B372" s="24" t="s">
        <v>887</v>
      </c>
      <c r="C372" s="25" t="s">
        <v>888</v>
      </c>
      <c r="D372" s="25" t="s">
        <v>882</v>
      </c>
      <c r="E372" s="26">
        <v>43591</v>
      </c>
    </row>
    <row r="373" spans="1:6" x14ac:dyDescent="0.25">
      <c r="A373" s="24" t="s">
        <v>7</v>
      </c>
      <c r="B373" s="24" t="s">
        <v>889</v>
      </c>
      <c r="C373" s="25" t="s">
        <v>890</v>
      </c>
      <c r="D373" s="25" t="s">
        <v>882</v>
      </c>
      <c r="E373" s="26">
        <v>43086</v>
      </c>
    </row>
    <row r="374" spans="1:6" x14ac:dyDescent="0.25">
      <c r="A374" s="24" t="s">
        <v>7</v>
      </c>
      <c r="B374" s="24" t="s">
        <v>891</v>
      </c>
      <c r="C374" s="25" t="s">
        <v>892</v>
      </c>
      <c r="D374" s="25" t="s">
        <v>882</v>
      </c>
      <c r="E374" s="26">
        <v>24809</v>
      </c>
    </row>
    <row r="375" spans="1:6" x14ac:dyDescent="0.25">
      <c r="A375" s="24" t="s">
        <v>7</v>
      </c>
      <c r="B375" s="24" t="s">
        <v>893</v>
      </c>
      <c r="C375" s="25" t="s">
        <v>894</v>
      </c>
      <c r="D375" s="25" t="s">
        <v>882</v>
      </c>
      <c r="E375" s="26">
        <v>29171</v>
      </c>
    </row>
    <row r="376" spans="1:6" x14ac:dyDescent="0.25">
      <c r="A376" s="24" t="s">
        <v>7</v>
      </c>
      <c r="B376" s="24" t="s">
        <v>895</v>
      </c>
      <c r="C376" s="25" t="s">
        <v>896</v>
      </c>
      <c r="D376" s="25" t="s">
        <v>882</v>
      </c>
      <c r="E376" s="26">
        <v>48200</v>
      </c>
    </row>
    <row r="377" spans="1:6" x14ac:dyDescent="0.25">
      <c r="A377" s="24" t="s">
        <v>7</v>
      </c>
      <c r="B377" s="24" t="s">
        <v>897</v>
      </c>
      <c r="C377" s="25" t="s">
        <v>898</v>
      </c>
      <c r="D377" s="25" t="s">
        <v>882</v>
      </c>
      <c r="E377" s="26">
        <v>26081</v>
      </c>
    </row>
    <row r="378" spans="1:6" x14ac:dyDescent="0.25">
      <c r="A378" s="24" t="s">
        <v>7</v>
      </c>
      <c r="B378" s="24" t="s">
        <v>899</v>
      </c>
      <c r="C378" s="25" t="s">
        <v>900</v>
      </c>
      <c r="D378" s="25" t="s">
        <v>882</v>
      </c>
      <c r="E378" s="26">
        <v>42752</v>
      </c>
    </row>
    <row r="379" spans="1:6" x14ac:dyDescent="0.25">
      <c r="A379" s="24" t="s">
        <v>7</v>
      </c>
      <c r="B379" s="24" t="s">
        <v>901</v>
      </c>
      <c r="C379" s="25" t="s">
        <v>902</v>
      </c>
      <c r="D379" s="25" t="s">
        <v>882</v>
      </c>
      <c r="E379" s="26">
        <v>14362</v>
      </c>
    </row>
    <row r="380" spans="1:6" x14ac:dyDescent="0.25">
      <c r="A380" s="24" t="s">
        <v>7</v>
      </c>
      <c r="B380" s="24" t="s">
        <v>903</v>
      </c>
      <c r="C380" s="25" t="s">
        <v>904</v>
      </c>
      <c r="D380" s="25" t="s">
        <v>905</v>
      </c>
      <c r="E380" s="26">
        <v>38911</v>
      </c>
      <c r="F380" s="24" t="s">
        <v>502</v>
      </c>
    </row>
    <row r="381" spans="1:6" x14ac:dyDescent="0.25">
      <c r="A381" s="24" t="s">
        <v>7</v>
      </c>
      <c r="B381" s="24" t="s">
        <v>906</v>
      </c>
      <c r="C381" s="25" t="s">
        <v>907</v>
      </c>
      <c r="D381" s="25" t="s">
        <v>908</v>
      </c>
      <c r="E381" s="26">
        <v>37963</v>
      </c>
      <c r="F381" s="24" t="s">
        <v>502</v>
      </c>
    </row>
    <row r="382" spans="1:6" x14ac:dyDescent="0.25">
      <c r="A382" s="24" t="s">
        <v>7</v>
      </c>
      <c r="B382" s="24" t="s">
        <v>909</v>
      </c>
      <c r="C382" s="25" t="s">
        <v>910</v>
      </c>
      <c r="D382" s="25" t="s">
        <v>911</v>
      </c>
      <c r="E382" s="26">
        <v>24731</v>
      </c>
      <c r="F382" s="24" t="s">
        <v>502</v>
      </c>
    </row>
    <row r="383" spans="1:6" x14ac:dyDescent="0.25">
      <c r="A383" s="24" t="s">
        <v>7</v>
      </c>
      <c r="B383" s="24" t="s">
        <v>912</v>
      </c>
      <c r="C383" s="25" t="s">
        <v>913</v>
      </c>
      <c r="D383" s="25" t="s">
        <v>914</v>
      </c>
      <c r="E383" s="26">
        <v>93774</v>
      </c>
    </row>
    <row r="384" spans="1:6" x14ac:dyDescent="0.25">
      <c r="A384" s="24" t="s">
        <v>7</v>
      </c>
      <c r="B384" s="24" t="s">
        <v>915</v>
      </c>
      <c r="C384" s="25" t="s">
        <v>916</v>
      </c>
      <c r="D384" s="25" t="s">
        <v>914</v>
      </c>
      <c r="E384" s="26">
        <v>102469</v>
      </c>
    </row>
    <row r="385" spans="1:6" x14ac:dyDescent="0.25">
      <c r="A385" s="24" t="s">
        <v>7</v>
      </c>
      <c r="B385" s="24" t="s">
        <v>917</v>
      </c>
      <c r="C385" s="25" t="s">
        <v>918</v>
      </c>
      <c r="D385" s="25" t="s">
        <v>919</v>
      </c>
      <c r="E385" s="26">
        <v>19335</v>
      </c>
    </row>
    <row r="386" spans="1:6" x14ac:dyDescent="0.25">
      <c r="A386" s="24" t="s">
        <v>7</v>
      </c>
      <c r="B386" s="24" t="s">
        <v>920</v>
      </c>
      <c r="C386" s="25" t="s">
        <v>921</v>
      </c>
      <c r="D386" s="25" t="s">
        <v>922</v>
      </c>
      <c r="E386" s="26">
        <v>19333</v>
      </c>
    </row>
    <row r="387" spans="1:6" x14ac:dyDescent="0.25">
      <c r="A387" s="24" t="s">
        <v>7</v>
      </c>
      <c r="B387" s="24" t="s">
        <v>923</v>
      </c>
      <c r="C387" s="25" t="s">
        <v>924</v>
      </c>
      <c r="D387" s="25" t="s">
        <v>922</v>
      </c>
      <c r="E387" s="26">
        <v>15247</v>
      </c>
    </row>
    <row r="388" spans="1:6" x14ac:dyDescent="0.25">
      <c r="A388" s="24" t="s">
        <v>7</v>
      </c>
      <c r="B388" s="24" t="s">
        <v>925</v>
      </c>
      <c r="C388" s="25" t="s">
        <v>926</v>
      </c>
      <c r="D388" s="25" t="s">
        <v>922</v>
      </c>
      <c r="E388" s="26">
        <v>17862</v>
      </c>
    </row>
    <row r="389" spans="1:6" x14ac:dyDescent="0.25">
      <c r="A389" s="24" t="s">
        <v>7</v>
      </c>
      <c r="B389" s="24" t="s">
        <v>927</v>
      </c>
      <c r="C389" s="25" t="s">
        <v>928</v>
      </c>
      <c r="D389" s="25" t="s">
        <v>922</v>
      </c>
      <c r="E389" s="26">
        <v>15878</v>
      </c>
    </row>
    <row r="390" spans="1:6" x14ac:dyDescent="0.25">
      <c r="A390" s="24" t="s">
        <v>7</v>
      </c>
      <c r="B390" s="24" t="s">
        <v>929</v>
      </c>
      <c r="C390" s="25" t="s">
        <v>930</v>
      </c>
      <c r="D390" s="25" t="s">
        <v>922</v>
      </c>
      <c r="E390" s="26">
        <v>12230</v>
      </c>
      <c r="F390" s="24" t="s">
        <v>502</v>
      </c>
    </row>
    <row r="391" spans="1:6" x14ac:dyDescent="0.25">
      <c r="A391" s="24" t="s">
        <v>7</v>
      </c>
      <c r="B391" s="24" t="s">
        <v>931</v>
      </c>
      <c r="C391" s="25" t="s">
        <v>932</v>
      </c>
      <c r="D391" s="25" t="s">
        <v>922</v>
      </c>
      <c r="E391" s="26">
        <v>21569</v>
      </c>
    </row>
    <row r="392" spans="1:6" x14ac:dyDescent="0.25">
      <c r="A392" s="24" t="s">
        <v>7</v>
      </c>
      <c r="B392" s="24" t="s">
        <v>933</v>
      </c>
      <c r="C392" s="25" t="s">
        <v>934</v>
      </c>
      <c r="D392" s="25" t="s">
        <v>935</v>
      </c>
      <c r="E392" s="26">
        <v>43751</v>
      </c>
    </row>
    <row r="393" spans="1:6" x14ac:dyDescent="0.25">
      <c r="A393" s="24" t="s">
        <v>7</v>
      </c>
      <c r="B393" s="24" t="s">
        <v>936</v>
      </c>
      <c r="C393" s="25" t="s">
        <v>937</v>
      </c>
      <c r="D393" s="25" t="s">
        <v>938</v>
      </c>
      <c r="E393" s="26">
        <v>36604</v>
      </c>
    </row>
    <row r="394" spans="1:6" x14ac:dyDescent="0.25">
      <c r="A394" s="24" t="s">
        <v>7</v>
      </c>
      <c r="B394" s="24" t="s">
        <v>939</v>
      </c>
      <c r="C394" s="25" t="s">
        <v>940</v>
      </c>
      <c r="D394" s="25" t="s">
        <v>938</v>
      </c>
      <c r="E394" s="26">
        <v>40179</v>
      </c>
    </row>
    <row r="395" spans="1:6" x14ac:dyDescent="0.25">
      <c r="A395" s="24" t="s">
        <v>7</v>
      </c>
      <c r="B395" s="24" t="s">
        <v>941</v>
      </c>
      <c r="C395" s="25" t="s">
        <v>942</v>
      </c>
      <c r="D395" s="25" t="s">
        <v>943</v>
      </c>
      <c r="E395" s="26">
        <v>45456</v>
      </c>
      <c r="F395" s="24" t="s">
        <v>502</v>
      </c>
    </row>
    <row r="396" spans="1:6" x14ac:dyDescent="0.25">
      <c r="A396" s="24" t="s">
        <v>7</v>
      </c>
      <c r="B396" s="24" t="s">
        <v>944</v>
      </c>
      <c r="C396" s="25" t="s">
        <v>945</v>
      </c>
      <c r="D396" s="25" t="s">
        <v>946</v>
      </c>
      <c r="E396" s="26">
        <v>21136</v>
      </c>
      <c r="F396" s="24" t="s">
        <v>502</v>
      </c>
    </row>
    <row r="397" spans="1:6" x14ac:dyDescent="0.25">
      <c r="A397" s="24" t="s">
        <v>7</v>
      </c>
      <c r="B397" s="24" t="s">
        <v>947</v>
      </c>
      <c r="C397" s="25" t="s">
        <v>948</v>
      </c>
      <c r="D397" s="25" t="s">
        <v>790</v>
      </c>
      <c r="E397" s="26">
        <v>25669</v>
      </c>
    </row>
    <row r="398" spans="1:6" x14ac:dyDescent="0.25">
      <c r="A398" s="24" t="s">
        <v>7</v>
      </c>
      <c r="B398" s="24" t="s">
        <v>949</v>
      </c>
      <c r="C398" s="25" t="s">
        <v>950</v>
      </c>
      <c r="D398" s="25" t="s">
        <v>879</v>
      </c>
      <c r="E398" s="26">
        <v>16619</v>
      </c>
    </row>
    <row r="399" spans="1:6" x14ac:dyDescent="0.25">
      <c r="A399" s="24" t="s">
        <v>7</v>
      </c>
      <c r="B399" s="24" t="s">
        <v>951</v>
      </c>
      <c r="C399" s="25" t="s">
        <v>952</v>
      </c>
      <c r="D399" s="25" t="s">
        <v>953</v>
      </c>
      <c r="E399" s="26">
        <v>17731</v>
      </c>
    </row>
    <row r="400" spans="1:6" x14ac:dyDescent="0.25">
      <c r="A400" s="24" t="s">
        <v>7</v>
      </c>
      <c r="B400" s="24" t="s">
        <v>954</v>
      </c>
      <c r="C400" s="25" t="s">
        <v>955</v>
      </c>
      <c r="D400" s="25" t="s">
        <v>953</v>
      </c>
      <c r="E400" s="26">
        <v>19461</v>
      </c>
    </row>
    <row r="401" spans="1:5" x14ac:dyDescent="0.25">
      <c r="A401" s="24" t="s">
        <v>7</v>
      </c>
      <c r="B401" s="24" t="s">
        <v>956</v>
      </c>
      <c r="C401" s="25" t="s">
        <v>957</v>
      </c>
      <c r="D401" s="25" t="s">
        <v>953</v>
      </c>
      <c r="E401" s="26">
        <v>19843</v>
      </c>
    </row>
    <row r="402" spans="1:5" x14ac:dyDescent="0.25">
      <c r="A402" s="24" t="s">
        <v>7</v>
      </c>
      <c r="B402" s="24" t="s">
        <v>958</v>
      </c>
      <c r="C402" s="25" t="s">
        <v>959</v>
      </c>
      <c r="D402" s="25" t="s">
        <v>953</v>
      </c>
      <c r="E402" s="26">
        <v>18416</v>
      </c>
    </row>
    <row r="403" spans="1:5" x14ac:dyDescent="0.25">
      <c r="A403" s="24" t="s">
        <v>7</v>
      </c>
      <c r="B403" s="24" t="s">
        <v>960</v>
      </c>
      <c r="C403" s="25" t="s">
        <v>961</v>
      </c>
      <c r="D403" s="25" t="s">
        <v>962</v>
      </c>
      <c r="E403" s="26">
        <v>36249</v>
      </c>
    </row>
    <row r="404" spans="1:5" x14ac:dyDescent="0.25">
      <c r="A404" s="24" t="s">
        <v>7</v>
      </c>
      <c r="B404" s="24" t="s">
        <v>963</v>
      </c>
      <c r="C404" s="25" t="s">
        <v>964</v>
      </c>
      <c r="D404" s="25" t="s">
        <v>965</v>
      </c>
      <c r="E404" s="26">
        <v>19843</v>
      </c>
    </row>
    <row r="405" spans="1:5" x14ac:dyDescent="0.25">
      <c r="A405" s="24" t="s">
        <v>7</v>
      </c>
      <c r="B405" s="24" t="s">
        <v>966</v>
      </c>
      <c r="C405" s="25" t="s">
        <v>967</v>
      </c>
      <c r="D405" s="25" t="s">
        <v>968</v>
      </c>
      <c r="E405" s="26">
        <v>18416</v>
      </c>
    </row>
    <row r="406" spans="1:5" x14ac:dyDescent="0.25">
      <c r="A406" s="24" t="s">
        <v>7</v>
      </c>
      <c r="B406" s="24" t="s">
        <v>969</v>
      </c>
      <c r="C406" s="25" t="s">
        <v>970</v>
      </c>
      <c r="D406" s="25" t="s">
        <v>971</v>
      </c>
      <c r="E406" s="26">
        <v>34890</v>
      </c>
    </row>
    <row r="407" spans="1:5" x14ac:dyDescent="0.25">
      <c r="A407" s="24" t="s">
        <v>7</v>
      </c>
      <c r="B407" s="24" t="s">
        <v>972</v>
      </c>
      <c r="C407" s="25" t="s">
        <v>973</v>
      </c>
      <c r="D407" s="25" t="s">
        <v>971</v>
      </c>
      <c r="E407" s="26">
        <v>16619</v>
      </c>
    </row>
    <row r="408" spans="1:5" x14ac:dyDescent="0.25">
      <c r="A408" s="24" t="s">
        <v>7</v>
      </c>
      <c r="B408" s="24" t="s">
        <v>974</v>
      </c>
      <c r="C408" s="25" t="s">
        <v>975</v>
      </c>
      <c r="D408" s="25" t="s">
        <v>971</v>
      </c>
      <c r="E408" s="26">
        <v>18046</v>
      </c>
    </row>
    <row r="409" spans="1:5" x14ac:dyDescent="0.25">
      <c r="A409" s="24" t="s">
        <v>7</v>
      </c>
      <c r="B409" s="24" t="s">
        <v>976</v>
      </c>
      <c r="C409" s="25" t="s">
        <v>977</v>
      </c>
      <c r="D409" s="25" t="s">
        <v>978</v>
      </c>
      <c r="E409" s="26">
        <v>15715</v>
      </c>
    </row>
    <row r="410" spans="1:5" x14ac:dyDescent="0.25">
      <c r="A410" s="24" t="s">
        <v>7</v>
      </c>
      <c r="B410" s="24" t="s">
        <v>979</v>
      </c>
      <c r="C410" s="25" t="s">
        <v>980</v>
      </c>
      <c r="D410" s="25" t="s">
        <v>981</v>
      </c>
      <c r="E410" s="26">
        <v>79759</v>
      </c>
    </row>
    <row r="411" spans="1:5" x14ac:dyDescent="0.25">
      <c r="A411" s="24" t="s">
        <v>7</v>
      </c>
      <c r="B411" s="24" t="s">
        <v>982</v>
      </c>
      <c r="C411" s="25" t="s">
        <v>983</v>
      </c>
      <c r="D411" s="25" t="s">
        <v>981</v>
      </c>
      <c r="E411" s="26">
        <v>61409</v>
      </c>
    </row>
    <row r="412" spans="1:5" x14ac:dyDescent="0.25">
      <c r="A412" s="24" t="s">
        <v>7</v>
      </c>
      <c r="B412" s="24" t="s">
        <v>984</v>
      </c>
      <c r="C412" s="25" t="s">
        <v>985</v>
      </c>
      <c r="D412" s="25" t="s">
        <v>986</v>
      </c>
      <c r="E412" s="26">
        <v>19604</v>
      </c>
    </row>
    <row r="413" spans="1:5" x14ac:dyDescent="0.25">
      <c r="A413" s="24" t="s">
        <v>7</v>
      </c>
      <c r="B413" s="24" t="s">
        <v>987</v>
      </c>
      <c r="C413" s="25" t="s">
        <v>988</v>
      </c>
      <c r="D413" s="25" t="s">
        <v>989</v>
      </c>
      <c r="E413" s="26">
        <v>23999</v>
      </c>
    </row>
    <row r="414" spans="1:5" x14ac:dyDescent="0.25">
      <c r="A414" s="24" t="s">
        <v>7</v>
      </c>
      <c r="B414" s="24" t="s">
        <v>990</v>
      </c>
      <c r="C414" s="25" t="s">
        <v>991</v>
      </c>
      <c r="D414" s="25" t="s">
        <v>992</v>
      </c>
      <c r="E414" s="26">
        <v>53367</v>
      </c>
    </row>
    <row r="415" spans="1:5" x14ac:dyDescent="0.25">
      <c r="A415" s="24" t="s">
        <v>7</v>
      </c>
      <c r="B415" s="24" t="s">
        <v>993</v>
      </c>
      <c r="C415" s="25" t="s">
        <v>994</v>
      </c>
      <c r="D415" s="25" t="s">
        <v>995</v>
      </c>
      <c r="E415" s="26">
        <v>73351</v>
      </c>
    </row>
    <row r="416" spans="1:5" x14ac:dyDescent="0.25">
      <c r="A416" s="24" t="s">
        <v>7</v>
      </c>
      <c r="B416" s="24" t="s">
        <v>996</v>
      </c>
      <c r="C416" s="25" t="s">
        <v>997</v>
      </c>
      <c r="D416" s="25" t="s">
        <v>998</v>
      </c>
      <c r="E416" s="26">
        <v>94704</v>
      </c>
    </row>
    <row r="417" spans="1:6" x14ac:dyDescent="0.25">
      <c r="A417" s="24" t="s">
        <v>7</v>
      </c>
      <c r="B417" s="24" t="s">
        <v>999</v>
      </c>
      <c r="C417" s="25" t="s">
        <v>1000</v>
      </c>
      <c r="D417" s="25" t="s">
        <v>1001</v>
      </c>
      <c r="E417" s="26">
        <v>37545</v>
      </c>
      <c r="F417" s="24" t="s">
        <v>502</v>
      </c>
    </row>
    <row r="418" spans="1:6" x14ac:dyDescent="0.25">
      <c r="A418" s="24" t="s">
        <v>7</v>
      </c>
      <c r="B418" s="24" t="s">
        <v>1002</v>
      </c>
      <c r="C418" s="25" t="s">
        <v>1003</v>
      </c>
      <c r="D418" s="25" t="s">
        <v>1004</v>
      </c>
      <c r="E418" s="26">
        <v>1212</v>
      </c>
      <c r="F418" s="24" t="s">
        <v>502</v>
      </c>
    </row>
    <row r="419" spans="1:6" x14ac:dyDescent="0.25">
      <c r="A419" s="24" t="s">
        <v>7</v>
      </c>
      <c r="B419" s="24" t="s">
        <v>1005</v>
      </c>
      <c r="C419" s="25" t="s">
        <v>1006</v>
      </c>
      <c r="D419" s="25" t="s">
        <v>1007</v>
      </c>
      <c r="E419" s="26">
        <v>146422.01</v>
      </c>
    </row>
    <row r="420" spans="1:6" x14ac:dyDescent="0.25">
      <c r="A420" s="24" t="s">
        <v>7</v>
      </c>
      <c r="B420" s="24" t="s">
        <v>1008</v>
      </c>
      <c r="C420" s="25" t="s">
        <v>1009</v>
      </c>
      <c r="D420" s="25" t="s">
        <v>1010</v>
      </c>
      <c r="E420" s="26">
        <v>36206</v>
      </c>
    </row>
    <row r="421" spans="1:6" x14ac:dyDescent="0.25">
      <c r="A421" s="24" t="s">
        <v>7</v>
      </c>
      <c r="B421" s="24" t="s">
        <v>1011</v>
      </c>
      <c r="C421" s="25" t="s">
        <v>1012</v>
      </c>
      <c r="D421" s="25" t="s">
        <v>1013</v>
      </c>
      <c r="E421" s="26">
        <v>51228</v>
      </c>
    </row>
    <row r="422" spans="1:6" x14ac:dyDescent="0.25">
      <c r="A422" s="24" t="s">
        <v>7</v>
      </c>
      <c r="B422" s="24" t="s">
        <v>1014</v>
      </c>
      <c r="C422" s="25" t="s">
        <v>1015</v>
      </c>
      <c r="D422" s="25" t="s">
        <v>1010</v>
      </c>
      <c r="E422" s="26">
        <v>118342</v>
      </c>
    </row>
    <row r="423" spans="1:6" x14ac:dyDescent="0.25">
      <c r="A423" s="24" t="s">
        <v>7</v>
      </c>
      <c r="B423" s="24" t="s">
        <v>1016</v>
      </c>
      <c r="C423" s="25" t="s">
        <v>1017</v>
      </c>
      <c r="D423" s="25" t="s">
        <v>1013</v>
      </c>
      <c r="E423" s="26">
        <v>149885</v>
      </c>
    </row>
    <row r="424" spans="1:6" x14ac:dyDescent="0.25">
      <c r="A424" s="24" t="s">
        <v>7</v>
      </c>
      <c r="B424" s="24" t="s">
        <v>1018</v>
      </c>
      <c r="C424" s="25" t="s">
        <v>1019</v>
      </c>
      <c r="D424" s="25" t="s">
        <v>1013</v>
      </c>
      <c r="E424" s="26">
        <v>51228</v>
      </c>
    </row>
    <row r="425" spans="1:6" x14ac:dyDescent="0.25">
      <c r="A425" s="24" t="s">
        <v>7</v>
      </c>
      <c r="B425" s="24" t="s">
        <v>1020</v>
      </c>
      <c r="C425" s="25" t="s">
        <v>1021</v>
      </c>
      <c r="D425" s="25" t="s">
        <v>1013</v>
      </c>
      <c r="E425" s="26">
        <v>158585</v>
      </c>
    </row>
    <row r="426" spans="1:6" x14ac:dyDescent="0.25">
      <c r="A426" s="24" t="s">
        <v>7</v>
      </c>
      <c r="B426" s="24" t="s">
        <v>1022</v>
      </c>
      <c r="C426" s="25" t="s">
        <v>1023</v>
      </c>
      <c r="D426" s="25" t="s">
        <v>1024</v>
      </c>
      <c r="E426" s="26">
        <v>36206</v>
      </c>
    </row>
    <row r="427" spans="1:6" x14ac:dyDescent="0.25">
      <c r="A427" s="24" t="s">
        <v>7</v>
      </c>
      <c r="B427" s="24" t="s">
        <v>1025</v>
      </c>
      <c r="C427" s="25" t="s">
        <v>1026</v>
      </c>
      <c r="D427" s="25" t="s">
        <v>1027</v>
      </c>
      <c r="E427" s="26">
        <v>175235</v>
      </c>
    </row>
    <row r="428" spans="1:6" x14ac:dyDescent="0.25">
      <c r="A428" s="24" t="s">
        <v>7</v>
      </c>
      <c r="B428" s="24" t="s">
        <v>1028</v>
      </c>
      <c r="C428" s="25" t="s">
        <v>1029</v>
      </c>
      <c r="D428" s="25" t="s">
        <v>1027</v>
      </c>
      <c r="E428" s="26">
        <v>126823</v>
      </c>
    </row>
    <row r="429" spans="1:6" x14ac:dyDescent="0.25">
      <c r="A429" s="24" t="s">
        <v>7</v>
      </c>
      <c r="B429" s="24" t="s">
        <v>1030</v>
      </c>
      <c r="C429" s="25" t="s">
        <v>1031</v>
      </c>
      <c r="D429" s="25" t="s">
        <v>513</v>
      </c>
      <c r="E429" s="26">
        <v>154115</v>
      </c>
    </row>
    <row r="430" spans="1:6" x14ac:dyDescent="0.25">
      <c r="A430" s="24" t="s">
        <v>7</v>
      </c>
      <c r="B430" s="24" t="s">
        <v>1032</v>
      </c>
      <c r="C430" s="25" t="s">
        <v>1033</v>
      </c>
      <c r="D430" s="25" t="s">
        <v>1034</v>
      </c>
      <c r="E430" s="26">
        <v>98116</v>
      </c>
    </row>
    <row r="431" spans="1:6" x14ac:dyDescent="0.25">
      <c r="A431" s="24" t="s">
        <v>7</v>
      </c>
      <c r="B431" s="24" t="s">
        <v>1035</v>
      </c>
      <c r="C431" s="25" t="s">
        <v>1036</v>
      </c>
      <c r="D431" s="25" t="s">
        <v>1037</v>
      </c>
      <c r="E431" s="26">
        <v>94855</v>
      </c>
    </row>
    <row r="432" spans="1:6" x14ac:dyDescent="0.25">
      <c r="A432" s="24" t="s">
        <v>7</v>
      </c>
      <c r="B432" s="24" t="s">
        <v>1038</v>
      </c>
      <c r="C432" s="25" t="s">
        <v>1039</v>
      </c>
      <c r="D432" s="25" t="s">
        <v>1040</v>
      </c>
      <c r="E432" s="26">
        <v>76650</v>
      </c>
    </row>
    <row r="433" spans="1:5" x14ac:dyDescent="0.25">
      <c r="A433" s="24" t="s">
        <v>7</v>
      </c>
      <c r="B433" s="24" t="s">
        <v>1041</v>
      </c>
      <c r="C433" s="25" t="s">
        <v>1042</v>
      </c>
      <c r="D433" s="25" t="s">
        <v>1040</v>
      </c>
      <c r="E433" s="26">
        <v>70287</v>
      </c>
    </row>
    <row r="434" spans="1:5" x14ac:dyDescent="0.25">
      <c r="A434" s="24" t="s">
        <v>7</v>
      </c>
      <c r="B434" s="24" t="s">
        <v>1043</v>
      </c>
      <c r="C434" s="25" t="s">
        <v>1044</v>
      </c>
      <c r="D434" s="25" t="s">
        <v>1045</v>
      </c>
      <c r="E434" s="26">
        <v>97543</v>
      </c>
    </row>
    <row r="435" spans="1:5" x14ac:dyDescent="0.25">
      <c r="A435" s="24" t="s">
        <v>7</v>
      </c>
      <c r="B435" s="24" t="s">
        <v>1046</v>
      </c>
      <c r="C435" s="25" t="s">
        <v>1047</v>
      </c>
      <c r="D435" s="25" t="s">
        <v>1045</v>
      </c>
      <c r="E435" s="26">
        <v>79781</v>
      </c>
    </row>
    <row r="436" spans="1:5" x14ac:dyDescent="0.25">
      <c r="A436" s="24" t="s">
        <v>7</v>
      </c>
      <c r="B436" s="24" t="s">
        <v>1048</v>
      </c>
      <c r="C436" s="25" t="s">
        <v>1049</v>
      </c>
      <c r="D436" s="25" t="s">
        <v>1050</v>
      </c>
      <c r="E436" s="26">
        <v>70320</v>
      </c>
    </row>
    <row r="437" spans="1:5" x14ac:dyDescent="0.25">
      <c r="A437" s="24" t="s">
        <v>7</v>
      </c>
      <c r="B437" s="24" t="s">
        <v>1051</v>
      </c>
      <c r="C437" s="25" t="s">
        <v>1052</v>
      </c>
      <c r="D437" s="25" t="s">
        <v>1050</v>
      </c>
      <c r="E437" s="26">
        <v>172772</v>
      </c>
    </row>
    <row r="438" spans="1:5" x14ac:dyDescent="0.25">
      <c r="A438" s="24" t="s">
        <v>7</v>
      </c>
      <c r="B438" s="24" t="s">
        <v>1053</v>
      </c>
      <c r="C438" s="25" t="s">
        <v>1054</v>
      </c>
      <c r="D438" s="25" t="s">
        <v>1050</v>
      </c>
      <c r="E438" s="26">
        <v>76237</v>
      </c>
    </row>
    <row r="439" spans="1:5" x14ac:dyDescent="0.25">
      <c r="A439" s="24" t="s">
        <v>7</v>
      </c>
      <c r="B439" s="24" t="s">
        <v>1055</v>
      </c>
      <c r="C439" s="25" t="s">
        <v>1056</v>
      </c>
      <c r="D439" s="25" t="s">
        <v>1057</v>
      </c>
      <c r="E439" s="26">
        <v>81555</v>
      </c>
    </row>
    <row r="440" spans="1:5" x14ac:dyDescent="0.25">
      <c r="A440" s="24" t="s">
        <v>7</v>
      </c>
      <c r="B440" s="24" t="s">
        <v>1058</v>
      </c>
      <c r="C440" s="25" t="s">
        <v>1059</v>
      </c>
      <c r="D440" s="25" t="s">
        <v>1057</v>
      </c>
      <c r="E440" s="26">
        <v>71297</v>
      </c>
    </row>
    <row r="441" spans="1:5" x14ac:dyDescent="0.25">
      <c r="A441" s="24" t="s">
        <v>7</v>
      </c>
      <c r="B441" s="24" t="s">
        <v>1060</v>
      </c>
      <c r="C441" s="25" t="s">
        <v>1061</v>
      </c>
      <c r="D441" s="25" t="s">
        <v>1057</v>
      </c>
      <c r="E441" s="26">
        <v>73502</v>
      </c>
    </row>
    <row r="442" spans="1:5" x14ac:dyDescent="0.25">
      <c r="A442" s="24" t="s">
        <v>7</v>
      </c>
      <c r="B442" s="24" t="s">
        <v>1062</v>
      </c>
      <c r="C442" s="25" t="s">
        <v>1063</v>
      </c>
      <c r="D442" s="25" t="s">
        <v>1057</v>
      </c>
      <c r="E442" s="26">
        <v>130281</v>
      </c>
    </row>
    <row r="443" spans="1:5" x14ac:dyDescent="0.25">
      <c r="A443" s="24" t="s">
        <v>7</v>
      </c>
      <c r="B443" s="24" t="s">
        <v>1064</v>
      </c>
      <c r="C443" s="25" t="s">
        <v>1065</v>
      </c>
      <c r="D443" s="25" t="s">
        <v>1057</v>
      </c>
      <c r="E443" s="26">
        <v>81555</v>
      </c>
    </row>
    <row r="444" spans="1:5" x14ac:dyDescent="0.25">
      <c r="A444" s="24" t="s">
        <v>7</v>
      </c>
      <c r="B444" s="24" t="s">
        <v>1066</v>
      </c>
      <c r="C444" s="25" t="s">
        <v>1067</v>
      </c>
      <c r="D444" s="25" t="s">
        <v>1057</v>
      </c>
      <c r="E444" s="26">
        <v>84078</v>
      </c>
    </row>
    <row r="445" spans="1:5" x14ac:dyDescent="0.25">
      <c r="A445" s="24" t="s">
        <v>7</v>
      </c>
      <c r="B445" s="24" t="s">
        <v>1068</v>
      </c>
      <c r="C445" s="25" t="s">
        <v>1069</v>
      </c>
      <c r="D445" s="25" t="s">
        <v>1057</v>
      </c>
      <c r="E445" s="26">
        <v>84078</v>
      </c>
    </row>
    <row r="446" spans="1:5" x14ac:dyDescent="0.25">
      <c r="A446" s="24" t="s">
        <v>7</v>
      </c>
      <c r="B446" s="24" t="s">
        <v>1070</v>
      </c>
      <c r="C446" s="25" t="s">
        <v>1071</v>
      </c>
      <c r="D446" s="25" t="s">
        <v>1057</v>
      </c>
      <c r="E446" s="26">
        <v>132373</v>
      </c>
    </row>
    <row r="447" spans="1:5" x14ac:dyDescent="0.25">
      <c r="A447" s="24" t="s">
        <v>7</v>
      </c>
      <c r="B447" s="24" t="s">
        <v>1072</v>
      </c>
      <c r="C447" s="25" t="s">
        <v>1073</v>
      </c>
      <c r="D447" s="25" t="s">
        <v>1074</v>
      </c>
      <c r="E447" s="26">
        <v>279699</v>
      </c>
    </row>
    <row r="448" spans="1:5" x14ac:dyDescent="0.25">
      <c r="A448" s="24" t="s">
        <v>7</v>
      </c>
      <c r="B448" s="24" t="s">
        <v>1075</v>
      </c>
      <c r="C448" s="25" t="s">
        <v>1076</v>
      </c>
      <c r="D448" s="25" t="s">
        <v>1077</v>
      </c>
      <c r="E448" s="26">
        <v>143840</v>
      </c>
    </row>
    <row r="449" spans="1:5" x14ac:dyDescent="0.25">
      <c r="A449" s="24" t="s">
        <v>7</v>
      </c>
      <c r="B449" s="24" t="s">
        <v>1078</v>
      </c>
      <c r="C449" s="25" t="s">
        <v>1079</v>
      </c>
      <c r="D449" s="25" t="s">
        <v>1077</v>
      </c>
      <c r="E449" s="26">
        <v>354629</v>
      </c>
    </row>
    <row r="450" spans="1:5" x14ac:dyDescent="0.25">
      <c r="A450" s="24" t="s">
        <v>7</v>
      </c>
      <c r="B450" s="24" t="s">
        <v>1080</v>
      </c>
      <c r="C450" s="25" t="s">
        <v>1081</v>
      </c>
      <c r="D450" s="25" t="s">
        <v>1077</v>
      </c>
      <c r="E450" s="26">
        <v>408187</v>
      </c>
    </row>
    <row r="451" spans="1:5" x14ac:dyDescent="0.25">
      <c r="A451" s="24" t="s">
        <v>7</v>
      </c>
      <c r="B451" s="24" t="s">
        <v>1082</v>
      </c>
      <c r="C451" s="25" t="s">
        <v>1083</v>
      </c>
      <c r="D451" s="25" t="s">
        <v>1084</v>
      </c>
      <c r="E451" s="26">
        <v>52058</v>
      </c>
    </row>
    <row r="452" spans="1:5" x14ac:dyDescent="0.25">
      <c r="A452" s="24" t="s">
        <v>7</v>
      </c>
      <c r="B452" s="24" t="s">
        <v>1085</v>
      </c>
      <c r="C452" s="25" t="s">
        <v>1086</v>
      </c>
      <c r="D452" s="25" t="s">
        <v>1050</v>
      </c>
      <c r="E452" s="26">
        <v>71156</v>
      </c>
    </row>
    <row r="453" spans="1:5" x14ac:dyDescent="0.25">
      <c r="A453" s="24" t="s">
        <v>7</v>
      </c>
      <c r="B453" s="24" t="s">
        <v>1087</v>
      </c>
      <c r="C453" s="25" t="s">
        <v>1088</v>
      </c>
      <c r="D453" s="25" t="s">
        <v>1077</v>
      </c>
      <c r="E453" s="26">
        <v>200268</v>
      </c>
    </row>
    <row r="454" spans="1:5" x14ac:dyDescent="0.25">
      <c r="A454" s="24" t="s">
        <v>7</v>
      </c>
      <c r="B454" s="24" t="s">
        <v>1089</v>
      </c>
      <c r="C454" s="25" t="s">
        <v>1090</v>
      </c>
      <c r="D454" s="25" t="s">
        <v>1091</v>
      </c>
      <c r="E454" s="26">
        <v>162561</v>
      </c>
    </row>
    <row r="455" spans="1:5" x14ac:dyDescent="0.25">
      <c r="A455" s="24" t="s">
        <v>7</v>
      </c>
      <c r="B455" s="24" t="s">
        <v>1092</v>
      </c>
      <c r="C455" s="25" t="s">
        <v>1093</v>
      </c>
      <c r="D455" s="25" t="s">
        <v>1091</v>
      </c>
      <c r="E455" s="26">
        <v>104982</v>
      </c>
    </row>
    <row r="456" spans="1:5" x14ac:dyDescent="0.25">
      <c r="A456" s="24" t="s">
        <v>7</v>
      </c>
      <c r="B456" s="24" t="s">
        <v>1094</v>
      </c>
      <c r="C456" s="25" t="s">
        <v>1095</v>
      </c>
      <c r="D456" s="25" t="s">
        <v>1096</v>
      </c>
      <c r="E456" s="26">
        <v>51143</v>
      </c>
    </row>
    <row r="457" spans="1:5" x14ac:dyDescent="0.25">
      <c r="A457" s="24" t="s">
        <v>7</v>
      </c>
      <c r="B457" s="24" t="s">
        <v>1097</v>
      </c>
      <c r="C457" s="25" t="s">
        <v>1098</v>
      </c>
      <c r="D457" s="25" t="s">
        <v>1099</v>
      </c>
      <c r="E457" s="26">
        <v>205916</v>
      </c>
    </row>
    <row r="458" spans="1:5" x14ac:dyDescent="0.25">
      <c r="A458" s="24" t="s">
        <v>7</v>
      </c>
      <c r="B458" s="24" t="s">
        <v>1100</v>
      </c>
      <c r="C458" s="25" t="s">
        <v>1101</v>
      </c>
      <c r="D458" s="25" t="s">
        <v>1096</v>
      </c>
      <c r="E458" s="26">
        <v>53758</v>
      </c>
    </row>
    <row r="459" spans="1:5" x14ac:dyDescent="0.25">
      <c r="A459" s="24" t="s">
        <v>7</v>
      </c>
      <c r="B459" s="24" t="s">
        <v>1102</v>
      </c>
      <c r="C459" s="25" t="s">
        <v>1103</v>
      </c>
      <c r="D459" s="25" t="s">
        <v>1104</v>
      </c>
      <c r="E459" s="26">
        <v>59753</v>
      </c>
    </row>
    <row r="460" spans="1:5" x14ac:dyDescent="0.25">
      <c r="A460" s="24" t="s">
        <v>7</v>
      </c>
      <c r="B460" s="24" t="s">
        <v>1105</v>
      </c>
      <c r="C460" s="25" t="s">
        <v>1106</v>
      </c>
      <c r="D460" s="25" t="s">
        <v>1104</v>
      </c>
      <c r="E460" s="26">
        <v>51143</v>
      </c>
    </row>
    <row r="461" spans="1:5" x14ac:dyDescent="0.25">
      <c r="A461" s="24" t="s">
        <v>7</v>
      </c>
      <c r="B461" s="24" t="s">
        <v>1107</v>
      </c>
      <c r="C461" s="25" t="s">
        <v>1108</v>
      </c>
      <c r="D461" s="25" t="s">
        <v>1104</v>
      </c>
      <c r="E461" s="26">
        <v>81963</v>
      </c>
    </row>
    <row r="462" spans="1:5" x14ac:dyDescent="0.25">
      <c r="A462" s="24" t="s">
        <v>7</v>
      </c>
      <c r="B462" s="24" t="s">
        <v>1109</v>
      </c>
      <c r="C462" s="25" t="s">
        <v>1110</v>
      </c>
      <c r="D462" s="25" t="s">
        <v>1104</v>
      </c>
      <c r="E462" s="26">
        <v>59753</v>
      </c>
    </row>
    <row r="463" spans="1:5" x14ac:dyDescent="0.25">
      <c r="A463" s="24" t="s">
        <v>7</v>
      </c>
      <c r="B463" s="24" t="s">
        <v>1111</v>
      </c>
      <c r="C463" s="25" t="s">
        <v>1112</v>
      </c>
      <c r="D463" s="25" t="s">
        <v>1104</v>
      </c>
      <c r="E463" s="26">
        <v>60641</v>
      </c>
    </row>
    <row r="464" spans="1:5" x14ac:dyDescent="0.25">
      <c r="A464" s="24" t="s">
        <v>7</v>
      </c>
      <c r="B464" s="24" t="s">
        <v>1113</v>
      </c>
      <c r="C464" s="25" t="s">
        <v>1114</v>
      </c>
      <c r="D464" s="25" t="s">
        <v>1104</v>
      </c>
      <c r="E464" s="26">
        <v>55421</v>
      </c>
    </row>
    <row r="465" spans="1:5" x14ac:dyDescent="0.25">
      <c r="A465" s="24" t="s">
        <v>7</v>
      </c>
      <c r="B465" s="24" t="s">
        <v>1115</v>
      </c>
      <c r="C465" s="25" t="s">
        <v>1116</v>
      </c>
      <c r="D465" s="25" t="s">
        <v>1117</v>
      </c>
      <c r="E465" s="26">
        <v>92091</v>
      </c>
    </row>
    <row r="466" spans="1:5" x14ac:dyDescent="0.25">
      <c r="A466" s="24" t="s">
        <v>7</v>
      </c>
      <c r="B466" s="24" t="s">
        <v>1118</v>
      </c>
      <c r="C466" s="25" t="s">
        <v>1119</v>
      </c>
      <c r="D466" s="25" t="s">
        <v>1120</v>
      </c>
      <c r="E466" s="26">
        <v>69934</v>
      </c>
    </row>
    <row r="467" spans="1:5" x14ac:dyDescent="0.25">
      <c r="A467" s="24" t="s">
        <v>7</v>
      </c>
      <c r="B467" s="24" t="s">
        <v>1121</v>
      </c>
      <c r="C467" s="25" t="s">
        <v>1122</v>
      </c>
      <c r="D467" s="25" t="s">
        <v>1120</v>
      </c>
      <c r="E467" s="26">
        <v>67189</v>
      </c>
    </row>
    <row r="468" spans="1:5" x14ac:dyDescent="0.25">
      <c r="A468" s="24" t="s">
        <v>7</v>
      </c>
      <c r="B468" s="24" t="s">
        <v>1123</v>
      </c>
      <c r="C468" s="25" t="s">
        <v>1124</v>
      </c>
      <c r="D468" s="25" t="s">
        <v>1117</v>
      </c>
      <c r="E468" s="26">
        <v>213489</v>
      </c>
    </row>
    <row r="469" spans="1:5" x14ac:dyDescent="0.25">
      <c r="A469" s="24" t="s">
        <v>7</v>
      </c>
      <c r="B469" s="24" t="s">
        <v>1125</v>
      </c>
      <c r="C469" s="25" t="s">
        <v>1126</v>
      </c>
      <c r="D469" s="25" t="s">
        <v>1120</v>
      </c>
      <c r="E469" s="26">
        <v>71110</v>
      </c>
    </row>
    <row r="470" spans="1:5" x14ac:dyDescent="0.25">
      <c r="A470" s="24" t="s">
        <v>7</v>
      </c>
      <c r="B470" s="24" t="s">
        <v>1127</v>
      </c>
      <c r="C470" s="25" t="s">
        <v>1128</v>
      </c>
      <c r="D470" s="25" t="s">
        <v>1120</v>
      </c>
      <c r="E470" s="26">
        <v>66012</v>
      </c>
    </row>
    <row r="471" spans="1:5" x14ac:dyDescent="0.25">
      <c r="A471" s="24" t="s">
        <v>7</v>
      </c>
      <c r="B471" s="24" t="s">
        <v>1129</v>
      </c>
      <c r="C471" s="25" t="s">
        <v>1130</v>
      </c>
      <c r="D471" s="25" t="s">
        <v>1117</v>
      </c>
      <c r="E471" s="26">
        <v>87301</v>
      </c>
    </row>
    <row r="472" spans="1:5" x14ac:dyDescent="0.25">
      <c r="A472" s="24" t="s">
        <v>7</v>
      </c>
      <c r="B472" s="24" t="s">
        <v>1131</v>
      </c>
      <c r="C472" s="25" t="s">
        <v>1132</v>
      </c>
      <c r="D472" s="25" t="s">
        <v>1096</v>
      </c>
      <c r="E472" s="26">
        <v>60641</v>
      </c>
    </row>
    <row r="473" spans="1:5" x14ac:dyDescent="0.25">
      <c r="A473" s="24" t="s">
        <v>7</v>
      </c>
      <c r="B473" s="24" t="s">
        <v>1133</v>
      </c>
      <c r="C473" s="25" t="s">
        <v>1134</v>
      </c>
      <c r="D473" s="25" t="s">
        <v>1096</v>
      </c>
      <c r="E473" s="26">
        <v>55421</v>
      </c>
    </row>
    <row r="474" spans="1:5" x14ac:dyDescent="0.25">
      <c r="A474" s="24" t="s">
        <v>7</v>
      </c>
      <c r="B474" s="24" t="s">
        <v>1135</v>
      </c>
      <c r="C474" s="25" t="s">
        <v>1136</v>
      </c>
      <c r="D474" s="25" t="s">
        <v>1137</v>
      </c>
      <c r="E474" s="26">
        <v>61288</v>
      </c>
    </row>
    <row r="475" spans="1:5" x14ac:dyDescent="0.25">
      <c r="A475" s="24" t="s">
        <v>7</v>
      </c>
      <c r="B475" s="24" t="s">
        <v>1138</v>
      </c>
      <c r="C475" s="25" t="s">
        <v>1139</v>
      </c>
      <c r="D475" s="25" t="s">
        <v>1140</v>
      </c>
      <c r="E475" s="26">
        <v>61368</v>
      </c>
    </row>
    <row r="476" spans="1:5" x14ac:dyDescent="0.25">
      <c r="A476" s="24" t="s">
        <v>7</v>
      </c>
      <c r="B476" s="24" t="s">
        <v>1141</v>
      </c>
      <c r="C476" s="25" t="s">
        <v>1142</v>
      </c>
      <c r="D476" s="25" t="s">
        <v>1140</v>
      </c>
      <c r="E476" s="26">
        <v>216401</v>
      </c>
    </row>
    <row r="477" spans="1:5" x14ac:dyDescent="0.25">
      <c r="A477" s="24" t="s">
        <v>7</v>
      </c>
      <c r="B477" s="24" t="s">
        <v>1143</v>
      </c>
      <c r="C477" s="25" t="s">
        <v>1144</v>
      </c>
      <c r="D477" s="25" t="s">
        <v>1140</v>
      </c>
      <c r="E477" s="26">
        <v>216401</v>
      </c>
    </row>
    <row r="478" spans="1:5" x14ac:dyDescent="0.25">
      <c r="A478" s="24" t="s">
        <v>7</v>
      </c>
      <c r="B478" s="24" t="s">
        <v>1145</v>
      </c>
      <c r="C478" s="25" t="s">
        <v>1146</v>
      </c>
      <c r="D478" s="25" t="s">
        <v>1140</v>
      </c>
      <c r="E478" s="26">
        <v>181995</v>
      </c>
    </row>
    <row r="479" spans="1:5" x14ac:dyDescent="0.25">
      <c r="A479" s="24" t="s">
        <v>7</v>
      </c>
      <c r="B479" s="24" t="s">
        <v>1147</v>
      </c>
      <c r="C479" s="25" t="s">
        <v>1148</v>
      </c>
      <c r="D479" s="25" t="s">
        <v>1140</v>
      </c>
      <c r="E479" s="26">
        <v>56299</v>
      </c>
    </row>
    <row r="480" spans="1:5" x14ac:dyDescent="0.25">
      <c r="A480" s="24" t="s">
        <v>7</v>
      </c>
      <c r="B480" s="24" t="s">
        <v>1149</v>
      </c>
      <c r="C480" s="25" t="s">
        <v>1150</v>
      </c>
      <c r="D480" s="25" t="s">
        <v>1151</v>
      </c>
      <c r="E480" s="26">
        <v>198112</v>
      </c>
    </row>
    <row r="481" spans="1:6" x14ac:dyDescent="0.25">
      <c r="A481" s="24" t="s">
        <v>7</v>
      </c>
      <c r="B481" s="24" t="s">
        <v>1152</v>
      </c>
      <c r="C481" s="25" t="s">
        <v>1153</v>
      </c>
      <c r="D481" s="25" t="s">
        <v>1154</v>
      </c>
      <c r="E481" s="26">
        <v>205285</v>
      </c>
    </row>
    <row r="482" spans="1:6" x14ac:dyDescent="0.25">
      <c r="A482" s="24" t="s">
        <v>7</v>
      </c>
      <c r="B482" s="24" t="s">
        <v>1155</v>
      </c>
      <c r="C482" s="25" t="s">
        <v>1156</v>
      </c>
      <c r="D482" s="25" t="s">
        <v>1157</v>
      </c>
      <c r="E482" s="26">
        <v>198112</v>
      </c>
    </row>
    <row r="483" spans="1:6" x14ac:dyDescent="0.25">
      <c r="A483" s="24" t="s">
        <v>7</v>
      </c>
      <c r="B483" s="24" t="s">
        <v>1158</v>
      </c>
      <c r="C483" s="25" t="s">
        <v>1159</v>
      </c>
      <c r="D483" s="25" t="s">
        <v>1157</v>
      </c>
      <c r="E483" s="26">
        <v>146125</v>
      </c>
    </row>
    <row r="484" spans="1:6" x14ac:dyDescent="0.25">
      <c r="A484" s="24" t="s">
        <v>7</v>
      </c>
      <c r="B484" s="24" t="s">
        <v>1160</v>
      </c>
      <c r="C484" s="25" t="s">
        <v>1161</v>
      </c>
      <c r="D484" s="25" t="s">
        <v>1162</v>
      </c>
      <c r="E484" s="26">
        <v>144975</v>
      </c>
    </row>
    <row r="485" spans="1:6" x14ac:dyDescent="0.25">
      <c r="A485" s="24" t="s">
        <v>7</v>
      </c>
      <c r="B485" s="24" t="s">
        <v>1163</v>
      </c>
      <c r="C485" s="25" t="s">
        <v>1164</v>
      </c>
      <c r="D485" s="25" t="s">
        <v>1162</v>
      </c>
      <c r="E485" s="26">
        <v>240254</v>
      </c>
    </row>
    <row r="486" spans="1:6" x14ac:dyDescent="0.25">
      <c r="A486" s="24" t="s">
        <v>7</v>
      </c>
      <c r="B486" s="24" t="s">
        <v>1165</v>
      </c>
      <c r="C486" s="25" t="s">
        <v>1166</v>
      </c>
      <c r="D486" s="25" t="s">
        <v>1167</v>
      </c>
      <c r="E486" s="26">
        <v>142037</v>
      </c>
    </row>
    <row r="487" spans="1:6" x14ac:dyDescent="0.25">
      <c r="A487" s="24" t="s">
        <v>7</v>
      </c>
      <c r="B487" s="24" t="s">
        <v>1168</v>
      </c>
      <c r="C487" s="25" t="s">
        <v>1169</v>
      </c>
      <c r="D487" s="25" t="s">
        <v>1091</v>
      </c>
      <c r="E487" s="26">
        <v>110540</v>
      </c>
    </row>
    <row r="488" spans="1:6" x14ac:dyDescent="0.25">
      <c r="A488" s="24" t="s">
        <v>7</v>
      </c>
      <c r="B488" s="24" t="s">
        <v>1170</v>
      </c>
      <c r="C488" s="25" t="s">
        <v>1171</v>
      </c>
      <c r="D488" s="25" t="s">
        <v>1172</v>
      </c>
      <c r="E488" s="26">
        <v>53758</v>
      </c>
    </row>
    <row r="489" spans="1:6" x14ac:dyDescent="0.25">
      <c r="A489" s="24" t="s">
        <v>7</v>
      </c>
      <c r="B489" s="24" t="s">
        <v>1173</v>
      </c>
      <c r="C489" s="25" t="s">
        <v>1174</v>
      </c>
      <c r="D489" s="25" t="s">
        <v>1175</v>
      </c>
      <c r="E489" s="26">
        <v>81963</v>
      </c>
    </row>
    <row r="490" spans="1:6" x14ac:dyDescent="0.25">
      <c r="A490" s="24" t="s">
        <v>7</v>
      </c>
      <c r="B490" s="24" t="s">
        <v>1176</v>
      </c>
      <c r="C490" s="25" t="s">
        <v>1177</v>
      </c>
      <c r="D490" s="25" t="s">
        <v>1178</v>
      </c>
      <c r="E490" s="26">
        <v>59686</v>
      </c>
    </row>
    <row r="491" spans="1:6" x14ac:dyDescent="0.25">
      <c r="A491" s="24" t="s">
        <v>7</v>
      </c>
      <c r="B491" s="24" t="s">
        <v>1179</v>
      </c>
      <c r="C491" s="25" t="s">
        <v>1180</v>
      </c>
      <c r="D491" s="25" t="s">
        <v>1181</v>
      </c>
      <c r="E491" s="26">
        <v>62740</v>
      </c>
    </row>
    <row r="492" spans="1:6" x14ac:dyDescent="0.25">
      <c r="A492" s="24" t="s">
        <v>7</v>
      </c>
      <c r="B492" s="24" t="s">
        <v>1182</v>
      </c>
      <c r="C492" s="25" t="s">
        <v>1183</v>
      </c>
      <c r="D492" s="25" t="s">
        <v>1175</v>
      </c>
      <c r="E492" s="26">
        <v>72708</v>
      </c>
    </row>
    <row r="493" spans="1:6" x14ac:dyDescent="0.25">
      <c r="A493" s="24" t="s">
        <v>7</v>
      </c>
      <c r="B493" s="24" t="s">
        <v>1184</v>
      </c>
      <c r="C493" s="25" t="s">
        <v>1185</v>
      </c>
      <c r="D493" s="25" t="s">
        <v>1181</v>
      </c>
      <c r="E493" s="26">
        <v>60641</v>
      </c>
    </row>
    <row r="494" spans="1:6" x14ac:dyDescent="0.25">
      <c r="A494" s="24" t="s">
        <v>7</v>
      </c>
      <c r="B494" s="24" t="s">
        <v>1186</v>
      </c>
      <c r="C494" s="25" t="s">
        <v>1187</v>
      </c>
      <c r="D494" s="25" t="s">
        <v>1178</v>
      </c>
      <c r="E494" s="26">
        <v>55421</v>
      </c>
    </row>
    <row r="495" spans="1:6" x14ac:dyDescent="0.25">
      <c r="A495" s="24" t="s">
        <v>7</v>
      </c>
      <c r="B495" s="24" t="s">
        <v>1188</v>
      </c>
      <c r="C495" s="25" t="s">
        <v>1189</v>
      </c>
      <c r="D495" s="25" t="s">
        <v>1190</v>
      </c>
      <c r="E495" s="26">
        <v>88154</v>
      </c>
      <c r="F495" s="24" t="s">
        <v>502</v>
      </c>
    </row>
    <row r="496" spans="1:6" x14ac:dyDescent="0.25">
      <c r="A496" s="24" t="s">
        <v>7</v>
      </c>
      <c r="B496" s="24" t="s">
        <v>1191</v>
      </c>
      <c r="C496" s="25" t="s">
        <v>1192</v>
      </c>
      <c r="D496" s="25" t="s">
        <v>1193</v>
      </c>
      <c r="E496" s="26">
        <v>91579</v>
      </c>
      <c r="F496" s="24" t="s">
        <v>502</v>
      </c>
    </row>
    <row r="497" spans="1:6" x14ac:dyDescent="0.25">
      <c r="A497" s="24" t="s">
        <v>7</v>
      </c>
      <c r="B497" s="24" t="s">
        <v>1194</v>
      </c>
      <c r="C497" s="25" t="s">
        <v>1195</v>
      </c>
      <c r="D497" s="25" t="s">
        <v>580</v>
      </c>
      <c r="E497" s="26">
        <v>127722</v>
      </c>
    </row>
    <row r="498" spans="1:6" x14ac:dyDescent="0.25">
      <c r="A498" s="24" t="s">
        <v>7</v>
      </c>
      <c r="B498" s="24" t="s">
        <v>1196</v>
      </c>
      <c r="C498" s="25" t="s">
        <v>1197</v>
      </c>
      <c r="D498" s="25" t="s">
        <v>523</v>
      </c>
      <c r="E498" s="26">
        <v>122170</v>
      </c>
    </row>
    <row r="499" spans="1:6" x14ac:dyDescent="0.25">
      <c r="A499" s="24" t="s">
        <v>7</v>
      </c>
      <c r="B499" s="24" t="s">
        <v>1198</v>
      </c>
      <c r="C499" s="25" t="s">
        <v>1199</v>
      </c>
      <c r="D499" s="25" t="s">
        <v>523</v>
      </c>
      <c r="E499" s="26">
        <v>82580</v>
      </c>
    </row>
    <row r="500" spans="1:6" x14ac:dyDescent="0.25">
      <c r="A500" s="24" t="s">
        <v>7</v>
      </c>
      <c r="B500" s="24" t="s">
        <v>1200</v>
      </c>
      <c r="C500" s="25" t="s">
        <v>1201</v>
      </c>
      <c r="D500" s="25" t="s">
        <v>523</v>
      </c>
      <c r="E500" s="26">
        <v>105229</v>
      </c>
    </row>
    <row r="501" spans="1:6" x14ac:dyDescent="0.25">
      <c r="A501" s="24" t="s">
        <v>7</v>
      </c>
      <c r="B501" s="24" t="s">
        <v>1202</v>
      </c>
      <c r="C501" s="25" t="s">
        <v>1203</v>
      </c>
      <c r="D501" s="25" t="s">
        <v>523</v>
      </c>
      <c r="E501" s="26">
        <v>107177</v>
      </c>
    </row>
    <row r="502" spans="1:6" x14ac:dyDescent="0.25">
      <c r="A502" s="24" t="s">
        <v>7</v>
      </c>
      <c r="B502" s="24" t="s">
        <v>1204</v>
      </c>
      <c r="C502" s="25" t="s">
        <v>1205</v>
      </c>
      <c r="D502" s="25" t="s">
        <v>1206</v>
      </c>
      <c r="E502" s="26">
        <v>77177</v>
      </c>
    </row>
    <row r="503" spans="1:6" x14ac:dyDescent="0.25">
      <c r="A503" s="24" t="s">
        <v>7</v>
      </c>
      <c r="B503" s="24" t="s">
        <v>1207</v>
      </c>
      <c r="C503" s="25" t="s">
        <v>1208</v>
      </c>
      <c r="D503" s="25" t="s">
        <v>1209</v>
      </c>
      <c r="E503" s="26">
        <v>97167</v>
      </c>
    </row>
    <row r="504" spans="1:6" x14ac:dyDescent="0.25">
      <c r="A504" s="24" t="s">
        <v>7</v>
      </c>
      <c r="B504" s="24" t="s">
        <v>1210</v>
      </c>
      <c r="C504" s="25" t="s">
        <v>1211</v>
      </c>
      <c r="D504" s="25" t="s">
        <v>1212</v>
      </c>
      <c r="E504" s="26">
        <v>82028</v>
      </c>
      <c r="F504" s="24" t="s">
        <v>502</v>
      </c>
    </row>
    <row r="505" spans="1:6" x14ac:dyDescent="0.25">
      <c r="A505" s="24" t="s">
        <v>7</v>
      </c>
      <c r="B505" s="24" t="s">
        <v>1213</v>
      </c>
      <c r="C505" s="25" t="s">
        <v>1214</v>
      </c>
      <c r="D505" s="25" t="s">
        <v>1209</v>
      </c>
      <c r="E505" s="26">
        <v>84499</v>
      </c>
    </row>
    <row r="506" spans="1:6" x14ac:dyDescent="0.25">
      <c r="A506" s="24" t="s">
        <v>7</v>
      </c>
      <c r="B506" s="24" t="s">
        <v>1215</v>
      </c>
      <c r="C506" s="25" t="s">
        <v>1216</v>
      </c>
      <c r="D506" s="25" t="s">
        <v>542</v>
      </c>
      <c r="E506" s="26">
        <v>67598</v>
      </c>
    </row>
    <row r="507" spans="1:6" x14ac:dyDescent="0.25">
      <c r="A507" s="24" t="s">
        <v>7</v>
      </c>
      <c r="B507" s="24" t="s">
        <v>1217</v>
      </c>
      <c r="C507" s="25" t="s">
        <v>1218</v>
      </c>
      <c r="D507" s="25" t="s">
        <v>1219</v>
      </c>
      <c r="E507" s="26">
        <v>83284</v>
      </c>
    </row>
    <row r="508" spans="1:6" x14ac:dyDescent="0.25">
      <c r="A508" s="24" t="s">
        <v>7</v>
      </c>
      <c r="B508" s="24" t="s">
        <v>1220</v>
      </c>
      <c r="C508" s="25" t="s">
        <v>1221</v>
      </c>
      <c r="D508" s="25" t="s">
        <v>1037</v>
      </c>
      <c r="E508" s="26">
        <v>65835</v>
      </c>
    </row>
    <row r="509" spans="1:6" x14ac:dyDescent="0.25">
      <c r="A509" s="24" t="s">
        <v>7</v>
      </c>
      <c r="B509" s="24" t="s">
        <v>1222</v>
      </c>
      <c r="C509" s="25" t="s">
        <v>1223</v>
      </c>
      <c r="D509" s="25" t="s">
        <v>1224</v>
      </c>
      <c r="E509" s="26">
        <v>113689</v>
      </c>
    </row>
    <row r="510" spans="1:6" x14ac:dyDescent="0.25">
      <c r="A510" s="24" t="s">
        <v>7</v>
      </c>
      <c r="B510" s="24" t="s">
        <v>1225</v>
      </c>
      <c r="C510" s="25" t="s">
        <v>1226</v>
      </c>
      <c r="D510" s="25" t="s">
        <v>1227</v>
      </c>
      <c r="E510" s="26">
        <v>133577</v>
      </c>
    </row>
    <row r="511" spans="1:6" x14ac:dyDescent="0.25">
      <c r="A511" s="24" t="s">
        <v>7</v>
      </c>
      <c r="B511" s="24" t="s">
        <v>1228</v>
      </c>
      <c r="C511" s="25" t="s">
        <v>1229</v>
      </c>
      <c r="D511" s="25" t="s">
        <v>1227</v>
      </c>
      <c r="E511" s="26">
        <v>144975</v>
      </c>
    </row>
    <row r="512" spans="1:6" x14ac:dyDescent="0.25">
      <c r="A512" s="24" t="s">
        <v>7</v>
      </c>
      <c r="B512" s="24" t="s">
        <v>1230</v>
      </c>
      <c r="C512" s="25" t="s">
        <v>1231</v>
      </c>
      <c r="D512" s="25" t="s">
        <v>1232</v>
      </c>
      <c r="E512" s="26">
        <v>145613</v>
      </c>
    </row>
    <row r="513" spans="1:5" x14ac:dyDescent="0.25">
      <c r="A513" s="24" t="s">
        <v>7</v>
      </c>
      <c r="B513" s="24" t="s">
        <v>1233</v>
      </c>
      <c r="C513" s="25" t="s">
        <v>1234</v>
      </c>
      <c r="D513" s="25" t="s">
        <v>1235</v>
      </c>
      <c r="E513" s="26">
        <v>166722</v>
      </c>
    </row>
    <row r="514" spans="1:5" x14ac:dyDescent="0.25">
      <c r="A514" s="24" t="s">
        <v>7</v>
      </c>
      <c r="B514" s="24" t="s">
        <v>1236</v>
      </c>
      <c r="C514" s="25" t="s">
        <v>1237</v>
      </c>
      <c r="D514" s="25" t="s">
        <v>1235</v>
      </c>
      <c r="E514" s="26">
        <v>154121</v>
      </c>
    </row>
    <row r="515" spans="1:5" x14ac:dyDescent="0.25">
      <c r="A515" s="24" t="s">
        <v>7</v>
      </c>
      <c r="B515" s="24" t="s">
        <v>1238</v>
      </c>
      <c r="C515" s="25" t="s">
        <v>1239</v>
      </c>
      <c r="D515" s="25" t="s">
        <v>1235</v>
      </c>
      <c r="E515" s="26">
        <v>154121</v>
      </c>
    </row>
    <row r="516" spans="1:5" x14ac:dyDescent="0.25">
      <c r="A516" s="24" t="s">
        <v>7</v>
      </c>
      <c r="B516" s="24" t="s">
        <v>1240</v>
      </c>
      <c r="C516" s="25" t="s">
        <v>1241</v>
      </c>
      <c r="D516" s="25" t="s">
        <v>1235</v>
      </c>
      <c r="E516" s="26">
        <v>142695</v>
      </c>
    </row>
    <row r="517" spans="1:5" x14ac:dyDescent="0.25">
      <c r="A517" s="24" t="s">
        <v>7</v>
      </c>
      <c r="B517" s="24" t="s">
        <v>1242</v>
      </c>
      <c r="C517" s="25" t="s">
        <v>1243</v>
      </c>
      <c r="D517" s="25" t="s">
        <v>1235</v>
      </c>
      <c r="E517" s="26">
        <v>95947.82</v>
      </c>
    </row>
    <row r="518" spans="1:5" x14ac:dyDescent="0.25">
      <c r="A518" s="24" t="s">
        <v>7</v>
      </c>
      <c r="B518" s="24" t="s">
        <v>1244</v>
      </c>
      <c r="C518" s="25" t="s">
        <v>1245</v>
      </c>
      <c r="D518" s="25" t="s">
        <v>1246</v>
      </c>
      <c r="E518" s="26">
        <v>39121</v>
      </c>
    </row>
    <row r="519" spans="1:5" x14ac:dyDescent="0.25">
      <c r="A519" s="24" t="s">
        <v>7</v>
      </c>
      <c r="B519" s="24" t="s">
        <v>1247</v>
      </c>
      <c r="C519" s="25" t="s">
        <v>1248</v>
      </c>
      <c r="D519" s="25" t="s">
        <v>1007</v>
      </c>
      <c r="E519" s="26">
        <v>100348.62</v>
      </c>
    </row>
    <row r="520" spans="1:5" x14ac:dyDescent="0.25">
      <c r="A520" s="24" t="s">
        <v>7</v>
      </c>
      <c r="B520" s="24" t="s">
        <v>1249</v>
      </c>
      <c r="C520" s="25" t="s">
        <v>1250</v>
      </c>
      <c r="D520" s="25" t="s">
        <v>1251</v>
      </c>
      <c r="E520" s="26">
        <v>51228</v>
      </c>
    </row>
    <row r="521" spans="1:5" x14ac:dyDescent="0.25">
      <c r="A521" s="24" t="s">
        <v>7</v>
      </c>
      <c r="B521" s="24" t="s">
        <v>1252</v>
      </c>
      <c r="C521" s="25" t="s">
        <v>1253</v>
      </c>
      <c r="D521" s="25" t="s">
        <v>526</v>
      </c>
      <c r="E521" s="26">
        <v>108883</v>
      </c>
    </row>
    <row r="522" spans="1:5" x14ac:dyDescent="0.25">
      <c r="A522" s="24" t="s">
        <v>7</v>
      </c>
      <c r="B522" s="24" t="s">
        <v>1254</v>
      </c>
      <c r="C522" s="25" t="s">
        <v>1255</v>
      </c>
      <c r="D522" s="25" t="s">
        <v>1256</v>
      </c>
      <c r="E522" s="26">
        <v>84499</v>
      </c>
    </row>
    <row r="523" spans="1:5" x14ac:dyDescent="0.25">
      <c r="A523" s="24" t="s">
        <v>7</v>
      </c>
      <c r="B523" s="24" t="s">
        <v>1257</v>
      </c>
      <c r="C523" s="25" t="s">
        <v>1258</v>
      </c>
      <c r="D523" s="25" t="s">
        <v>1259</v>
      </c>
      <c r="E523" s="26">
        <v>99099</v>
      </c>
    </row>
    <row r="524" spans="1:5" x14ac:dyDescent="0.25">
      <c r="A524" s="24" t="s">
        <v>7</v>
      </c>
      <c r="B524" s="24" t="s">
        <v>1260</v>
      </c>
      <c r="C524" s="25" t="s">
        <v>1261</v>
      </c>
      <c r="D524" s="25" t="s">
        <v>1259</v>
      </c>
      <c r="E524" s="26">
        <v>102073</v>
      </c>
    </row>
    <row r="525" spans="1:5" x14ac:dyDescent="0.25">
      <c r="A525" s="24" t="s">
        <v>7</v>
      </c>
      <c r="B525" s="24" t="s">
        <v>1262</v>
      </c>
      <c r="C525" s="25" t="s">
        <v>1263</v>
      </c>
      <c r="D525" s="25" t="s">
        <v>1259</v>
      </c>
      <c r="E525" s="26">
        <v>105229</v>
      </c>
    </row>
    <row r="526" spans="1:5" x14ac:dyDescent="0.25">
      <c r="A526" s="24" t="s">
        <v>7</v>
      </c>
      <c r="B526" s="24" t="s">
        <v>1264</v>
      </c>
      <c r="C526" s="25" t="s">
        <v>1265</v>
      </c>
      <c r="D526" s="25" t="s">
        <v>1259</v>
      </c>
      <c r="E526" s="26">
        <v>105229</v>
      </c>
    </row>
    <row r="527" spans="1:5" x14ac:dyDescent="0.25">
      <c r="A527" s="24" t="s">
        <v>7</v>
      </c>
      <c r="B527" s="24" t="s">
        <v>1266</v>
      </c>
      <c r="C527" s="25" t="s">
        <v>1267</v>
      </c>
      <c r="D527" s="25" t="s">
        <v>1259</v>
      </c>
      <c r="E527" s="26">
        <v>102165</v>
      </c>
    </row>
    <row r="528" spans="1:5" x14ac:dyDescent="0.25">
      <c r="A528" s="24" t="s">
        <v>7</v>
      </c>
      <c r="B528" s="24" t="s">
        <v>1268</v>
      </c>
      <c r="C528" s="25" t="s">
        <v>1269</v>
      </c>
      <c r="D528" s="25" t="s">
        <v>1270</v>
      </c>
      <c r="E528" s="26">
        <v>174206</v>
      </c>
    </row>
    <row r="529" spans="1:5" x14ac:dyDescent="0.25">
      <c r="A529" s="24" t="s">
        <v>7</v>
      </c>
      <c r="B529" s="24" t="s">
        <v>1271</v>
      </c>
      <c r="C529" s="25" t="s">
        <v>1272</v>
      </c>
      <c r="D529" s="25" t="s">
        <v>1273</v>
      </c>
      <c r="E529" s="26">
        <v>109269</v>
      </c>
    </row>
    <row r="530" spans="1:5" x14ac:dyDescent="0.25">
      <c r="A530" s="24" t="s">
        <v>7</v>
      </c>
      <c r="B530" s="24" t="s">
        <v>1274</v>
      </c>
      <c r="C530" s="25" t="s">
        <v>1275</v>
      </c>
      <c r="D530" s="25" t="s">
        <v>1276</v>
      </c>
      <c r="E530" s="26">
        <v>57374</v>
      </c>
    </row>
    <row r="531" spans="1:5" x14ac:dyDescent="0.25">
      <c r="A531" s="24" t="s">
        <v>7</v>
      </c>
      <c r="B531" s="24" t="s">
        <v>1277</v>
      </c>
      <c r="C531" s="25" t="s">
        <v>1278</v>
      </c>
      <c r="D531" s="25" t="s">
        <v>1270</v>
      </c>
      <c r="E531" s="26">
        <v>122329</v>
      </c>
    </row>
    <row r="532" spans="1:5" x14ac:dyDescent="0.25">
      <c r="A532" s="24" t="s">
        <v>7</v>
      </c>
      <c r="B532" s="24" t="s">
        <v>1279</v>
      </c>
      <c r="C532" s="25" t="s">
        <v>1280</v>
      </c>
      <c r="D532" s="25" t="s">
        <v>1281</v>
      </c>
      <c r="E532" s="26">
        <v>203240</v>
      </c>
    </row>
    <row r="533" spans="1:5" x14ac:dyDescent="0.25">
      <c r="A533" s="24" t="s">
        <v>7</v>
      </c>
      <c r="B533" s="24" t="s">
        <v>1282</v>
      </c>
      <c r="C533" s="25" t="s">
        <v>1283</v>
      </c>
      <c r="D533" s="25" t="s">
        <v>1281</v>
      </c>
      <c r="E533" s="26">
        <v>195713</v>
      </c>
    </row>
    <row r="534" spans="1:5" x14ac:dyDescent="0.25">
      <c r="A534" s="24" t="s">
        <v>7</v>
      </c>
      <c r="B534" s="24" t="s">
        <v>1284</v>
      </c>
      <c r="C534" s="25" t="s">
        <v>1285</v>
      </c>
      <c r="D534" s="25" t="s">
        <v>1281</v>
      </c>
      <c r="E534" s="26">
        <v>193738</v>
      </c>
    </row>
    <row r="535" spans="1:5" x14ac:dyDescent="0.25">
      <c r="A535" s="24" t="s">
        <v>7</v>
      </c>
      <c r="B535" s="24" t="s">
        <v>1286</v>
      </c>
      <c r="C535" s="25" t="s">
        <v>1287</v>
      </c>
      <c r="D535" s="25" t="s">
        <v>1288</v>
      </c>
      <c r="E535" s="26">
        <v>181726</v>
      </c>
    </row>
    <row r="536" spans="1:5" x14ac:dyDescent="0.25">
      <c r="A536" s="24" t="s">
        <v>7</v>
      </c>
      <c r="B536" s="24" t="s">
        <v>1289</v>
      </c>
      <c r="C536" s="25" t="s">
        <v>1290</v>
      </c>
      <c r="D536" s="25" t="s">
        <v>1291</v>
      </c>
      <c r="E536" s="26">
        <v>44845</v>
      </c>
    </row>
    <row r="537" spans="1:5" x14ac:dyDescent="0.25">
      <c r="A537" s="24" t="s">
        <v>7</v>
      </c>
      <c r="B537" s="24" t="s">
        <v>1292</v>
      </c>
      <c r="C537" s="25" t="s">
        <v>1293</v>
      </c>
      <c r="D537" s="25" t="s">
        <v>1294</v>
      </c>
      <c r="E537" s="26">
        <v>0.01</v>
      </c>
    </row>
    <row r="538" spans="1:5" x14ac:dyDescent="0.25">
      <c r="A538" s="24" t="s">
        <v>7</v>
      </c>
      <c r="B538" s="24" t="s">
        <v>1295</v>
      </c>
      <c r="C538" s="25" t="s">
        <v>1296</v>
      </c>
      <c r="D538" s="25" t="s">
        <v>1297</v>
      </c>
      <c r="E538" s="26">
        <v>0.01</v>
      </c>
    </row>
    <row r="539" spans="1:5" x14ac:dyDescent="0.25">
      <c r="A539" s="24" t="s">
        <v>7</v>
      </c>
      <c r="B539" s="24" t="s">
        <v>1298</v>
      </c>
      <c r="C539" s="25" t="s">
        <v>1299</v>
      </c>
      <c r="D539" s="25" t="s">
        <v>1297</v>
      </c>
      <c r="E539" s="26">
        <v>0.01</v>
      </c>
    </row>
    <row r="540" spans="1:5" x14ac:dyDescent="0.25">
      <c r="A540" s="24" t="s">
        <v>7</v>
      </c>
      <c r="B540" s="24" t="s">
        <v>1300</v>
      </c>
      <c r="C540" s="25" t="s">
        <v>1301</v>
      </c>
      <c r="D540" s="25" t="s">
        <v>1302</v>
      </c>
      <c r="E540" s="26">
        <v>0.01</v>
      </c>
    </row>
    <row r="541" spans="1:5" x14ac:dyDescent="0.25">
      <c r="A541" s="24" t="s">
        <v>7</v>
      </c>
      <c r="B541" s="24" t="s">
        <v>1303</v>
      </c>
      <c r="C541" s="25" t="s">
        <v>1304</v>
      </c>
      <c r="D541" s="25" t="s">
        <v>1302</v>
      </c>
      <c r="E541" s="26">
        <v>0.01</v>
      </c>
    </row>
    <row r="542" spans="1:5" x14ac:dyDescent="0.25">
      <c r="A542" s="24" t="s">
        <v>7</v>
      </c>
      <c r="B542" s="24" t="s">
        <v>1305</v>
      </c>
      <c r="C542" s="25" t="s">
        <v>1306</v>
      </c>
      <c r="D542" s="25" t="s">
        <v>1307</v>
      </c>
      <c r="E542" s="26">
        <v>229498</v>
      </c>
    </row>
    <row r="543" spans="1:5" x14ac:dyDescent="0.25">
      <c r="A543" s="24" t="s">
        <v>7</v>
      </c>
      <c r="B543" s="24" t="s">
        <v>1308</v>
      </c>
      <c r="C543" s="25" t="s">
        <v>1309</v>
      </c>
      <c r="D543" s="25" t="s">
        <v>1310</v>
      </c>
      <c r="E543" s="26">
        <v>34356</v>
      </c>
    </row>
    <row r="544" spans="1:5" x14ac:dyDescent="0.25">
      <c r="A544" s="24" t="s">
        <v>7</v>
      </c>
      <c r="B544" s="24" t="s">
        <v>1311</v>
      </c>
      <c r="C544" s="25" t="s">
        <v>1312</v>
      </c>
      <c r="D544" s="25" t="s">
        <v>1313</v>
      </c>
      <c r="E544" s="26">
        <v>33828</v>
      </c>
    </row>
    <row r="545" spans="1:6" x14ac:dyDescent="0.25">
      <c r="A545" s="24" t="s">
        <v>7</v>
      </c>
      <c r="B545" s="24" t="s">
        <v>1314</v>
      </c>
      <c r="C545" s="25" t="s">
        <v>1315</v>
      </c>
      <c r="D545" s="25" t="s">
        <v>1316</v>
      </c>
      <c r="E545" s="26">
        <v>4621</v>
      </c>
    </row>
    <row r="546" spans="1:6" x14ac:dyDescent="0.25">
      <c r="A546" s="24" t="s">
        <v>7</v>
      </c>
      <c r="B546" s="24" t="s">
        <v>1317</v>
      </c>
      <c r="C546" s="25" t="s">
        <v>1318</v>
      </c>
      <c r="D546" s="25" t="s">
        <v>1319</v>
      </c>
      <c r="E546" s="26">
        <v>11189</v>
      </c>
    </row>
    <row r="547" spans="1:6" x14ac:dyDescent="0.25">
      <c r="A547" s="24" t="s">
        <v>7</v>
      </c>
      <c r="B547" s="24" t="s">
        <v>1320</v>
      </c>
      <c r="C547" s="25" t="s">
        <v>1321</v>
      </c>
      <c r="D547" s="25" t="s">
        <v>1322</v>
      </c>
      <c r="E547" s="26">
        <v>9404</v>
      </c>
    </row>
    <row r="548" spans="1:6" x14ac:dyDescent="0.25">
      <c r="A548" s="24" t="s">
        <v>7</v>
      </c>
      <c r="B548" s="24" t="s">
        <v>1323</v>
      </c>
      <c r="C548" s="25" t="s">
        <v>1324</v>
      </c>
      <c r="D548" s="25" t="s">
        <v>1325</v>
      </c>
      <c r="E548" s="26">
        <v>13425</v>
      </c>
    </row>
    <row r="549" spans="1:6" x14ac:dyDescent="0.25">
      <c r="A549" s="24" t="s">
        <v>7</v>
      </c>
      <c r="B549" s="24" t="s">
        <v>1326</v>
      </c>
      <c r="C549" s="25" t="s">
        <v>1327</v>
      </c>
      <c r="D549" s="25" t="s">
        <v>671</v>
      </c>
      <c r="E549" s="26">
        <v>33722</v>
      </c>
    </row>
    <row r="550" spans="1:6" x14ac:dyDescent="0.25">
      <c r="A550" s="24" t="s">
        <v>7</v>
      </c>
      <c r="B550" s="24" t="s">
        <v>1328</v>
      </c>
      <c r="C550" s="25" t="s">
        <v>1329</v>
      </c>
      <c r="D550" s="25" t="s">
        <v>1322</v>
      </c>
      <c r="E550" s="26">
        <v>16339.44</v>
      </c>
    </row>
    <row r="551" spans="1:6" x14ac:dyDescent="0.25">
      <c r="A551" s="24" t="s">
        <v>7</v>
      </c>
      <c r="B551" s="24" t="s">
        <v>1330</v>
      </c>
      <c r="C551" s="25" t="s">
        <v>1331</v>
      </c>
      <c r="D551" s="25" t="s">
        <v>1332</v>
      </c>
      <c r="E551" s="26">
        <v>20181</v>
      </c>
      <c r="F551" s="24" t="s">
        <v>502</v>
      </c>
    </row>
    <row r="552" spans="1:6" x14ac:dyDescent="0.25">
      <c r="A552" s="24" t="s">
        <v>7</v>
      </c>
      <c r="B552" s="24" t="s">
        <v>1333</v>
      </c>
      <c r="C552" s="25" t="s">
        <v>1334</v>
      </c>
      <c r="D552" s="25" t="s">
        <v>1332</v>
      </c>
      <c r="E552" s="26">
        <v>19134</v>
      </c>
    </row>
    <row r="553" spans="1:6" x14ac:dyDescent="0.25">
      <c r="A553" s="24" t="s">
        <v>7</v>
      </c>
      <c r="B553" s="24" t="s">
        <v>1335</v>
      </c>
      <c r="C553" s="25" t="s">
        <v>1336</v>
      </c>
      <c r="D553" s="25" t="s">
        <v>1337</v>
      </c>
      <c r="E553" s="26">
        <v>20479</v>
      </c>
    </row>
    <row r="554" spans="1:6" x14ac:dyDescent="0.25">
      <c r="A554" s="24" t="s">
        <v>7</v>
      </c>
      <c r="B554" s="24" t="s">
        <v>1338</v>
      </c>
      <c r="C554" s="25" t="s">
        <v>1339</v>
      </c>
      <c r="D554" s="25" t="s">
        <v>1340</v>
      </c>
      <c r="E554" s="26">
        <v>38676</v>
      </c>
      <c r="F554" s="24" t="s">
        <v>502</v>
      </c>
    </row>
    <row r="555" spans="1:6" x14ac:dyDescent="0.25">
      <c r="A555" s="24" t="s">
        <v>7</v>
      </c>
      <c r="B555" s="24" t="s">
        <v>1341</v>
      </c>
      <c r="C555" s="25" t="s">
        <v>1342</v>
      </c>
      <c r="D555" s="25" t="s">
        <v>693</v>
      </c>
      <c r="E555" s="26">
        <v>33364</v>
      </c>
      <c r="F555" s="24" t="s">
        <v>502</v>
      </c>
    </row>
    <row r="556" spans="1:6" x14ac:dyDescent="0.25">
      <c r="A556" s="24" t="s">
        <v>7</v>
      </c>
      <c r="B556" s="24" t="s">
        <v>1343</v>
      </c>
      <c r="C556" s="25" t="s">
        <v>1344</v>
      </c>
      <c r="D556" s="25" t="s">
        <v>693</v>
      </c>
      <c r="E556" s="26">
        <v>21562</v>
      </c>
      <c r="F556" s="24" t="s">
        <v>502</v>
      </c>
    </row>
    <row r="557" spans="1:6" x14ac:dyDescent="0.25">
      <c r="A557" s="24" t="s">
        <v>7</v>
      </c>
      <c r="B557" s="24" t="s">
        <v>1345</v>
      </c>
      <c r="C557" s="25" t="s">
        <v>1346</v>
      </c>
      <c r="D557" s="25" t="s">
        <v>1347</v>
      </c>
      <c r="E557" s="26">
        <v>16619</v>
      </c>
    </row>
    <row r="558" spans="1:6" x14ac:dyDescent="0.25">
      <c r="A558" s="24" t="s">
        <v>7</v>
      </c>
      <c r="B558" s="24" t="s">
        <v>1348</v>
      </c>
      <c r="C558" s="25" t="s">
        <v>1349</v>
      </c>
      <c r="D558" s="25" t="s">
        <v>1347</v>
      </c>
      <c r="E558" s="26">
        <v>17609</v>
      </c>
    </row>
    <row r="559" spans="1:6" x14ac:dyDescent="0.25">
      <c r="A559" s="24" t="s">
        <v>7</v>
      </c>
      <c r="B559" s="24" t="s">
        <v>1350</v>
      </c>
      <c r="C559" s="25" t="s">
        <v>1351</v>
      </c>
      <c r="D559" s="25" t="s">
        <v>1352</v>
      </c>
      <c r="E559" s="26">
        <v>13882</v>
      </c>
    </row>
    <row r="560" spans="1:6" x14ac:dyDescent="0.25">
      <c r="A560" s="24" t="s">
        <v>7</v>
      </c>
      <c r="B560" s="24" t="s">
        <v>1353</v>
      </c>
      <c r="C560" s="25" t="s">
        <v>1354</v>
      </c>
      <c r="D560" s="25" t="s">
        <v>1347</v>
      </c>
      <c r="E560" s="26">
        <v>21864</v>
      </c>
    </row>
    <row r="561" spans="1:6" x14ac:dyDescent="0.25">
      <c r="A561" s="24" t="s">
        <v>7</v>
      </c>
      <c r="B561" s="24" t="s">
        <v>1355</v>
      </c>
      <c r="C561" s="25" t="s">
        <v>1356</v>
      </c>
      <c r="D561" s="25" t="s">
        <v>1347</v>
      </c>
      <c r="E561" s="26">
        <v>17430</v>
      </c>
    </row>
    <row r="562" spans="1:6" x14ac:dyDescent="0.25">
      <c r="A562" s="24" t="s">
        <v>7</v>
      </c>
      <c r="B562" s="24" t="s">
        <v>1357</v>
      </c>
      <c r="C562" s="25" t="s">
        <v>1358</v>
      </c>
      <c r="D562" s="25" t="s">
        <v>1347</v>
      </c>
      <c r="E562" s="26">
        <v>27428</v>
      </c>
    </row>
    <row r="563" spans="1:6" x14ac:dyDescent="0.25">
      <c r="A563" s="24" t="s">
        <v>7</v>
      </c>
      <c r="B563" s="24" t="s">
        <v>1359</v>
      </c>
      <c r="C563" s="25" t="s">
        <v>1360</v>
      </c>
      <c r="D563" s="25" t="s">
        <v>1347</v>
      </c>
      <c r="E563" s="26">
        <v>17609</v>
      </c>
    </row>
    <row r="564" spans="1:6" x14ac:dyDescent="0.25">
      <c r="A564" s="24" t="s">
        <v>7</v>
      </c>
      <c r="B564" s="24" t="s">
        <v>1361</v>
      </c>
      <c r="C564" s="25" t="s">
        <v>1362</v>
      </c>
      <c r="D564" s="25" t="s">
        <v>1332</v>
      </c>
      <c r="E564" s="26">
        <v>19134</v>
      </c>
    </row>
    <row r="565" spans="1:6" x14ac:dyDescent="0.25">
      <c r="A565" s="24" t="s">
        <v>7</v>
      </c>
      <c r="B565" s="24" t="s">
        <v>1363</v>
      </c>
      <c r="C565" s="25" t="s">
        <v>1364</v>
      </c>
      <c r="D565" s="25" t="s">
        <v>1332</v>
      </c>
      <c r="E565" s="26">
        <v>19134</v>
      </c>
    </row>
    <row r="566" spans="1:6" x14ac:dyDescent="0.25">
      <c r="A566" s="24" t="s">
        <v>7</v>
      </c>
      <c r="B566" s="24" t="s">
        <v>1365</v>
      </c>
      <c r="C566" s="25" t="s">
        <v>1366</v>
      </c>
      <c r="D566" s="25" t="s">
        <v>1332</v>
      </c>
      <c r="E566" s="26">
        <v>20181</v>
      </c>
    </row>
    <row r="567" spans="1:6" x14ac:dyDescent="0.25">
      <c r="A567" s="24" t="s">
        <v>7</v>
      </c>
      <c r="B567" s="24" t="s">
        <v>1367</v>
      </c>
      <c r="C567" s="25" t="s">
        <v>1368</v>
      </c>
      <c r="D567" s="25" t="s">
        <v>1332</v>
      </c>
      <c r="E567" s="26">
        <v>23353</v>
      </c>
    </row>
    <row r="568" spans="1:6" x14ac:dyDescent="0.25">
      <c r="A568" s="24" t="s">
        <v>7</v>
      </c>
      <c r="B568" s="24" t="s">
        <v>1369</v>
      </c>
      <c r="C568" s="25" t="s">
        <v>1370</v>
      </c>
      <c r="D568" s="25" t="s">
        <v>1332</v>
      </c>
      <c r="E568" s="26">
        <v>20181</v>
      </c>
    </row>
    <row r="569" spans="1:6" x14ac:dyDescent="0.25">
      <c r="A569" s="24" t="s">
        <v>7</v>
      </c>
      <c r="B569" s="24" t="s">
        <v>1371</v>
      </c>
      <c r="C569" s="25" t="s">
        <v>1372</v>
      </c>
      <c r="D569" s="25" t="s">
        <v>1337</v>
      </c>
      <c r="E569" s="26">
        <v>13183</v>
      </c>
    </row>
    <row r="570" spans="1:6" x14ac:dyDescent="0.25">
      <c r="A570" s="24" t="s">
        <v>7</v>
      </c>
      <c r="B570" s="24" t="s">
        <v>1373</v>
      </c>
      <c r="C570" s="25" t="s">
        <v>1374</v>
      </c>
      <c r="D570" s="25" t="s">
        <v>1375</v>
      </c>
      <c r="E570" s="26">
        <v>13024</v>
      </c>
    </row>
    <row r="571" spans="1:6" x14ac:dyDescent="0.25">
      <c r="A571" s="24" t="s">
        <v>7</v>
      </c>
      <c r="B571" s="24" t="s">
        <v>1376</v>
      </c>
      <c r="C571" s="25" t="s">
        <v>1377</v>
      </c>
      <c r="D571" s="25" t="s">
        <v>1378</v>
      </c>
      <c r="E571" s="26">
        <v>16134</v>
      </c>
      <c r="F571" s="24" t="s">
        <v>502</v>
      </c>
    </row>
    <row r="572" spans="1:6" x14ac:dyDescent="0.25">
      <c r="A572" s="24" t="s">
        <v>7</v>
      </c>
      <c r="B572" s="24" t="s">
        <v>1379</v>
      </c>
      <c r="C572" s="25" t="s">
        <v>1380</v>
      </c>
      <c r="D572" s="25" t="s">
        <v>1381</v>
      </c>
      <c r="E572" s="26">
        <v>17609</v>
      </c>
    </row>
    <row r="573" spans="1:6" x14ac:dyDescent="0.25">
      <c r="A573" s="24" t="s">
        <v>7</v>
      </c>
      <c r="B573" s="24" t="s">
        <v>1382</v>
      </c>
      <c r="C573" s="25" t="s">
        <v>1383</v>
      </c>
      <c r="D573" s="25" t="s">
        <v>1378</v>
      </c>
      <c r="E573" s="26">
        <v>17609</v>
      </c>
    </row>
    <row r="574" spans="1:6" x14ac:dyDescent="0.25">
      <c r="A574" s="24" t="s">
        <v>7</v>
      </c>
      <c r="B574" s="24" t="s">
        <v>1384</v>
      </c>
      <c r="C574" s="25" t="s">
        <v>1385</v>
      </c>
      <c r="D574" s="25" t="s">
        <v>1375</v>
      </c>
      <c r="E574" s="26">
        <v>37958</v>
      </c>
    </row>
    <row r="575" spans="1:6" x14ac:dyDescent="0.25">
      <c r="A575" s="24" t="s">
        <v>7</v>
      </c>
      <c r="B575" s="24" t="s">
        <v>1386</v>
      </c>
      <c r="C575" s="25" t="s">
        <v>1387</v>
      </c>
      <c r="D575" s="25" t="s">
        <v>712</v>
      </c>
      <c r="E575" s="26">
        <v>32032</v>
      </c>
    </row>
    <row r="576" spans="1:6" x14ac:dyDescent="0.25">
      <c r="A576" s="24" t="s">
        <v>7</v>
      </c>
      <c r="B576" s="24" t="s">
        <v>1388</v>
      </c>
      <c r="C576" s="25" t="s">
        <v>1389</v>
      </c>
      <c r="D576" s="25" t="s">
        <v>1347</v>
      </c>
      <c r="E576" s="26">
        <v>16619</v>
      </c>
    </row>
    <row r="577" spans="1:6" x14ac:dyDescent="0.25">
      <c r="A577" s="24" t="s">
        <v>7</v>
      </c>
      <c r="B577" s="24" t="s">
        <v>1390</v>
      </c>
      <c r="C577" s="25" t="s">
        <v>1391</v>
      </c>
      <c r="D577" s="25" t="s">
        <v>1392</v>
      </c>
      <c r="E577" s="26">
        <v>39182</v>
      </c>
    </row>
    <row r="578" spans="1:6" x14ac:dyDescent="0.25">
      <c r="A578" s="24" t="s">
        <v>7</v>
      </c>
      <c r="B578" s="24" t="s">
        <v>1393</v>
      </c>
      <c r="C578" s="25" t="s">
        <v>1394</v>
      </c>
      <c r="D578" s="25" t="s">
        <v>1395</v>
      </c>
      <c r="E578" s="26">
        <v>3927</v>
      </c>
      <c r="F578" s="24" t="s">
        <v>502</v>
      </c>
    </row>
    <row r="579" spans="1:6" x14ac:dyDescent="0.25">
      <c r="A579" s="24" t="s">
        <v>7</v>
      </c>
      <c r="B579" s="24" t="s">
        <v>1396</v>
      </c>
      <c r="C579" s="25" t="s">
        <v>1397</v>
      </c>
      <c r="D579" s="25" t="s">
        <v>1398</v>
      </c>
      <c r="E579" s="26">
        <v>8893</v>
      </c>
    </row>
    <row r="580" spans="1:6" x14ac:dyDescent="0.25">
      <c r="A580" s="24" t="s">
        <v>7</v>
      </c>
      <c r="B580" s="24" t="s">
        <v>1399</v>
      </c>
      <c r="C580" s="25" t="s">
        <v>1400</v>
      </c>
      <c r="D580" s="25" t="s">
        <v>1401</v>
      </c>
      <c r="E580" s="26">
        <v>22620</v>
      </c>
    </row>
    <row r="581" spans="1:6" x14ac:dyDescent="0.25">
      <c r="A581" s="24" t="s">
        <v>7</v>
      </c>
      <c r="B581" s="24" t="s">
        <v>1402</v>
      </c>
      <c r="C581" s="25" t="s">
        <v>1403</v>
      </c>
      <c r="D581" s="25" t="s">
        <v>1404</v>
      </c>
      <c r="E581" s="26">
        <v>4054</v>
      </c>
      <c r="F581" s="24" t="s">
        <v>502</v>
      </c>
    </row>
    <row r="582" spans="1:6" x14ac:dyDescent="0.25">
      <c r="A582" s="24" t="s">
        <v>7</v>
      </c>
      <c r="B582" s="24" t="s">
        <v>1405</v>
      </c>
      <c r="C582" s="25" t="s">
        <v>1406</v>
      </c>
      <c r="D582" s="25" t="s">
        <v>1407</v>
      </c>
      <c r="E582" s="26">
        <v>33496</v>
      </c>
      <c r="F582" s="24" t="s">
        <v>502</v>
      </c>
    </row>
    <row r="583" spans="1:6" x14ac:dyDescent="0.25">
      <c r="A583" s="24" t="s">
        <v>7</v>
      </c>
      <c r="B583" s="24" t="s">
        <v>1408</v>
      </c>
      <c r="C583" s="25" t="s">
        <v>1409</v>
      </c>
      <c r="D583" s="25" t="s">
        <v>1410</v>
      </c>
      <c r="E583" s="26">
        <v>86061</v>
      </c>
    </row>
    <row r="584" spans="1:6" x14ac:dyDescent="0.25">
      <c r="A584" s="24" t="s">
        <v>7</v>
      </c>
      <c r="B584" s="24" t="s">
        <v>1411</v>
      </c>
      <c r="C584" s="25" t="s">
        <v>1412</v>
      </c>
      <c r="D584" s="25" t="s">
        <v>1413</v>
      </c>
      <c r="E584" s="26">
        <v>75089</v>
      </c>
    </row>
    <row r="585" spans="1:6" x14ac:dyDescent="0.25">
      <c r="A585" s="24" t="s">
        <v>7</v>
      </c>
      <c r="B585" s="24" t="s">
        <v>1414</v>
      </c>
      <c r="C585" s="25" t="s">
        <v>1415</v>
      </c>
      <c r="D585" s="25" t="s">
        <v>1416</v>
      </c>
      <c r="E585" s="26">
        <v>8697</v>
      </c>
    </row>
    <row r="586" spans="1:6" x14ac:dyDescent="0.25">
      <c r="A586" s="24" t="s">
        <v>7</v>
      </c>
      <c r="B586" s="24" t="s">
        <v>1417</v>
      </c>
      <c r="C586" s="25" t="s">
        <v>1418</v>
      </c>
      <c r="D586" s="25" t="s">
        <v>696</v>
      </c>
      <c r="E586" s="26">
        <v>2979</v>
      </c>
    </row>
    <row r="587" spans="1:6" x14ac:dyDescent="0.25">
      <c r="A587" s="24" t="s">
        <v>7</v>
      </c>
      <c r="B587" s="24" t="s">
        <v>1419</v>
      </c>
      <c r="C587" s="25" t="s">
        <v>1420</v>
      </c>
      <c r="D587" s="25" t="s">
        <v>1421</v>
      </c>
      <c r="E587" s="26">
        <v>6237</v>
      </c>
      <c r="F587" s="24" t="s">
        <v>502</v>
      </c>
    </row>
    <row r="588" spans="1:6" x14ac:dyDescent="0.25">
      <c r="A588" s="24" t="s">
        <v>7</v>
      </c>
      <c r="B588" s="24" t="s">
        <v>1422</v>
      </c>
      <c r="C588" s="25" t="s">
        <v>1423</v>
      </c>
      <c r="D588" s="25" t="s">
        <v>1424</v>
      </c>
      <c r="E588" s="26">
        <v>3074</v>
      </c>
    </row>
    <row r="589" spans="1:6" x14ac:dyDescent="0.25">
      <c r="A589" s="24" t="s">
        <v>7</v>
      </c>
      <c r="B589" s="24" t="s">
        <v>1425</v>
      </c>
      <c r="C589" s="25" t="s">
        <v>1426</v>
      </c>
      <c r="D589" s="25" t="s">
        <v>1398</v>
      </c>
      <c r="E589" s="26">
        <v>7745</v>
      </c>
    </row>
    <row r="590" spans="1:6" x14ac:dyDescent="0.25">
      <c r="A590" s="24" t="s">
        <v>7</v>
      </c>
      <c r="B590" s="24" t="s">
        <v>1427</v>
      </c>
      <c r="C590" s="25" t="s">
        <v>1428</v>
      </c>
      <c r="D590" s="25" t="s">
        <v>1398</v>
      </c>
      <c r="E590" s="26">
        <v>7307</v>
      </c>
    </row>
    <row r="591" spans="1:6" x14ac:dyDescent="0.25">
      <c r="A591" s="24" t="s">
        <v>7</v>
      </c>
      <c r="B591" s="24" t="s">
        <v>1429</v>
      </c>
      <c r="C591" s="25" t="s">
        <v>1430</v>
      </c>
      <c r="D591" s="25" t="s">
        <v>1431</v>
      </c>
      <c r="E591" s="26">
        <v>2433</v>
      </c>
    </row>
    <row r="592" spans="1:6" x14ac:dyDescent="0.25">
      <c r="A592" s="24" t="s">
        <v>7</v>
      </c>
      <c r="B592" s="24" t="s">
        <v>1432</v>
      </c>
      <c r="C592" s="25" t="s">
        <v>1433</v>
      </c>
      <c r="D592" s="25" t="s">
        <v>1431</v>
      </c>
      <c r="E592" s="26">
        <v>2237</v>
      </c>
    </row>
    <row r="593" spans="1:6" x14ac:dyDescent="0.25">
      <c r="A593" s="24" t="s">
        <v>7</v>
      </c>
      <c r="B593" s="24" t="s">
        <v>1434</v>
      </c>
      <c r="C593" s="25" t="s">
        <v>1435</v>
      </c>
      <c r="D593" s="25" t="s">
        <v>1431</v>
      </c>
      <c r="E593" s="26">
        <v>4123</v>
      </c>
    </row>
    <row r="594" spans="1:6" x14ac:dyDescent="0.25">
      <c r="A594" s="24" t="s">
        <v>7</v>
      </c>
      <c r="B594" s="24" t="s">
        <v>1436</v>
      </c>
      <c r="C594" s="25" t="s">
        <v>1437</v>
      </c>
      <c r="D594" s="25" t="s">
        <v>1438</v>
      </c>
      <c r="E594" s="26">
        <v>2757</v>
      </c>
    </row>
    <row r="595" spans="1:6" x14ac:dyDescent="0.25">
      <c r="A595" s="24" t="s">
        <v>7</v>
      </c>
      <c r="B595" s="24" t="s">
        <v>1439</v>
      </c>
      <c r="C595" s="25" t="s">
        <v>1440</v>
      </c>
      <c r="D595" s="25" t="s">
        <v>1440</v>
      </c>
      <c r="E595" s="26">
        <v>2237</v>
      </c>
    </row>
    <row r="596" spans="1:6" x14ac:dyDescent="0.25">
      <c r="A596" s="24" t="s">
        <v>7</v>
      </c>
      <c r="B596" s="24" t="s">
        <v>1441</v>
      </c>
      <c r="C596" s="25" t="s">
        <v>1442</v>
      </c>
      <c r="D596" s="25" t="s">
        <v>1443</v>
      </c>
      <c r="E596" s="26">
        <v>2847</v>
      </c>
    </row>
    <row r="597" spans="1:6" x14ac:dyDescent="0.25">
      <c r="A597" s="24" t="s">
        <v>7</v>
      </c>
      <c r="B597" s="24" t="s">
        <v>1444</v>
      </c>
      <c r="C597" s="25" t="s">
        <v>1445</v>
      </c>
      <c r="D597" s="25" t="s">
        <v>1446</v>
      </c>
      <c r="E597" s="26">
        <v>3261</v>
      </c>
      <c r="F597" s="24" t="s">
        <v>502</v>
      </c>
    </row>
    <row r="598" spans="1:6" x14ac:dyDescent="0.25">
      <c r="A598" s="24" t="s">
        <v>7</v>
      </c>
      <c r="B598" s="24" t="s">
        <v>1447</v>
      </c>
      <c r="C598" s="25" t="s">
        <v>1448</v>
      </c>
      <c r="D598" s="25" t="s">
        <v>1449</v>
      </c>
      <c r="E598" s="26">
        <v>12445</v>
      </c>
    </row>
    <row r="599" spans="1:6" x14ac:dyDescent="0.25">
      <c r="A599" s="24" t="s">
        <v>7</v>
      </c>
      <c r="B599" s="24" t="s">
        <v>1450</v>
      </c>
      <c r="C599" s="25" t="s">
        <v>1451</v>
      </c>
      <c r="D599" s="25" t="s">
        <v>1449</v>
      </c>
      <c r="E599" s="26">
        <v>13024</v>
      </c>
    </row>
    <row r="600" spans="1:6" x14ac:dyDescent="0.25">
      <c r="A600" s="24" t="s">
        <v>7</v>
      </c>
      <c r="B600" s="24" t="s">
        <v>1452</v>
      </c>
      <c r="C600" s="25" t="s">
        <v>1453</v>
      </c>
      <c r="D600" s="25" t="s">
        <v>1449</v>
      </c>
      <c r="E600" s="26">
        <v>32990</v>
      </c>
    </row>
    <row r="601" spans="1:6" x14ac:dyDescent="0.25">
      <c r="A601" s="24" t="s">
        <v>7</v>
      </c>
      <c r="B601" s="24" t="s">
        <v>1454</v>
      </c>
      <c r="C601" s="25" t="s">
        <v>1455</v>
      </c>
      <c r="D601" s="25" t="s">
        <v>1449</v>
      </c>
      <c r="E601" s="26">
        <v>26145</v>
      </c>
    </row>
    <row r="602" spans="1:6" x14ac:dyDescent="0.25">
      <c r="A602" s="24" t="s">
        <v>7</v>
      </c>
      <c r="B602" s="24" t="s">
        <v>1456</v>
      </c>
      <c r="C602" s="25" t="s">
        <v>1457</v>
      </c>
      <c r="D602" s="25" t="s">
        <v>1458</v>
      </c>
      <c r="E602" s="26">
        <v>7466</v>
      </c>
      <c r="F602" s="24" t="s">
        <v>502</v>
      </c>
    </row>
    <row r="603" spans="1:6" x14ac:dyDescent="0.25">
      <c r="A603" s="24" t="s">
        <v>7</v>
      </c>
      <c r="B603" s="24" t="s">
        <v>1459</v>
      </c>
      <c r="C603" s="25" t="s">
        <v>1460</v>
      </c>
      <c r="D603" s="25" t="s">
        <v>1461</v>
      </c>
      <c r="E603" s="26">
        <v>21152</v>
      </c>
    </row>
    <row r="604" spans="1:6" x14ac:dyDescent="0.25">
      <c r="A604" s="24" t="s">
        <v>7</v>
      </c>
      <c r="B604" s="24" t="s">
        <v>1462</v>
      </c>
      <c r="C604" s="25" t="s">
        <v>1463</v>
      </c>
      <c r="D604" s="25" t="s">
        <v>1464</v>
      </c>
      <c r="E604" s="26">
        <v>4065</v>
      </c>
    </row>
    <row r="605" spans="1:6" x14ac:dyDescent="0.25">
      <c r="A605" s="24" t="s">
        <v>7</v>
      </c>
      <c r="B605" s="24" t="s">
        <v>1465</v>
      </c>
      <c r="C605" s="25" t="s">
        <v>1466</v>
      </c>
      <c r="D605" s="25" t="s">
        <v>1467</v>
      </c>
      <c r="E605" s="26">
        <v>19592</v>
      </c>
    </row>
    <row r="606" spans="1:6" x14ac:dyDescent="0.25">
      <c r="A606" s="24" t="s">
        <v>7</v>
      </c>
      <c r="B606" s="24" t="s">
        <v>1468</v>
      </c>
      <c r="C606" s="25" t="s">
        <v>1469</v>
      </c>
      <c r="D606" s="25" t="s">
        <v>1467</v>
      </c>
      <c r="E606" s="26">
        <v>21355</v>
      </c>
    </row>
    <row r="607" spans="1:6" x14ac:dyDescent="0.25">
      <c r="A607" s="24" t="s">
        <v>7</v>
      </c>
      <c r="B607" s="24" t="s">
        <v>1470</v>
      </c>
      <c r="C607" s="25" t="s">
        <v>1471</v>
      </c>
      <c r="D607" s="25" t="s">
        <v>1472</v>
      </c>
      <c r="E607" s="26">
        <v>1800</v>
      </c>
      <c r="F607" s="24" t="s">
        <v>502</v>
      </c>
    </row>
    <row r="608" spans="1:6" x14ac:dyDescent="0.25">
      <c r="A608" s="24" t="s">
        <v>7</v>
      </c>
      <c r="B608" s="24" t="s">
        <v>1473</v>
      </c>
      <c r="C608" s="25" t="s">
        <v>1474</v>
      </c>
      <c r="D608" s="25" t="s">
        <v>1475</v>
      </c>
      <c r="E608" s="26">
        <v>3958</v>
      </c>
      <c r="F608" s="24" t="s">
        <v>502</v>
      </c>
    </row>
    <row r="609" spans="1:6" x14ac:dyDescent="0.25">
      <c r="A609" s="24" t="s">
        <v>7</v>
      </c>
      <c r="B609" s="24" t="s">
        <v>1476</v>
      </c>
      <c r="C609" s="25" t="s">
        <v>1477</v>
      </c>
      <c r="D609" s="25" t="s">
        <v>1478</v>
      </c>
      <c r="E609" s="26">
        <v>11986</v>
      </c>
      <c r="F609" s="24" t="s">
        <v>502</v>
      </c>
    </row>
    <row r="610" spans="1:6" x14ac:dyDescent="0.25">
      <c r="A610" s="24" t="s">
        <v>7</v>
      </c>
      <c r="B610" s="24" t="s">
        <v>1479</v>
      </c>
      <c r="C610" s="25" t="s">
        <v>1480</v>
      </c>
      <c r="D610" s="25" t="s">
        <v>1481</v>
      </c>
      <c r="E610" s="26">
        <v>17977</v>
      </c>
      <c r="F610" s="24" t="s">
        <v>502</v>
      </c>
    </row>
    <row r="611" spans="1:6" x14ac:dyDescent="0.25">
      <c r="A611" s="24" t="s">
        <v>7</v>
      </c>
      <c r="B611" s="24" t="s">
        <v>1482</v>
      </c>
      <c r="C611" s="25" t="s">
        <v>1483</v>
      </c>
      <c r="D611" s="25" t="s">
        <v>1484</v>
      </c>
      <c r="E611" s="26">
        <v>3958</v>
      </c>
      <c r="F611" s="24" t="s">
        <v>502</v>
      </c>
    </row>
    <row r="612" spans="1:6" x14ac:dyDescent="0.25">
      <c r="A612" s="24" t="s">
        <v>7</v>
      </c>
      <c r="B612" s="24" t="s">
        <v>1485</v>
      </c>
      <c r="C612" s="25" t="s">
        <v>1486</v>
      </c>
      <c r="D612" s="25" t="s">
        <v>1487</v>
      </c>
      <c r="E612" s="26">
        <v>3958</v>
      </c>
      <c r="F612" s="24" t="s">
        <v>502</v>
      </c>
    </row>
    <row r="613" spans="1:6" x14ac:dyDescent="0.25">
      <c r="A613" s="24" t="s">
        <v>7</v>
      </c>
      <c r="B613" s="24" t="s">
        <v>1488</v>
      </c>
      <c r="C613" s="25" t="s">
        <v>1489</v>
      </c>
      <c r="D613" s="25" t="s">
        <v>1490</v>
      </c>
      <c r="E613" s="26">
        <v>3958</v>
      </c>
      <c r="F613" s="24" t="s">
        <v>502</v>
      </c>
    </row>
    <row r="614" spans="1:6" x14ac:dyDescent="0.25">
      <c r="A614" s="24" t="s">
        <v>7</v>
      </c>
      <c r="B614" s="24" t="s">
        <v>1491</v>
      </c>
      <c r="C614" s="25" t="s">
        <v>1492</v>
      </c>
      <c r="D614" s="25" t="s">
        <v>1493</v>
      </c>
      <c r="E614" s="26">
        <v>3958</v>
      </c>
    </row>
    <row r="615" spans="1:6" x14ac:dyDescent="0.25">
      <c r="A615" s="24" t="s">
        <v>7</v>
      </c>
      <c r="B615" s="24" t="s">
        <v>1494</v>
      </c>
      <c r="C615" s="25" t="s">
        <v>1495</v>
      </c>
      <c r="D615" s="25" t="s">
        <v>1495</v>
      </c>
      <c r="E615" s="26">
        <v>3958</v>
      </c>
      <c r="F615" s="24" t="s">
        <v>502</v>
      </c>
    </row>
    <row r="616" spans="1:6" x14ac:dyDescent="0.25">
      <c r="A616" s="24" t="s">
        <v>7</v>
      </c>
      <c r="B616" s="24" t="s">
        <v>1496</v>
      </c>
      <c r="C616" s="25" t="s">
        <v>1497</v>
      </c>
      <c r="D616" s="25" t="s">
        <v>1498</v>
      </c>
      <c r="E616" s="26">
        <v>3958</v>
      </c>
    </row>
    <row r="617" spans="1:6" x14ac:dyDescent="0.25">
      <c r="A617" s="24" t="s">
        <v>7</v>
      </c>
      <c r="B617" s="24" t="s">
        <v>1499</v>
      </c>
      <c r="C617" s="25" t="s">
        <v>1500</v>
      </c>
      <c r="D617" s="25" t="s">
        <v>1500</v>
      </c>
      <c r="E617" s="26">
        <v>40753</v>
      </c>
    </row>
    <row r="618" spans="1:6" x14ac:dyDescent="0.25">
      <c r="A618" s="24" t="s">
        <v>7</v>
      </c>
      <c r="B618" s="24" t="s">
        <v>1501</v>
      </c>
      <c r="C618" s="25" t="s">
        <v>1502</v>
      </c>
      <c r="D618" s="25" t="s">
        <v>1503</v>
      </c>
      <c r="E618" s="26">
        <v>36757</v>
      </c>
      <c r="F618" s="24" t="s">
        <v>502</v>
      </c>
    </row>
    <row r="619" spans="1:6" x14ac:dyDescent="0.25">
      <c r="A619" s="24" t="s">
        <v>7</v>
      </c>
      <c r="B619" s="24" t="s">
        <v>1504</v>
      </c>
      <c r="C619" s="25" t="s">
        <v>1505</v>
      </c>
      <c r="D619" s="25" t="s">
        <v>1503</v>
      </c>
      <c r="E619" s="26">
        <v>28203</v>
      </c>
    </row>
    <row r="620" spans="1:6" x14ac:dyDescent="0.25">
      <c r="A620" s="24" t="s">
        <v>7</v>
      </c>
      <c r="B620" s="24" t="s">
        <v>1506</v>
      </c>
      <c r="C620" s="25" t="s">
        <v>1507</v>
      </c>
      <c r="D620" s="25" t="s">
        <v>1503</v>
      </c>
      <c r="E620" s="26">
        <v>11870</v>
      </c>
    </row>
    <row r="621" spans="1:6" x14ac:dyDescent="0.25">
      <c r="A621" s="24" t="s">
        <v>7</v>
      </c>
      <c r="B621" s="24" t="s">
        <v>1508</v>
      </c>
      <c r="C621" s="25" t="s">
        <v>1509</v>
      </c>
      <c r="D621" s="25" t="s">
        <v>1510</v>
      </c>
      <c r="E621" s="26">
        <v>6361</v>
      </c>
      <c r="F621" s="24" t="s">
        <v>502</v>
      </c>
    </row>
    <row r="622" spans="1:6" x14ac:dyDescent="0.25">
      <c r="A622" s="24" t="s">
        <v>7</v>
      </c>
      <c r="B622" s="24" t="s">
        <v>1511</v>
      </c>
      <c r="C622" s="25" t="s">
        <v>1512</v>
      </c>
      <c r="D622" s="25" t="s">
        <v>1513</v>
      </c>
      <c r="E622" s="26">
        <v>67591</v>
      </c>
    </row>
    <row r="623" spans="1:6" x14ac:dyDescent="0.25">
      <c r="A623" s="24" t="s">
        <v>7</v>
      </c>
      <c r="B623" s="24" t="s">
        <v>1514</v>
      </c>
      <c r="C623" s="25" t="s">
        <v>1515</v>
      </c>
      <c r="D623" s="25" t="s">
        <v>1515</v>
      </c>
      <c r="E623" s="26">
        <v>22487</v>
      </c>
      <c r="F623" s="24" t="s">
        <v>502</v>
      </c>
    </row>
    <row r="624" spans="1:6" x14ac:dyDescent="0.25">
      <c r="A624" s="24" t="s">
        <v>7</v>
      </c>
      <c r="B624" s="24" t="s">
        <v>1516</v>
      </c>
      <c r="C624" s="25" t="s">
        <v>1517</v>
      </c>
      <c r="D624" s="25" t="s">
        <v>1518</v>
      </c>
      <c r="E624" s="26">
        <v>6766</v>
      </c>
      <c r="F624" s="24" t="s">
        <v>502</v>
      </c>
    </row>
    <row r="625" spans="1:6" x14ac:dyDescent="0.25">
      <c r="A625" s="24" t="s">
        <v>7</v>
      </c>
      <c r="B625" s="24" t="s">
        <v>1519</v>
      </c>
      <c r="C625" s="25" t="s">
        <v>1520</v>
      </c>
      <c r="D625" s="25" t="s">
        <v>1521</v>
      </c>
      <c r="E625" s="26">
        <v>13990</v>
      </c>
    </row>
    <row r="626" spans="1:6" x14ac:dyDescent="0.25">
      <c r="A626" s="24" t="s">
        <v>7</v>
      </c>
      <c r="B626" s="24" t="s">
        <v>1522</v>
      </c>
      <c r="C626" s="25" t="s">
        <v>1523</v>
      </c>
      <c r="D626" s="25" t="s">
        <v>1524</v>
      </c>
      <c r="E626" s="26">
        <v>3958</v>
      </c>
    </row>
    <row r="627" spans="1:6" x14ac:dyDescent="0.25">
      <c r="A627" s="24" t="s">
        <v>7</v>
      </c>
      <c r="B627" s="24" t="s">
        <v>1525</v>
      </c>
      <c r="C627" s="25" t="s">
        <v>1526</v>
      </c>
      <c r="D627" s="25" t="s">
        <v>1527</v>
      </c>
      <c r="E627" s="26">
        <v>1808</v>
      </c>
    </row>
    <row r="628" spans="1:6" x14ac:dyDescent="0.25">
      <c r="A628" s="24" t="s">
        <v>7</v>
      </c>
      <c r="B628" s="24" t="s">
        <v>1528</v>
      </c>
      <c r="C628" s="25" t="s">
        <v>1529</v>
      </c>
      <c r="D628" s="25" t="s">
        <v>1530</v>
      </c>
      <c r="E628" s="26">
        <v>1178</v>
      </c>
    </row>
    <row r="629" spans="1:6" x14ac:dyDescent="0.25">
      <c r="A629" s="24" t="s">
        <v>7</v>
      </c>
      <c r="B629" s="24" t="s">
        <v>1531</v>
      </c>
      <c r="C629" s="25" t="s">
        <v>1532</v>
      </c>
      <c r="D629" s="25" t="s">
        <v>1533</v>
      </c>
      <c r="E629" s="26">
        <v>3958</v>
      </c>
      <c r="F629" s="24" t="s">
        <v>502</v>
      </c>
    </row>
    <row r="630" spans="1:6" x14ac:dyDescent="0.25">
      <c r="A630" s="24" t="s">
        <v>7</v>
      </c>
      <c r="B630" s="24" t="s">
        <v>1534</v>
      </c>
      <c r="C630" s="25" t="s">
        <v>1535</v>
      </c>
      <c r="D630" s="25" t="s">
        <v>1535</v>
      </c>
      <c r="E630" s="26">
        <v>3995</v>
      </c>
      <c r="F630" s="24" t="s">
        <v>502</v>
      </c>
    </row>
    <row r="631" spans="1:6" x14ac:dyDescent="0.25">
      <c r="A631" s="24" t="s">
        <v>7</v>
      </c>
      <c r="B631" s="24" t="s">
        <v>1536</v>
      </c>
      <c r="C631" s="25" t="s">
        <v>1537</v>
      </c>
      <c r="D631" s="25" t="s">
        <v>1478</v>
      </c>
      <c r="E631" s="26">
        <v>12338</v>
      </c>
    </row>
    <row r="632" spans="1:6" x14ac:dyDescent="0.25">
      <c r="A632" s="24" t="s">
        <v>7</v>
      </c>
      <c r="B632" s="24" t="s">
        <v>1538</v>
      </c>
      <c r="C632" s="25" t="s">
        <v>1539</v>
      </c>
      <c r="D632" s="25" t="s">
        <v>1478</v>
      </c>
      <c r="E632" s="26">
        <v>6051</v>
      </c>
      <c r="F632" s="24" t="s">
        <v>502</v>
      </c>
    </row>
    <row r="633" spans="1:6" x14ac:dyDescent="0.25">
      <c r="A633" s="24" t="s">
        <v>7</v>
      </c>
      <c r="B633" s="24" t="s">
        <v>1540</v>
      </c>
      <c r="C633" s="25" t="s">
        <v>1541</v>
      </c>
      <c r="D633" s="25" t="s">
        <v>1542</v>
      </c>
      <c r="E633" s="26">
        <v>3958</v>
      </c>
      <c r="F633" s="24" t="s">
        <v>502</v>
      </c>
    </row>
    <row r="634" spans="1:6" x14ac:dyDescent="0.25">
      <c r="A634" s="24" t="s">
        <v>7</v>
      </c>
      <c r="B634" s="24" t="s">
        <v>1543</v>
      </c>
      <c r="C634" s="25" t="s">
        <v>1544</v>
      </c>
      <c r="D634" s="25" t="s">
        <v>1545</v>
      </c>
      <c r="E634" s="26">
        <v>3958</v>
      </c>
      <c r="F634" s="24" t="s">
        <v>502</v>
      </c>
    </row>
    <row r="635" spans="1:6" x14ac:dyDescent="0.25">
      <c r="A635" s="24" t="s">
        <v>7</v>
      </c>
      <c r="B635" s="24" t="s">
        <v>1546</v>
      </c>
      <c r="C635" s="25" t="s">
        <v>1547</v>
      </c>
      <c r="D635" s="25" t="s">
        <v>1548</v>
      </c>
      <c r="E635" s="26">
        <v>3958</v>
      </c>
      <c r="F635" s="24" t="s">
        <v>502</v>
      </c>
    </row>
    <row r="636" spans="1:6" x14ac:dyDescent="0.25">
      <c r="A636" s="24" t="s">
        <v>7</v>
      </c>
      <c r="B636" s="24" t="s">
        <v>1549</v>
      </c>
      <c r="C636" s="25" t="s">
        <v>1550</v>
      </c>
      <c r="D636" s="25" t="s">
        <v>1551</v>
      </c>
      <c r="E636" s="26">
        <v>5718</v>
      </c>
      <c r="F636" s="24" t="s">
        <v>502</v>
      </c>
    </row>
    <row r="637" spans="1:6" x14ac:dyDescent="0.25">
      <c r="A637" s="24" t="s">
        <v>7</v>
      </c>
      <c r="B637" s="24" t="s">
        <v>1552</v>
      </c>
      <c r="C637" s="25" t="s">
        <v>1553</v>
      </c>
      <c r="D637" s="25" t="s">
        <v>1554</v>
      </c>
      <c r="E637" s="26">
        <v>3958</v>
      </c>
      <c r="F637" s="24" t="s">
        <v>502</v>
      </c>
    </row>
    <row r="638" spans="1:6" x14ac:dyDescent="0.25">
      <c r="A638" s="24" t="s">
        <v>7</v>
      </c>
      <c r="B638" s="24" t="s">
        <v>1555</v>
      </c>
      <c r="C638" s="25" t="s">
        <v>1556</v>
      </c>
      <c r="D638" s="25" t="s">
        <v>1557</v>
      </c>
      <c r="E638" s="26">
        <v>3958</v>
      </c>
    </row>
    <row r="639" spans="1:6" x14ac:dyDescent="0.25">
      <c r="A639" s="24" t="s">
        <v>7</v>
      </c>
      <c r="B639" s="24" t="s">
        <v>1558</v>
      </c>
      <c r="C639" s="25" t="s">
        <v>1559</v>
      </c>
      <c r="D639" s="25" t="s">
        <v>1559</v>
      </c>
      <c r="E639" s="26">
        <v>3958</v>
      </c>
      <c r="F639" s="24" t="s">
        <v>502</v>
      </c>
    </row>
    <row r="640" spans="1:6" x14ac:dyDescent="0.25">
      <c r="A640" s="24" t="s">
        <v>7</v>
      </c>
      <c r="B640" s="24" t="s">
        <v>1560</v>
      </c>
      <c r="C640" s="25" t="s">
        <v>1561</v>
      </c>
      <c r="D640" s="25" t="s">
        <v>1562</v>
      </c>
      <c r="E640" s="26">
        <v>3958</v>
      </c>
      <c r="F640" s="24" t="s">
        <v>502</v>
      </c>
    </row>
    <row r="641" spans="1:6" x14ac:dyDescent="0.25">
      <c r="A641" s="24" t="s">
        <v>7</v>
      </c>
      <c r="B641" s="24" t="s">
        <v>1563</v>
      </c>
      <c r="C641" s="25" t="s">
        <v>1564</v>
      </c>
      <c r="D641" s="25" t="s">
        <v>1565</v>
      </c>
      <c r="E641" s="26">
        <v>7441</v>
      </c>
      <c r="F641" s="24" t="s">
        <v>502</v>
      </c>
    </row>
    <row r="642" spans="1:6" x14ac:dyDescent="0.25">
      <c r="A642" s="24" t="s">
        <v>7</v>
      </c>
      <c r="B642" s="24" t="s">
        <v>1566</v>
      </c>
      <c r="C642" s="25" t="s">
        <v>1567</v>
      </c>
      <c r="D642" s="25" t="s">
        <v>1568</v>
      </c>
      <c r="E642" s="26">
        <v>8253</v>
      </c>
      <c r="F642" s="24" t="s">
        <v>502</v>
      </c>
    </row>
    <row r="643" spans="1:6" x14ac:dyDescent="0.25">
      <c r="A643" s="24" t="s">
        <v>7</v>
      </c>
      <c r="B643" s="24" t="s">
        <v>1569</v>
      </c>
      <c r="C643" s="25" t="s">
        <v>1570</v>
      </c>
      <c r="D643" s="25" t="s">
        <v>1571</v>
      </c>
      <c r="E643" s="26">
        <v>9438</v>
      </c>
      <c r="F643" s="24" t="s">
        <v>502</v>
      </c>
    </row>
    <row r="644" spans="1:6" x14ac:dyDescent="0.25">
      <c r="A644" s="24" t="s">
        <v>7</v>
      </c>
      <c r="B644" s="24" t="s">
        <v>1572</v>
      </c>
      <c r="C644" s="25" t="s">
        <v>1573</v>
      </c>
      <c r="D644" s="25" t="s">
        <v>1574</v>
      </c>
      <c r="E644" s="26">
        <v>3958</v>
      </c>
      <c r="F644" s="24" t="s">
        <v>502</v>
      </c>
    </row>
    <row r="645" spans="1:6" x14ac:dyDescent="0.25">
      <c r="A645" s="24" t="s">
        <v>7</v>
      </c>
      <c r="B645" s="24" t="s">
        <v>1575</v>
      </c>
      <c r="C645" s="25" t="s">
        <v>1576</v>
      </c>
      <c r="D645" s="25" t="s">
        <v>1577</v>
      </c>
      <c r="E645" s="26">
        <v>3958</v>
      </c>
      <c r="F645" s="24" t="s">
        <v>502</v>
      </c>
    </row>
    <row r="646" spans="1:6" x14ac:dyDescent="0.25">
      <c r="A646" s="24" t="s">
        <v>7</v>
      </c>
      <c r="B646" s="24" t="s">
        <v>1578</v>
      </c>
      <c r="C646" s="25" t="s">
        <v>1579</v>
      </c>
      <c r="D646" s="25" t="s">
        <v>1580</v>
      </c>
      <c r="E646" s="26">
        <v>26973</v>
      </c>
      <c r="F646" s="24" t="s">
        <v>502</v>
      </c>
    </row>
    <row r="647" spans="1:6" x14ac:dyDescent="0.25">
      <c r="A647" s="24" t="s">
        <v>7</v>
      </c>
      <c r="B647" s="24" t="s">
        <v>1581</v>
      </c>
      <c r="C647" s="25" t="s">
        <v>1582</v>
      </c>
      <c r="D647" s="25" t="s">
        <v>1583</v>
      </c>
      <c r="E647" s="26">
        <v>747</v>
      </c>
    </row>
    <row r="648" spans="1:6" x14ac:dyDescent="0.25">
      <c r="A648" s="24" t="s">
        <v>7</v>
      </c>
      <c r="B648" s="24" t="s">
        <v>1584</v>
      </c>
      <c r="C648" s="25" t="s">
        <v>1585</v>
      </c>
      <c r="D648" s="25" t="s">
        <v>1586</v>
      </c>
      <c r="E648" s="26">
        <v>5730</v>
      </c>
      <c r="F648" s="24" t="s">
        <v>502</v>
      </c>
    </row>
    <row r="649" spans="1:6" x14ac:dyDescent="0.25">
      <c r="A649" s="24" t="s">
        <v>7</v>
      </c>
      <c r="B649" s="24" t="s">
        <v>1587</v>
      </c>
      <c r="C649" s="25" t="s">
        <v>1588</v>
      </c>
      <c r="D649" s="25" t="s">
        <v>1589</v>
      </c>
      <c r="E649" s="26">
        <v>3958</v>
      </c>
      <c r="F649" s="24" t="s">
        <v>502</v>
      </c>
    </row>
    <row r="650" spans="1:6" x14ac:dyDescent="0.25">
      <c r="A650" s="24" t="s">
        <v>7</v>
      </c>
      <c r="B650" s="24" t="s">
        <v>1590</v>
      </c>
      <c r="C650" s="25" t="s">
        <v>1591</v>
      </c>
      <c r="D650" s="25" t="s">
        <v>1592</v>
      </c>
      <c r="E650" s="26">
        <v>3958</v>
      </c>
      <c r="F650" s="24" t="s">
        <v>502</v>
      </c>
    </row>
    <row r="651" spans="1:6" x14ac:dyDescent="0.25">
      <c r="A651" s="24" t="s">
        <v>7</v>
      </c>
      <c r="B651" s="24" t="s">
        <v>1593</v>
      </c>
      <c r="C651" s="25" t="s">
        <v>1594</v>
      </c>
      <c r="D651" s="25" t="s">
        <v>1595</v>
      </c>
      <c r="E651" s="26">
        <v>3958</v>
      </c>
      <c r="F651" s="24" t="s">
        <v>502</v>
      </c>
    </row>
    <row r="652" spans="1:6" x14ac:dyDescent="0.25">
      <c r="A652" s="24" t="s">
        <v>7</v>
      </c>
      <c r="B652" s="24" t="s">
        <v>1596</v>
      </c>
      <c r="C652" s="25" t="s">
        <v>1597</v>
      </c>
      <c r="D652" s="25" t="s">
        <v>1598</v>
      </c>
      <c r="E652" s="26">
        <v>32781</v>
      </c>
      <c r="F652" s="24" t="s">
        <v>502</v>
      </c>
    </row>
    <row r="653" spans="1:6" x14ac:dyDescent="0.25">
      <c r="A653" s="24" t="s">
        <v>7</v>
      </c>
      <c r="B653" s="24" t="s">
        <v>1599</v>
      </c>
      <c r="C653" s="25" t="s">
        <v>1600</v>
      </c>
      <c r="D653" s="25" t="s">
        <v>1601</v>
      </c>
      <c r="E653" s="26">
        <v>3958</v>
      </c>
      <c r="F653" s="24" t="s">
        <v>502</v>
      </c>
    </row>
    <row r="654" spans="1:6" x14ac:dyDescent="0.25">
      <c r="A654" s="24" t="s">
        <v>7</v>
      </c>
      <c r="B654" s="24" t="s">
        <v>1602</v>
      </c>
      <c r="C654" s="25" t="s">
        <v>1603</v>
      </c>
      <c r="D654" s="25" t="s">
        <v>1604</v>
      </c>
      <c r="E654" s="26">
        <v>3958</v>
      </c>
      <c r="F654" s="24" t="s">
        <v>502</v>
      </c>
    </row>
    <row r="655" spans="1:6" x14ac:dyDescent="0.25">
      <c r="A655" s="24" t="s">
        <v>7</v>
      </c>
      <c r="B655" s="24" t="s">
        <v>1605</v>
      </c>
      <c r="C655" s="25" t="s">
        <v>1606</v>
      </c>
      <c r="D655" s="25" t="s">
        <v>1606</v>
      </c>
      <c r="E655" s="26">
        <v>4034</v>
      </c>
      <c r="F655" s="24" t="s">
        <v>502</v>
      </c>
    </row>
    <row r="656" spans="1:6" x14ac:dyDescent="0.25">
      <c r="A656" s="24" t="s">
        <v>7</v>
      </c>
      <c r="B656" s="24" t="s">
        <v>1607</v>
      </c>
      <c r="C656" s="25" t="s">
        <v>1608</v>
      </c>
      <c r="D656" s="25" t="s">
        <v>1609</v>
      </c>
      <c r="E656" s="26">
        <v>3958</v>
      </c>
    </row>
    <row r="657" spans="1:6" x14ac:dyDescent="0.25">
      <c r="A657" s="24" t="s">
        <v>7</v>
      </c>
      <c r="B657" s="24" t="s">
        <v>1610</v>
      </c>
      <c r="C657" s="25" t="s">
        <v>1611</v>
      </c>
      <c r="D657" s="25" t="s">
        <v>1612</v>
      </c>
      <c r="E657" s="26">
        <v>24031</v>
      </c>
    </row>
    <row r="658" spans="1:6" x14ac:dyDescent="0.25">
      <c r="A658" s="24" t="s">
        <v>7</v>
      </c>
      <c r="B658" s="24" t="s">
        <v>1613</v>
      </c>
      <c r="C658" s="25" t="s">
        <v>1614</v>
      </c>
      <c r="D658" s="25" t="s">
        <v>1615</v>
      </c>
      <c r="E658" s="26">
        <v>21389</v>
      </c>
    </row>
    <row r="659" spans="1:6" x14ac:dyDescent="0.25">
      <c r="A659" s="24" t="s">
        <v>7</v>
      </c>
      <c r="B659" s="24" t="s">
        <v>1616</v>
      </c>
      <c r="C659" s="25" t="s">
        <v>1617</v>
      </c>
      <c r="D659" s="25" t="s">
        <v>1618</v>
      </c>
      <c r="E659" s="26">
        <v>2100</v>
      </c>
    </row>
    <row r="660" spans="1:6" x14ac:dyDescent="0.25">
      <c r="A660" s="24" t="s">
        <v>7</v>
      </c>
      <c r="B660" s="24" t="s">
        <v>1619</v>
      </c>
      <c r="C660" s="25" t="s">
        <v>1620</v>
      </c>
      <c r="D660" s="25" t="s">
        <v>1621</v>
      </c>
      <c r="E660" s="26">
        <v>1649</v>
      </c>
    </row>
    <row r="661" spans="1:6" x14ac:dyDescent="0.25">
      <c r="A661" s="24" t="s">
        <v>7</v>
      </c>
      <c r="B661" s="24" t="s">
        <v>1622</v>
      </c>
      <c r="C661" s="25" t="s">
        <v>1623</v>
      </c>
      <c r="D661" s="25" t="s">
        <v>1623</v>
      </c>
      <c r="E661" s="26">
        <v>3958</v>
      </c>
    </row>
    <row r="662" spans="1:6" x14ac:dyDescent="0.25">
      <c r="A662" s="24" t="s">
        <v>7</v>
      </c>
      <c r="B662" s="24" t="s">
        <v>1624</v>
      </c>
      <c r="C662" s="25" t="s">
        <v>1625</v>
      </c>
      <c r="D662" s="25" t="s">
        <v>1626</v>
      </c>
      <c r="E662" s="26">
        <v>3958</v>
      </c>
    </row>
    <row r="663" spans="1:6" x14ac:dyDescent="0.25">
      <c r="A663" s="24" t="s">
        <v>7</v>
      </c>
      <c r="B663" s="24" t="s">
        <v>1627</v>
      </c>
      <c r="C663" s="25" t="s">
        <v>1628</v>
      </c>
      <c r="D663" s="25" t="s">
        <v>1629</v>
      </c>
      <c r="E663" s="26">
        <v>3958</v>
      </c>
      <c r="F663" s="24" t="s">
        <v>502</v>
      </c>
    </row>
    <row r="664" spans="1:6" x14ac:dyDescent="0.25">
      <c r="A664" s="24" t="s">
        <v>7</v>
      </c>
      <c r="B664" s="24" t="s">
        <v>1630</v>
      </c>
      <c r="C664" s="25" t="s">
        <v>1631</v>
      </c>
      <c r="D664" s="25" t="s">
        <v>1632</v>
      </c>
      <c r="E664" s="26">
        <v>24430</v>
      </c>
    </row>
    <row r="665" spans="1:6" x14ac:dyDescent="0.25">
      <c r="A665" s="24" t="s">
        <v>7</v>
      </c>
      <c r="B665" s="24" t="s">
        <v>1633</v>
      </c>
      <c r="C665" s="25" t="s">
        <v>1634</v>
      </c>
      <c r="D665" s="25" t="s">
        <v>1635</v>
      </c>
      <c r="E665" s="26">
        <v>35780</v>
      </c>
    </row>
    <row r="666" spans="1:6" x14ac:dyDescent="0.25">
      <c r="A666" s="24" t="s">
        <v>7</v>
      </c>
      <c r="B666" s="24" t="s">
        <v>1636</v>
      </c>
      <c r="C666" s="25" t="s">
        <v>1637</v>
      </c>
      <c r="D666" s="25" t="s">
        <v>1638</v>
      </c>
      <c r="E666" s="26">
        <v>26992</v>
      </c>
      <c r="F666" s="24" t="s">
        <v>502</v>
      </c>
    </row>
    <row r="667" spans="1:6" x14ac:dyDescent="0.25">
      <c r="A667" s="24" t="s">
        <v>7</v>
      </c>
      <c r="B667" s="24" t="s">
        <v>1639</v>
      </c>
      <c r="C667" s="25" t="s">
        <v>1640</v>
      </c>
      <c r="D667" s="25" t="s">
        <v>1641</v>
      </c>
      <c r="E667" s="26">
        <v>3958</v>
      </c>
    </row>
    <row r="668" spans="1:6" x14ac:dyDescent="0.25">
      <c r="A668" s="24" t="s">
        <v>7</v>
      </c>
      <c r="B668" s="24" t="s">
        <v>1642</v>
      </c>
      <c r="C668" s="25" t="s">
        <v>1643</v>
      </c>
      <c r="D668" s="25" t="s">
        <v>1644</v>
      </c>
      <c r="E668" s="26">
        <v>3958</v>
      </c>
    </row>
    <row r="669" spans="1:6" x14ac:dyDescent="0.25">
      <c r="A669" s="24" t="s">
        <v>7</v>
      </c>
      <c r="B669" s="24" t="s">
        <v>1645</v>
      </c>
      <c r="C669" s="25" t="s">
        <v>1646</v>
      </c>
      <c r="D669" s="25" t="s">
        <v>1647</v>
      </c>
      <c r="E669" s="26">
        <v>22717</v>
      </c>
    </row>
    <row r="670" spans="1:6" x14ac:dyDescent="0.25">
      <c r="A670" s="24" t="s">
        <v>7</v>
      </c>
      <c r="B670" s="24" t="s">
        <v>1648</v>
      </c>
      <c r="C670" s="25" t="s">
        <v>1649</v>
      </c>
      <c r="D670" s="25" t="s">
        <v>1649</v>
      </c>
      <c r="E670" s="26">
        <v>3958</v>
      </c>
      <c r="F670" s="24" t="s">
        <v>502</v>
      </c>
    </row>
    <row r="671" spans="1:6" x14ac:dyDescent="0.25">
      <c r="A671" s="24" t="s">
        <v>7</v>
      </c>
      <c r="B671" s="24" t="s">
        <v>1650</v>
      </c>
      <c r="C671" s="25" t="s">
        <v>1651</v>
      </c>
      <c r="D671" s="25" t="s">
        <v>1652</v>
      </c>
      <c r="E671" s="26">
        <v>1000</v>
      </c>
    </row>
    <row r="672" spans="1:6" x14ac:dyDescent="0.25">
      <c r="A672" s="24" t="s">
        <v>7</v>
      </c>
      <c r="B672" s="24" t="s">
        <v>1653</v>
      </c>
      <c r="C672" s="25" t="s">
        <v>1654</v>
      </c>
      <c r="D672" s="25" t="s">
        <v>1655</v>
      </c>
      <c r="E672" s="26">
        <v>13325</v>
      </c>
      <c r="F672" s="24" t="s">
        <v>502</v>
      </c>
    </row>
    <row r="673" spans="1:6" x14ac:dyDescent="0.25">
      <c r="A673" s="24" t="s">
        <v>7</v>
      </c>
      <c r="B673" s="24" t="s">
        <v>1656</v>
      </c>
      <c r="C673" s="25" t="s">
        <v>1657</v>
      </c>
      <c r="D673" s="25" t="s">
        <v>1658</v>
      </c>
      <c r="E673" s="26">
        <v>16570</v>
      </c>
    </row>
    <row r="674" spans="1:6" x14ac:dyDescent="0.25">
      <c r="A674" s="24" t="s">
        <v>7</v>
      </c>
      <c r="B674" s="24" t="s">
        <v>1659</v>
      </c>
      <c r="C674" s="25" t="s">
        <v>1660</v>
      </c>
      <c r="D674" s="25" t="s">
        <v>1661</v>
      </c>
      <c r="E674" s="26">
        <v>7551</v>
      </c>
    </row>
    <row r="675" spans="1:6" x14ac:dyDescent="0.25">
      <c r="A675" s="24" t="s">
        <v>7</v>
      </c>
      <c r="B675" s="24" t="s">
        <v>1662</v>
      </c>
      <c r="C675" s="25" t="s">
        <v>1663</v>
      </c>
      <c r="D675" s="25" t="s">
        <v>1664</v>
      </c>
      <c r="E675" s="26">
        <v>11423</v>
      </c>
    </row>
    <row r="676" spans="1:6" x14ac:dyDescent="0.25">
      <c r="A676" s="24" t="s">
        <v>7</v>
      </c>
      <c r="B676" s="24" t="s">
        <v>1665</v>
      </c>
      <c r="C676" s="25" t="s">
        <v>1666</v>
      </c>
      <c r="D676" s="25" t="s">
        <v>1667</v>
      </c>
      <c r="E676" s="26">
        <v>3958</v>
      </c>
      <c r="F676" s="24" t="s">
        <v>502</v>
      </c>
    </row>
    <row r="677" spans="1:6" x14ac:dyDescent="0.25">
      <c r="A677" s="24" t="s">
        <v>7</v>
      </c>
      <c r="B677" s="24" t="s">
        <v>1668</v>
      </c>
      <c r="C677" s="25" t="s">
        <v>1669</v>
      </c>
      <c r="D677" s="25" t="s">
        <v>1670</v>
      </c>
      <c r="E677" s="26">
        <v>3958</v>
      </c>
      <c r="F677" s="24" t="s">
        <v>502</v>
      </c>
    </row>
    <row r="678" spans="1:6" x14ac:dyDescent="0.25">
      <c r="A678" s="24" t="s">
        <v>7</v>
      </c>
      <c r="B678" s="24" t="s">
        <v>1671</v>
      </c>
      <c r="C678" s="25" t="s">
        <v>1672</v>
      </c>
      <c r="D678" s="25" t="s">
        <v>1673</v>
      </c>
      <c r="E678" s="26">
        <v>3958</v>
      </c>
      <c r="F678" s="24" t="s">
        <v>502</v>
      </c>
    </row>
    <row r="679" spans="1:6" x14ac:dyDescent="0.25">
      <c r="A679" s="24" t="s">
        <v>7</v>
      </c>
      <c r="B679" s="24" t="s">
        <v>1674</v>
      </c>
      <c r="C679" s="25" t="s">
        <v>1675</v>
      </c>
      <c r="D679" s="25" t="s">
        <v>1675</v>
      </c>
      <c r="E679" s="26">
        <v>3958</v>
      </c>
    </row>
    <row r="680" spans="1:6" x14ac:dyDescent="0.25">
      <c r="A680" s="24" t="s">
        <v>7</v>
      </c>
      <c r="B680" s="24" t="s">
        <v>1676</v>
      </c>
      <c r="C680" s="25" t="s">
        <v>1677</v>
      </c>
      <c r="D680" s="25" t="s">
        <v>1677</v>
      </c>
      <c r="E680" s="26">
        <v>2024</v>
      </c>
    </row>
    <row r="681" spans="1:6" x14ac:dyDescent="0.25">
      <c r="A681" s="24" t="s">
        <v>7</v>
      </c>
      <c r="B681" s="24" t="s">
        <v>1678</v>
      </c>
      <c r="C681" s="25" t="s">
        <v>1679</v>
      </c>
      <c r="D681" s="25" t="s">
        <v>1680</v>
      </c>
      <c r="E681" s="26">
        <v>3958</v>
      </c>
      <c r="F681" s="24" t="s">
        <v>502</v>
      </c>
    </row>
    <row r="682" spans="1:6" x14ac:dyDescent="0.25">
      <c r="A682" s="24" t="s">
        <v>7</v>
      </c>
      <c r="B682" s="24" t="s">
        <v>1681</v>
      </c>
      <c r="C682" s="25" t="s">
        <v>1682</v>
      </c>
      <c r="D682" s="25" t="s">
        <v>1682</v>
      </c>
      <c r="E682" s="26">
        <v>9994</v>
      </c>
      <c r="F682" s="24" t="s">
        <v>502</v>
      </c>
    </row>
    <row r="683" spans="1:6" x14ac:dyDescent="0.25">
      <c r="A683" s="24" t="s">
        <v>7</v>
      </c>
      <c r="B683" s="24" t="s">
        <v>1683</v>
      </c>
      <c r="C683" s="25" t="s">
        <v>1684</v>
      </c>
      <c r="D683" s="25" t="s">
        <v>1685</v>
      </c>
      <c r="E683" s="26">
        <v>16657</v>
      </c>
    </row>
    <row r="684" spans="1:6" x14ac:dyDescent="0.25">
      <c r="A684" s="24" t="s">
        <v>7</v>
      </c>
      <c r="B684" s="24" t="s">
        <v>1686</v>
      </c>
      <c r="C684" s="25" t="s">
        <v>1687</v>
      </c>
      <c r="D684" s="25" t="s">
        <v>1688</v>
      </c>
      <c r="E684" s="26">
        <v>12735</v>
      </c>
    </row>
    <row r="685" spans="1:6" x14ac:dyDescent="0.25">
      <c r="A685" s="24" t="s">
        <v>7</v>
      </c>
      <c r="B685" s="24" t="s">
        <v>1689</v>
      </c>
      <c r="C685" s="25" t="s">
        <v>1690</v>
      </c>
      <c r="D685" s="25" t="s">
        <v>1691</v>
      </c>
      <c r="E685" s="26">
        <v>59710</v>
      </c>
    </row>
    <row r="686" spans="1:6" x14ac:dyDescent="0.25">
      <c r="A686" s="24" t="s">
        <v>7</v>
      </c>
      <c r="B686" s="24" t="s">
        <v>1692</v>
      </c>
      <c r="C686" s="25" t="s">
        <v>1693</v>
      </c>
      <c r="D686" s="25" t="s">
        <v>1694</v>
      </c>
      <c r="E686" s="26">
        <v>18507</v>
      </c>
    </row>
    <row r="687" spans="1:6" x14ac:dyDescent="0.25">
      <c r="A687" s="24" t="s">
        <v>7</v>
      </c>
      <c r="B687" s="24" t="s">
        <v>1695</v>
      </c>
      <c r="C687" s="25" t="s">
        <v>1696</v>
      </c>
      <c r="D687" s="25" t="s">
        <v>1697</v>
      </c>
      <c r="E687" s="26">
        <v>3958</v>
      </c>
    </row>
    <row r="688" spans="1:6" x14ac:dyDescent="0.25">
      <c r="A688" s="24" t="s">
        <v>7</v>
      </c>
      <c r="B688" s="24" t="s">
        <v>1698</v>
      </c>
      <c r="C688" s="25" t="s">
        <v>1699</v>
      </c>
      <c r="D688" s="25" t="s">
        <v>1700</v>
      </c>
      <c r="E688" s="26">
        <v>3958</v>
      </c>
    </row>
    <row r="689" spans="1:6" x14ac:dyDescent="0.25">
      <c r="A689" s="24" t="s">
        <v>7</v>
      </c>
      <c r="B689" s="24" t="s">
        <v>1701</v>
      </c>
      <c r="C689" s="25" t="s">
        <v>1702</v>
      </c>
      <c r="D689" s="25" t="s">
        <v>1703</v>
      </c>
      <c r="E689" s="26">
        <v>3958</v>
      </c>
    </row>
    <row r="690" spans="1:6" x14ac:dyDescent="0.25">
      <c r="A690" s="24" t="s">
        <v>7</v>
      </c>
      <c r="B690" s="24" t="s">
        <v>1704</v>
      </c>
      <c r="C690" s="25" t="s">
        <v>1705</v>
      </c>
      <c r="D690" s="25" t="s">
        <v>1706</v>
      </c>
      <c r="E690" s="26">
        <v>3958</v>
      </c>
    </row>
    <row r="691" spans="1:6" x14ac:dyDescent="0.25">
      <c r="A691" s="24" t="s">
        <v>7</v>
      </c>
      <c r="B691" s="24" t="s">
        <v>1707</v>
      </c>
      <c r="C691" s="25" t="s">
        <v>1708</v>
      </c>
      <c r="D691" s="25" t="s">
        <v>1709</v>
      </c>
      <c r="E691" s="26">
        <v>2991</v>
      </c>
    </row>
    <row r="692" spans="1:6" x14ac:dyDescent="0.25">
      <c r="A692" s="24" t="s">
        <v>7</v>
      </c>
      <c r="B692" s="24" t="s">
        <v>1710</v>
      </c>
      <c r="C692" s="25" t="s">
        <v>1711</v>
      </c>
      <c r="D692" s="25" t="s">
        <v>1712</v>
      </c>
      <c r="E692" s="26">
        <v>15120</v>
      </c>
    </row>
    <row r="693" spans="1:6" x14ac:dyDescent="0.25">
      <c r="A693" s="24" t="s">
        <v>7</v>
      </c>
      <c r="B693" s="24" t="s">
        <v>1713</v>
      </c>
      <c r="C693" s="25" t="s">
        <v>1714</v>
      </c>
      <c r="D693" s="25" t="s">
        <v>1715</v>
      </c>
      <c r="E693" s="26">
        <v>123010</v>
      </c>
      <c r="F693" s="24" t="s">
        <v>502</v>
      </c>
    </row>
    <row r="694" spans="1:6" x14ac:dyDescent="0.25">
      <c r="A694" s="24" t="s">
        <v>7</v>
      </c>
      <c r="B694" s="24" t="s">
        <v>1716</v>
      </c>
      <c r="C694" s="25" t="s">
        <v>1717</v>
      </c>
      <c r="D694" s="25" t="s">
        <v>1718</v>
      </c>
      <c r="E694" s="26">
        <v>75617</v>
      </c>
      <c r="F694" s="24" t="s">
        <v>502</v>
      </c>
    </row>
    <row r="695" spans="1:6" x14ac:dyDescent="0.25">
      <c r="A695" s="24" t="s">
        <v>7</v>
      </c>
      <c r="B695" s="24" t="s">
        <v>1719</v>
      </c>
      <c r="C695" s="25" t="s">
        <v>1720</v>
      </c>
      <c r="D695" s="25" t="s">
        <v>1721</v>
      </c>
      <c r="E695" s="26">
        <v>48714</v>
      </c>
    </row>
    <row r="696" spans="1:6" x14ac:dyDescent="0.25">
      <c r="A696" s="24" t="s">
        <v>7</v>
      </c>
      <c r="B696" s="24" t="s">
        <v>1722</v>
      </c>
      <c r="C696" s="25" t="s">
        <v>1723</v>
      </c>
      <c r="D696" s="25" t="s">
        <v>1724</v>
      </c>
      <c r="E696" s="26">
        <v>2664</v>
      </c>
      <c r="F696" s="24" t="s">
        <v>502</v>
      </c>
    </row>
    <row r="697" spans="1:6" x14ac:dyDescent="0.25">
      <c r="A697" s="24" t="s">
        <v>7</v>
      </c>
      <c r="B697" s="24" t="s">
        <v>1725</v>
      </c>
      <c r="C697" s="25" t="s">
        <v>1726</v>
      </c>
      <c r="D697" s="25" t="s">
        <v>1727</v>
      </c>
      <c r="E697" s="26">
        <v>17880</v>
      </c>
      <c r="F697" s="24" t="s">
        <v>502</v>
      </c>
    </row>
    <row r="698" spans="1:6" x14ac:dyDescent="0.25">
      <c r="A698" s="24" t="s">
        <v>7</v>
      </c>
      <c r="B698" s="24" t="s">
        <v>1728</v>
      </c>
      <c r="C698" s="25" t="s">
        <v>1729</v>
      </c>
      <c r="D698" s="25" t="s">
        <v>1730</v>
      </c>
      <c r="E698" s="26">
        <v>680</v>
      </c>
    </row>
    <row r="699" spans="1:6" x14ac:dyDescent="0.25">
      <c r="A699" s="24" t="s">
        <v>7</v>
      </c>
      <c r="B699" s="24" t="s">
        <v>1731</v>
      </c>
      <c r="C699" s="25" t="s">
        <v>1732</v>
      </c>
      <c r="D699" s="25" t="s">
        <v>1733</v>
      </c>
      <c r="E699" s="26">
        <v>5103</v>
      </c>
      <c r="F699" s="24" t="s">
        <v>502</v>
      </c>
    </row>
    <row r="700" spans="1:6" x14ac:dyDescent="0.25">
      <c r="A700" s="24" t="s">
        <v>7</v>
      </c>
      <c r="B700" s="24" t="s">
        <v>1734</v>
      </c>
      <c r="C700" s="25" t="s">
        <v>1735</v>
      </c>
      <c r="D700" s="25" t="s">
        <v>1736</v>
      </c>
      <c r="E700" s="26">
        <v>8622</v>
      </c>
    </row>
    <row r="701" spans="1:6" x14ac:dyDescent="0.25">
      <c r="A701" s="24" t="s">
        <v>7</v>
      </c>
      <c r="B701" s="24" t="s">
        <v>1737</v>
      </c>
      <c r="C701" s="25" t="s">
        <v>1738</v>
      </c>
      <c r="D701" s="25" t="s">
        <v>1739</v>
      </c>
      <c r="E701" s="26">
        <v>10539</v>
      </c>
    </row>
    <row r="702" spans="1:6" x14ac:dyDescent="0.25">
      <c r="A702" s="24" t="s">
        <v>7</v>
      </c>
      <c r="B702" s="24" t="s">
        <v>1740</v>
      </c>
      <c r="C702" s="25" t="s">
        <v>1741</v>
      </c>
      <c r="D702" s="25" t="s">
        <v>1742</v>
      </c>
      <c r="E702" s="26">
        <v>4253</v>
      </c>
    </row>
    <row r="703" spans="1:6" x14ac:dyDescent="0.25">
      <c r="A703" s="24" t="s">
        <v>7</v>
      </c>
      <c r="B703" s="24" t="s">
        <v>1743</v>
      </c>
      <c r="C703" s="25" t="s">
        <v>1744</v>
      </c>
      <c r="D703" s="25" t="s">
        <v>1745</v>
      </c>
      <c r="E703" s="26">
        <v>9101</v>
      </c>
    </row>
    <row r="704" spans="1:6" x14ac:dyDescent="0.25">
      <c r="A704" s="24" t="s">
        <v>7</v>
      </c>
      <c r="B704" s="24" t="s">
        <v>1746</v>
      </c>
      <c r="C704" s="25" t="s">
        <v>1747</v>
      </c>
      <c r="D704" s="25" t="s">
        <v>1748</v>
      </c>
      <c r="E704" s="26">
        <v>15807</v>
      </c>
    </row>
    <row r="705" spans="1:5" x14ac:dyDescent="0.25">
      <c r="A705" s="24" t="s">
        <v>7</v>
      </c>
      <c r="B705" s="24" t="s">
        <v>1749</v>
      </c>
      <c r="C705" s="25" t="s">
        <v>1750</v>
      </c>
      <c r="D705" s="25" t="s">
        <v>1751</v>
      </c>
      <c r="E705" s="26">
        <v>3353</v>
      </c>
    </row>
    <row r="706" spans="1:5" x14ac:dyDescent="0.25">
      <c r="A706" s="24" t="s">
        <v>7</v>
      </c>
      <c r="B706" s="24" t="s">
        <v>1752</v>
      </c>
      <c r="C706" s="25" t="s">
        <v>1753</v>
      </c>
      <c r="D706" s="25" t="s">
        <v>1754</v>
      </c>
      <c r="E706" s="26">
        <v>15807</v>
      </c>
    </row>
    <row r="707" spans="1:5" x14ac:dyDescent="0.25">
      <c r="A707" s="24" t="s">
        <v>7</v>
      </c>
      <c r="B707" s="24" t="s">
        <v>1755</v>
      </c>
      <c r="C707" s="25" t="s">
        <v>1756</v>
      </c>
      <c r="D707" s="25" t="s">
        <v>1757</v>
      </c>
      <c r="E707" s="26">
        <v>27910</v>
      </c>
    </row>
    <row r="708" spans="1:5" x14ac:dyDescent="0.25">
      <c r="A708" s="24" t="s">
        <v>7</v>
      </c>
      <c r="B708" s="24" t="s">
        <v>1758</v>
      </c>
      <c r="C708" s="25" t="s">
        <v>1759</v>
      </c>
      <c r="D708" s="25" t="s">
        <v>1760</v>
      </c>
      <c r="E708" s="26">
        <v>8712</v>
      </c>
    </row>
    <row r="709" spans="1:5" x14ac:dyDescent="0.25">
      <c r="A709" s="24" t="s">
        <v>7</v>
      </c>
      <c r="B709" s="24" t="s">
        <v>1761</v>
      </c>
      <c r="C709" s="25" t="s">
        <v>1762</v>
      </c>
      <c r="D709" s="25" t="s">
        <v>1763</v>
      </c>
      <c r="E709" s="26">
        <v>8712</v>
      </c>
    </row>
    <row r="710" spans="1:5" x14ac:dyDescent="0.25">
      <c r="A710" s="24" t="s">
        <v>7</v>
      </c>
      <c r="B710" s="24" t="s">
        <v>1764</v>
      </c>
      <c r="C710" s="25" t="s">
        <v>1765</v>
      </c>
      <c r="D710" s="25" t="s">
        <v>1766</v>
      </c>
      <c r="E710" s="26">
        <v>10539</v>
      </c>
    </row>
    <row r="711" spans="1:5" x14ac:dyDescent="0.25">
      <c r="A711" s="24" t="s">
        <v>7</v>
      </c>
      <c r="B711" s="24" t="s">
        <v>1767</v>
      </c>
      <c r="C711" s="25" t="s">
        <v>1768</v>
      </c>
      <c r="D711" s="25" t="s">
        <v>1769</v>
      </c>
      <c r="E711" s="26">
        <v>27910</v>
      </c>
    </row>
    <row r="712" spans="1:5" x14ac:dyDescent="0.25">
      <c r="A712" s="24" t="s">
        <v>7</v>
      </c>
      <c r="B712" s="24" t="s">
        <v>1770</v>
      </c>
      <c r="C712" s="25" t="s">
        <v>1771</v>
      </c>
      <c r="D712" s="25" t="s">
        <v>1772</v>
      </c>
      <c r="E712" s="26">
        <v>12933</v>
      </c>
    </row>
    <row r="713" spans="1:5" x14ac:dyDescent="0.25">
      <c r="A713" s="24" t="s">
        <v>7</v>
      </c>
      <c r="B713" s="24" t="s">
        <v>1773</v>
      </c>
      <c r="C713" s="25" t="s">
        <v>1774</v>
      </c>
      <c r="D713" s="25" t="s">
        <v>1775</v>
      </c>
      <c r="E713" s="26">
        <v>12876</v>
      </c>
    </row>
    <row r="714" spans="1:5" x14ac:dyDescent="0.25">
      <c r="A714" s="24" t="s">
        <v>7</v>
      </c>
      <c r="B714" s="24" t="s">
        <v>1776</v>
      </c>
      <c r="C714" s="25" t="s">
        <v>1777</v>
      </c>
      <c r="D714" s="25" t="s">
        <v>1778</v>
      </c>
      <c r="E714" s="26">
        <v>17724</v>
      </c>
    </row>
    <row r="715" spans="1:5" x14ac:dyDescent="0.25">
      <c r="A715" s="24" t="s">
        <v>7</v>
      </c>
      <c r="B715" s="24" t="s">
        <v>1779</v>
      </c>
      <c r="C715" s="25" t="s">
        <v>1780</v>
      </c>
      <c r="D715" s="25" t="s">
        <v>1781</v>
      </c>
      <c r="E715" s="26">
        <v>10414</v>
      </c>
    </row>
    <row r="716" spans="1:5" x14ac:dyDescent="0.25">
      <c r="A716" s="24" t="s">
        <v>7</v>
      </c>
      <c r="B716" s="24" t="s">
        <v>1782</v>
      </c>
      <c r="C716" s="25" t="s">
        <v>1783</v>
      </c>
      <c r="D716" s="25" t="s">
        <v>1784</v>
      </c>
      <c r="E716" s="26">
        <v>6707</v>
      </c>
    </row>
    <row r="717" spans="1:5" x14ac:dyDescent="0.25">
      <c r="A717" s="24" t="s">
        <v>7</v>
      </c>
      <c r="B717" s="24" t="s">
        <v>1785</v>
      </c>
      <c r="C717" s="25" t="s">
        <v>1786</v>
      </c>
      <c r="D717" s="25" t="s">
        <v>1787</v>
      </c>
      <c r="E717" s="26">
        <v>2427</v>
      </c>
    </row>
    <row r="718" spans="1:5" x14ac:dyDescent="0.25">
      <c r="A718" s="24" t="s">
        <v>7</v>
      </c>
      <c r="B718" s="24" t="s">
        <v>1788</v>
      </c>
      <c r="C718" s="25" t="s">
        <v>1789</v>
      </c>
      <c r="D718" s="25" t="s">
        <v>1790</v>
      </c>
      <c r="E718" s="26">
        <v>3832</v>
      </c>
    </row>
    <row r="719" spans="1:5" x14ac:dyDescent="0.25">
      <c r="A719" s="24" t="s">
        <v>7</v>
      </c>
      <c r="B719" s="24" t="s">
        <v>1791</v>
      </c>
      <c r="C719" s="25" t="s">
        <v>1792</v>
      </c>
      <c r="D719" s="25" t="s">
        <v>1793</v>
      </c>
      <c r="E719" s="26">
        <v>5748</v>
      </c>
    </row>
    <row r="720" spans="1:5" x14ac:dyDescent="0.25">
      <c r="A720" s="24" t="s">
        <v>7</v>
      </c>
      <c r="B720" s="24" t="s">
        <v>1794</v>
      </c>
      <c r="C720" s="25" t="s">
        <v>1795</v>
      </c>
      <c r="D720" s="25" t="s">
        <v>1796</v>
      </c>
      <c r="E720" s="26">
        <v>3353</v>
      </c>
    </row>
    <row r="721" spans="1:6" x14ac:dyDescent="0.25">
      <c r="A721" s="24" t="s">
        <v>7</v>
      </c>
      <c r="B721" s="24" t="s">
        <v>1797</v>
      </c>
      <c r="C721" s="25" t="s">
        <v>1798</v>
      </c>
      <c r="D721" s="25" t="s">
        <v>1799</v>
      </c>
      <c r="E721" s="26">
        <v>11497</v>
      </c>
    </row>
    <row r="722" spans="1:6" x14ac:dyDescent="0.25">
      <c r="A722" s="24" t="s">
        <v>7</v>
      </c>
      <c r="B722" s="24" t="s">
        <v>1800</v>
      </c>
      <c r="C722" s="25" t="s">
        <v>1801</v>
      </c>
      <c r="D722" s="25" t="s">
        <v>1802</v>
      </c>
      <c r="E722" s="26">
        <v>9580</v>
      </c>
    </row>
    <row r="723" spans="1:6" x14ac:dyDescent="0.25">
      <c r="A723" s="24" t="s">
        <v>7</v>
      </c>
      <c r="B723" s="24" t="s">
        <v>1803</v>
      </c>
      <c r="C723" s="25" t="s">
        <v>1804</v>
      </c>
      <c r="D723" s="25" t="s">
        <v>1805</v>
      </c>
      <c r="E723" s="26">
        <v>9580</v>
      </c>
      <c r="F723" s="24" t="s">
        <v>502</v>
      </c>
    </row>
    <row r="724" spans="1:6" x14ac:dyDescent="0.25">
      <c r="A724" s="24" t="s">
        <v>7</v>
      </c>
      <c r="B724" s="24" t="s">
        <v>1806</v>
      </c>
      <c r="C724" s="25" t="s">
        <v>1807</v>
      </c>
      <c r="D724" s="25" t="s">
        <v>1808</v>
      </c>
      <c r="E724" s="26">
        <v>13411</v>
      </c>
    </row>
    <row r="725" spans="1:6" x14ac:dyDescent="0.25">
      <c r="A725" s="24" t="s">
        <v>7</v>
      </c>
      <c r="B725" s="24" t="s">
        <v>1809</v>
      </c>
      <c r="C725" s="25" t="s">
        <v>1810</v>
      </c>
      <c r="D725" s="25" t="s">
        <v>1811</v>
      </c>
      <c r="E725" s="26">
        <v>8383</v>
      </c>
    </row>
    <row r="726" spans="1:6" x14ac:dyDescent="0.25">
      <c r="A726" s="24" t="s">
        <v>7</v>
      </c>
      <c r="B726" s="24" t="s">
        <v>1812</v>
      </c>
      <c r="C726" s="25" t="s">
        <v>1813</v>
      </c>
      <c r="D726" s="25" t="s">
        <v>1814</v>
      </c>
      <c r="E726" s="26">
        <v>9580</v>
      </c>
    </row>
    <row r="727" spans="1:6" x14ac:dyDescent="0.25">
      <c r="A727" s="24" t="s">
        <v>7</v>
      </c>
      <c r="B727" s="24" t="s">
        <v>1815</v>
      </c>
      <c r="C727" s="25" t="s">
        <v>1816</v>
      </c>
      <c r="D727" s="25" t="s">
        <v>1817</v>
      </c>
      <c r="E727" s="26">
        <v>27910</v>
      </c>
    </row>
    <row r="728" spans="1:6" x14ac:dyDescent="0.25">
      <c r="A728" s="24" t="s">
        <v>7</v>
      </c>
      <c r="B728" s="24" t="s">
        <v>1818</v>
      </c>
      <c r="C728" s="25" t="s">
        <v>1819</v>
      </c>
      <c r="D728" s="25" t="s">
        <v>1820</v>
      </c>
      <c r="E728" s="26">
        <v>27910</v>
      </c>
    </row>
    <row r="729" spans="1:6" x14ac:dyDescent="0.25">
      <c r="A729" s="24" t="s">
        <v>7</v>
      </c>
      <c r="B729" s="24" t="s">
        <v>1821</v>
      </c>
      <c r="C729" s="25" t="s">
        <v>1822</v>
      </c>
      <c r="D729" s="25" t="s">
        <v>1823</v>
      </c>
      <c r="E729" s="26">
        <v>31663</v>
      </c>
    </row>
    <row r="730" spans="1:6" x14ac:dyDescent="0.25">
      <c r="A730" s="24" t="s">
        <v>7</v>
      </c>
      <c r="B730" s="24" t="s">
        <v>1824</v>
      </c>
      <c r="C730" s="25" t="s">
        <v>1825</v>
      </c>
      <c r="D730" s="25" t="s">
        <v>1826</v>
      </c>
      <c r="E730" s="26">
        <v>5103</v>
      </c>
    </row>
    <row r="731" spans="1:6" x14ac:dyDescent="0.25">
      <c r="A731" s="24" t="s">
        <v>7</v>
      </c>
      <c r="B731" s="24" t="s">
        <v>1827</v>
      </c>
      <c r="C731" s="25" t="s">
        <v>1828</v>
      </c>
      <c r="D731" s="25" t="s">
        <v>1829</v>
      </c>
      <c r="E731" s="26">
        <v>27910</v>
      </c>
    </row>
    <row r="732" spans="1:6" x14ac:dyDescent="0.25">
      <c r="A732" s="24" t="s">
        <v>7</v>
      </c>
      <c r="B732" s="24" t="s">
        <v>1830</v>
      </c>
      <c r="C732" s="25" t="s">
        <v>1831</v>
      </c>
      <c r="D732" s="25" t="s">
        <v>1832</v>
      </c>
      <c r="E732" s="26">
        <v>27910</v>
      </c>
    </row>
    <row r="733" spans="1:6" x14ac:dyDescent="0.25">
      <c r="A733" s="24" t="s">
        <v>7</v>
      </c>
      <c r="B733" s="24" t="s">
        <v>1833</v>
      </c>
      <c r="C733" s="25" t="s">
        <v>1834</v>
      </c>
      <c r="D733" s="25" t="s">
        <v>1835</v>
      </c>
      <c r="E733" s="26">
        <v>27910</v>
      </c>
    </row>
    <row r="734" spans="1:6" x14ac:dyDescent="0.25">
      <c r="A734" s="24" t="s">
        <v>7</v>
      </c>
      <c r="B734" s="24" t="s">
        <v>1836</v>
      </c>
      <c r="C734" s="25" t="s">
        <v>1837</v>
      </c>
      <c r="D734" s="25" t="s">
        <v>1838</v>
      </c>
      <c r="E734" s="26">
        <v>27910</v>
      </c>
    </row>
    <row r="735" spans="1:6" x14ac:dyDescent="0.25">
      <c r="A735" s="24" t="s">
        <v>7</v>
      </c>
      <c r="B735" s="24" t="s">
        <v>1839</v>
      </c>
      <c r="C735" s="25" t="s">
        <v>1840</v>
      </c>
      <c r="D735" s="25" t="s">
        <v>1841</v>
      </c>
      <c r="E735" s="26">
        <v>27910</v>
      </c>
    </row>
    <row r="736" spans="1:6" x14ac:dyDescent="0.25">
      <c r="A736" s="24" t="s">
        <v>7</v>
      </c>
      <c r="B736" s="24" t="s">
        <v>1842</v>
      </c>
      <c r="C736" s="25" t="s">
        <v>1843</v>
      </c>
      <c r="D736" s="25" t="s">
        <v>1844</v>
      </c>
      <c r="E736" s="26">
        <v>27910</v>
      </c>
    </row>
    <row r="737" spans="1:6" x14ac:dyDescent="0.25">
      <c r="A737" s="24" t="s">
        <v>7</v>
      </c>
      <c r="B737" s="24" t="s">
        <v>1845</v>
      </c>
      <c r="C737" s="25" t="s">
        <v>1846</v>
      </c>
      <c r="D737" s="25" t="s">
        <v>1847</v>
      </c>
      <c r="E737" s="26">
        <v>27910</v>
      </c>
    </row>
    <row r="738" spans="1:6" x14ac:dyDescent="0.25">
      <c r="A738" s="24" t="s">
        <v>7</v>
      </c>
      <c r="B738" s="24" t="s">
        <v>1848</v>
      </c>
      <c r="C738" s="25" t="s">
        <v>1849</v>
      </c>
      <c r="D738" s="25" t="s">
        <v>1850</v>
      </c>
      <c r="E738" s="26">
        <v>27910</v>
      </c>
    </row>
    <row r="739" spans="1:6" x14ac:dyDescent="0.25">
      <c r="A739" s="24" t="s">
        <v>7</v>
      </c>
      <c r="B739" s="24" t="s">
        <v>1851</v>
      </c>
      <c r="C739" s="25" t="s">
        <v>1852</v>
      </c>
      <c r="D739" s="25" t="s">
        <v>1853</v>
      </c>
      <c r="E739" s="26">
        <v>27910</v>
      </c>
    </row>
    <row r="740" spans="1:6" x14ac:dyDescent="0.25">
      <c r="A740" s="24" t="s">
        <v>7</v>
      </c>
      <c r="B740" s="24" t="s">
        <v>1854</v>
      </c>
      <c r="C740" s="25" t="s">
        <v>1855</v>
      </c>
      <c r="D740" s="25" t="s">
        <v>1856</v>
      </c>
      <c r="E740" s="26">
        <v>27910</v>
      </c>
    </row>
    <row r="741" spans="1:6" x14ac:dyDescent="0.25">
      <c r="A741" s="24" t="s">
        <v>7</v>
      </c>
      <c r="B741" s="24" t="s">
        <v>1857</v>
      </c>
      <c r="C741" s="25" t="s">
        <v>1858</v>
      </c>
      <c r="D741" s="25" t="s">
        <v>1859</v>
      </c>
      <c r="E741" s="26">
        <v>7915</v>
      </c>
    </row>
    <row r="742" spans="1:6" x14ac:dyDescent="0.25">
      <c r="A742" s="24" t="s">
        <v>7</v>
      </c>
      <c r="B742" s="24" t="s">
        <v>1860</v>
      </c>
      <c r="C742" s="25" t="s">
        <v>1861</v>
      </c>
      <c r="D742" s="25" t="s">
        <v>1862</v>
      </c>
      <c r="E742" s="26">
        <v>27910</v>
      </c>
    </row>
    <row r="743" spans="1:6" x14ac:dyDescent="0.25">
      <c r="A743" s="24" t="s">
        <v>7</v>
      </c>
      <c r="B743" s="24" t="s">
        <v>1863</v>
      </c>
      <c r="C743" s="25" t="s">
        <v>1864</v>
      </c>
      <c r="D743" s="25" t="s">
        <v>1865</v>
      </c>
      <c r="E743" s="26">
        <v>27910</v>
      </c>
    </row>
    <row r="744" spans="1:6" x14ac:dyDescent="0.25">
      <c r="A744" s="24" t="s">
        <v>7</v>
      </c>
      <c r="B744" s="24" t="s">
        <v>1866</v>
      </c>
      <c r="C744" s="25" t="s">
        <v>1867</v>
      </c>
      <c r="D744" s="25" t="s">
        <v>1868</v>
      </c>
      <c r="E744" s="26">
        <v>27910</v>
      </c>
    </row>
    <row r="745" spans="1:6" x14ac:dyDescent="0.25">
      <c r="A745" s="24" t="s">
        <v>7</v>
      </c>
      <c r="B745" s="24" t="s">
        <v>1869</v>
      </c>
      <c r="C745" s="25" t="s">
        <v>1870</v>
      </c>
      <c r="D745" s="25" t="s">
        <v>1871</v>
      </c>
      <c r="E745" s="26">
        <v>10666</v>
      </c>
    </row>
    <row r="746" spans="1:6" x14ac:dyDescent="0.25">
      <c r="A746" s="24" t="s">
        <v>7</v>
      </c>
      <c r="B746" s="24" t="s">
        <v>1872</v>
      </c>
      <c r="C746" s="25" t="s">
        <v>1873</v>
      </c>
      <c r="D746" s="25" t="s">
        <v>1874</v>
      </c>
      <c r="E746" s="26">
        <v>9939</v>
      </c>
    </row>
    <row r="747" spans="1:6" x14ac:dyDescent="0.25">
      <c r="A747" s="24" t="s">
        <v>7</v>
      </c>
      <c r="B747" s="24" t="s">
        <v>1875</v>
      </c>
      <c r="C747" s="25" t="s">
        <v>1876</v>
      </c>
      <c r="D747" s="25" t="s">
        <v>1877</v>
      </c>
      <c r="E747" s="26">
        <v>10666</v>
      </c>
    </row>
    <row r="748" spans="1:6" x14ac:dyDescent="0.25">
      <c r="A748" s="24" t="s">
        <v>7</v>
      </c>
      <c r="B748" s="24" t="s">
        <v>1878</v>
      </c>
      <c r="C748" s="25" t="s">
        <v>1879</v>
      </c>
      <c r="D748" s="25" t="s">
        <v>1880</v>
      </c>
      <c r="E748" s="26">
        <v>7030</v>
      </c>
    </row>
    <row r="749" spans="1:6" x14ac:dyDescent="0.25">
      <c r="A749" s="24" t="s">
        <v>7</v>
      </c>
      <c r="B749" s="24" t="s">
        <v>1881</v>
      </c>
      <c r="C749" s="25" t="s">
        <v>1882</v>
      </c>
      <c r="D749" s="25" t="s">
        <v>1883</v>
      </c>
      <c r="E749" s="26">
        <v>12122</v>
      </c>
    </row>
    <row r="750" spans="1:6" x14ac:dyDescent="0.25">
      <c r="A750" s="24" t="s">
        <v>7</v>
      </c>
      <c r="B750" s="24" t="s">
        <v>1884</v>
      </c>
      <c r="C750" s="25" t="s">
        <v>1885</v>
      </c>
      <c r="D750" s="25" t="s">
        <v>1886</v>
      </c>
      <c r="E750" s="26">
        <v>26182</v>
      </c>
    </row>
    <row r="751" spans="1:6" x14ac:dyDescent="0.25">
      <c r="A751" s="24" t="s">
        <v>7</v>
      </c>
      <c r="B751" s="24" t="s">
        <v>1887</v>
      </c>
      <c r="C751" s="25" t="s">
        <v>1888</v>
      </c>
      <c r="D751" s="25" t="s">
        <v>1889</v>
      </c>
      <c r="E751" s="26">
        <v>26182</v>
      </c>
    </row>
    <row r="752" spans="1:6" x14ac:dyDescent="0.25">
      <c r="A752" s="24" t="s">
        <v>7</v>
      </c>
      <c r="B752" s="24" t="s">
        <v>1890</v>
      </c>
      <c r="C752" s="25" t="s">
        <v>1891</v>
      </c>
      <c r="D752" s="25" t="s">
        <v>1892</v>
      </c>
      <c r="E752" s="26">
        <v>679</v>
      </c>
      <c r="F752" s="24" t="s">
        <v>502</v>
      </c>
    </row>
    <row r="753" spans="1:5" x14ac:dyDescent="0.25">
      <c r="A753" s="24" t="s">
        <v>7</v>
      </c>
      <c r="B753" s="24" t="s">
        <v>1893</v>
      </c>
      <c r="C753" s="25" t="s">
        <v>1894</v>
      </c>
      <c r="D753" s="25" t="s">
        <v>1895</v>
      </c>
      <c r="E753" s="26">
        <v>8801</v>
      </c>
    </row>
    <row r="754" spans="1:5" x14ac:dyDescent="0.25">
      <c r="A754" s="24" t="s">
        <v>7</v>
      </c>
      <c r="B754" s="24" t="s">
        <v>1896</v>
      </c>
      <c r="C754" s="25" t="s">
        <v>1897</v>
      </c>
      <c r="D754" s="25" t="s">
        <v>1898</v>
      </c>
      <c r="E754" s="26">
        <v>27910</v>
      </c>
    </row>
    <row r="755" spans="1:5" x14ac:dyDescent="0.25">
      <c r="A755" s="24" t="s">
        <v>7</v>
      </c>
      <c r="B755" s="24" t="s">
        <v>1899</v>
      </c>
      <c r="C755" s="25" t="s">
        <v>1900</v>
      </c>
      <c r="D755" s="25" t="s">
        <v>1901</v>
      </c>
      <c r="E755" s="26">
        <v>10143</v>
      </c>
    </row>
    <row r="756" spans="1:5" x14ac:dyDescent="0.25">
      <c r="A756" s="24" t="s">
        <v>7</v>
      </c>
      <c r="B756" s="24" t="s">
        <v>1902</v>
      </c>
      <c r="C756" s="25" t="s">
        <v>1903</v>
      </c>
      <c r="D756" s="25" t="s">
        <v>1904</v>
      </c>
      <c r="E756" s="26">
        <v>18168</v>
      </c>
    </row>
    <row r="757" spans="1:5" x14ac:dyDescent="0.25">
      <c r="A757" s="24" t="s">
        <v>7</v>
      </c>
      <c r="B757" s="24" t="s">
        <v>1905</v>
      </c>
      <c r="C757" s="25" t="s">
        <v>1906</v>
      </c>
      <c r="D757" s="25" t="s">
        <v>1907</v>
      </c>
      <c r="E757" s="26">
        <v>3958</v>
      </c>
    </row>
    <row r="758" spans="1:5" x14ac:dyDescent="0.25">
      <c r="A758" s="24" t="s">
        <v>7</v>
      </c>
      <c r="B758" s="24" t="s">
        <v>1908</v>
      </c>
      <c r="C758" s="25" t="s">
        <v>1909</v>
      </c>
      <c r="D758" s="25" t="s">
        <v>1910</v>
      </c>
      <c r="E758" s="26">
        <v>7570</v>
      </c>
    </row>
    <row r="759" spans="1:5" x14ac:dyDescent="0.25">
      <c r="A759" s="24" t="s">
        <v>7</v>
      </c>
      <c r="B759" s="24" t="s">
        <v>1911</v>
      </c>
      <c r="C759" s="25" t="s">
        <v>1912</v>
      </c>
      <c r="D759" s="25" t="s">
        <v>1913</v>
      </c>
      <c r="E759" s="26">
        <v>27910</v>
      </c>
    </row>
    <row r="760" spans="1:5" x14ac:dyDescent="0.25">
      <c r="A760" s="24" t="s">
        <v>7</v>
      </c>
      <c r="B760" s="24" t="s">
        <v>1914</v>
      </c>
      <c r="C760" s="25" t="s">
        <v>1915</v>
      </c>
      <c r="D760" s="25" t="s">
        <v>1916</v>
      </c>
      <c r="E760" s="26">
        <v>14547</v>
      </c>
    </row>
    <row r="761" spans="1:5" x14ac:dyDescent="0.25">
      <c r="A761" s="24" t="s">
        <v>7</v>
      </c>
      <c r="B761" s="24" t="s">
        <v>1917</v>
      </c>
      <c r="C761" s="25" t="s">
        <v>1918</v>
      </c>
      <c r="D761" s="25" t="s">
        <v>1919</v>
      </c>
      <c r="E761" s="26">
        <v>10143</v>
      </c>
    </row>
    <row r="762" spans="1:5" x14ac:dyDescent="0.25">
      <c r="A762" s="24" t="s">
        <v>7</v>
      </c>
      <c r="B762" s="24" t="s">
        <v>1920</v>
      </c>
      <c r="C762" s="25" t="s">
        <v>1921</v>
      </c>
      <c r="D762" s="25" t="s">
        <v>1922</v>
      </c>
      <c r="E762" s="26">
        <v>7758</v>
      </c>
    </row>
    <row r="763" spans="1:5" x14ac:dyDescent="0.25">
      <c r="A763" s="24" t="s">
        <v>7</v>
      </c>
      <c r="B763" s="24" t="s">
        <v>1923</v>
      </c>
      <c r="C763" s="25" t="s">
        <v>1924</v>
      </c>
      <c r="D763" s="25" t="s">
        <v>1925</v>
      </c>
      <c r="E763" s="26">
        <v>19429</v>
      </c>
    </row>
    <row r="764" spans="1:5" x14ac:dyDescent="0.25">
      <c r="A764" s="24" t="s">
        <v>7</v>
      </c>
      <c r="B764" s="24" t="s">
        <v>1926</v>
      </c>
      <c r="C764" s="25" t="s">
        <v>1927</v>
      </c>
      <c r="D764" s="25" t="s">
        <v>1928</v>
      </c>
      <c r="E764" s="26">
        <v>21195</v>
      </c>
    </row>
    <row r="765" spans="1:5" x14ac:dyDescent="0.25">
      <c r="A765" s="24" t="s">
        <v>7</v>
      </c>
      <c r="B765" s="24" t="s">
        <v>1929</v>
      </c>
      <c r="C765" s="25" t="s">
        <v>1930</v>
      </c>
      <c r="D765" s="25" t="s">
        <v>1931</v>
      </c>
      <c r="E765" s="26">
        <v>15039</v>
      </c>
    </row>
    <row r="766" spans="1:5" x14ac:dyDescent="0.25">
      <c r="A766" s="24" t="s">
        <v>7</v>
      </c>
      <c r="B766" s="24" t="s">
        <v>1932</v>
      </c>
      <c r="C766" s="25" t="s">
        <v>1933</v>
      </c>
      <c r="D766" s="25" t="s">
        <v>1934</v>
      </c>
      <c r="E766" s="26">
        <v>27910</v>
      </c>
    </row>
    <row r="767" spans="1:5" x14ac:dyDescent="0.25">
      <c r="A767" s="24" t="s">
        <v>7</v>
      </c>
      <c r="B767" s="24" t="s">
        <v>1935</v>
      </c>
      <c r="C767" s="25" t="s">
        <v>1936</v>
      </c>
      <c r="D767" s="25" t="s">
        <v>1937</v>
      </c>
      <c r="E767" s="26">
        <v>2908</v>
      </c>
    </row>
    <row r="768" spans="1:5" x14ac:dyDescent="0.25">
      <c r="A768" s="24" t="s">
        <v>7</v>
      </c>
      <c r="B768" s="24" t="s">
        <v>1938</v>
      </c>
      <c r="C768" s="25" t="s">
        <v>1939</v>
      </c>
      <c r="D768" s="25" t="s">
        <v>1940</v>
      </c>
      <c r="E768" s="26">
        <v>7419</v>
      </c>
    </row>
    <row r="769" spans="1:5" x14ac:dyDescent="0.25">
      <c r="A769" s="24" t="s">
        <v>7</v>
      </c>
      <c r="B769" s="24" t="s">
        <v>1941</v>
      </c>
      <c r="C769" s="25" t="s">
        <v>1942</v>
      </c>
      <c r="D769" s="25" t="s">
        <v>1943</v>
      </c>
      <c r="E769" s="26">
        <v>27910</v>
      </c>
    </row>
    <row r="770" spans="1:5" x14ac:dyDescent="0.25">
      <c r="A770" s="24" t="s">
        <v>7</v>
      </c>
      <c r="B770" s="24" t="s">
        <v>1944</v>
      </c>
      <c r="C770" s="25" t="s">
        <v>1945</v>
      </c>
      <c r="D770" s="25" t="s">
        <v>1946</v>
      </c>
      <c r="E770" s="26">
        <v>27910</v>
      </c>
    </row>
    <row r="771" spans="1:5" x14ac:dyDescent="0.25">
      <c r="A771" s="24" t="s">
        <v>7</v>
      </c>
      <c r="B771" s="24" t="s">
        <v>1947</v>
      </c>
      <c r="C771" s="25" t="s">
        <v>1948</v>
      </c>
      <c r="D771" s="25" t="s">
        <v>1949</v>
      </c>
      <c r="E771" s="26">
        <v>27910</v>
      </c>
    </row>
    <row r="772" spans="1:5" x14ac:dyDescent="0.25">
      <c r="A772" s="24" t="s">
        <v>7</v>
      </c>
      <c r="B772" s="24" t="s">
        <v>1950</v>
      </c>
      <c r="C772" s="25" t="s">
        <v>1951</v>
      </c>
      <c r="D772" s="25" t="s">
        <v>1952</v>
      </c>
      <c r="E772" s="26">
        <v>27910</v>
      </c>
    </row>
    <row r="773" spans="1:5" x14ac:dyDescent="0.25">
      <c r="A773" s="24" t="s">
        <v>7</v>
      </c>
      <c r="B773" s="24" t="s">
        <v>1953</v>
      </c>
      <c r="C773" s="25" t="s">
        <v>1954</v>
      </c>
      <c r="D773" s="25" t="s">
        <v>1955</v>
      </c>
      <c r="E773" s="26">
        <v>49454</v>
      </c>
    </row>
    <row r="774" spans="1:5" x14ac:dyDescent="0.25">
      <c r="A774" s="24" t="s">
        <v>7</v>
      </c>
      <c r="B774" s="24" t="s">
        <v>1956</v>
      </c>
      <c r="C774" s="25" t="s">
        <v>1957</v>
      </c>
      <c r="D774" s="25" t="s">
        <v>1958</v>
      </c>
      <c r="E774" s="26">
        <v>7570</v>
      </c>
    </row>
    <row r="775" spans="1:5" x14ac:dyDescent="0.25">
      <c r="A775" s="24" t="s">
        <v>7</v>
      </c>
      <c r="B775" s="24" t="s">
        <v>1959</v>
      </c>
      <c r="C775" s="25" t="s">
        <v>1960</v>
      </c>
      <c r="D775" s="25" t="s">
        <v>1961</v>
      </c>
      <c r="E775" s="26">
        <v>27910</v>
      </c>
    </row>
    <row r="776" spans="1:5" x14ac:dyDescent="0.25">
      <c r="A776" s="24" t="s">
        <v>7</v>
      </c>
      <c r="B776" s="24" t="s">
        <v>1962</v>
      </c>
      <c r="C776" s="25" t="s">
        <v>1963</v>
      </c>
      <c r="D776" s="25" t="s">
        <v>1964</v>
      </c>
      <c r="E776" s="26">
        <v>27910</v>
      </c>
    </row>
    <row r="777" spans="1:5" x14ac:dyDescent="0.25">
      <c r="A777" s="24" t="s">
        <v>7</v>
      </c>
      <c r="B777" s="24" t="s">
        <v>1965</v>
      </c>
      <c r="C777" s="25" t="s">
        <v>1966</v>
      </c>
      <c r="D777" s="25" t="s">
        <v>1967</v>
      </c>
      <c r="E777" s="26">
        <v>2523</v>
      </c>
    </row>
    <row r="778" spans="1:5" x14ac:dyDescent="0.25">
      <c r="A778" s="24" t="s">
        <v>7</v>
      </c>
      <c r="B778" s="24" t="s">
        <v>1968</v>
      </c>
      <c r="C778" s="25" t="s">
        <v>1969</v>
      </c>
      <c r="D778" s="25" t="s">
        <v>1967</v>
      </c>
      <c r="E778" s="26">
        <v>27910</v>
      </c>
    </row>
    <row r="779" spans="1:5" x14ac:dyDescent="0.25">
      <c r="A779" s="24" t="s">
        <v>7</v>
      </c>
      <c r="B779" s="24" t="s">
        <v>1970</v>
      </c>
      <c r="C779" s="25" t="s">
        <v>1971</v>
      </c>
      <c r="D779" s="25" t="s">
        <v>1787</v>
      </c>
      <c r="E779" s="26">
        <v>27910</v>
      </c>
    </row>
    <row r="780" spans="1:5" x14ac:dyDescent="0.25">
      <c r="A780" s="24" t="s">
        <v>7</v>
      </c>
      <c r="B780" s="24" t="s">
        <v>1972</v>
      </c>
      <c r="C780" s="25" t="s">
        <v>1973</v>
      </c>
      <c r="D780" s="25" t="s">
        <v>1974</v>
      </c>
      <c r="E780" s="26">
        <v>2523</v>
      </c>
    </row>
    <row r="781" spans="1:5" x14ac:dyDescent="0.25">
      <c r="A781" s="24" t="s">
        <v>7</v>
      </c>
      <c r="B781" s="24" t="s">
        <v>1975</v>
      </c>
      <c r="C781" s="25" t="s">
        <v>1976</v>
      </c>
      <c r="D781" s="25" t="s">
        <v>1977</v>
      </c>
      <c r="E781" s="26">
        <v>27910</v>
      </c>
    </row>
    <row r="782" spans="1:5" x14ac:dyDescent="0.25">
      <c r="A782" s="24" t="s">
        <v>7</v>
      </c>
      <c r="B782" s="24" t="s">
        <v>1978</v>
      </c>
      <c r="C782" s="25" t="s">
        <v>1979</v>
      </c>
      <c r="D782" s="25" t="s">
        <v>1980</v>
      </c>
      <c r="E782" s="26">
        <v>11355</v>
      </c>
    </row>
    <row r="783" spans="1:5" x14ac:dyDescent="0.25">
      <c r="A783" s="24" t="s">
        <v>7</v>
      </c>
      <c r="B783" s="24" t="s">
        <v>1981</v>
      </c>
      <c r="C783" s="25" t="s">
        <v>1982</v>
      </c>
      <c r="D783" s="25" t="s">
        <v>1983</v>
      </c>
      <c r="E783" s="26">
        <v>27910</v>
      </c>
    </row>
    <row r="784" spans="1:5" x14ac:dyDescent="0.25">
      <c r="A784" s="24" t="s">
        <v>7</v>
      </c>
      <c r="B784" s="24" t="s">
        <v>1984</v>
      </c>
      <c r="C784" s="25" t="s">
        <v>1985</v>
      </c>
      <c r="D784" s="25" t="s">
        <v>1986</v>
      </c>
      <c r="E784" s="26">
        <v>15897</v>
      </c>
    </row>
    <row r="785" spans="1:5" x14ac:dyDescent="0.25">
      <c r="A785" s="24" t="s">
        <v>7</v>
      </c>
      <c r="B785" s="24" t="s">
        <v>1987</v>
      </c>
      <c r="C785" s="25" t="s">
        <v>1988</v>
      </c>
      <c r="D785" s="25" t="s">
        <v>1989</v>
      </c>
      <c r="E785" s="26">
        <v>13121</v>
      </c>
    </row>
    <row r="786" spans="1:5" x14ac:dyDescent="0.25">
      <c r="A786" s="24" t="s">
        <v>7</v>
      </c>
      <c r="B786" s="24" t="s">
        <v>1990</v>
      </c>
      <c r="C786" s="25" t="s">
        <v>1991</v>
      </c>
      <c r="D786" s="25" t="s">
        <v>1992</v>
      </c>
      <c r="E786" s="26">
        <v>10346</v>
      </c>
    </row>
    <row r="787" spans="1:5" x14ac:dyDescent="0.25">
      <c r="A787" s="24" t="s">
        <v>7</v>
      </c>
      <c r="B787" s="24" t="s">
        <v>1993</v>
      </c>
      <c r="C787" s="25" t="s">
        <v>1994</v>
      </c>
      <c r="D787" s="25" t="s">
        <v>1995</v>
      </c>
      <c r="E787" s="26">
        <v>5103</v>
      </c>
    </row>
    <row r="788" spans="1:5" x14ac:dyDescent="0.25">
      <c r="A788" s="24" t="s">
        <v>7</v>
      </c>
      <c r="B788" s="24" t="s">
        <v>1996</v>
      </c>
      <c r="C788" s="25" t="s">
        <v>1997</v>
      </c>
      <c r="D788" s="25" t="s">
        <v>1880</v>
      </c>
      <c r="E788" s="26">
        <v>6336</v>
      </c>
    </row>
    <row r="789" spans="1:5" x14ac:dyDescent="0.25">
      <c r="A789" s="24" t="s">
        <v>7</v>
      </c>
      <c r="B789" s="24" t="s">
        <v>1998</v>
      </c>
      <c r="C789" s="25" t="s">
        <v>1999</v>
      </c>
      <c r="D789" s="25" t="s">
        <v>2000</v>
      </c>
      <c r="E789" s="26">
        <v>24332</v>
      </c>
    </row>
    <row r="790" spans="1:5" x14ac:dyDescent="0.25">
      <c r="A790" s="24" t="s">
        <v>7</v>
      </c>
      <c r="B790" s="24" t="s">
        <v>2001</v>
      </c>
      <c r="C790" s="25" t="s">
        <v>2002</v>
      </c>
      <c r="D790" s="25" t="s">
        <v>2003</v>
      </c>
      <c r="E790" s="26">
        <v>5280</v>
      </c>
    </row>
    <row r="791" spans="1:5" x14ac:dyDescent="0.25">
      <c r="A791" s="24" t="s">
        <v>7</v>
      </c>
      <c r="B791" s="24" t="s">
        <v>2004</v>
      </c>
      <c r="C791" s="25" t="s">
        <v>2005</v>
      </c>
      <c r="D791" s="25" t="s">
        <v>1892</v>
      </c>
      <c r="E791" s="26">
        <v>3958</v>
      </c>
    </row>
    <row r="792" spans="1:5" x14ac:dyDescent="0.25">
      <c r="A792" s="24" t="s">
        <v>7</v>
      </c>
      <c r="B792" s="24" t="s">
        <v>2006</v>
      </c>
      <c r="C792" s="25" t="s">
        <v>2007</v>
      </c>
      <c r="D792" s="25" t="s">
        <v>2008</v>
      </c>
      <c r="E792" s="26">
        <v>5103</v>
      </c>
    </row>
    <row r="793" spans="1:5" x14ac:dyDescent="0.25">
      <c r="A793" s="24" t="s">
        <v>7</v>
      </c>
      <c r="B793" s="24" t="s">
        <v>2009</v>
      </c>
      <c r="C793" s="25" t="s">
        <v>2010</v>
      </c>
      <c r="D793" s="25" t="s">
        <v>2011</v>
      </c>
      <c r="E793" s="26">
        <v>8521</v>
      </c>
    </row>
    <row r="794" spans="1:5" x14ac:dyDescent="0.25">
      <c r="A794" s="24" t="s">
        <v>7</v>
      </c>
      <c r="B794" s="24" t="s">
        <v>2012</v>
      </c>
      <c r="C794" s="25" t="s">
        <v>2013</v>
      </c>
      <c r="D794" s="25" t="s">
        <v>2014</v>
      </c>
      <c r="E794" s="26">
        <v>7101</v>
      </c>
    </row>
    <row r="795" spans="1:5" x14ac:dyDescent="0.25">
      <c r="A795" s="24" t="s">
        <v>7</v>
      </c>
      <c r="B795" s="24" t="s">
        <v>2015</v>
      </c>
      <c r="C795" s="25" t="s">
        <v>2016</v>
      </c>
      <c r="D795" s="25" t="s">
        <v>2017</v>
      </c>
      <c r="E795" s="26">
        <v>7101</v>
      </c>
    </row>
    <row r="796" spans="1:5" x14ac:dyDescent="0.25">
      <c r="A796" s="24" t="s">
        <v>7</v>
      </c>
      <c r="B796" s="24" t="s">
        <v>2018</v>
      </c>
      <c r="C796" s="25" t="s">
        <v>2019</v>
      </c>
      <c r="D796" s="25" t="s">
        <v>2020</v>
      </c>
      <c r="E796" s="26">
        <v>9504</v>
      </c>
    </row>
    <row r="797" spans="1:5" x14ac:dyDescent="0.25">
      <c r="A797" s="24" t="s">
        <v>7</v>
      </c>
      <c r="B797" s="24" t="s">
        <v>2021</v>
      </c>
      <c r="C797" s="25" t="s">
        <v>2022</v>
      </c>
      <c r="D797" s="25" t="s">
        <v>2023</v>
      </c>
      <c r="E797" s="26">
        <v>7868</v>
      </c>
    </row>
    <row r="798" spans="1:5" x14ac:dyDescent="0.25">
      <c r="A798" s="24" t="s">
        <v>7</v>
      </c>
      <c r="B798" s="24" t="s">
        <v>2024</v>
      </c>
      <c r="C798" s="25" t="s">
        <v>2025</v>
      </c>
      <c r="D798" s="25" t="s">
        <v>2026</v>
      </c>
      <c r="E798" s="26">
        <v>1701</v>
      </c>
    </row>
    <row r="799" spans="1:5" x14ac:dyDescent="0.25">
      <c r="A799" s="24" t="s">
        <v>7</v>
      </c>
      <c r="B799" s="24" t="s">
        <v>2027</v>
      </c>
      <c r="C799" s="25" t="s">
        <v>2028</v>
      </c>
      <c r="D799" s="25" t="s">
        <v>2029</v>
      </c>
      <c r="E799" s="26">
        <v>1701</v>
      </c>
    </row>
    <row r="800" spans="1:5" x14ac:dyDescent="0.25">
      <c r="A800" s="24" t="s">
        <v>7</v>
      </c>
      <c r="B800" s="24" t="s">
        <v>2030</v>
      </c>
      <c r="C800" s="25" t="s">
        <v>2031</v>
      </c>
      <c r="D800" s="25" t="s">
        <v>2032</v>
      </c>
      <c r="E800" s="26">
        <v>6723</v>
      </c>
    </row>
    <row r="801" spans="1:6" x14ac:dyDescent="0.25">
      <c r="A801" s="24" t="s">
        <v>7</v>
      </c>
      <c r="B801" s="24" t="s">
        <v>2033</v>
      </c>
      <c r="C801" s="25" t="s">
        <v>2034</v>
      </c>
      <c r="D801" s="25" t="s">
        <v>1751</v>
      </c>
      <c r="E801" s="26">
        <v>2839</v>
      </c>
    </row>
    <row r="802" spans="1:6" x14ac:dyDescent="0.25">
      <c r="A802" s="24" t="s">
        <v>7</v>
      </c>
      <c r="B802" s="24" t="s">
        <v>2035</v>
      </c>
      <c r="C802" s="25" t="s">
        <v>2036</v>
      </c>
      <c r="D802" s="25" t="s">
        <v>2037</v>
      </c>
      <c r="E802" s="26">
        <v>17515</v>
      </c>
    </row>
    <row r="803" spans="1:6" x14ac:dyDescent="0.25">
      <c r="A803" s="24" t="s">
        <v>7</v>
      </c>
      <c r="B803" s="24" t="s">
        <v>2038</v>
      </c>
      <c r="C803" s="25" t="s">
        <v>2039</v>
      </c>
      <c r="D803" s="25" t="s">
        <v>1763</v>
      </c>
      <c r="E803" s="26">
        <v>17515</v>
      </c>
    </row>
    <row r="804" spans="1:6" x14ac:dyDescent="0.25">
      <c r="A804" s="24" t="s">
        <v>7</v>
      </c>
      <c r="B804" s="24" t="s">
        <v>2040</v>
      </c>
      <c r="C804" s="25" t="s">
        <v>2041</v>
      </c>
      <c r="D804" s="25" t="s">
        <v>1952</v>
      </c>
      <c r="E804" s="26">
        <v>4400</v>
      </c>
    </row>
    <row r="805" spans="1:6" x14ac:dyDescent="0.25">
      <c r="A805" s="24" t="s">
        <v>7</v>
      </c>
      <c r="B805" s="24" t="s">
        <v>2042</v>
      </c>
      <c r="C805" s="25" t="s">
        <v>2043</v>
      </c>
      <c r="D805" s="25" t="s">
        <v>1775</v>
      </c>
      <c r="E805" s="26">
        <v>13729</v>
      </c>
    </row>
    <row r="806" spans="1:6" x14ac:dyDescent="0.25">
      <c r="A806" s="24" t="s">
        <v>7</v>
      </c>
      <c r="B806" s="24" t="s">
        <v>2044</v>
      </c>
      <c r="C806" s="25" t="s">
        <v>2045</v>
      </c>
      <c r="D806" s="25" t="s">
        <v>2046</v>
      </c>
      <c r="E806" s="26">
        <v>5280</v>
      </c>
    </row>
    <row r="807" spans="1:6" x14ac:dyDescent="0.25">
      <c r="A807" s="24" t="s">
        <v>7</v>
      </c>
      <c r="B807" s="24" t="s">
        <v>2047</v>
      </c>
      <c r="C807" s="25" t="s">
        <v>2048</v>
      </c>
      <c r="D807" s="25" t="s">
        <v>2049</v>
      </c>
      <c r="E807" s="26">
        <v>1418</v>
      </c>
    </row>
    <row r="808" spans="1:6" x14ac:dyDescent="0.25">
      <c r="A808" s="24" t="s">
        <v>7</v>
      </c>
      <c r="B808" s="24" t="s">
        <v>2050</v>
      </c>
      <c r="C808" s="25" t="s">
        <v>2051</v>
      </c>
      <c r="D808" s="25" t="s">
        <v>2052</v>
      </c>
      <c r="E808" s="26">
        <v>2367</v>
      </c>
    </row>
    <row r="809" spans="1:6" x14ac:dyDescent="0.25">
      <c r="A809" s="24" t="s">
        <v>7</v>
      </c>
      <c r="B809" s="24" t="s">
        <v>2053</v>
      </c>
      <c r="C809" s="25" t="s">
        <v>2054</v>
      </c>
      <c r="D809" s="25" t="s">
        <v>2055</v>
      </c>
      <c r="E809" s="26">
        <v>12310</v>
      </c>
    </row>
    <row r="810" spans="1:6" x14ac:dyDescent="0.25">
      <c r="A810" s="24" t="s">
        <v>7</v>
      </c>
      <c r="B810" s="24" t="s">
        <v>2056</v>
      </c>
      <c r="C810" s="25" t="s">
        <v>2057</v>
      </c>
      <c r="D810" s="25" t="s">
        <v>2058</v>
      </c>
      <c r="E810" s="26">
        <v>5500</v>
      </c>
    </row>
    <row r="811" spans="1:6" x14ac:dyDescent="0.25">
      <c r="A811" s="24" t="s">
        <v>7</v>
      </c>
      <c r="B811" s="24" t="s">
        <v>2059</v>
      </c>
      <c r="C811" s="25" t="s">
        <v>2060</v>
      </c>
      <c r="D811" s="25" t="s">
        <v>2058</v>
      </c>
      <c r="E811" s="26">
        <v>6072</v>
      </c>
    </row>
    <row r="812" spans="1:6" x14ac:dyDescent="0.25">
      <c r="A812" s="24" t="s">
        <v>7</v>
      </c>
      <c r="B812" s="24" t="s">
        <v>2061</v>
      </c>
      <c r="C812" s="25" t="s">
        <v>2062</v>
      </c>
      <c r="D812" s="25" t="s">
        <v>2063</v>
      </c>
      <c r="E812" s="26">
        <v>9183</v>
      </c>
    </row>
    <row r="813" spans="1:6" x14ac:dyDescent="0.25">
      <c r="A813" s="24" t="s">
        <v>7</v>
      </c>
      <c r="B813" s="24" t="s">
        <v>2064</v>
      </c>
      <c r="C813" s="25" t="s">
        <v>2065</v>
      </c>
      <c r="D813" s="25" t="s">
        <v>2066</v>
      </c>
      <c r="E813" s="26">
        <v>13255</v>
      </c>
    </row>
    <row r="814" spans="1:6" x14ac:dyDescent="0.25">
      <c r="A814" s="24" t="s">
        <v>7</v>
      </c>
      <c r="B814" s="24" t="s">
        <v>2067</v>
      </c>
      <c r="C814" s="25" t="s">
        <v>2068</v>
      </c>
      <c r="D814" s="25" t="s">
        <v>2069</v>
      </c>
      <c r="E814" s="26">
        <v>9467</v>
      </c>
    </row>
    <row r="815" spans="1:6" x14ac:dyDescent="0.25">
      <c r="A815" s="24" t="s">
        <v>7</v>
      </c>
      <c r="B815" s="24" t="s">
        <v>2070</v>
      </c>
      <c r="C815" s="25" t="s">
        <v>2071</v>
      </c>
      <c r="D815" s="25" t="s">
        <v>2072</v>
      </c>
      <c r="E815" s="26">
        <v>21758</v>
      </c>
      <c r="F815" s="24" t="s">
        <v>502</v>
      </c>
    </row>
    <row r="816" spans="1:6" x14ac:dyDescent="0.25">
      <c r="A816" s="24" t="s">
        <v>7</v>
      </c>
      <c r="B816" s="24" t="s">
        <v>2073</v>
      </c>
      <c r="C816" s="25" t="s">
        <v>2074</v>
      </c>
      <c r="D816" s="25" t="s">
        <v>2075</v>
      </c>
      <c r="E816" s="26">
        <v>3958</v>
      </c>
      <c r="F816" s="24" t="s">
        <v>502</v>
      </c>
    </row>
    <row r="817" spans="1:6" x14ac:dyDescent="0.25">
      <c r="A817" s="24" t="s">
        <v>7</v>
      </c>
      <c r="B817" s="24" t="s">
        <v>2076</v>
      </c>
      <c r="C817" s="25" t="s">
        <v>2077</v>
      </c>
      <c r="D817" s="25" t="s">
        <v>2077</v>
      </c>
      <c r="E817" s="26">
        <v>3958</v>
      </c>
    </row>
    <row r="818" spans="1:6" x14ac:dyDescent="0.25">
      <c r="A818" s="24" t="s">
        <v>7</v>
      </c>
      <c r="B818" s="24" t="s">
        <v>2078</v>
      </c>
      <c r="C818" s="25" t="s">
        <v>2079</v>
      </c>
      <c r="D818" s="25" t="s">
        <v>2080</v>
      </c>
      <c r="E818" s="26">
        <v>7888</v>
      </c>
    </row>
    <row r="819" spans="1:6" x14ac:dyDescent="0.25">
      <c r="A819" s="24" t="s">
        <v>7</v>
      </c>
      <c r="B819" s="24" t="s">
        <v>2081</v>
      </c>
      <c r="C819" s="25" t="s">
        <v>2082</v>
      </c>
      <c r="D819" s="25" t="s">
        <v>2083</v>
      </c>
      <c r="E819" s="26">
        <v>4896</v>
      </c>
    </row>
    <row r="820" spans="1:6" x14ac:dyDescent="0.25">
      <c r="A820" s="24" t="s">
        <v>7</v>
      </c>
      <c r="B820" s="24" t="s">
        <v>2084</v>
      </c>
      <c r="C820" s="25" t="s">
        <v>2085</v>
      </c>
      <c r="D820" s="25" t="s">
        <v>2083</v>
      </c>
      <c r="E820" s="26">
        <v>14208</v>
      </c>
    </row>
    <row r="821" spans="1:6" x14ac:dyDescent="0.25">
      <c r="A821" s="24" t="s">
        <v>7</v>
      </c>
      <c r="B821" s="24" t="s">
        <v>2086</v>
      </c>
      <c r="C821" s="25" t="s">
        <v>2087</v>
      </c>
      <c r="D821" s="25" t="s">
        <v>2088</v>
      </c>
      <c r="E821" s="26">
        <v>3958</v>
      </c>
      <c r="F821" s="24" t="s">
        <v>502</v>
      </c>
    </row>
    <row r="822" spans="1:6" x14ac:dyDescent="0.25">
      <c r="A822" s="24" t="s">
        <v>7</v>
      </c>
      <c r="B822" s="24" t="s">
        <v>2089</v>
      </c>
      <c r="C822" s="25" t="s">
        <v>2090</v>
      </c>
      <c r="D822" s="25" t="s">
        <v>2091</v>
      </c>
      <c r="E822" s="26">
        <v>521</v>
      </c>
    </row>
    <row r="823" spans="1:6" x14ac:dyDescent="0.25">
      <c r="A823" s="24" t="s">
        <v>7</v>
      </c>
      <c r="B823" s="24" t="s">
        <v>2092</v>
      </c>
      <c r="C823" s="25" t="s">
        <v>2093</v>
      </c>
      <c r="D823" s="25" t="s">
        <v>2094</v>
      </c>
      <c r="E823" s="26">
        <v>521</v>
      </c>
    </row>
    <row r="824" spans="1:6" x14ac:dyDescent="0.25">
      <c r="A824" s="24" t="s">
        <v>7</v>
      </c>
      <c r="B824" s="24" t="s">
        <v>2095</v>
      </c>
      <c r="C824" s="25" t="s">
        <v>2096</v>
      </c>
      <c r="D824" s="25" t="s">
        <v>2097</v>
      </c>
      <c r="E824" s="26">
        <v>4734</v>
      </c>
    </row>
    <row r="825" spans="1:6" x14ac:dyDescent="0.25">
      <c r="A825" s="24" t="s">
        <v>7</v>
      </c>
      <c r="B825" s="24" t="s">
        <v>2098</v>
      </c>
      <c r="C825" s="25" t="s">
        <v>2099</v>
      </c>
      <c r="D825" s="25" t="s">
        <v>2100</v>
      </c>
      <c r="E825" s="26">
        <v>17988</v>
      </c>
    </row>
    <row r="826" spans="1:6" x14ac:dyDescent="0.25">
      <c r="A826" s="24" t="s">
        <v>7</v>
      </c>
      <c r="B826" s="24" t="s">
        <v>2101</v>
      </c>
      <c r="C826" s="25" t="s">
        <v>2102</v>
      </c>
      <c r="D826" s="25" t="s">
        <v>2103</v>
      </c>
      <c r="E826" s="26">
        <v>7920</v>
      </c>
    </row>
    <row r="827" spans="1:6" x14ac:dyDescent="0.25">
      <c r="A827" s="24" t="s">
        <v>7</v>
      </c>
      <c r="B827" s="24" t="s">
        <v>2104</v>
      </c>
      <c r="C827" s="25" t="s">
        <v>2105</v>
      </c>
      <c r="D827" s="25" t="s">
        <v>2106</v>
      </c>
      <c r="E827" s="26">
        <v>8048</v>
      </c>
    </row>
    <row r="828" spans="1:6" x14ac:dyDescent="0.25">
      <c r="A828" s="24" t="s">
        <v>7</v>
      </c>
      <c r="B828" s="24" t="s">
        <v>2107</v>
      </c>
      <c r="C828" s="25" t="s">
        <v>2108</v>
      </c>
      <c r="D828" s="25" t="s">
        <v>2109</v>
      </c>
      <c r="E828" s="26">
        <v>9467</v>
      </c>
    </row>
    <row r="829" spans="1:6" x14ac:dyDescent="0.25">
      <c r="A829" s="24" t="s">
        <v>7</v>
      </c>
      <c r="B829" s="24" t="s">
        <v>2110</v>
      </c>
      <c r="C829" s="25" t="s">
        <v>2111</v>
      </c>
      <c r="D829" s="25" t="s">
        <v>2112</v>
      </c>
      <c r="E829" s="26">
        <v>3958</v>
      </c>
      <c r="F829" s="24" t="s">
        <v>502</v>
      </c>
    </row>
    <row r="830" spans="1:6" x14ac:dyDescent="0.25">
      <c r="A830" s="24" t="s">
        <v>7</v>
      </c>
      <c r="B830" s="24" t="s">
        <v>2113</v>
      </c>
      <c r="C830" s="25" t="s">
        <v>2114</v>
      </c>
      <c r="D830" s="25" t="s">
        <v>2115</v>
      </c>
      <c r="E830" s="26">
        <v>23112</v>
      </c>
    </row>
    <row r="831" spans="1:6" x14ac:dyDescent="0.25">
      <c r="A831" s="24" t="s">
        <v>7</v>
      </c>
      <c r="B831" s="24" t="s">
        <v>2116</v>
      </c>
      <c r="C831" s="25" t="s">
        <v>2117</v>
      </c>
      <c r="D831" s="25" t="s">
        <v>1880</v>
      </c>
      <c r="E831" s="26">
        <v>9697</v>
      </c>
    </row>
    <row r="832" spans="1:6" x14ac:dyDescent="0.25">
      <c r="A832" s="24" t="s">
        <v>7</v>
      </c>
      <c r="B832" s="24" t="s">
        <v>2118</v>
      </c>
      <c r="C832" s="25" t="s">
        <v>2119</v>
      </c>
      <c r="D832" s="25" t="s">
        <v>2120</v>
      </c>
      <c r="E832" s="26">
        <v>3491</v>
      </c>
    </row>
    <row r="833" spans="1:6" x14ac:dyDescent="0.25">
      <c r="A833" s="24" t="s">
        <v>7</v>
      </c>
      <c r="B833" s="24" t="s">
        <v>2121</v>
      </c>
      <c r="C833" s="25" t="s">
        <v>2122</v>
      </c>
      <c r="D833" s="25" t="s">
        <v>2000</v>
      </c>
      <c r="E833" s="26">
        <v>16485</v>
      </c>
    </row>
    <row r="834" spans="1:6" x14ac:dyDescent="0.25">
      <c r="A834" s="24" t="s">
        <v>7</v>
      </c>
      <c r="B834" s="24" t="s">
        <v>2123</v>
      </c>
      <c r="C834" s="25" t="s">
        <v>2124</v>
      </c>
      <c r="D834" s="25" t="s">
        <v>2125</v>
      </c>
      <c r="E834" s="26">
        <v>10182</v>
      </c>
    </row>
    <row r="835" spans="1:6" x14ac:dyDescent="0.25">
      <c r="A835" s="24" t="s">
        <v>7</v>
      </c>
      <c r="B835" s="24" t="s">
        <v>2126</v>
      </c>
      <c r="C835" s="25" t="s">
        <v>2127</v>
      </c>
      <c r="D835" s="25" t="s">
        <v>2128</v>
      </c>
      <c r="E835" s="26">
        <v>3958</v>
      </c>
    </row>
    <row r="836" spans="1:6" x14ac:dyDescent="0.25">
      <c r="A836" s="24" t="s">
        <v>7</v>
      </c>
      <c r="B836" s="24" t="s">
        <v>2129</v>
      </c>
      <c r="C836" s="25" t="s">
        <v>2130</v>
      </c>
      <c r="D836" s="25" t="s">
        <v>2131</v>
      </c>
      <c r="E836" s="26">
        <v>6238</v>
      </c>
    </row>
    <row r="837" spans="1:6" x14ac:dyDescent="0.25">
      <c r="A837" s="24" t="s">
        <v>7</v>
      </c>
      <c r="B837" s="24" t="s">
        <v>2132</v>
      </c>
      <c r="C837" s="25" t="s">
        <v>2133</v>
      </c>
      <c r="D837" s="25" t="s">
        <v>2134</v>
      </c>
      <c r="E837" s="26">
        <v>3958</v>
      </c>
      <c r="F837" s="24" t="s">
        <v>502</v>
      </c>
    </row>
    <row r="838" spans="1:6" x14ac:dyDescent="0.25">
      <c r="A838" s="24" t="s">
        <v>7</v>
      </c>
      <c r="B838" s="24" t="s">
        <v>2135</v>
      </c>
      <c r="C838" s="25" t="s">
        <v>2136</v>
      </c>
      <c r="D838" s="25" t="s">
        <v>2137</v>
      </c>
      <c r="E838" s="26">
        <v>11907</v>
      </c>
    </row>
    <row r="839" spans="1:6" x14ac:dyDescent="0.25">
      <c r="A839" s="24" t="s">
        <v>7</v>
      </c>
      <c r="B839" s="24" t="s">
        <v>2138</v>
      </c>
      <c r="C839" s="25" t="s">
        <v>2139</v>
      </c>
      <c r="D839" s="25" t="s">
        <v>2140</v>
      </c>
      <c r="E839" s="26">
        <v>27910</v>
      </c>
    </row>
    <row r="840" spans="1:6" x14ac:dyDescent="0.25">
      <c r="A840" s="24" t="s">
        <v>7</v>
      </c>
      <c r="B840" s="24" t="s">
        <v>2141</v>
      </c>
      <c r="C840" s="25" t="s">
        <v>2142</v>
      </c>
      <c r="D840" s="25" t="s">
        <v>2143</v>
      </c>
      <c r="E840" s="26">
        <v>27910</v>
      </c>
    </row>
    <row r="841" spans="1:6" x14ac:dyDescent="0.25">
      <c r="A841" s="24" t="s">
        <v>7</v>
      </c>
      <c r="B841" s="24" t="s">
        <v>2144</v>
      </c>
      <c r="C841" s="25" t="s">
        <v>2145</v>
      </c>
      <c r="D841" s="25" t="s">
        <v>2146</v>
      </c>
      <c r="E841" s="26">
        <v>12606</v>
      </c>
    </row>
    <row r="842" spans="1:6" x14ac:dyDescent="0.25">
      <c r="A842" s="24" t="s">
        <v>7</v>
      </c>
      <c r="B842" s="24" t="s">
        <v>2147</v>
      </c>
      <c r="C842" s="25" t="s">
        <v>2148</v>
      </c>
      <c r="D842" s="25" t="s">
        <v>2149</v>
      </c>
      <c r="E842" s="26">
        <v>14488</v>
      </c>
    </row>
    <row r="843" spans="1:6" x14ac:dyDescent="0.25">
      <c r="A843" s="24" t="s">
        <v>7</v>
      </c>
      <c r="B843" s="24" t="s">
        <v>2150</v>
      </c>
      <c r="C843" s="25" t="s">
        <v>2151</v>
      </c>
      <c r="D843" s="25" t="s">
        <v>2026</v>
      </c>
      <c r="E843" s="26">
        <v>27910</v>
      </c>
    </row>
    <row r="844" spans="1:6" x14ac:dyDescent="0.25">
      <c r="A844" s="24" t="s">
        <v>7</v>
      </c>
      <c r="B844" s="24" t="s">
        <v>2152</v>
      </c>
      <c r="C844" s="25" t="s">
        <v>2153</v>
      </c>
      <c r="D844" s="25" t="s">
        <v>2154</v>
      </c>
      <c r="E844" s="26">
        <v>13583</v>
      </c>
    </row>
    <row r="845" spans="1:6" x14ac:dyDescent="0.25">
      <c r="A845" s="24" t="s">
        <v>7</v>
      </c>
      <c r="B845" s="24" t="s">
        <v>2155</v>
      </c>
      <c r="C845" s="25" t="s">
        <v>2156</v>
      </c>
      <c r="D845" s="25" t="s">
        <v>2157</v>
      </c>
      <c r="E845" s="26">
        <v>13583</v>
      </c>
    </row>
    <row r="846" spans="1:6" x14ac:dyDescent="0.25">
      <c r="A846" s="24" t="s">
        <v>7</v>
      </c>
      <c r="B846" s="24" t="s">
        <v>2158</v>
      </c>
      <c r="C846" s="25" t="s">
        <v>2159</v>
      </c>
      <c r="D846" s="25" t="s">
        <v>2160</v>
      </c>
      <c r="E846" s="26">
        <v>7244</v>
      </c>
    </row>
    <row r="847" spans="1:6" x14ac:dyDescent="0.25">
      <c r="A847" s="24" t="s">
        <v>7</v>
      </c>
      <c r="B847" s="24" t="s">
        <v>2161</v>
      </c>
      <c r="C847" s="25" t="s">
        <v>2162</v>
      </c>
      <c r="D847" s="25" t="s">
        <v>2163</v>
      </c>
      <c r="E847" s="26">
        <v>1811</v>
      </c>
    </row>
    <row r="848" spans="1:6" x14ac:dyDescent="0.25">
      <c r="A848" s="24" t="s">
        <v>7</v>
      </c>
      <c r="B848" s="24" t="s">
        <v>2164</v>
      </c>
      <c r="C848" s="25" t="s">
        <v>2165</v>
      </c>
      <c r="D848" s="25" t="s">
        <v>2166</v>
      </c>
      <c r="E848" s="26">
        <v>9056</v>
      </c>
    </row>
    <row r="849" spans="1:5" x14ac:dyDescent="0.25">
      <c r="A849" s="24" t="s">
        <v>7</v>
      </c>
      <c r="B849" s="24" t="s">
        <v>2167</v>
      </c>
      <c r="C849" s="25" t="s">
        <v>2168</v>
      </c>
      <c r="D849" s="25" t="s">
        <v>2169</v>
      </c>
      <c r="E849" s="26">
        <v>7244</v>
      </c>
    </row>
    <row r="850" spans="1:5" x14ac:dyDescent="0.25">
      <c r="A850" s="24" t="s">
        <v>7</v>
      </c>
      <c r="B850" s="24" t="s">
        <v>2170</v>
      </c>
      <c r="C850" s="25" t="s">
        <v>2171</v>
      </c>
      <c r="D850" s="25" t="s">
        <v>2172</v>
      </c>
      <c r="E850" s="26">
        <v>4527</v>
      </c>
    </row>
    <row r="851" spans="1:5" x14ac:dyDescent="0.25">
      <c r="A851" s="24" t="s">
        <v>7</v>
      </c>
      <c r="B851" s="24" t="s">
        <v>2173</v>
      </c>
      <c r="C851" s="25" t="s">
        <v>2174</v>
      </c>
      <c r="D851" s="25" t="s">
        <v>2175</v>
      </c>
      <c r="E851" s="26">
        <v>28071</v>
      </c>
    </row>
    <row r="852" spans="1:5" x14ac:dyDescent="0.25">
      <c r="A852" s="24" t="s">
        <v>7</v>
      </c>
      <c r="B852" s="24" t="s">
        <v>2176</v>
      </c>
      <c r="C852" s="25" t="s">
        <v>2177</v>
      </c>
      <c r="D852" s="25" t="s">
        <v>2178</v>
      </c>
      <c r="E852" s="26">
        <v>16752</v>
      </c>
    </row>
    <row r="853" spans="1:5" x14ac:dyDescent="0.25">
      <c r="A853" s="24" t="s">
        <v>7</v>
      </c>
      <c r="B853" s="24" t="s">
        <v>2179</v>
      </c>
      <c r="C853" s="25" t="s">
        <v>2180</v>
      </c>
      <c r="D853" s="25" t="s">
        <v>2181</v>
      </c>
      <c r="E853" s="26">
        <v>27910</v>
      </c>
    </row>
    <row r="854" spans="1:5" x14ac:dyDescent="0.25">
      <c r="A854" s="24" t="s">
        <v>7</v>
      </c>
      <c r="B854" s="24" t="s">
        <v>2182</v>
      </c>
      <c r="C854" s="25" t="s">
        <v>2183</v>
      </c>
      <c r="D854" s="25" t="s">
        <v>2184</v>
      </c>
      <c r="E854" s="26">
        <v>4527</v>
      </c>
    </row>
    <row r="855" spans="1:5" x14ac:dyDescent="0.25">
      <c r="A855" s="24" t="s">
        <v>7</v>
      </c>
      <c r="B855" s="24" t="s">
        <v>2185</v>
      </c>
      <c r="C855" s="25" t="s">
        <v>2186</v>
      </c>
      <c r="D855" s="25" t="s">
        <v>2187</v>
      </c>
      <c r="E855" s="26">
        <v>10867</v>
      </c>
    </row>
    <row r="856" spans="1:5" x14ac:dyDescent="0.25">
      <c r="A856" s="24" t="s">
        <v>7</v>
      </c>
      <c r="B856" s="24" t="s">
        <v>2188</v>
      </c>
      <c r="C856" s="25" t="s">
        <v>2189</v>
      </c>
      <c r="D856" s="25" t="s">
        <v>2190</v>
      </c>
      <c r="E856" s="26">
        <v>24001</v>
      </c>
    </row>
    <row r="857" spans="1:5" x14ac:dyDescent="0.25">
      <c r="A857" s="24" t="s">
        <v>7</v>
      </c>
      <c r="B857" s="24" t="s">
        <v>2191</v>
      </c>
      <c r="C857" s="25" t="s">
        <v>2192</v>
      </c>
      <c r="D857" s="25" t="s">
        <v>2193</v>
      </c>
      <c r="E857" s="26">
        <v>15000</v>
      </c>
    </row>
    <row r="858" spans="1:5" x14ac:dyDescent="0.25">
      <c r="A858" s="24" t="s">
        <v>7</v>
      </c>
      <c r="B858" s="24" t="s">
        <v>2194</v>
      </c>
      <c r="C858" s="25" t="s">
        <v>2195</v>
      </c>
      <c r="D858" s="25" t="s">
        <v>2196</v>
      </c>
      <c r="E858" s="26">
        <v>11250</v>
      </c>
    </row>
    <row r="859" spans="1:5" x14ac:dyDescent="0.25">
      <c r="A859" s="24" t="s">
        <v>7</v>
      </c>
      <c r="B859" s="24" t="s">
        <v>2197</v>
      </c>
      <c r="C859" s="25" t="s">
        <v>2198</v>
      </c>
      <c r="D859" s="25" t="s">
        <v>2199</v>
      </c>
      <c r="E859" s="26">
        <v>7501</v>
      </c>
    </row>
    <row r="860" spans="1:5" x14ac:dyDescent="0.25">
      <c r="A860" s="24" t="s">
        <v>7</v>
      </c>
      <c r="B860" s="24" t="s">
        <v>2200</v>
      </c>
      <c r="C860" s="25" t="s">
        <v>2201</v>
      </c>
      <c r="D860" s="25" t="s">
        <v>2202</v>
      </c>
      <c r="E860" s="26">
        <v>4874</v>
      </c>
    </row>
    <row r="861" spans="1:5" x14ac:dyDescent="0.25">
      <c r="A861" s="24" t="s">
        <v>7</v>
      </c>
      <c r="B861" s="24" t="s">
        <v>2203</v>
      </c>
      <c r="C861" s="25" t="s">
        <v>2204</v>
      </c>
      <c r="D861" s="25" t="s">
        <v>2037</v>
      </c>
      <c r="E861" s="26">
        <v>28500</v>
      </c>
    </row>
    <row r="862" spans="1:5" x14ac:dyDescent="0.25">
      <c r="A862" s="24" t="s">
        <v>7</v>
      </c>
      <c r="B862" s="24" t="s">
        <v>2205</v>
      </c>
      <c r="C862" s="25" t="s">
        <v>2206</v>
      </c>
      <c r="D862" s="25" t="s">
        <v>2207</v>
      </c>
      <c r="E862" s="26">
        <v>9000</v>
      </c>
    </row>
    <row r="863" spans="1:5" x14ac:dyDescent="0.25">
      <c r="A863" s="24" t="s">
        <v>7</v>
      </c>
      <c r="B863" s="24" t="s">
        <v>2208</v>
      </c>
      <c r="C863" s="25" t="s">
        <v>2209</v>
      </c>
      <c r="D863" s="25" t="s">
        <v>1748</v>
      </c>
      <c r="E863" s="26">
        <v>27000</v>
      </c>
    </row>
    <row r="864" spans="1:5" x14ac:dyDescent="0.25">
      <c r="A864" s="24" t="s">
        <v>7</v>
      </c>
      <c r="B864" s="24" t="s">
        <v>2210</v>
      </c>
      <c r="C864" s="25" t="s">
        <v>2211</v>
      </c>
      <c r="D864" s="25" t="s">
        <v>2212</v>
      </c>
      <c r="E864" s="26">
        <v>68085</v>
      </c>
    </row>
    <row r="865" spans="1:5" x14ac:dyDescent="0.25">
      <c r="A865" s="24" t="s">
        <v>7</v>
      </c>
      <c r="B865" s="24" t="s">
        <v>2213</v>
      </c>
      <c r="C865" s="25" t="s">
        <v>2214</v>
      </c>
      <c r="D865" s="25" t="s">
        <v>2215</v>
      </c>
      <c r="E865" s="26">
        <v>27000</v>
      </c>
    </row>
    <row r="866" spans="1:5" x14ac:dyDescent="0.25">
      <c r="A866" s="24" t="s">
        <v>7</v>
      </c>
      <c r="B866" s="24" t="s">
        <v>2216</v>
      </c>
      <c r="C866" s="25" t="s">
        <v>2217</v>
      </c>
      <c r="D866" s="25" t="s">
        <v>2218</v>
      </c>
      <c r="E866" s="26">
        <v>27910</v>
      </c>
    </row>
    <row r="867" spans="1:5" x14ac:dyDescent="0.25">
      <c r="A867" s="24" t="s">
        <v>7</v>
      </c>
      <c r="B867" s="24" t="s">
        <v>2219</v>
      </c>
      <c r="C867" s="25" t="s">
        <v>2220</v>
      </c>
      <c r="D867" s="25" t="s">
        <v>2221</v>
      </c>
      <c r="E867" s="26">
        <v>14624</v>
      </c>
    </row>
    <row r="868" spans="1:5" x14ac:dyDescent="0.25">
      <c r="A868" s="24" t="s">
        <v>7</v>
      </c>
      <c r="B868" s="24" t="s">
        <v>2222</v>
      </c>
      <c r="C868" s="25" t="s">
        <v>2223</v>
      </c>
      <c r="D868" s="25" t="s">
        <v>2224</v>
      </c>
      <c r="E868" s="26">
        <v>9000</v>
      </c>
    </row>
    <row r="869" spans="1:5" x14ac:dyDescent="0.25">
      <c r="A869" s="24" t="s">
        <v>7</v>
      </c>
      <c r="B869" s="24" t="s">
        <v>2225</v>
      </c>
      <c r="C869" s="25" t="s">
        <v>2226</v>
      </c>
      <c r="D869" s="25" t="s">
        <v>2227</v>
      </c>
      <c r="E869" s="26">
        <v>17550</v>
      </c>
    </row>
    <row r="870" spans="1:5" x14ac:dyDescent="0.25">
      <c r="A870" s="24" t="s">
        <v>7</v>
      </c>
      <c r="B870" s="24" t="s">
        <v>2228</v>
      </c>
      <c r="C870" s="25" t="s">
        <v>2229</v>
      </c>
      <c r="D870" s="25" t="s">
        <v>2230</v>
      </c>
      <c r="E870" s="26">
        <v>3750</v>
      </c>
    </row>
    <row r="871" spans="1:5" x14ac:dyDescent="0.25">
      <c r="A871" s="24" t="s">
        <v>7</v>
      </c>
      <c r="B871" s="24" t="s">
        <v>2231</v>
      </c>
      <c r="C871" s="25" t="s">
        <v>2232</v>
      </c>
      <c r="D871" s="25" t="s">
        <v>2233</v>
      </c>
      <c r="E871" s="26">
        <v>3750</v>
      </c>
    </row>
    <row r="872" spans="1:5" x14ac:dyDescent="0.25">
      <c r="A872" s="24" t="s">
        <v>7</v>
      </c>
      <c r="B872" s="24" t="s">
        <v>2234</v>
      </c>
      <c r="C872" s="25" t="s">
        <v>2235</v>
      </c>
      <c r="D872" s="25" t="s">
        <v>2236</v>
      </c>
      <c r="E872" s="26">
        <v>34651</v>
      </c>
    </row>
    <row r="873" spans="1:5" x14ac:dyDescent="0.25">
      <c r="A873" s="24" t="s">
        <v>7</v>
      </c>
      <c r="B873" s="24" t="s">
        <v>2237</v>
      </c>
      <c r="C873" s="25" t="s">
        <v>2238</v>
      </c>
      <c r="D873" s="25" t="s">
        <v>2239</v>
      </c>
      <c r="E873" s="26">
        <v>16500</v>
      </c>
    </row>
    <row r="874" spans="1:5" x14ac:dyDescent="0.25">
      <c r="A874" s="24" t="s">
        <v>7</v>
      </c>
      <c r="B874" s="24" t="s">
        <v>2240</v>
      </c>
      <c r="C874" s="25" t="s">
        <v>2241</v>
      </c>
      <c r="D874" s="25" t="s">
        <v>2106</v>
      </c>
      <c r="E874" s="26">
        <v>27910</v>
      </c>
    </row>
    <row r="875" spans="1:5" x14ac:dyDescent="0.25">
      <c r="A875" s="24" t="s">
        <v>7</v>
      </c>
      <c r="B875" s="24" t="s">
        <v>2242</v>
      </c>
      <c r="C875" s="25" t="s">
        <v>2243</v>
      </c>
      <c r="D875" s="25" t="s">
        <v>2244</v>
      </c>
      <c r="E875" s="26">
        <v>27910</v>
      </c>
    </row>
    <row r="876" spans="1:5" x14ac:dyDescent="0.25">
      <c r="A876" s="24" t="s">
        <v>7</v>
      </c>
      <c r="B876" s="24" t="s">
        <v>2245</v>
      </c>
      <c r="C876" s="25" t="s">
        <v>2246</v>
      </c>
      <c r="D876" s="25" t="s">
        <v>2026</v>
      </c>
      <c r="E876" s="26">
        <v>27910</v>
      </c>
    </row>
    <row r="877" spans="1:5" x14ac:dyDescent="0.25">
      <c r="A877" s="24" t="s">
        <v>7</v>
      </c>
      <c r="B877" s="24" t="s">
        <v>2247</v>
      </c>
      <c r="C877" s="25" t="s">
        <v>2248</v>
      </c>
      <c r="D877" s="25" t="s">
        <v>2249</v>
      </c>
      <c r="E877" s="26">
        <v>27910</v>
      </c>
    </row>
    <row r="878" spans="1:5" x14ac:dyDescent="0.25">
      <c r="A878" s="24" t="s">
        <v>7</v>
      </c>
      <c r="B878" s="24" t="s">
        <v>2250</v>
      </c>
      <c r="C878" s="25" t="s">
        <v>2251</v>
      </c>
      <c r="D878" s="25" t="s">
        <v>2252</v>
      </c>
      <c r="E878" s="26">
        <v>27910</v>
      </c>
    </row>
    <row r="879" spans="1:5" x14ac:dyDescent="0.25">
      <c r="A879" s="24" t="s">
        <v>7</v>
      </c>
      <c r="B879" s="24" t="s">
        <v>2253</v>
      </c>
      <c r="C879" s="25" t="s">
        <v>2254</v>
      </c>
      <c r="D879" s="25" t="s">
        <v>2255</v>
      </c>
      <c r="E879" s="26">
        <v>16366</v>
      </c>
    </row>
    <row r="880" spans="1:5" x14ac:dyDescent="0.25">
      <c r="A880" s="24" t="s">
        <v>7</v>
      </c>
      <c r="B880" s="24" t="s">
        <v>2256</v>
      </c>
      <c r="C880" s="25" t="s">
        <v>2257</v>
      </c>
      <c r="D880" s="25" t="s">
        <v>2258</v>
      </c>
      <c r="E880" s="26">
        <v>6340</v>
      </c>
    </row>
    <row r="881" spans="1:6" x14ac:dyDescent="0.25">
      <c r="A881" s="24" t="s">
        <v>7</v>
      </c>
      <c r="B881" s="24" t="s">
        <v>2259</v>
      </c>
      <c r="C881" s="25" t="s">
        <v>2260</v>
      </c>
      <c r="D881" s="25" t="s">
        <v>2261</v>
      </c>
      <c r="E881" s="26">
        <v>27910</v>
      </c>
    </row>
    <row r="882" spans="1:6" x14ac:dyDescent="0.25">
      <c r="A882" s="24" t="s">
        <v>7</v>
      </c>
      <c r="B882" s="24" t="s">
        <v>2262</v>
      </c>
      <c r="C882" s="25" t="s">
        <v>2263</v>
      </c>
      <c r="D882" s="25" t="s">
        <v>2264</v>
      </c>
      <c r="E882" s="26">
        <v>13529</v>
      </c>
    </row>
    <row r="883" spans="1:6" x14ac:dyDescent="0.25">
      <c r="A883" s="24" t="s">
        <v>7</v>
      </c>
      <c r="B883" s="24" t="s">
        <v>2265</v>
      </c>
      <c r="C883" s="25" t="s">
        <v>2266</v>
      </c>
      <c r="D883" s="25" t="s">
        <v>2267</v>
      </c>
      <c r="E883" s="26">
        <v>27910</v>
      </c>
    </row>
    <row r="884" spans="1:6" x14ac:dyDescent="0.25">
      <c r="A884" s="24" t="s">
        <v>7</v>
      </c>
      <c r="B884" s="24" t="s">
        <v>2268</v>
      </c>
      <c r="C884" s="25" t="s">
        <v>2269</v>
      </c>
      <c r="D884" s="25" t="s">
        <v>2270</v>
      </c>
      <c r="E884" s="26">
        <v>27910</v>
      </c>
    </row>
    <row r="885" spans="1:6" x14ac:dyDescent="0.25">
      <c r="A885" s="24" t="s">
        <v>7</v>
      </c>
      <c r="B885" s="24" t="s">
        <v>2271</v>
      </c>
      <c r="C885" s="25" t="s">
        <v>2272</v>
      </c>
      <c r="D885" s="25" t="s">
        <v>2273</v>
      </c>
      <c r="E885" s="26">
        <v>27910</v>
      </c>
    </row>
    <row r="886" spans="1:6" x14ac:dyDescent="0.25">
      <c r="A886" s="24" t="s">
        <v>7</v>
      </c>
      <c r="B886" s="24" t="s">
        <v>2274</v>
      </c>
      <c r="C886" s="25" t="s">
        <v>2275</v>
      </c>
      <c r="D886" s="25" t="s">
        <v>2276</v>
      </c>
      <c r="E886" s="26">
        <v>27910</v>
      </c>
    </row>
    <row r="887" spans="1:6" x14ac:dyDescent="0.25">
      <c r="A887" s="24" t="s">
        <v>7</v>
      </c>
      <c r="B887" s="24" t="s">
        <v>2277</v>
      </c>
      <c r="C887" s="25" t="s">
        <v>2278</v>
      </c>
      <c r="D887" s="25" t="s">
        <v>2279</v>
      </c>
      <c r="E887" s="26">
        <v>27910</v>
      </c>
      <c r="F887" s="24" t="s">
        <v>502</v>
      </c>
    </row>
    <row r="888" spans="1:6" x14ac:dyDescent="0.25">
      <c r="A888" s="24" t="s">
        <v>7</v>
      </c>
      <c r="B888" s="24" t="s">
        <v>2280</v>
      </c>
      <c r="C888" s="25" t="s">
        <v>2281</v>
      </c>
      <c r="D888" s="25" t="s">
        <v>2279</v>
      </c>
      <c r="E888" s="26">
        <v>27910</v>
      </c>
      <c r="F888" s="24" t="s">
        <v>502</v>
      </c>
    </row>
    <row r="889" spans="1:6" x14ac:dyDescent="0.25">
      <c r="A889" s="24" t="s">
        <v>7</v>
      </c>
      <c r="B889" s="24" t="s">
        <v>2282</v>
      </c>
      <c r="C889" s="25" t="s">
        <v>2283</v>
      </c>
      <c r="D889" s="25" t="s">
        <v>2284</v>
      </c>
      <c r="E889" s="26">
        <v>27910</v>
      </c>
      <c r="F889" s="24" t="s">
        <v>502</v>
      </c>
    </row>
    <row r="890" spans="1:6" x14ac:dyDescent="0.25">
      <c r="A890" s="24" t="s">
        <v>7</v>
      </c>
      <c r="B890" s="24" t="s">
        <v>2285</v>
      </c>
      <c r="C890" s="25" t="s">
        <v>2286</v>
      </c>
      <c r="D890" s="25" t="s">
        <v>2287</v>
      </c>
      <c r="E890" s="26">
        <v>10158</v>
      </c>
      <c r="F890" s="24" t="s">
        <v>502</v>
      </c>
    </row>
    <row r="891" spans="1:6" x14ac:dyDescent="0.25">
      <c r="A891" s="24" t="s">
        <v>7</v>
      </c>
      <c r="B891" s="24" t="s">
        <v>2288</v>
      </c>
      <c r="C891" s="25" t="s">
        <v>2289</v>
      </c>
      <c r="D891" s="25" t="s">
        <v>2279</v>
      </c>
      <c r="E891" s="26">
        <v>12930</v>
      </c>
      <c r="F891" s="24" t="s">
        <v>502</v>
      </c>
    </row>
    <row r="892" spans="1:6" x14ac:dyDescent="0.25">
      <c r="A892" s="24" t="s">
        <v>7</v>
      </c>
      <c r="B892" s="24" t="s">
        <v>2290</v>
      </c>
      <c r="C892" s="25" t="s">
        <v>2291</v>
      </c>
      <c r="D892" s="25" t="s">
        <v>2292</v>
      </c>
      <c r="E892" s="26">
        <v>27910</v>
      </c>
      <c r="F892" s="24" t="s">
        <v>502</v>
      </c>
    </row>
    <row r="893" spans="1:6" x14ac:dyDescent="0.25">
      <c r="A893" s="24" t="s">
        <v>7</v>
      </c>
      <c r="B893" s="24" t="s">
        <v>2293</v>
      </c>
      <c r="C893" s="25" t="s">
        <v>2294</v>
      </c>
      <c r="D893" s="25" t="s">
        <v>2295</v>
      </c>
      <c r="E893" s="26">
        <v>27910</v>
      </c>
      <c r="F893" s="24" t="s">
        <v>502</v>
      </c>
    </row>
    <row r="894" spans="1:6" x14ac:dyDescent="0.25">
      <c r="A894" s="24" t="s">
        <v>7</v>
      </c>
      <c r="B894" s="24" t="s">
        <v>2296</v>
      </c>
      <c r="C894" s="25" t="s">
        <v>2297</v>
      </c>
      <c r="D894" s="25" t="s">
        <v>2298</v>
      </c>
      <c r="E894" s="26">
        <v>27910</v>
      </c>
      <c r="F894" s="24" t="s">
        <v>502</v>
      </c>
    </row>
    <row r="895" spans="1:6" x14ac:dyDescent="0.25">
      <c r="A895" s="24" t="s">
        <v>7</v>
      </c>
      <c r="B895" s="24" t="s">
        <v>2299</v>
      </c>
      <c r="C895" s="25" t="s">
        <v>2300</v>
      </c>
      <c r="D895" s="25" t="s">
        <v>2301</v>
      </c>
      <c r="E895" s="26">
        <v>27910</v>
      </c>
      <c r="F895" s="24" t="s">
        <v>502</v>
      </c>
    </row>
    <row r="896" spans="1:6" x14ac:dyDescent="0.25">
      <c r="A896" s="24" t="s">
        <v>7</v>
      </c>
      <c r="B896" s="24" t="s">
        <v>2302</v>
      </c>
      <c r="C896" s="25" t="s">
        <v>2303</v>
      </c>
      <c r="D896" s="25" t="s">
        <v>2304</v>
      </c>
      <c r="E896" s="26">
        <v>3958</v>
      </c>
      <c r="F896" s="24" t="s">
        <v>502</v>
      </c>
    </row>
    <row r="897" spans="1:6" x14ac:dyDescent="0.25">
      <c r="A897" s="24" t="s">
        <v>7</v>
      </c>
      <c r="B897" s="24" t="s">
        <v>2305</v>
      </c>
      <c r="C897" s="25" t="s">
        <v>2306</v>
      </c>
      <c r="D897" s="25" t="s">
        <v>2306</v>
      </c>
      <c r="E897" s="26">
        <v>3972</v>
      </c>
      <c r="F897" s="24" t="s">
        <v>502</v>
      </c>
    </row>
    <row r="898" spans="1:6" x14ac:dyDescent="0.25">
      <c r="A898" s="24" t="s">
        <v>7</v>
      </c>
      <c r="B898" s="24" t="s">
        <v>2307</v>
      </c>
      <c r="C898" s="25" t="s">
        <v>2308</v>
      </c>
      <c r="D898" s="25" t="s">
        <v>2308</v>
      </c>
      <c r="E898" s="26">
        <v>6624</v>
      </c>
      <c r="F898" s="24" t="s">
        <v>502</v>
      </c>
    </row>
    <row r="899" spans="1:6" x14ac:dyDescent="0.25">
      <c r="A899" s="24" t="s">
        <v>7</v>
      </c>
      <c r="B899" s="24" t="s">
        <v>2309</v>
      </c>
      <c r="C899" s="25" t="s">
        <v>2310</v>
      </c>
      <c r="D899" s="25" t="s">
        <v>2310</v>
      </c>
      <c r="E899" s="26">
        <v>7654</v>
      </c>
      <c r="F899" s="24" t="s">
        <v>502</v>
      </c>
    </row>
    <row r="900" spans="1:6" x14ac:dyDescent="0.25">
      <c r="A900" s="24" t="s">
        <v>7</v>
      </c>
      <c r="B900" s="24" t="s">
        <v>2311</v>
      </c>
      <c r="C900" s="25" t="s">
        <v>2312</v>
      </c>
      <c r="D900" s="25" t="s">
        <v>2313</v>
      </c>
      <c r="E900" s="26">
        <v>34570</v>
      </c>
    </row>
    <row r="901" spans="1:6" x14ac:dyDescent="0.25">
      <c r="A901" s="24" t="s">
        <v>7</v>
      </c>
      <c r="B901" s="24" t="s">
        <v>2314</v>
      </c>
      <c r="C901" s="25" t="s">
        <v>2315</v>
      </c>
      <c r="D901" s="25" t="s">
        <v>2316</v>
      </c>
      <c r="E901" s="26">
        <v>3958</v>
      </c>
    </row>
    <row r="902" spans="1:6" x14ac:dyDescent="0.25">
      <c r="A902" s="24" t="s">
        <v>7</v>
      </c>
      <c r="B902" s="24" t="s">
        <v>2317</v>
      </c>
      <c r="C902" s="25" t="s">
        <v>2318</v>
      </c>
      <c r="D902" s="25" t="s">
        <v>2319</v>
      </c>
      <c r="E902" s="26">
        <v>9330</v>
      </c>
      <c r="F902" s="24" t="s">
        <v>502</v>
      </c>
    </row>
    <row r="903" spans="1:6" x14ac:dyDescent="0.25">
      <c r="A903" s="24" t="s">
        <v>7</v>
      </c>
      <c r="B903" s="24" t="s">
        <v>2320</v>
      </c>
      <c r="C903" s="25" t="s">
        <v>2321</v>
      </c>
      <c r="D903" s="25" t="s">
        <v>2322</v>
      </c>
      <c r="E903" s="26">
        <v>8370</v>
      </c>
      <c r="F903" s="24" t="s">
        <v>502</v>
      </c>
    </row>
    <row r="904" spans="1:6" x14ac:dyDescent="0.25">
      <c r="A904" s="24" t="s">
        <v>7</v>
      </c>
      <c r="B904" s="24" t="s">
        <v>2323</v>
      </c>
      <c r="C904" s="25" t="s">
        <v>2324</v>
      </c>
      <c r="D904" s="25" t="s">
        <v>2325</v>
      </c>
      <c r="E904" s="26">
        <v>9259</v>
      </c>
      <c r="F904" s="24" t="s">
        <v>502</v>
      </c>
    </row>
    <row r="905" spans="1:6" x14ac:dyDescent="0.25">
      <c r="A905" s="24" t="s">
        <v>7</v>
      </c>
      <c r="B905" s="24" t="s">
        <v>2326</v>
      </c>
      <c r="C905" s="25" t="s">
        <v>2327</v>
      </c>
      <c r="D905" s="25" t="s">
        <v>2328</v>
      </c>
      <c r="E905" s="26">
        <v>10396</v>
      </c>
      <c r="F905" s="24" t="s">
        <v>502</v>
      </c>
    </row>
    <row r="906" spans="1:6" x14ac:dyDescent="0.25">
      <c r="A906" s="24" t="s">
        <v>7</v>
      </c>
      <c r="B906" s="24" t="s">
        <v>2329</v>
      </c>
      <c r="C906" s="25" t="s">
        <v>2330</v>
      </c>
      <c r="D906" s="25" t="s">
        <v>2331</v>
      </c>
      <c r="E906" s="26">
        <v>6948</v>
      </c>
      <c r="F906" s="24" t="s">
        <v>502</v>
      </c>
    </row>
    <row r="907" spans="1:6" x14ac:dyDescent="0.25">
      <c r="A907" s="24" t="s">
        <v>7</v>
      </c>
      <c r="B907" s="24" t="s">
        <v>2332</v>
      </c>
      <c r="C907" s="25" t="s">
        <v>2333</v>
      </c>
      <c r="D907" s="25" t="s">
        <v>2334</v>
      </c>
      <c r="E907" s="26">
        <v>3849</v>
      </c>
      <c r="F907" s="24" t="s">
        <v>502</v>
      </c>
    </row>
    <row r="908" spans="1:6" x14ac:dyDescent="0.25">
      <c r="A908" s="24" t="s">
        <v>7</v>
      </c>
      <c r="B908" s="24" t="s">
        <v>2335</v>
      </c>
      <c r="C908" s="25" t="s">
        <v>2336</v>
      </c>
      <c r="D908" s="25" t="s">
        <v>2336</v>
      </c>
      <c r="E908" s="26">
        <v>37006</v>
      </c>
      <c r="F908" s="24" t="s">
        <v>502</v>
      </c>
    </row>
    <row r="909" spans="1:6" x14ac:dyDescent="0.25">
      <c r="A909" s="24" t="s">
        <v>7</v>
      </c>
      <c r="B909" s="24" t="s">
        <v>2337</v>
      </c>
      <c r="C909" s="25" t="s">
        <v>2338</v>
      </c>
      <c r="D909" s="25" t="s">
        <v>2339</v>
      </c>
      <c r="E909" s="26">
        <v>39169</v>
      </c>
    </row>
    <row r="910" spans="1:6" x14ac:dyDescent="0.25">
      <c r="A910" s="24" t="s">
        <v>7</v>
      </c>
      <c r="B910" s="24" t="s">
        <v>2340</v>
      </c>
      <c r="C910" s="25" t="s">
        <v>2341</v>
      </c>
      <c r="D910" s="25" t="s">
        <v>2341</v>
      </c>
      <c r="E910" s="26">
        <v>3958</v>
      </c>
      <c r="F910" s="24" t="s">
        <v>502</v>
      </c>
    </row>
    <row r="911" spans="1:6" x14ac:dyDescent="0.25">
      <c r="A911" s="24" t="s">
        <v>7</v>
      </c>
      <c r="B911" s="24" t="s">
        <v>2342</v>
      </c>
      <c r="C911" s="25" t="s">
        <v>2343</v>
      </c>
      <c r="D911" s="25" t="s">
        <v>1817</v>
      </c>
      <c r="E911" s="26">
        <v>5673</v>
      </c>
    </row>
    <row r="912" spans="1:6" x14ac:dyDescent="0.25">
      <c r="A912" s="24" t="s">
        <v>7</v>
      </c>
      <c r="B912" s="24" t="s">
        <v>2344</v>
      </c>
      <c r="C912" s="25" t="s">
        <v>2345</v>
      </c>
      <c r="D912" s="25" t="s">
        <v>2346</v>
      </c>
      <c r="E912" s="26">
        <v>3782</v>
      </c>
    </row>
    <row r="913" spans="1:6" x14ac:dyDescent="0.25">
      <c r="A913" s="24" t="s">
        <v>7</v>
      </c>
      <c r="B913" s="24" t="s">
        <v>2347</v>
      </c>
      <c r="C913" s="25" t="s">
        <v>2348</v>
      </c>
      <c r="D913" s="25" t="s">
        <v>2349</v>
      </c>
      <c r="E913" s="26">
        <v>10086</v>
      </c>
    </row>
    <row r="914" spans="1:6" x14ac:dyDescent="0.25">
      <c r="A914" s="24" t="s">
        <v>7</v>
      </c>
      <c r="B914" s="24" t="s">
        <v>2350</v>
      </c>
      <c r="C914" s="25" t="s">
        <v>2351</v>
      </c>
      <c r="D914" s="25" t="s">
        <v>2352</v>
      </c>
      <c r="E914" s="26">
        <v>21387</v>
      </c>
      <c r="F914" s="24" t="s">
        <v>502</v>
      </c>
    </row>
    <row r="915" spans="1:6" x14ac:dyDescent="0.25">
      <c r="A915" s="24" t="s">
        <v>7</v>
      </c>
      <c r="B915" s="24" t="s">
        <v>2353</v>
      </c>
      <c r="C915" s="25" t="s">
        <v>2354</v>
      </c>
      <c r="D915" s="25" t="s">
        <v>2355</v>
      </c>
      <c r="E915" s="26">
        <v>3958</v>
      </c>
      <c r="F915" s="24" t="s">
        <v>502</v>
      </c>
    </row>
    <row r="916" spans="1:6" x14ac:dyDescent="0.25">
      <c r="A916" s="24" t="s">
        <v>7</v>
      </c>
      <c r="B916" s="24" t="s">
        <v>2356</v>
      </c>
      <c r="C916" s="25" t="s">
        <v>2357</v>
      </c>
      <c r="D916" s="25" t="s">
        <v>2358</v>
      </c>
      <c r="E916" s="26">
        <v>7393</v>
      </c>
      <c r="F916" s="24" t="s">
        <v>502</v>
      </c>
    </row>
    <row r="917" spans="1:6" x14ac:dyDescent="0.25">
      <c r="A917" s="24" t="s">
        <v>7</v>
      </c>
      <c r="B917" s="24" t="s">
        <v>2359</v>
      </c>
      <c r="C917" s="25" t="s">
        <v>2360</v>
      </c>
      <c r="D917" s="25" t="s">
        <v>2361</v>
      </c>
      <c r="E917" s="26">
        <v>3958</v>
      </c>
      <c r="F917" s="24" t="s">
        <v>502</v>
      </c>
    </row>
    <row r="918" spans="1:6" x14ac:dyDescent="0.25">
      <c r="A918" s="24" t="s">
        <v>7</v>
      </c>
      <c r="B918" s="24" t="s">
        <v>2362</v>
      </c>
      <c r="C918" s="25" t="s">
        <v>2363</v>
      </c>
      <c r="D918" s="25" t="s">
        <v>2364</v>
      </c>
      <c r="E918" s="26">
        <v>3958</v>
      </c>
      <c r="F918" s="24" t="s">
        <v>502</v>
      </c>
    </row>
    <row r="919" spans="1:6" x14ac:dyDescent="0.25">
      <c r="A919" s="24" t="s">
        <v>7</v>
      </c>
      <c r="B919" s="24" t="s">
        <v>2365</v>
      </c>
      <c r="C919" s="25" t="s">
        <v>2366</v>
      </c>
      <c r="D919" s="25" t="s">
        <v>2367</v>
      </c>
      <c r="E919" s="26">
        <v>2564</v>
      </c>
    </row>
    <row r="920" spans="1:6" x14ac:dyDescent="0.25">
      <c r="A920" s="24" t="s">
        <v>7</v>
      </c>
      <c r="B920" s="24" t="s">
        <v>2368</v>
      </c>
      <c r="C920" s="25" t="s">
        <v>2369</v>
      </c>
      <c r="D920" s="25" t="s">
        <v>2370</v>
      </c>
      <c r="E920" s="26">
        <v>3958</v>
      </c>
    </row>
    <row r="921" spans="1:6" x14ac:dyDescent="0.25">
      <c r="A921" s="24" t="s">
        <v>7</v>
      </c>
      <c r="B921" s="24" t="s">
        <v>2371</v>
      </c>
      <c r="C921" s="25" t="s">
        <v>2372</v>
      </c>
      <c r="D921" s="25" t="s">
        <v>2373</v>
      </c>
      <c r="E921" s="26">
        <v>7183</v>
      </c>
    </row>
    <row r="922" spans="1:6" x14ac:dyDescent="0.25">
      <c r="A922" s="24" t="s">
        <v>7</v>
      </c>
      <c r="B922" s="24" t="s">
        <v>2374</v>
      </c>
      <c r="C922" s="25" t="s">
        <v>2375</v>
      </c>
      <c r="D922" s="25" t="s">
        <v>2376</v>
      </c>
      <c r="E922" s="26">
        <v>3958</v>
      </c>
      <c r="F922" s="24" t="s">
        <v>502</v>
      </c>
    </row>
    <row r="923" spans="1:6" x14ac:dyDescent="0.25">
      <c r="A923" s="24" t="s">
        <v>7</v>
      </c>
      <c r="B923" s="24" t="s">
        <v>2377</v>
      </c>
      <c r="C923" s="25" t="s">
        <v>2378</v>
      </c>
      <c r="D923" s="25" t="s">
        <v>2379</v>
      </c>
      <c r="E923" s="26">
        <v>6213</v>
      </c>
    </row>
    <row r="924" spans="1:6" x14ac:dyDescent="0.25">
      <c r="A924" s="24" t="s">
        <v>7</v>
      </c>
      <c r="B924" s="24" t="s">
        <v>2380</v>
      </c>
      <c r="C924" s="25" t="s">
        <v>2381</v>
      </c>
      <c r="D924" s="25" t="s">
        <v>2382</v>
      </c>
      <c r="E924" s="26">
        <v>15376</v>
      </c>
    </row>
    <row r="925" spans="1:6" x14ac:dyDescent="0.25">
      <c r="A925" s="24" t="s">
        <v>7</v>
      </c>
      <c r="B925" s="24" t="s">
        <v>2383</v>
      </c>
      <c r="C925" s="25" t="s">
        <v>2384</v>
      </c>
      <c r="D925" s="25" t="s">
        <v>2385</v>
      </c>
      <c r="E925" s="26">
        <v>3958</v>
      </c>
    </row>
    <row r="926" spans="1:6" x14ac:dyDescent="0.25">
      <c r="A926" s="24" t="s">
        <v>7</v>
      </c>
      <c r="B926" s="24" t="s">
        <v>2386</v>
      </c>
      <c r="C926" s="25" t="s">
        <v>2387</v>
      </c>
      <c r="D926" s="25" t="s">
        <v>2388</v>
      </c>
      <c r="E926" s="26">
        <v>3958</v>
      </c>
      <c r="F926" s="24" t="s">
        <v>502</v>
      </c>
    </row>
    <row r="927" spans="1:6" x14ac:dyDescent="0.25">
      <c r="A927" s="24" t="s">
        <v>7</v>
      </c>
      <c r="B927" s="24" t="s">
        <v>2389</v>
      </c>
      <c r="C927" s="25" t="s">
        <v>2390</v>
      </c>
      <c r="D927" s="25" t="s">
        <v>2391</v>
      </c>
      <c r="E927" s="26">
        <v>1258</v>
      </c>
      <c r="F927" s="24" t="s">
        <v>502</v>
      </c>
    </row>
    <row r="928" spans="1:6" x14ac:dyDescent="0.25">
      <c r="A928" s="24" t="s">
        <v>7</v>
      </c>
      <c r="B928" s="24" t="s">
        <v>2392</v>
      </c>
      <c r="C928" s="25" t="s">
        <v>2393</v>
      </c>
      <c r="D928" s="25" t="s">
        <v>2394</v>
      </c>
      <c r="E928" s="26">
        <v>7371</v>
      </c>
      <c r="F928" s="24" t="s">
        <v>502</v>
      </c>
    </row>
    <row r="929" spans="1:6" x14ac:dyDescent="0.25">
      <c r="A929" s="24" t="s">
        <v>7</v>
      </c>
      <c r="B929" s="24" t="s">
        <v>2395</v>
      </c>
      <c r="C929" s="25" t="s">
        <v>2396</v>
      </c>
      <c r="D929" s="25" t="s">
        <v>2397</v>
      </c>
      <c r="E929" s="26">
        <v>105503</v>
      </c>
      <c r="F929" s="24" t="s">
        <v>502</v>
      </c>
    </row>
    <row r="930" spans="1:6" x14ac:dyDescent="0.25">
      <c r="A930" s="24" t="s">
        <v>7</v>
      </c>
      <c r="B930" s="24" t="s">
        <v>2398</v>
      </c>
      <c r="C930" s="25" t="s">
        <v>2399</v>
      </c>
      <c r="D930" s="25" t="s">
        <v>2400</v>
      </c>
      <c r="E930" s="26">
        <v>9419</v>
      </c>
      <c r="F930" s="24" t="s">
        <v>502</v>
      </c>
    </row>
    <row r="931" spans="1:6" x14ac:dyDescent="0.25">
      <c r="A931" s="24" t="s">
        <v>7</v>
      </c>
      <c r="B931" s="24" t="s">
        <v>2401</v>
      </c>
      <c r="C931" s="25" t="s">
        <v>2402</v>
      </c>
      <c r="D931" s="25" t="s">
        <v>2403</v>
      </c>
      <c r="E931" s="26">
        <v>15506</v>
      </c>
    </row>
    <row r="932" spans="1:6" x14ac:dyDescent="0.25">
      <c r="A932" s="24" t="s">
        <v>7</v>
      </c>
      <c r="B932" s="24" t="s">
        <v>2404</v>
      </c>
      <c r="C932" s="25" t="s">
        <v>2405</v>
      </c>
      <c r="D932" s="25" t="s">
        <v>2406</v>
      </c>
      <c r="E932" s="26">
        <v>3958</v>
      </c>
      <c r="F932" s="24" t="s">
        <v>502</v>
      </c>
    </row>
    <row r="933" spans="1:6" x14ac:dyDescent="0.25">
      <c r="A933" s="24" t="s">
        <v>7</v>
      </c>
      <c r="B933" s="24" t="s">
        <v>2407</v>
      </c>
      <c r="C933" s="25" t="s">
        <v>2408</v>
      </c>
      <c r="D933" s="25" t="s">
        <v>2409</v>
      </c>
      <c r="E933" s="26">
        <v>785</v>
      </c>
      <c r="F933" s="24" t="s">
        <v>502</v>
      </c>
    </row>
    <row r="934" spans="1:6" x14ac:dyDescent="0.25">
      <c r="A934" s="24" t="s">
        <v>7</v>
      </c>
      <c r="B934" s="24" t="s">
        <v>2410</v>
      </c>
      <c r="C934" s="25" t="s">
        <v>2393</v>
      </c>
      <c r="D934" s="25" t="s">
        <v>2411</v>
      </c>
      <c r="E934" s="26">
        <v>21682</v>
      </c>
    </row>
    <row r="935" spans="1:6" x14ac:dyDescent="0.25">
      <c r="A935" s="24" t="s">
        <v>7</v>
      </c>
      <c r="B935" s="24" t="s">
        <v>2412</v>
      </c>
      <c r="C935" s="25" t="s">
        <v>2413</v>
      </c>
      <c r="D935" s="25" t="s">
        <v>2414</v>
      </c>
      <c r="E935" s="26">
        <v>41497</v>
      </c>
      <c r="F935" s="24" t="s">
        <v>502</v>
      </c>
    </row>
    <row r="936" spans="1:6" x14ac:dyDescent="0.25">
      <c r="A936" s="24" t="s">
        <v>7</v>
      </c>
      <c r="B936" s="24" t="s">
        <v>2415</v>
      </c>
      <c r="C936" s="25" t="s">
        <v>2416</v>
      </c>
      <c r="D936" s="25" t="s">
        <v>2417</v>
      </c>
      <c r="E936" s="26">
        <v>46009</v>
      </c>
    </row>
    <row r="937" spans="1:6" x14ac:dyDescent="0.25">
      <c r="A937" s="24" t="s">
        <v>7</v>
      </c>
      <c r="B937" s="24" t="s">
        <v>2418</v>
      </c>
      <c r="C937" s="25" t="s">
        <v>2419</v>
      </c>
      <c r="D937" s="25" t="s">
        <v>2420</v>
      </c>
      <c r="E937" s="26">
        <v>9419</v>
      </c>
    </row>
    <row r="938" spans="1:6" x14ac:dyDescent="0.25">
      <c r="A938" s="24" t="s">
        <v>7</v>
      </c>
      <c r="B938" s="24" t="s">
        <v>2421</v>
      </c>
      <c r="C938" s="25" t="s">
        <v>2422</v>
      </c>
      <c r="D938" s="25" t="s">
        <v>2423</v>
      </c>
      <c r="E938" s="26">
        <v>38628</v>
      </c>
    </row>
    <row r="939" spans="1:6" x14ac:dyDescent="0.25">
      <c r="A939" s="24" t="s">
        <v>7</v>
      </c>
      <c r="B939" s="24" t="s">
        <v>2424</v>
      </c>
      <c r="C939" s="25" t="s">
        <v>2425</v>
      </c>
      <c r="D939" s="25" t="s">
        <v>2426</v>
      </c>
      <c r="E939" s="26">
        <v>3958</v>
      </c>
      <c r="F939" s="24" t="s">
        <v>502</v>
      </c>
    </row>
    <row r="940" spans="1:6" x14ac:dyDescent="0.25">
      <c r="A940" s="24" t="s">
        <v>7</v>
      </c>
      <c r="B940" s="24" t="s">
        <v>2427</v>
      </c>
      <c r="C940" s="25" t="s">
        <v>2428</v>
      </c>
      <c r="D940" s="25" t="s">
        <v>2428</v>
      </c>
      <c r="E940" s="26">
        <v>3958</v>
      </c>
      <c r="F940" s="24" t="s">
        <v>502</v>
      </c>
    </row>
    <row r="941" spans="1:6" x14ac:dyDescent="0.25">
      <c r="A941" s="24" t="s">
        <v>7</v>
      </c>
      <c r="B941" s="24" t="s">
        <v>2429</v>
      </c>
      <c r="C941" s="25" t="s">
        <v>2430</v>
      </c>
      <c r="D941" s="25" t="s">
        <v>2431</v>
      </c>
      <c r="E941" s="26">
        <v>3958</v>
      </c>
      <c r="F941" s="24" t="s">
        <v>502</v>
      </c>
    </row>
    <row r="942" spans="1:6" x14ac:dyDescent="0.25">
      <c r="A942" s="24" t="s">
        <v>7</v>
      </c>
      <c r="B942" s="24" t="s">
        <v>2432</v>
      </c>
      <c r="C942" s="25" t="s">
        <v>2433</v>
      </c>
      <c r="D942" s="25" t="s">
        <v>1487</v>
      </c>
      <c r="E942" s="26">
        <v>2333</v>
      </c>
      <c r="F942" s="24" t="s">
        <v>502</v>
      </c>
    </row>
    <row r="943" spans="1:6" x14ac:dyDescent="0.25">
      <c r="A943" s="24" t="s">
        <v>7</v>
      </c>
      <c r="B943" s="24" t="s">
        <v>2434</v>
      </c>
      <c r="C943" s="25" t="s">
        <v>2435</v>
      </c>
      <c r="D943" s="25" t="s">
        <v>1487</v>
      </c>
      <c r="E943" s="26">
        <v>3958</v>
      </c>
      <c r="F943" s="24" t="s">
        <v>502</v>
      </c>
    </row>
    <row r="944" spans="1:6" x14ac:dyDescent="0.25">
      <c r="A944" s="24" t="s">
        <v>7</v>
      </c>
      <c r="B944" s="24" t="s">
        <v>2436</v>
      </c>
      <c r="C944" s="25" t="s">
        <v>2437</v>
      </c>
      <c r="D944" s="25" t="s">
        <v>2438</v>
      </c>
      <c r="E944" s="26">
        <v>275</v>
      </c>
      <c r="F944" s="24" t="s">
        <v>502</v>
      </c>
    </row>
    <row r="945" spans="1:6" x14ac:dyDescent="0.25">
      <c r="A945" s="24" t="s">
        <v>7</v>
      </c>
      <c r="B945" s="24" t="s">
        <v>2439</v>
      </c>
      <c r="C945" s="25" t="s">
        <v>2440</v>
      </c>
      <c r="D945" s="25" t="s">
        <v>2440</v>
      </c>
      <c r="E945" s="26">
        <v>1158</v>
      </c>
      <c r="F945" s="24" t="s">
        <v>502</v>
      </c>
    </row>
    <row r="946" spans="1:6" x14ac:dyDescent="0.25">
      <c r="A946" s="24" t="s">
        <v>7</v>
      </c>
      <c r="B946" s="24" t="s">
        <v>2441</v>
      </c>
      <c r="C946" s="25" t="s">
        <v>2442</v>
      </c>
      <c r="D946" s="25" t="s">
        <v>2443</v>
      </c>
      <c r="E946" s="26">
        <v>345</v>
      </c>
    </row>
    <row r="947" spans="1:6" x14ac:dyDescent="0.25">
      <c r="A947" s="24" t="s">
        <v>7</v>
      </c>
      <c r="B947" s="24" t="s">
        <v>2444</v>
      </c>
      <c r="C947" s="25" t="s">
        <v>2445</v>
      </c>
      <c r="D947" s="25" t="s">
        <v>2446</v>
      </c>
      <c r="E947" s="26">
        <v>437</v>
      </c>
    </row>
    <row r="948" spans="1:6" x14ac:dyDescent="0.25">
      <c r="A948" s="24" t="s">
        <v>7</v>
      </c>
      <c r="B948" s="24" t="s">
        <v>2447</v>
      </c>
      <c r="C948" s="25" t="s">
        <v>2448</v>
      </c>
      <c r="D948" s="25" t="s">
        <v>2448</v>
      </c>
      <c r="E948" s="26">
        <v>7880</v>
      </c>
      <c r="F948" s="24" t="s">
        <v>502</v>
      </c>
    </row>
    <row r="949" spans="1:6" x14ac:dyDescent="0.25">
      <c r="A949" s="24" t="s">
        <v>7</v>
      </c>
      <c r="B949" s="24" t="s">
        <v>2449</v>
      </c>
      <c r="C949" s="25" t="s">
        <v>2450</v>
      </c>
      <c r="D949" s="25" t="s">
        <v>2450</v>
      </c>
      <c r="E949" s="26">
        <v>22955</v>
      </c>
      <c r="F949" s="24" t="s">
        <v>502</v>
      </c>
    </row>
    <row r="950" spans="1:6" x14ac:dyDescent="0.25">
      <c r="A950" s="24" t="s">
        <v>7</v>
      </c>
      <c r="B950" s="24" t="s">
        <v>2451</v>
      </c>
      <c r="C950" s="25" t="s">
        <v>2452</v>
      </c>
      <c r="D950" s="25" t="s">
        <v>2452</v>
      </c>
      <c r="E950" s="26">
        <v>719</v>
      </c>
      <c r="F950" s="24" t="s">
        <v>502</v>
      </c>
    </row>
    <row r="951" spans="1:6" x14ac:dyDescent="0.25">
      <c r="A951" s="24" t="s">
        <v>7</v>
      </c>
      <c r="B951" s="24" t="s">
        <v>2453</v>
      </c>
      <c r="C951" s="25" t="s">
        <v>2454</v>
      </c>
      <c r="D951" s="25" t="s">
        <v>2455</v>
      </c>
      <c r="E951" s="26">
        <v>800</v>
      </c>
      <c r="F951" s="24" t="s">
        <v>502</v>
      </c>
    </row>
    <row r="952" spans="1:6" x14ac:dyDescent="0.25">
      <c r="A952" s="24" t="s">
        <v>7</v>
      </c>
      <c r="B952" s="24" t="s">
        <v>2456</v>
      </c>
      <c r="C952" s="25" t="s">
        <v>2457</v>
      </c>
      <c r="D952" s="25" t="s">
        <v>2457</v>
      </c>
      <c r="E952" s="26">
        <v>449</v>
      </c>
      <c r="F952" s="24" t="s">
        <v>502</v>
      </c>
    </row>
    <row r="953" spans="1:6" x14ac:dyDescent="0.25">
      <c r="A953" s="24" t="s">
        <v>7</v>
      </c>
      <c r="B953" s="24" t="s">
        <v>2458</v>
      </c>
      <c r="C953" s="25" t="s">
        <v>2459</v>
      </c>
      <c r="D953" s="25" t="s">
        <v>2460</v>
      </c>
      <c r="E953" s="26">
        <v>6135</v>
      </c>
      <c r="F953" s="24" t="s">
        <v>502</v>
      </c>
    </row>
    <row r="954" spans="1:6" x14ac:dyDescent="0.25">
      <c r="A954" s="24" t="s">
        <v>7</v>
      </c>
      <c r="B954" s="24" t="s">
        <v>2461</v>
      </c>
      <c r="C954" s="25" t="s">
        <v>2462</v>
      </c>
      <c r="D954" s="25" t="s">
        <v>2463</v>
      </c>
      <c r="E954" s="26">
        <v>86178</v>
      </c>
      <c r="F954" s="24" t="s">
        <v>502</v>
      </c>
    </row>
    <row r="955" spans="1:6" x14ac:dyDescent="0.25">
      <c r="A955" s="24" t="s">
        <v>7</v>
      </c>
      <c r="B955" s="24" t="s">
        <v>2464</v>
      </c>
      <c r="C955" s="25" t="s">
        <v>2465</v>
      </c>
      <c r="D955" s="25" t="s">
        <v>2466</v>
      </c>
      <c r="E955" s="26">
        <v>269</v>
      </c>
      <c r="F955" s="24" t="s">
        <v>502</v>
      </c>
    </row>
    <row r="956" spans="1:6" x14ac:dyDescent="0.25">
      <c r="A956" s="24" t="s">
        <v>7</v>
      </c>
      <c r="B956" s="24" t="s">
        <v>2467</v>
      </c>
      <c r="C956" s="25" t="s">
        <v>2468</v>
      </c>
      <c r="D956" s="25" t="s">
        <v>2469</v>
      </c>
      <c r="E956" s="26">
        <v>13065</v>
      </c>
      <c r="F956" s="24" t="s">
        <v>502</v>
      </c>
    </row>
    <row r="957" spans="1:6" x14ac:dyDescent="0.25">
      <c r="A957" s="24" t="s">
        <v>7</v>
      </c>
      <c r="B957" s="24" t="s">
        <v>2470</v>
      </c>
      <c r="C957" s="25" t="s">
        <v>2471</v>
      </c>
      <c r="D957" s="25" t="s">
        <v>2472</v>
      </c>
      <c r="E957" s="26">
        <v>48310</v>
      </c>
      <c r="F957" s="24" t="s">
        <v>502</v>
      </c>
    </row>
    <row r="958" spans="1:6" x14ac:dyDescent="0.25">
      <c r="A958" s="24" t="s">
        <v>7</v>
      </c>
      <c r="B958" s="24" t="s">
        <v>2473</v>
      </c>
      <c r="C958" s="25" t="s">
        <v>2474</v>
      </c>
      <c r="D958" s="25" t="s">
        <v>2475</v>
      </c>
      <c r="E958" s="26">
        <v>90272</v>
      </c>
      <c r="F958" s="24" t="s">
        <v>502</v>
      </c>
    </row>
    <row r="959" spans="1:6" x14ac:dyDescent="0.25">
      <c r="A959" s="24" t="s">
        <v>7</v>
      </c>
      <c r="B959" s="24" t="s">
        <v>2476</v>
      </c>
      <c r="C959" s="25" t="s">
        <v>2477</v>
      </c>
      <c r="D959" s="25" t="s">
        <v>2478</v>
      </c>
      <c r="E959" s="26">
        <v>30039</v>
      </c>
      <c r="F959" s="24" t="s">
        <v>502</v>
      </c>
    </row>
    <row r="960" spans="1:6" x14ac:dyDescent="0.25">
      <c r="A960" s="24" t="s">
        <v>7</v>
      </c>
      <c r="B960" s="24" t="s">
        <v>2479</v>
      </c>
      <c r="C960" s="25" t="s">
        <v>2480</v>
      </c>
      <c r="D960" s="25" t="s">
        <v>2478</v>
      </c>
      <c r="E960" s="26">
        <v>22568</v>
      </c>
    </row>
    <row r="961" spans="1:6" x14ac:dyDescent="0.25">
      <c r="A961" s="24" t="s">
        <v>7</v>
      </c>
      <c r="B961" s="24" t="s">
        <v>2481</v>
      </c>
      <c r="C961" s="25" t="s">
        <v>2482</v>
      </c>
      <c r="D961" s="25" t="s">
        <v>2478</v>
      </c>
      <c r="E961" s="26">
        <v>7533</v>
      </c>
      <c r="F961" s="24" t="s">
        <v>502</v>
      </c>
    </row>
    <row r="962" spans="1:6" x14ac:dyDescent="0.25">
      <c r="A962" s="24" t="s">
        <v>7</v>
      </c>
      <c r="B962" s="24" t="s">
        <v>2483</v>
      </c>
      <c r="C962" s="25" t="s">
        <v>2484</v>
      </c>
      <c r="D962" s="25" t="s">
        <v>2485</v>
      </c>
      <c r="E962" s="26">
        <v>1412</v>
      </c>
      <c r="F962" s="24" t="s">
        <v>502</v>
      </c>
    </row>
    <row r="963" spans="1:6" x14ac:dyDescent="0.25">
      <c r="A963" s="24" t="s">
        <v>7</v>
      </c>
      <c r="B963" s="24" t="s">
        <v>2486</v>
      </c>
      <c r="C963" s="25" t="s">
        <v>2487</v>
      </c>
      <c r="D963" s="25" t="s">
        <v>2478</v>
      </c>
      <c r="E963" s="26">
        <v>60795</v>
      </c>
      <c r="F963" s="24" t="s">
        <v>502</v>
      </c>
    </row>
    <row r="964" spans="1:6" x14ac:dyDescent="0.25">
      <c r="A964" s="24" t="s">
        <v>7</v>
      </c>
      <c r="B964" s="24" t="s">
        <v>2488</v>
      </c>
      <c r="C964" s="25" t="s">
        <v>2489</v>
      </c>
      <c r="D964" s="25" t="s">
        <v>2478</v>
      </c>
      <c r="E964" s="26">
        <v>25609</v>
      </c>
      <c r="F964" s="24" t="s">
        <v>502</v>
      </c>
    </row>
    <row r="965" spans="1:6" x14ac:dyDescent="0.25">
      <c r="A965" s="24" t="s">
        <v>7</v>
      </c>
      <c r="B965" s="24" t="s">
        <v>2490</v>
      </c>
      <c r="C965" s="25" t="s">
        <v>2491</v>
      </c>
      <c r="D965" s="25" t="s">
        <v>2478</v>
      </c>
      <c r="E965" s="26">
        <v>9143</v>
      </c>
      <c r="F965" s="24" t="s">
        <v>502</v>
      </c>
    </row>
    <row r="966" spans="1:6" x14ac:dyDescent="0.25">
      <c r="A966" s="24" t="s">
        <v>7</v>
      </c>
      <c r="B966" s="24" t="s">
        <v>2492</v>
      </c>
      <c r="C966" s="25" t="s">
        <v>2493</v>
      </c>
      <c r="D966" s="25" t="s">
        <v>2494</v>
      </c>
      <c r="E966" s="26">
        <v>5168</v>
      </c>
    </row>
    <row r="967" spans="1:6" x14ac:dyDescent="0.25">
      <c r="A967" s="24" t="s">
        <v>7</v>
      </c>
      <c r="B967" s="24" t="s">
        <v>2495</v>
      </c>
      <c r="C967" s="25" t="s">
        <v>2496</v>
      </c>
      <c r="D967" s="25" t="s">
        <v>2497</v>
      </c>
      <c r="E967" s="26">
        <v>11445</v>
      </c>
    </row>
    <row r="968" spans="1:6" x14ac:dyDescent="0.25">
      <c r="A968" s="24" t="s">
        <v>7</v>
      </c>
      <c r="B968" s="24" t="s">
        <v>2498</v>
      </c>
      <c r="C968" s="25" t="s">
        <v>2499</v>
      </c>
      <c r="D968" s="25" t="s">
        <v>2500</v>
      </c>
      <c r="E968" s="26">
        <v>14346</v>
      </c>
    </row>
    <row r="969" spans="1:6" x14ac:dyDescent="0.25">
      <c r="A969" s="24" t="s">
        <v>7</v>
      </c>
      <c r="B969" s="24" t="s">
        <v>2501</v>
      </c>
      <c r="C969" s="25" t="s">
        <v>2502</v>
      </c>
      <c r="D969" s="25" t="s">
        <v>2503</v>
      </c>
      <c r="E969" s="26">
        <v>1500</v>
      </c>
      <c r="F969" s="24" t="s">
        <v>502</v>
      </c>
    </row>
    <row r="970" spans="1:6" x14ac:dyDescent="0.25">
      <c r="A970" s="24" t="s">
        <v>7</v>
      </c>
      <c r="B970" s="24" t="s">
        <v>2504</v>
      </c>
      <c r="C970" s="25" t="s">
        <v>2505</v>
      </c>
      <c r="D970" s="25" t="s">
        <v>2506</v>
      </c>
      <c r="E970" s="26">
        <v>31112</v>
      </c>
    </row>
    <row r="971" spans="1:6" x14ac:dyDescent="0.25">
      <c r="A971" s="24" t="s">
        <v>7</v>
      </c>
      <c r="B971" s="24" t="s">
        <v>2507</v>
      </c>
      <c r="C971" s="25" t="s">
        <v>2508</v>
      </c>
      <c r="D971" s="25" t="s">
        <v>2506</v>
      </c>
      <c r="E971" s="26">
        <v>41072</v>
      </c>
      <c r="F971" s="24" t="s">
        <v>502</v>
      </c>
    </row>
    <row r="972" spans="1:6" x14ac:dyDescent="0.25">
      <c r="A972" s="24" t="s">
        <v>7</v>
      </c>
      <c r="B972" s="24" t="s">
        <v>2509</v>
      </c>
      <c r="C972" s="25" t="s">
        <v>2510</v>
      </c>
      <c r="D972" s="25" t="s">
        <v>2506</v>
      </c>
      <c r="E972" s="26">
        <v>55688</v>
      </c>
      <c r="F972" s="24" t="s">
        <v>502</v>
      </c>
    </row>
    <row r="973" spans="1:6" x14ac:dyDescent="0.25">
      <c r="A973" s="24" t="s">
        <v>7</v>
      </c>
      <c r="B973" s="24" t="s">
        <v>2511</v>
      </c>
      <c r="C973" s="25" t="s">
        <v>2512</v>
      </c>
      <c r="D973" s="25" t="s">
        <v>2513</v>
      </c>
      <c r="E973" s="26">
        <v>20175</v>
      </c>
      <c r="F973" s="24" t="s">
        <v>502</v>
      </c>
    </row>
    <row r="974" spans="1:6" x14ac:dyDescent="0.25">
      <c r="A974" s="24" t="s">
        <v>7</v>
      </c>
      <c r="B974" s="24" t="s">
        <v>2514</v>
      </c>
      <c r="C974" s="25" t="s">
        <v>2515</v>
      </c>
      <c r="D974" s="25" t="s">
        <v>2516</v>
      </c>
      <c r="E974" s="26">
        <v>13132</v>
      </c>
      <c r="F974" s="24" t="s">
        <v>502</v>
      </c>
    </row>
    <row r="975" spans="1:6" x14ac:dyDescent="0.25">
      <c r="A975" s="24" t="s">
        <v>7</v>
      </c>
      <c r="B975" s="24" t="s">
        <v>2517</v>
      </c>
      <c r="C975" s="25" t="s">
        <v>2518</v>
      </c>
      <c r="D975" s="25" t="s">
        <v>2516</v>
      </c>
      <c r="E975" s="26">
        <v>15468</v>
      </c>
      <c r="F975" s="24" t="s">
        <v>502</v>
      </c>
    </row>
    <row r="976" spans="1:6" x14ac:dyDescent="0.25">
      <c r="A976" s="24" t="s">
        <v>7</v>
      </c>
      <c r="B976" s="24" t="s">
        <v>2519</v>
      </c>
      <c r="C976" s="25" t="s">
        <v>2520</v>
      </c>
      <c r="D976" s="25" t="s">
        <v>2521</v>
      </c>
      <c r="E976" s="26">
        <v>7840</v>
      </c>
      <c r="F976" s="24" t="s">
        <v>502</v>
      </c>
    </row>
    <row r="977" spans="1:6" x14ac:dyDescent="0.25">
      <c r="A977" s="24" t="s">
        <v>7</v>
      </c>
      <c r="B977" s="24" t="s">
        <v>2522</v>
      </c>
      <c r="C977" s="25" t="s">
        <v>2523</v>
      </c>
      <c r="D977" s="25" t="s">
        <v>2524</v>
      </c>
      <c r="E977" s="26">
        <v>18551</v>
      </c>
      <c r="F977" s="24" t="s">
        <v>502</v>
      </c>
    </row>
    <row r="978" spans="1:6" x14ac:dyDescent="0.25">
      <c r="A978" s="24" t="s">
        <v>7</v>
      </c>
      <c r="B978" s="24" t="s">
        <v>2525</v>
      </c>
      <c r="C978" s="25" t="s">
        <v>2526</v>
      </c>
      <c r="D978" s="25" t="s">
        <v>2527</v>
      </c>
      <c r="E978" s="26">
        <v>53756</v>
      </c>
      <c r="F978" s="24" t="s">
        <v>502</v>
      </c>
    </row>
    <row r="979" spans="1:6" x14ac:dyDescent="0.25">
      <c r="A979" s="24" t="s">
        <v>7</v>
      </c>
      <c r="B979" s="24" t="s">
        <v>2528</v>
      </c>
      <c r="C979" s="25" t="s">
        <v>2529</v>
      </c>
      <c r="D979" s="25" t="s">
        <v>2530</v>
      </c>
      <c r="E979" s="26">
        <v>8685</v>
      </c>
      <c r="F979" s="24" t="s">
        <v>502</v>
      </c>
    </row>
    <row r="980" spans="1:6" x14ac:dyDescent="0.25">
      <c r="A980" s="24" t="s">
        <v>7</v>
      </c>
      <c r="B980" s="24" t="s">
        <v>2531</v>
      </c>
      <c r="C980" s="25" t="s">
        <v>2532</v>
      </c>
      <c r="D980" s="25" t="s">
        <v>2533</v>
      </c>
      <c r="E980" s="26">
        <v>18269</v>
      </c>
    </row>
    <row r="981" spans="1:6" x14ac:dyDescent="0.25">
      <c r="A981" s="24" t="s">
        <v>7</v>
      </c>
      <c r="B981" s="24" t="s">
        <v>2534</v>
      </c>
      <c r="C981" s="25" t="s">
        <v>2535</v>
      </c>
      <c r="D981" s="25" t="s">
        <v>2536</v>
      </c>
      <c r="E981" s="26">
        <v>3255</v>
      </c>
      <c r="F981" s="24" t="s">
        <v>502</v>
      </c>
    </row>
    <row r="982" spans="1:6" x14ac:dyDescent="0.25">
      <c r="A982" s="24" t="s">
        <v>7</v>
      </c>
      <c r="B982" s="24" t="s">
        <v>2537</v>
      </c>
      <c r="C982" s="25" t="s">
        <v>2538</v>
      </c>
      <c r="D982" s="25" t="s">
        <v>2539</v>
      </c>
      <c r="E982" s="26">
        <v>4741</v>
      </c>
      <c r="F982" s="24" t="s">
        <v>502</v>
      </c>
    </row>
    <row r="983" spans="1:6" x14ac:dyDescent="0.25">
      <c r="A983" s="24" t="s">
        <v>7</v>
      </c>
      <c r="B983" s="24" t="s">
        <v>2540</v>
      </c>
      <c r="C983" s="25" t="s">
        <v>2541</v>
      </c>
      <c r="D983" s="25" t="s">
        <v>2542</v>
      </c>
      <c r="E983" s="26">
        <v>137066</v>
      </c>
      <c r="F983" s="24" t="s">
        <v>502</v>
      </c>
    </row>
    <row r="984" spans="1:6" x14ac:dyDescent="0.25">
      <c r="A984" s="24" t="s">
        <v>7</v>
      </c>
      <c r="B984" s="24" t="s">
        <v>2543</v>
      </c>
      <c r="C984" s="25" t="s">
        <v>2544</v>
      </c>
      <c r="D984" s="25" t="s">
        <v>2542</v>
      </c>
      <c r="E984" s="26">
        <v>32784</v>
      </c>
      <c r="F984" s="24" t="s">
        <v>502</v>
      </c>
    </row>
    <row r="985" spans="1:6" x14ac:dyDescent="0.25">
      <c r="A985" s="24" t="s">
        <v>7</v>
      </c>
      <c r="B985" s="24" t="s">
        <v>2545</v>
      </c>
      <c r="C985" s="25" t="s">
        <v>2546</v>
      </c>
      <c r="D985" s="25" t="s">
        <v>2542</v>
      </c>
      <c r="E985" s="26">
        <v>46716</v>
      </c>
      <c r="F985" s="24" t="s">
        <v>502</v>
      </c>
    </row>
    <row r="986" spans="1:6" x14ac:dyDescent="0.25">
      <c r="A986" s="24" t="s">
        <v>7</v>
      </c>
      <c r="B986" s="24" t="s">
        <v>2547</v>
      </c>
      <c r="C986" s="25" t="s">
        <v>2548</v>
      </c>
      <c r="D986" s="25" t="s">
        <v>2549</v>
      </c>
      <c r="E986" s="26">
        <v>4951</v>
      </c>
      <c r="F986" s="24" t="s">
        <v>502</v>
      </c>
    </row>
    <row r="987" spans="1:6" x14ac:dyDescent="0.25">
      <c r="A987" s="24" t="s">
        <v>7</v>
      </c>
      <c r="B987" s="24" t="s">
        <v>2550</v>
      </c>
      <c r="C987" s="25" t="s">
        <v>2551</v>
      </c>
      <c r="D987" s="25" t="s">
        <v>2552</v>
      </c>
      <c r="E987" s="26">
        <v>6657</v>
      </c>
    </row>
    <row r="988" spans="1:6" x14ac:dyDescent="0.25">
      <c r="A988" s="24" t="s">
        <v>7</v>
      </c>
      <c r="B988" s="24" t="s">
        <v>2553</v>
      </c>
      <c r="C988" s="25" t="s">
        <v>2554</v>
      </c>
      <c r="D988" s="25" t="s">
        <v>2555</v>
      </c>
      <c r="E988" s="26">
        <v>838</v>
      </c>
      <c r="F988" s="24" t="s">
        <v>502</v>
      </c>
    </row>
    <row r="989" spans="1:6" x14ac:dyDescent="0.25">
      <c r="A989" s="24" t="s">
        <v>7</v>
      </c>
      <c r="B989" s="24" t="s">
        <v>2556</v>
      </c>
      <c r="C989" s="25" t="s">
        <v>2557</v>
      </c>
      <c r="D989" s="25" t="s">
        <v>2558</v>
      </c>
      <c r="E989" s="26">
        <v>1987</v>
      </c>
      <c r="F989" s="24" t="s">
        <v>502</v>
      </c>
    </row>
    <row r="990" spans="1:6" x14ac:dyDescent="0.25">
      <c r="A990" s="24" t="s">
        <v>7</v>
      </c>
      <c r="B990" s="24" t="s">
        <v>2559</v>
      </c>
      <c r="C990" s="25" t="s">
        <v>2560</v>
      </c>
      <c r="D990" s="25" t="s">
        <v>2561</v>
      </c>
      <c r="E990" s="26">
        <v>22823</v>
      </c>
      <c r="F990" s="24" t="s">
        <v>502</v>
      </c>
    </row>
    <row r="991" spans="1:6" x14ac:dyDescent="0.25">
      <c r="A991" s="24" t="s">
        <v>7</v>
      </c>
      <c r="B991" s="24" t="s">
        <v>2562</v>
      </c>
      <c r="C991" s="25" t="s">
        <v>2563</v>
      </c>
      <c r="D991" s="25" t="s">
        <v>2564</v>
      </c>
      <c r="E991" s="26">
        <v>17848</v>
      </c>
      <c r="F991" s="24" t="s">
        <v>502</v>
      </c>
    </row>
    <row r="992" spans="1:6" x14ac:dyDescent="0.25">
      <c r="A992" s="24" t="s">
        <v>7</v>
      </c>
      <c r="B992" s="24" t="s">
        <v>2565</v>
      </c>
      <c r="C992" s="25" t="s">
        <v>2566</v>
      </c>
      <c r="D992" s="25" t="s">
        <v>2564</v>
      </c>
      <c r="E992" s="26">
        <v>12343</v>
      </c>
      <c r="F992" s="24" t="s">
        <v>502</v>
      </c>
    </row>
    <row r="993" spans="1:6" x14ac:dyDescent="0.25">
      <c r="A993" s="24" t="s">
        <v>7</v>
      </c>
      <c r="B993" s="24" t="s">
        <v>2567</v>
      </c>
      <c r="C993" s="25" t="s">
        <v>2568</v>
      </c>
      <c r="D993" s="25" t="s">
        <v>2564</v>
      </c>
      <c r="E993" s="26">
        <v>14407</v>
      </c>
      <c r="F993" s="24" t="s">
        <v>502</v>
      </c>
    </row>
    <row r="994" spans="1:6" x14ac:dyDescent="0.25">
      <c r="A994" s="24" t="s">
        <v>7</v>
      </c>
      <c r="B994" s="24" t="s">
        <v>2569</v>
      </c>
      <c r="C994" s="25" t="s">
        <v>2570</v>
      </c>
      <c r="D994" s="25" t="s">
        <v>2571</v>
      </c>
      <c r="E994" s="26">
        <v>13111</v>
      </c>
      <c r="F994" s="24" t="s">
        <v>502</v>
      </c>
    </row>
    <row r="995" spans="1:6" x14ac:dyDescent="0.25">
      <c r="A995" s="24" t="s">
        <v>7</v>
      </c>
      <c r="B995" s="24" t="s">
        <v>2572</v>
      </c>
      <c r="C995" s="25" t="s">
        <v>2573</v>
      </c>
      <c r="D995" s="25" t="s">
        <v>2574</v>
      </c>
      <c r="E995" s="26">
        <v>3720</v>
      </c>
      <c r="F995" s="24" t="s">
        <v>502</v>
      </c>
    </row>
    <row r="996" spans="1:6" x14ac:dyDescent="0.25">
      <c r="A996" s="24" t="s">
        <v>7</v>
      </c>
      <c r="B996" s="24" t="s">
        <v>2575</v>
      </c>
      <c r="C996" s="25" t="s">
        <v>2576</v>
      </c>
      <c r="D996" s="25" t="s">
        <v>2577</v>
      </c>
      <c r="E996" s="26">
        <v>980</v>
      </c>
    </row>
    <row r="997" spans="1:6" x14ac:dyDescent="0.25">
      <c r="A997" s="24" t="s">
        <v>7</v>
      </c>
      <c r="B997" s="24" t="s">
        <v>2578</v>
      </c>
      <c r="C997" s="25" t="s">
        <v>2579</v>
      </c>
      <c r="D997" s="25" t="s">
        <v>2580</v>
      </c>
      <c r="E997" s="26">
        <v>265</v>
      </c>
      <c r="F997" s="24" t="s">
        <v>502</v>
      </c>
    </row>
    <row r="998" spans="1:6" x14ac:dyDescent="0.25">
      <c r="A998" s="24" t="s">
        <v>7</v>
      </c>
      <c r="B998" s="24" t="s">
        <v>2581</v>
      </c>
      <c r="C998" s="25" t="s">
        <v>2582</v>
      </c>
      <c r="D998" s="25" t="s">
        <v>2583</v>
      </c>
      <c r="E998" s="26">
        <v>3958</v>
      </c>
      <c r="F998" s="24" t="s">
        <v>502</v>
      </c>
    </row>
    <row r="999" spans="1:6" x14ac:dyDescent="0.25">
      <c r="A999" s="24" t="s">
        <v>7</v>
      </c>
      <c r="B999" s="24" t="s">
        <v>2584</v>
      </c>
      <c r="C999" s="25" t="s">
        <v>2585</v>
      </c>
      <c r="D999" s="25" t="s">
        <v>2586</v>
      </c>
      <c r="E999" s="26">
        <v>12716</v>
      </c>
      <c r="F999" s="24" t="s">
        <v>502</v>
      </c>
    </row>
    <row r="1000" spans="1:6" x14ac:dyDescent="0.25">
      <c r="A1000" s="24" t="s">
        <v>7</v>
      </c>
      <c r="B1000" s="24" t="s">
        <v>2587</v>
      </c>
      <c r="C1000" s="25" t="s">
        <v>2588</v>
      </c>
      <c r="D1000" s="25" t="s">
        <v>2589</v>
      </c>
      <c r="E1000" s="26">
        <v>8697</v>
      </c>
      <c r="F1000" s="24" t="s">
        <v>502</v>
      </c>
    </row>
    <row r="1001" spans="1:6" x14ac:dyDescent="0.25">
      <c r="A1001" s="24" t="s">
        <v>7</v>
      </c>
      <c r="B1001" s="24" t="s">
        <v>2590</v>
      </c>
      <c r="C1001" s="25" t="s">
        <v>2591</v>
      </c>
      <c r="D1001" s="25" t="s">
        <v>2592</v>
      </c>
      <c r="E1001" s="26">
        <v>17742</v>
      </c>
      <c r="F1001" s="24" t="s">
        <v>502</v>
      </c>
    </row>
    <row r="1002" spans="1:6" x14ac:dyDescent="0.25">
      <c r="A1002" s="24" t="s">
        <v>7</v>
      </c>
      <c r="B1002" s="24" t="s">
        <v>2593</v>
      </c>
      <c r="C1002" s="25" t="s">
        <v>2594</v>
      </c>
      <c r="D1002" s="25" t="s">
        <v>2595</v>
      </c>
      <c r="E1002" s="26">
        <v>41656</v>
      </c>
      <c r="F1002" s="24" t="s">
        <v>502</v>
      </c>
    </row>
    <row r="1003" spans="1:6" x14ac:dyDescent="0.25">
      <c r="A1003" s="24" t="s">
        <v>7</v>
      </c>
      <c r="B1003" s="24" t="s">
        <v>2596</v>
      </c>
      <c r="C1003" s="25" t="s">
        <v>2597</v>
      </c>
      <c r="D1003" s="25" t="s">
        <v>1407</v>
      </c>
      <c r="E1003" s="26">
        <v>30190</v>
      </c>
      <c r="F1003" s="24" t="s">
        <v>502</v>
      </c>
    </row>
    <row r="1004" spans="1:6" x14ac:dyDescent="0.25">
      <c r="A1004" s="24" t="s">
        <v>7</v>
      </c>
      <c r="B1004" s="24" t="s">
        <v>2598</v>
      </c>
      <c r="C1004" s="25" t="s">
        <v>2599</v>
      </c>
      <c r="D1004" s="25" t="s">
        <v>2600</v>
      </c>
      <c r="E1004" s="26">
        <v>3742</v>
      </c>
      <c r="F1004" s="24" t="s">
        <v>502</v>
      </c>
    </row>
    <row r="1005" spans="1:6" x14ac:dyDescent="0.25">
      <c r="A1005" s="24" t="s">
        <v>7</v>
      </c>
      <c r="B1005" s="24" t="s">
        <v>2601</v>
      </c>
      <c r="C1005" s="25" t="s">
        <v>2602</v>
      </c>
      <c r="D1005" s="25" t="s">
        <v>2603</v>
      </c>
      <c r="E1005" s="26">
        <v>332</v>
      </c>
      <c r="F1005" s="24" t="s">
        <v>502</v>
      </c>
    </row>
    <row r="1006" spans="1:6" x14ac:dyDescent="0.25">
      <c r="A1006" s="24" t="s">
        <v>7</v>
      </c>
      <c r="B1006" s="24" t="s">
        <v>2604</v>
      </c>
      <c r="C1006" s="25" t="s">
        <v>2605</v>
      </c>
      <c r="D1006" s="25" t="s">
        <v>2606</v>
      </c>
      <c r="E1006" s="26">
        <v>488</v>
      </c>
      <c r="F1006" s="24" t="s">
        <v>502</v>
      </c>
    </row>
    <row r="1007" spans="1:6" x14ac:dyDescent="0.25">
      <c r="A1007" s="24" t="s">
        <v>7</v>
      </c>
      <c r="B1007" s="24" t="s">
        <v>2607</v>
      </c>
      <c r="C1007" s="25" t="s">
        <v>2608</v>
      </c>
      <c r="D1007" s="25" t="s">
        <v>2609</v>
      </c>
      <c r="E1007" s="26">
        <v>52266</v>
      </c>
      <c r="F1007" s="24" t="s">
        <v>502</v>
      </c>
    </row>
    <row r="1008" spans="1:6" x14ac:dyDescent="0.25">
      <c r="A1008" s="24" t="s">
        <v>7</v>
      </c>
      <c r="B1008" s="24" t="s">
        <v>2610</v>
      </c>
      <c r="C1008" s="25" t="s">
        <v>2611</v>
      </c>
      <c r="D1008" s="25" t="s">
        <v>2612</v>
      </c>
      <c r="E1008" s="26">
        <v>5074</v>
      </c>
      <c r="F1008" s="24" t="s">
        <v>502</v>
      </c>
    </row>
    <row r="1009" spans="1:6" x14ac:dyDescent="0.25">
      <c r="A1009" s="24" t="s">
        <v>7</v>
      </c>
      <c r="B1009" s="24" t="s">
        <v>2613</v>
      </c>
      <c r="C1009" s="25" t="s">
        <v>2614</v>
      </c>
      <c r="D1009" s="25" t="s">
        <v>2615</v>
      </c>
      <c r="E1009" s="26">
        <v>9419</v>
      </c>
    </row>
    <row r="1010" spans="1:6" x14ac:dyDescent="0.25">
      <c r="A1010" s="24" t="s">
        <v>7</v>
      </c>
      <c r="B1010" s="24" t="s">
        <v>2616</v>
      </c>
      <c r="C1010" s="25" t="s">
        <v>2617</v>
      </c>
      <c r="D1010" s="25" t="s">
        <v>2618</v>
      </c>
      <c r="E1010" s="26">
        <v>8118</v>
      </c>
    </row>
    <row r="1011" spans="1:6" x14ac:dyDescent="0.25">
      <c r="A1011" s="24" t="s">
        <v>7</v>
      </c>
      <c r="B1011" s="24" t="s">
        <v>2619</v>
      </c>
      <c r="C1011" s="25" t="s">
        <v>2620</v>
      </c>
      <c r="D1011" s="25" t="s">
        <v>2620</v>
      </c>
      <c r="E1011" s="26">
        <v>9419</v>
      </c>
      <c r="F1011" s="24" t="s">
        <v>502</v>
      </c>
    </row>
    <row r="1012" spans="1:6" x14ac:dyDescent="0.25">
      <c r="A1012" s="24" t="s">
        <v>7</v>
      </c>
      <c r="B1012" s="24" t="s">
        <v>2621</v>
      </c>
      <c r="C1012" s="25" t="s">
        <v>2622</v>
      </c>
      <c r="D1012" s="25" t="s">
        <v>2623</v>
      </c>
      <c r="E1012" s="26">
        <v>17974</v>
      </c>
      <c r="F1012" s="24" t="s">
        <v>502</v>
      </c>
    </row>
    <row r="1013" spans="1:6" x14ac:dyDescent="0.25">
      <c r="A1013" s="24" t="s">
        <v>7</v>
      </c>
      <c r="B1013" s="24" t="s">
        <v>2624</v>
      </c>
      <c r="C1013" s="25" t="s">
        <v>2625</v>
      </c>
      <c r="D1013" s="25" t="s">
        <v>2626</v>
      </c>
      <c r="E1013" s="26">
        <v>14801</v>
      </c>
    </row>
    <row r="1014" spans="1:6" x14ac:dyDescent="0.25">
      <c r="A1014" s="24" t="s">
        <v>7</v>
      </c>
      <c r="B1014" s="24" t="s">
        <v>2627</v>
      </c>
      <c r="C1014" s="25" t="s">
        <v>2628</v>
      </c>
      <c r="D1014" s="25" t="s">
        <v>2626</v>
      </c>
      <c r="E1014" s="26">
        <v>35740</v>
      </c>
    </row>
    <row r="1015" spans="1:6" x14ac:dyDescent="0.25">
      <c r="A1015" s="24" t="s">
        <v>7</v>
      </c>
      <c r="B1015" s="24" t="s">
        <v>2629</v>
      </c>
      <c r="C1015" s="25" t="s">
        <v>2630</v>
      </c>
      <c r="D1015" s="25" t="s">
        <v>2626</v>
      </c>
      <c r="E1015" s="26">
        <v>25269</v>
      </c>
    </row>
    <row r="1016" spans="1:6" x14ac:dyDescent="0.25">
      <c r="A1016" s="24" t="s">
        <v>7</v>
      </c>
      <c r="B1016" s="24" t="s">
        <v>2631</v>
      </c>
      <c r="C1016" s="25" t="s">
        <v>2632</v>
      </c>
      <c r="D1016" s="25" t="s">
        <v>2633</v>
      </c>
      <c r="E1016" s="26">
        <v>19065</v>
      </c>
      <c r="F1016" s="24" t="s">
        <v>502</v>
      </c>
    </row>
    <row r="1017" spans="1:6" x14ac:dyDescent="0.25">
      <c r="A1017" s="24" t="s">
        <v>7</v>
      </c>
      <c r="B1017" s="24" t="s">
        <v>2634</v>
      </c>
      <c r="C1017" s="25" t="s">
        <v>2635</v>
      </c>
      <c r="D1017" s="25" t="s">
        <v>2636</v>
      </c>
      <c r="E1017" s="26">
        <v>7722</v>
      </c>
      <c r="F1017" s="24" t="s">
        <v>502</v>
      </c>
    </row>
    <row r="1018" spans="1:6" x14ac:dyDescent="0.25">
      <c r="A1018" s="24" t="s">
        <v>7</v>
      </c>
      <c r="B1018" s="24" t="s">
        <v>2637</v>
      </c>
      <c r="C1018" s="25" t="s">
        <v>2638</v>
      </c>
      <c r="D1018" s="25" t="s">
        <v>2639</v>
      </c>
      <c r="E1018" s="26">
        <v>11887</v>
      </c>
      <c r="F1018" s="24" t="s">
        <v>502</v>
      </c>
    </row>
    <row r="1019" spans="1:6" x14ac:dyDescent="0.25">
      <c r="A1019" s="24" t="s">
        <v>7</v>
      </c>
      <c r="B1019" s="24" t="s">
        <v>2640</v>
      </c>
      <c r="C1019" s="25" t="s">
        <v>2641</v>
      </c>
      <c r="D1019" s="25" t="s">
        <v>2642</v>
      </c>
      <c r="E1019" s="26">
        <v>6365</v>
      </c>
      <c r="F1019" s="24" t="s">
        <v>502</v>
      </c>
    </row>
    <row r="1020" spans="1:6" x14ac:dyDescent="0.25">
      <c r="A1020" s="24" t="s">
        <v>7</v>
      </c>
      <c r="B1020" s="24" t="s">
        <v>2643</v>
      </c>
      <c r="C1020" s="25" t="s">
        <v>2644</v>
      </c>
      <c r="D1020" s="25" t="s">
        <v>2645</v>
      </c>
      <c r="E1020" s="26">
        <v>8757</v>
      </c>
      <c r="F1020" s="24" t="s">
        <v>502</v>
      </c>
    </row>
    <row r="1021" spans="1:6" x14ac:dyDescent="0.25">
      <c r="A1021" s="24" t="s">
        <v>7</v>
      </c>
      <c r="B1021" s="24" t="s">
        <v>2646</v>
      </c>
      <c r="C1021" s="25" t="s">
        <v>2647</v>
      </c>
      <c r="D1021" s="25" t="s">
        <v>2648</v>
      </c>
      <c r="E1021" s="26">
        <v>28</v>
      </c>
      <c r="F1021" s="24" t="s">
        <v>502</v>
      </c>
    </row>
    <row r="1022" spans="1:6" x14ac:dyDescent="0.25">
      <c r="A1022" s="24" t="s">
        <v>7</v>
      </c>
      <c r="B1022" s="24" t="s">
        <v>2649</v>
      </c>
      <c r="C1022" s="25" t="s">
        <v>2650</v>
      </c>
      <c r="D1022" s="25" t="s">
        <v>2651</v>
      </c>
      <c r="E1022" s="26">
        <v>149</v>
      </c>
      <c r="F1022" s="24" t="s">
        <v>502</v>
      </c>
    </row>
    <row r="1023" spans="1:6" x14ac:dyDescent="0.25">
      <c r="A1023" s="24" t="s">
        <v>7</v>
      </c>
      <c r="B1023" s="24" t="s">
        <v>2652</v>
      </c>
      <c r="C1023" s="25" t="s">
        <v>2653</v>
      </c>
      <c r="D1023" s="25" t="s">
        <v>2639</v>
      </c>
      <c r="E1023" s="26">
        <v>38363</v>
      </c>
      <c r="F1023" s="24" t="s">
        <v>502</v>
      </c>
    </row>
    <row r="1024" spans="1:6" x14ac:dyDescent="0.25">
      <c r="A1024" s="24" t="s">
        <v>7</v>
      </c>
      <c r="B1024" s="24" t="s">
        <v>2654</v>
      </c>
      <c r="C1024" s="25" t="s">
        <v>2655</v>
      </c>
      <c r="D1024" s="25" t="s">
        <v>2656</v>
      </c>
      <c r="E1024" s="26">
        <v>779</v>
      </c>
      <c r="F1024" s="24" t="s">
        <v>502</v>
      </c>
    </row>
    <row r="1025" spans="1:6" x14ac:dyDescent="0.25">
      <c r="A1025" s="24" t="s">
        <v>7</v>
      </c>
      <c r="B1025" s="24" t="s">
        <v>2657</v>
      </c>
      <c r="C1025" s="25" t="s">
        <v>2658</v>
      </c>
      <c r="D1025" s="25" t="s">
        <v>2659</v>
      </c>
      <c r="E1025" s="26">
        <v>6438</v>
      </c>
      <c r="F1025" s="24" t="s">
        <v>502</v>
      </c>
    </row>
    <row r="1026" spans="1:6" x14ac:dyDescent="0.25">
      <c r="A1026" s="24" t="s">
        <v>7</v>
      </c>
      <c r="B1026" s="24" t="s">
        <v>2660</v>
      </c>
      <c r="C1026" s="25" t="s">
        <v>2661</v>
      </c>
      <c r="D1026" s="25" t="s">
        <v>2662</v>
      </c>
      <c r="E1026" s="26">
        <v>2698</v>
      </c>
      <c r="F1026" s="24" t="s">
        <v>502</v>
      </c>
    </row>
    <row r="1027" spans="1:6" x14ac:dyDescent="0.25">
      <c r="A1027" s="24" t="s">
        <v>7</v>
      </c>
      <c r="B1027" s="24" t="s">
        <v>2663</v>
      </c>
      <c r="C1027" s="25" t="s">
        <v>2664</v>
      </c>
      <c r="D1027" s="25" t="s">
        <v>2665</v>
      </c>
      <c r="E1027" s="26">
        <v>3927</v>
      </c>
      <c r="F1027" s="24" t="s">
        <v>502</v>
      </c>
    </row>
    <row r="1028" spans="1:6" x14ac:dyDescent="0.25">
      <c r="A1028" s="24" t="s">
        <v>7</v>
      </c>
      <c r="B1028" s="24" t="s">
        <v>2666</v>
      </c>
      <c r="C1028" s="25" t="s">
        <v>2667</v>
      </c>
      <c r="D1028" s="25" t="s">
        <v>2668</v>
      </c>
      <c r="E1028" s="26">
        <v>2698</v>
      </c>
      <c r="F1028" s="24" t="s">
        <v>502</v>
      </c>
    </row>
    <row r="1029" spans="1:6" x14ac:dyDescent="0.25">
      <c r="A1029" s="24" t="s">
        <v>7</v>
      </c>
      <c r="B1029" s="24" t="s">
        <v>2669</v>
      </c>
      <c r="C1029" s="25" t="s">
        <v>2670</v>
      </c>
      <c r="D1029" s="25" t="s">
        <v>2671</v>
      </c>
      <c r="E1029" s="26">
        <v>2698</v>
      </c>
      <c r="F1029" s="24" t="s">
        <v>502</v>
      </c>
    </row>
    <row r="1030" spans="1:6" x14ac:dyDescent="0.25">
      <c r="A1030" s="24" t="s">
        <v>7</v>
      </c>
      <c r="B1030" s="24" t="s">
        <v>2672</v>
      </c>
      <c r="C1030" s="25" t="s">
        <v>2673</v>
      </c>
      <c r="D1030" s="25" t="s">
        <v>2674</v>
      </c>
      <c r="E1030" s="26">
        <v>2698</v>
      </c>
      <c r="F1030" s="24" t="s">
        <v>502</v>
      </c>
    </row>
    <row r="1031" spans="1:6" x14ac:dyDescent="0.25">
      <c r="A1031" s="24" t="s">
        <v>7</v>
      </c>
      <c r="B1031" s="24" t="s">
        <v>2675</v>
      </c>
      <c r="C1031" s="25" t="s">
        <v>2676</v>
      </c>
      <c r="D1031" s="25" t="s">
        <v>2677</v>
      </c>
      <c r="E1031" s="26">
        <v>2698</v>
      </c>
      <c r="F1031" s="24" t="s">
        <v>502</v>
      </c>
    </row>
    <row r="1032" spans="1:6" x14ac:dyDescent="0.25">
      <c r="A1032" s="24" t="s">
        <v>7</v>
      </c>
      <c r="B1032" s="24" t="s">
        <v>2678</v>
      </c>
      <c r="C1032" s="25" t="s">
        <v>2671</v>
      </c>
      <c r="D1032" s="25" t="s">
        <v>2671</v>
      </c>
      <c r="E1032" s="26">
        <v>20254</v>
      </c>
      <c r="F1032" s="24" t="s">
        <v>502</v>
      </c>
    </row>
    <row r="1033" spans="1:6" x14ac:dyDescent="0.25">
      <c r="A1033" s="24" t="s">
        <v>7</v>
      </c>
      <c r="B1033" s="24" t="s">
        <v>2679</v>
      </c>
      <c r="C1033" s="25" t="s">
        <v>2680</v>
      </c>
      <c r="D1033" s="25" t="s">
        <v>2681</v>
      </c>
      <c r="E1033" s="26">
        <v>1205</v>
      </c>
      <c r="F1033" s="24" t="s">
        <v>502</v>
      </c>
    </row>
    <row r="1034" spans="1:6" x14ac:dyDescent="0.25">
      <c r="A1034" s="24" t="s">
        <v>7</v>
      </c>
      <c r="B1034" s="24" t="s">
        <v>2682</v>
      </c>
      <c r="C1034" s="25" t="s">
        <v>2683</v>
      </c>
      <c r="D1034" s="25" t="s">
        <v>2681</v>
      </c>
      <c r="E1034" s="26">
        <v>3032</v>
      </c>
    </row>
    <row r="1035" spans="1:6" x14ac:dyDescent="0.25">
      <c r="A1035" s="24" t="s">
        <v>7</v>
      </c>
      <c r="B1035" s="24" t="s">
        <v>2684</v>
      </c>
      <c r="C1035" s="25" t="s">
        <v>2685</v>
      </c>
      <c r="D1035" s="25" t="s">
        <v>2686</v>
      </c>
      <c r="E1035" s="26">
        <v>2232</v>
      </c>
    </row>
    <row r="1036" spans="1:6" x14ac:dyDescent="0.25">
      <c r="A1036" s="24" t="s">
        <v>7</v>
      </c>
      <c r="B1036" s="24" t="s">
        <v>2687</v>
      </c>
      <c r="C1036" s="25" t="s">
        <v>2688</v>
      </c>
      <c r="D1036" s="25" t="s">
        <v>2686</v>
      </c>
      <c r="E1036" s="26">
        <v>3467</v>
      </c>
      <c r="F1036" s="24" t="s">
        <v>502</v>
      </c>
    </row>
    <row r="1037" spans="1:6" x14ac:dyDescent="0.25">
      <c r="A1037" s="24" t="s">
        <v>7</v>
      </c>
      <c r="B1037" s="24" t="s">
        <v>2689</v>
      </c>
      <c r="C1037" s="25" t="s">
        <v>2690</v>
      </c>
      <c r="D1037" s="25" t="s">
        <v>2686</v>
      </c>
      <c r="E1037" s="26">
        <v>5919</v>
      </c>
      <c r="F1037" s="24" t="s">
        <v>502</v>
      </c>
    </row>
    <row r="1038" spans="1:6" x14ac:dyDescent="0.25">
      <c r="A1038" s="24" t="s">
        <v>7</v>
      </c>
      <c r="B1038" s="24" t="s">
        <v>2691</v>
      </c>
      <c r="C1038" s="25" t="s">
        <v>2692</v>
      </c>
      <c r="D1038" s="25" t="s">
        <v>2693</v>
      </c>
      <c r="E1038" s="26">
        <v>82618</v>
      </c>
    </row>
    <row r="1039" spans="1:6" x14ac:dyDescent="0.25">
      <c r="A1039" s="24" t="s">
        <v>7</v>
      </c>
      <c r="B1039" s="24" t="s">
        <v>2694</v>
      </c>
      <c r="C1039" s="25" t="s">
        <v>2695</v>
      </c>
      <c r="D1039" s="25" t="s">
        <v>2665</v>
      </c>
      <c r="E1039" s="26">
        <v>29041</v>
      </c>
    </row>
    <row r="1040" spans="1:6" x14ac:dyDescent="0.25">
      <c r="A1040" s="24" t="s">
        <v>7</v>
      </c>
      <c r="B1040" s="24" t="s">
        <v>2696</v>
      </c>
      <c r="C1040" s="25" t="s">
        <v>2697</v>
      </c>
      <c r="D1040" s="25" t="s">
        <v>2698</v>
      </c>
      <c r="E1040" s="26">
        <v>2698</v>
      </c>
      <c r="F1040" s="24" t="s">
        <v>502</v>
      </c>
    </row>
    <row r="1041" spans="1:6" x14ac:dyDescent="0.25">
      <c r="A1041" s="24" t="s">
        <v>7</v>
      </c>
      <c r="B1041" s="24" t="s">
        <v>2699</v>
      </c>
      <c r="C1041" s="25" t="s">
        <v>2700</v>
      </c>
      <c r="D1041" s="25" t="s">
        <v>2701</v>
      </c>
      <c r="E1041" s="26">
        <v>5874</v>
      </c>
      <c r="F1041" s="24" t="s">
        <v>502</v>
      </c>
    </row>
    <row r="1042" spans="1:6" x14ac:dyDescent="0.25">
      <c r="A1042" s="24" t="s">
        <v>7</v>
      </c>
      <c r="B1042" s="24" t="s">
        <v>2702</v>
      </c>
      <c r="C1042" s="25" t="s">
        <v>2703</v>
      </c>
      <c r="D1042" s="25" t="s">
        <v>2704</v>
      </c>
      <c r="E1042" s="26">
        <v>1309</v>
      </c>
      <c r="F1042" s="24" t="s">
        <v>502</v>
      </c>
    </row>
    <row r="1043" spans="1:6" x14ac:dyDescent="0.25">
      <c r="A1043" s="24" t="s">
        <v>7</v>
      </c>
      <c r="B1043" s="24" t="s">
        <v>2705</v>
      </c>
      <c r="C1043" s="25" t="s">
        <v>2706</v>
      </c>
      <c r="D1043" s="25" t="s">
        <v>2707</v>
      </c>
      <c r="E1043" s="26">
        <v>534</v>
      </c>
      <c r="F1043" s="24" t="s">
        <v>502</v>
      </c>
    </row>
    <row r="1044" spans="1:6" x14ac:dyDescent="0.25">
      <c r="A1044" s="24" t="s">
        <v>7</v>
      </c>
      <c r="B1044" s="24" t="s">
        <v>2708</v>
      </c>
      <c r="C1044" s="25" t="s">
        <v>2709</v>
      </c>
      <c r="D1044" s="25" t="s">
        <v>2707</v>
      </c>
      <c r="E1044" s="26">
        <v>524</v>
      </c>
      <c r="F1044" s="24" t="s">
        <v>502</v>
      </c>
    </row>
    <row r="1045" spans="1:6" x14ac:dyDescent="0.25">
      <c r="A1045" s="24" t="s">
        <v>7</v>
      </c>
      <c r="B1045" s="24" t="s">
        <v>2710</v>
      </c>
      <c r="C1045" s="25" t="s">
        <v>2711</v>
      </c>
      <c r="D1045" s="25" t="s">
        <v>2707</v>
      </c>
      <c r="E1045" s="26">
        <v>2698</v>
      </c>
      <c r="F1045" s="24" t="s">
        <v>502</v>
      </c>
    </row>
    <row r="1046" spans="1:6" x14ac:dyDescent="0.25">
      <c r="A1046" s="24" t="s">
        <v>7</v>
      </c>
      <c r="B1046" s="24" t="s">
        <v>2712</v>
      </c>
      <c r="C1046" s="25" t="s">
        <v>2713</v>
      </c>
      <c r="D1046" s="25" t="s">
        <v>2714</v>
      </c>
      <c r="E1046" s="26">
        <v>9594</v>
      </c>
      <c r="F1046" s="24" t="s">
        <v>502</v>
      </c>
    </row>
    <row r="1047" spans="1:6" x14ac:dyDescent="0.25">
      <c r="A1047" s="24" t="s">
        <v>7</v>
      </c>
      <c r="B1047" s="24" t="s">
        <v>2715</v>
      </c>
      <c r="C1047" s="25" t="s">
        <v>2716</v>
      </c>
      <c r="D1047" s="25" t="s">
        <v>2707</v>
      </c>
      <c r="E1047" s="26">
        <v>465</v>
      </c>
      <c r="F1047" s="24" t="s">
        <v>502</v>
      </c>
    </row>
    <row r="1048" spans="1:6" x14ac:dyDescent="0.25">
      <c r="A1048" s="24" t="s">
        <v>7</v>
      </c>
      <c r="B1048" s="24" t="s">
        <v>2717</v>
      </c>
      <c r="C1048" s="25" t="s">
        <v>2718</v>
      </c>
      <c r="D1048" s="25" t="s">
        <v>2707</v>
      </c>
      <c r="E1048" s="26">
        <v>642</v>
      </c>
      <c r="F1048" s="24" t="s">
        <v>502</v>
      </c>
    </row>
    <row r="1049" spans="1:6" x14ac:dyDescent="0.25">
      <c r="A1049" s="24" t="s">
        <v>7</v>
      </c>
      <c r="B1049" s="24" t="s">
        <v>2719</v>
      </c>
      <c r="C1049" s="25" t="s">
        <v>2720</v>
      </c>
      <c r="D1049" s="25" t="s">
        <v>2721</v>
      </c>
      <c r="E1049" s="26">
        <v>1454</v>
      </c>
      <c r="F1049" s="24" t="s">
        <v>502</v>
      </c>
    </row>
    <row r="1050" spans="1:6" x14ac:dyDescent="0.25">
      <c r="A1050" s="24" t="s">
        <v>7</v>
      </c>
      <c r="B1050" s="24" t="s">
        <v>2722</v>
      </c>
      <c r="C1050" s="25" t="s">
        <v>2723</v>
      </c>
      <c r="D1050" s="25" t="s">
        <v>2721</v>
      </c>
      <c r="E1050" s="26">
        <v>2698</v>
      </c>
      <c r="F1050" s="24" t="s">
        <v>502</v>
      </c>
    </row>
    <row r="1051" spans="1:6" x14ac:dyDescent="0.25">
      <c r="A1051" s="24" t="s">
        <v>7</v>
      </c>
      <c r="B1051" s="24" t="s">
        <v>2724</v>
      </c>
      <c r="C1051" s="25" t="s">
        <v>2725</v>
      </c>
      <c r="D1051" s="25" t="s">
        <v>2721</v>
      </c>
      <c r="E1051" s="26">
        <v>2698</v>
      </c>
      <c r="F1051" s="24" t="s">
        <v>502</v>
      </c>
    </row>
    <row r="1052" spans="1:6" x14ac:dyDescent="0.25">
      <c r="A1052" s="24" t="s">
        <v>7</v>
      </c>
      <c r="B1052" s="24" t="s">
        <v>2726</v>
      </c>
      <c r="C1052" s="25" t="s">
        <v>2727</v>
      </c>
      <c r="D1052" s="25" t="s">
        <v>2721</v>
      </c>
      <c r="E1052" s="26">
        <v>2698</v>
      </c>
      <c r="F1052" s="24" t="s">
        <v>502</v>
      </c>
    </row>
    <row r="1053" spans="1:6" x14ac:dyDescent="0.25">
      <c r="A1053" s="24" t="s">
        <v>7</v>
      </c>
      <c r="B1053" s="24" t="s">
        <v>2728</v>
      </c>
      <c r="C1053" s="25" t="s">
        <v>2729</v>
      </c>
      <c r="D1053" s="25" t="s">
        <v>2730</v>
      </c>
      <c r="E1053" s="26">
        <v>4488</v>
      </c>
      <c r="F1053" s="24" t="s">
        <v>502</v>
      </c>
    </row>
    <row r="1054" spans="1:6" x14ac:dyDescent="0.25">
      <c r="A1054" s="24" t="s">
        <v>7</v>
      </c>
      <c r="B1054" s="24" t="s">
        <v>2731</v>
      </c>
      <c r="C1054" s="25" t="s">
        <v>2732</v>
      </c>
      <c r="D1054" s="25" t="s">
        <v>2733</v>
      </c>
      <c r="E1054" s="26">
        <v>13397</v>
      </c>
    </row>
    <row r="1055" spans="1:6" x14ac:dyDescent="0.25">
      <c r="A1055" s="24" t="s">
        <v>7</v>
      </c>
      <c r="B1055" s="24" t="s">
        <v>2734</v>
      </c>
      <c r="C1055" s="25" t="s">
        <v>2735</v>
      </c>
      <c r="D1055" s="25" t="s">
        <v>2733</v>
      </c>
      <c r="E1055" s="26">
        <v>7597</v>
      </c>
    </row>
    <row r="1056" spans="1:6" x14ac:dyDescent="0.25">
      <c r="A1056" s="24" t="s">
        <v>7</v>
      </c>
      <c r="B1056" s="24" t="s">
        <v>2736</v>
      </c>
      <c r="C1056" s="25" t="s">
        <v>2737</v>
      </c>
      <c r="D1056" s="25" t="s">
        <v>2738</v>
      </c>
      <c r="E1056" s="26">
        <v>2114</v>
      </c>
      <c r="F1056" s="24" t="s">
        <v>502</v>
      </c>
    </row>
    <row r="1057" spans="1:6" x14ac:dyDescent="0.25">
      <c r="A1057" s="24" t="s">
        <v>7</v>
      </c>
      <c r="B1057" s="24" t="s">
        <v>2739</v>
      </c>
      <c r="C1057" s="25" t="s">
        <v>2740</v>
      </c>
      <c r="D1057" s="25" t="s">
        <v>2738</v>
      </c>
      <c r="E1057" s="26">
        <v>2698</v>
      </c>
      <c r="F1057" s="24" t="s">
        <v>502</v>
      </c>
    </row>
    <row r="1058" spans="1:6" x14ac:dyDescent="0.25">
      <c r="A1058" s="24" t="s">
        <v>7</v>
      </c>
      <c r="B1058" s="24" t="s">
        <v>2741</v>
      </c>
      <c r="C1058" s="25" t="s">
        <v>2742</v>
      </c>
      <c r="D1058" s="25" t="s">
        <v>2743</v>
      </c>
      <c r="E1058" s="26">
        <v>2698</v>
      </c>
      <c r="F1058" s="24" t="s">
        <v>502</v>
      </c>
    </row>
    <row r="1059" spans="1:6" x14ac:dyDescent="0.25">
      <c r="A1059" s="24" t="s">
        <v>7</v>
      </c>
      <c r="B1059" s="24" t="s">
        <v>2744</v>
      </c>
      <c r="C1059" s="25" t="s">
        <v>2745</v>
      </c>
      <c r="D1059" s="25" t="s">
        <v>2746</v>
      </c>
      <c r="E1059" s="26">
        <v>4113</v>
      </c>
      <c r="F1059" s="24" t="s">
        <v>502</v>
      </c>
    </row>
    <row r="1060" spans="1:6" x14ac:dyDescent="0.25">
      <c r="A1060" s="24" t="s">
        <v>7</v>
      </c>
      <c r="B1060" s="24" t="s">
        <v>2747</v>
      </c>
      <c r="C1060" s="25" t="s">
        <v>2748</v>
      </c>
      <c r="D1060" s="25" t="s">
        <v>2733</v>
      </c>
      <c r="E1060" s="26">
        <v>9500</v>
      </c>
      <c r="F1060" s="24" t="s">
        <v>502</v>
      </c>
    </row>
    <row r="1061" spans="1:6" x14ac:dyDescent="0.25">
      <c r="A1061" s="24" t="s">
        <v>7</v>
      </c>
      <c r="B1061" s="24" t="s">
        <v>2749</v>
      </c>
      <c r="C1061" s="25" t="s">
        <v>2750</v>
      </c>
      <c r="D1061" s="25" t="s">
        <v>2751</v>
      </c>
      <c r="E1061" s="26">
        <v>2698</v>
      </c>
      <c r="F1061" s="24" t="s">
        <v>502</v>
      </c>
    </row>
    <row r="1062" spans="1:6" x14ac:dyDescent="0.25">
      <c r="A1062" s="24" t="s">
        <v>7</v>
      </c>
      <c r="B1062" s="24" t="s">
        <v>2752</v>
      </c>
      <c r="C1062" s="25" t="s">
        <v>2753</v>
      </c>
      <c r="D1062" s="25" t="s">
        <v>2753</v>
      </c>
      <c r="E1062" s="26">
        <v>3034</v>
      </c>
      <c r="F1062" s="24" t="s">
        <v>502</v>
      </c>
    </row>
    <row r="1063" spans="1:6" x14ac:dyDescent="0.25">
      <c r="A1063" s="24" t="s">
        <v>7</v>
      </c>
      <c r="B1063" s="24" t="s">
        <v>2754</v>
      </c>
      <c r="C1063" s="25" t="s">
        <v>2755</v>
      </c>
      <c r="D1063" s="25" t="s">
        <v>2756</v>
      </c>
      <c r="E1063" s="26">
        <v>2878</v>
      </c>
      <c r="F1063" s="24" t="s">
        <v>502</v>
      </c>
    </row>
    <row r="1064" spans="1:6" x14ac:dyDescent="0.25">
      <c r="A1064" s="24" t="s">
        <v>7</v>
      </c>
      <c r="B1064" s="24" t="s">
        <v>2757</v>
      </c>
      <c r="C1064" s="25" t="s">
        <v>2758</v>
      </c>
      <c r="D1064" s="25" t="s">
        <v>2759</v>
      </c>
      <c r="E1064" s="26">
        <v>1004</v>
      </c>
      <c r="F1064" s="24" t="s">
        <v>502</v>
      </c>
    </row>
    <row r="1065" spans="1:6" x14ac:dyDescent="0.25">
      <c r="A1065" s="24" t="s">
        <v>7</v>
      </c>
      <c r="B1065" s="24" t="s">
        <v>2760</v>
      </c>
      <c r="C1065" s="25" t="s">
        <v>2761</v>
      </c>
      <c r="D1065" s="25" t="s">
        <v>2762</v>
      </c>
      <c r="E1065" s="26">
        <v>351</v>
      </c>
      <c r="F1065" s="24" t="s">
        <v>502</v>
      </c>
    </row>
    <row r="1066" spans="1:6" x14ac:dyDescent="0.25">
      <c r="A1066" s="24" t="s">
        <v>7</v>
      </c>
      <c r="B1066" s="24" t="s">
        <v>2763</v>
      </c>
      <c r="C1066" s="25" t="s">
        <v>2764</v>
      </c>
      <c r="D1066" s="25" t="s">
        <v>2765</v>
      </c>
      <c r="E1066" s="26">
        <v>678</v>
      </c>
    </row>
    <row r="1067" spans="1:6" x14ac:dyDescent="0.25">
      <c r="A1067" s="24" t="s">
        <v>7</v>
      </c>
      <c r="B1067" s="24" t="s">
        <v>2766</v>
      </c>
      <c r="C1067" s="25" t="s">
        <v>2767</v>
      </c>
      <c r="D1067" s="25" t="s">
        <v>2768</v>
      </c>
      <c r="E1067" s="26">
        <v>264</v>
      </c>
      <c r="F1067" s="24" t="s">
        <v>502</v>
      </c>
    </row>
    <row r="1068" spans="1:6" x14ac:dyDescent="0.25">
      <c r="A1068" s="24" t="s">
        <v>7</v>
      </c>
      <c r="B1068" s="24" t="s">
        <v>2769</v>
      </c>
      <c r="C1068" s="25" t="s">
        <v>2770</v>
      </c>
      <c r="D1068" s="25" t="s">
        <v>2771</v>
      </c>
      <c r="E1068" s="26">
        <v>4992</v>
      </c>
      <c r="F1068" s="24" t="s">
        <v>502</v>
      </c>
    </row>
    <row r="1069" spans="1:6" x14ac:dyDescent="0.25">
      <c r="A1069" s="24" t="s">
        <v>7</v>
      </c>
      <c r="B1069" s="24" t="s">
        <v>2772</v>
      </c>
      <c r="C1069" s="25" t="s">
        <v>2773</v>
      </c>
      <c r="D1069" s="25" t="s">
        <v>2774</v>
      </c>
      <c r="E1069" s="26">
        <v>6697</v>
      </c>
      <c r="F1069" s="24" t="s">
        <v>502</v>
      </c>
    </row>
    <row r="1070" spans="1:6" x14ac:dyDescent="0.25">
      <c r="A1070" s="24" t="s">
        <v>7</v>
      </c>
      <c r="B1070" s="24" t="s">
        <v>2775</v>
      </c>
      <c r="C1070" s="25" t="s">
        <v>2776</v>
      </c>
      <c r="D1070" s="25" t="s">
        <v>2777</v>
      </c>
      <c r="E1070" s="26">
        <v>6240</v>
      </c>
    </row>
    <row r="1071" spans="1:6" x14ac:dyDescent="0.25">
      <c r="A1071" s="24" t="s">
        <v>7</v>
      </c>
      <c r="B1071" s="24" t="s">
        <v>2778</v>
      </c>
      <c r="C1071" s="25" t="s">
        <v>2779</v>
      </c>
      <c r="D1071" s="25" t="s">
        <v>2777</v>
      </c>
      <c r="E1071" s="26">
        <v>2698</v>
      </c>
      <c r="F1071" s="24" t="s">
        <v>502</v>
      </c>
    </row>
    <row r="1072" spans="1:6" x14ac:dyDescent="0.25">
      <c r="A1072" s="24" t="s">
        <v>7</v>
      </c>
      <c r="B1072" s="24" t="s">
        <v>2780</v>
      </c>
      <c r="C1072" s="25" t="s">
        <v>2781</v>
      </c>
      <c r="D1072" s="25" t="s">
        <v>2777</v>
      </c>
      <c r="E1072" s="26">
        <v>4230</v>
      </c>
      <c r="F1072" s="24" t="s">
        <v>502</v>
      </c>
    </row>
    <row r="1073" spans="1:6" x14ac:dyDescent="0.25">
      <c r="A1073" s="24" t="s">
        <v>7</v>
      </c>
      <c r="B1073" s="24" t="s">
        <v>2782</v>
      </c>
      <c r="C1073" s="25" t="s">
        <v>2783</v>
      </c>
      <c r="D1073" s="25" t="s">
        <v>2784</v>
      </c>
      <c r="E1073" s="26">
        <v>4103</v>
      </c>
      <c r="F1073" s="24" t="s">
        <v>502</v>
      </c>
    </row>
    <row r="1074" spans="1:6" x14ac:dyDescent="0.25">
      <c r="A1074" s="24" t="s">
        <v>7</v>
      </c>
      <c r="B1074" s="24" t="s">
        <v>2785</v>
      </c>
      <c r="C1074" s="25" t="s">
        <v>2786</v>
      </c>
      <c r="D1074" s="25" t="s">
        <v>2777</v>
      </c>
      <c r="E1074" s="26">
        <v>10048</v>
      </c>
      <c r="F1074" s="24" t="s">
        <v>502</v>
      </c>
    </row>
    <row r="1075" spans="1:6" x14ac:dyDescent="0.25">
      <c r="A1075" s="24" t="s">
        <v>7</v>
      </c>
      <c r="B1075" s="24" t="s">
        <v>2787</v>
      </c>
      <c r="C1075" s="25" t="s">
        <v>2788</v>
      </c>
      <c r="D1075" s="25" t="s">
        <v>2777</v>
      </c>
      <c r="E1075" s="26">
        <v>8775</v>
      </c>
    </row>
    <row r="1076" spans="1:6" x14ac:dyDescent="0.25">
      <c r="A1076" s="24" t="s">
        <v>7</v>
      </c>
      <c r="B1076" s="24" t="s">
        <v>2789</v>
      </c>
      <c r="C1076" s="25" t="s">
        <v>2790</v>
      </c>
      <c r="D1076" s="25" t="s">
        <v>2791</v>
      </c>
      <c r="E1076" s="26">
        <v>51312</v>
      </c>
      <c r="F1076" s="24" t="s">
        <v>502</v>
      </c>
    </row>
    <row r="1077" spans="1:6" x14ac:dyDescent="0.25">
      <c r="A1077" s="24" t="s">
        <v>7</v>
      </c>
      <c r="B1077" s="24" t="s">
        <v>2792</v>
      </c>
      <c r="C1077" s="25" t="s">
        <v>2793</v>
      </c>
      <c r="D1077" s="25" t="s">
        <v>2794</v>
      </c>
      <c r="E1077" s="26">
        <v>7692</v>
      </c>
    </row>
    <row r="1078" spans="1:6" x14ac:dyDescent="0.25">
      <c r="A1078" s="24" t="s">
        <v>7</v>
      </c>
      <c r="B1078" s="24" t="s">
        <v>2795</v>
      </c>
      <c r="C1078" s="25" t="s">
        <v>2796</v>
      </c>
      <c r="D1078" s="25" t="s">
        <v>2797</v>
      </c>
      <c r="E1078" s="26">
        <v>8490</v>
      </c>
      <c r="F1078" s="24" t="s">
        <v>502</v>
      </c>
    </row>
    <row r="1079" spans="1:6" x14ac:dyDescent="0.25">
      <c r="A1079" s="24" t="s">
        <v>7</v>
      </c>
      <c r="B1079" s="24" t="s">
        <v>2798</v>
      </c>
      <c r="C1079" s="25" t="s">
        <v>2799</v>
      </c>
      <c r="D1079" s="25" t="s">
        <v>2800</v>
      </c>
      <c r="E1079" s="26">
        <v>4434</v>
      </c>
      <c r="F1079" s="24" t="s">
        <v>502</v>
      </c>
    </row>
    <row r="1080" spans="1:6" x14ac:dyDescent="0.25">
      <c r="A1080" s="24" t="s">
        <v>7</v>
      </c>
      <c r="B1080" s="24" t="s">
        <v>2801</v>
      </c>
      <c r="C1080" s="25" t="s">
        <v>2802</v>
      </c>
      <c r="D1080" s="25" t="s">
        <v>2803</v>
      </c>
      <c r="E1080" s="26">
        <v>5851</v>
      </c>
      <c r="F1080" s="24" t="s">
        <v>502</v>
      </c>
    </row>
    <row r="1081" spans="1:6" x14ac:dyDescent="0.25">
      <c r="A1081" s="24" t="s">
        <v>7</v>
      </c>
      <c r="B1081" s="24" t="s">
        <v>2804</v>
      </c>
      <c r="C1081" s="25" t="s">
        <v>2805</v>
      </c>
      <c r="D1081" s="25" t="s">
        <v>2805</v>
      </c>
      <c r="E1081" s="26">
        <v>3402</v>
      </c>
      <c r="F1081" s="24" t="s">
        <v>502</v>
      </c>
    </row>
    <row r="1082" spans="1:6" x14ac:dyDescent="0.25">
      <c r="A1082" s="24" t="s">
        <v>7</v>
      </c>
      <c r="B1082" s="24" t="s">
        <v>2806</v>
      </c>
      <c r="C1082" s="25" t="s">
        <v>2807</v>
      </c>
      <c r="D1082" s="25" t="s">
        <v>2808</v>
      </c>
      <c r="E1082" s="26">
        <v>9122</v>
      </c>
      <c r="F1082" s="24" t="s">
        <v>502</v>
      </c>
    </row>
    <row r="1083" spans="1:6" x14ac:dyDescent="0.25">
      <c r="A1083" s="24" t="s">
        <v>7</v>
      </c>
      <c r="B1083" s="24" t="s">
        <v>2809</v>
      </c>
      <c r="C1083" s="25" t="s">
        <v>2810</v>
      </c>
      <c r="D1083" s="25" t="s">
        <v>2811</v>
      </c>
      <c r="E1083" s="26">
        <v>9947</v>
      </c>
      <c r="F1083" s="24" t="s">
        <v>502</v>
      </c>
    </row>
    <row r="1084" spans="1:6" x14ac:dyDescent="0.25">
      <c r="A1084" s="24" t="s">
        <v>7</v>
      </c>
      <c r="B1084" s="24" t="s">
        <v>2812</v>
      </c>
      <c r="C1084" s="25" t="s">
        <v>2813</v>
      </c>
      <c r="D1084" s="25" t="s">
        <v>2814</v>
      </c>
      <c r="E1084" s="26">
        <v>9637</v>
      </c>
      <c r="F1084" s="24" t="s">
        <v>502</v>
      </c>
    </row>
    <row r="1085" spans="1:6" x14ac:dyDescent="0.25">
      <c r="A1085" s="24" t="s">
        <v>7</v>
      </c>
      <c r="B1085" s="24" t="s">
        <v>2815</v>
      </c>
      <c r="C1085" s="25" t="s">
        <v>2816</v>
      </c>
      <c r="D1085" s="25" t="s">
        <v>2816</v>
      </c>
      <c r="E1085" s="26">
        <v>8466</v>
      </c>
      <c r="F1085" s="24" t="s">
        <v>502</v>
      </c>
    </row>
    <row r="1086" spans="1:6" x14ac:dyDescent="0.25">
      <c r="A1086" s="24" t="s">
        <v>7</v>
      </c>
      <c r="B1086" s="24" t="s">
        <v>2817</v>
      </c>
      <c r="C1086" s="25" t="s">
        <v>2818</v>
      </c>
      <c r="D1086" s="25" t="s">
        <v>2819</v>
      </c>
      <c r="E1086" s="26">
        <v>10173</v>
      </c>
      <c r="F1086" s="24" t="s">
        <v>502</v>
      </c>
    </row>
    <row r="1087" spans="1:6" x14ac:dyDescent="0.25">
      <c r="A1087" s="24" t="s">
        <v>7</v>
      </c>
      <c r="B1087" s="24" t="s">
        <v>2820</v>
      </c>
      <c r="C1087" s="25" t="s">
        <v>2821</v>
      </c>
      <c r="D1087" s="25" t="s">
        <v>2819</v>
      </c>
      <c r="E1087" s="26">
        <v>13009</v>
      </c>
      <c r="F1087" s="24" t="s">
        <v>502</v>
      </c>
    </row>
    <row r="1088" spans="1:6" x14ac:dyDescent="0.25">
      <c r="A1088" s="24" t="s">
        <v>7</v>
      </c>
      <c r="B1088" s="24" t="s">
        <v>2822</v>
      </c>
      <c r="C1088" s="25" t="s">
        <v>2823</v>
      </c>
      <c r="D1088" s="25" t="s">
        <v>2824</v>
      </c>
      <c r="E1088" s="26">
        <v>12316</v>
      </c>
      <c r="F1088" s="24" t="s">
        <v>502</v>
      </c>
    </row>
    <row r="1089" spans="1:6" x14ac:dyDescent="0.25">
      <c r="A1089" s="24" t="s">
        <v>7</v>
      </c>
      <c r="B1089" s="24" t="s">
        <v>2825</v>
      </c>
      <c r="C1089" s="25" t="s">
        <v>2826</v>
      </c>
      <c r="D1089" s="25" t="s">
        <v>2827</v>
      </c>
      <c r="E1089" s="26">
        <v>9310</v>
      </c>
    </row>
    <row r="1090" spans="1:6" x14ac:dyDescent="0.25">
      <c r="A1090" s="24" t="s">
        <v>7</v>
      </c>
      <c r="B1090" s="24" t="s">
        <v>2828</v>
      </c>
      <c r="C1090" s="25" t="s">
        <v>2829</v>
      </c>
      <c r="D1090" s="25" t="s">
        <v>2830</v>
      </c>
      <c r="E1090" s="26">
        <v>6549</v>
      </c>
      <c r="F1090" s="24" t="s">
        <v>502</v>
      </c>
    </row>
    <row r="1091" spans="1:6" x14ac:dyDescent="0.25">
      <c r="A1091" s="24" t="s">
        <v>7</v>
      </c>
      <c r="B1091" s="24" t="s">
        <v>2831</v>
      </c>
      <c r="C1091" s="25" t="s">
        <v>2832</v>
      </c>
      <c r="D1091" s="25" t="s">
        <v>2833</v>
      </c>
      <c r="E1091" s="26">
        <v>6549</v>
      </c>
      <c r="F1091" s="24" t="s">
        <v>502</v>
      </c>
    </row>
    <row r="1092" spans="1:6" x14ac:dyDescent="0.25">
      <c r="A1092" s="24" t="s">
        <v>7</v>
      </c>
      <c r="B1092" s="24" t="s">
        <v>2834</v>
      </c>
      <c r="C1092" s="25" t="s">
        <v>2835</v>
      </c>
      <c r="D1092" s="25" t="s">
        <v>2836</v>
      </c>
      <c r="E1092" s="26">
        <v>684</v>
      </c>
      <c r="F1092" s="24" t="s">
        <v>502</v>
      </c>
    </row>
    <row r="1093" spans="1:6" x14ac:dyDescent="0.25">
      <c r="A1093" s="24" t="s">
        <v>7</v>
      </c>
      <c r="B1093" s="24" t="s">
        <v>2837</v>
      </c>
      <c r="C1093" s="25" t="s">
        <v>2838</v>
      </c>
      <c r="D1093" s="25" t="s">
        <v>2839</v>
      </c>
      <c r="E1093" s="26">
        <v>12558</v>
      </c>
      <c r="F1093" s="24" t="s">
        <v>502</v>
      </c>
    </row>
    <row r="1094" spans="1:6" x14ac:dyDescent="0.25">
      <c r="A1094" s="24" t="s">
        <v>7</v>
      </c>
      <c r="B1094" s="24" t="s">
        <v>2840</v>
      </c>
      <c r="C1094" s="25" t="s">
        <v>2841</v>
      </c>
      <c r="D1094" s="25" t="s">
        <v>2842</v>
      </c>
      <c r="E1094" s="26">
        <v>1391</v>
      </c>
      <c r="F1094" s="24" t="s">
        <v>502</v>
      </c>
    </row>
    <row r="1095" spans="1:6" x14ac:dyDescent="0.25">
      <c r="A1095" s="24" t="s">
        <v>7</v>
      </c>
      <c r="B1095" s="24" t="s">
        <v>2843</v>
      </c>
      <c r="C1095" s="25" t="s">
        <v>2844</v>
      </c>
      <c r="D1095" s="25" t="s">
        <v>2845</v>
      </c>
      <c r="E1095" s="26">
        <v>730</v>
      </c>
      <c r="F1095" s="24" t="s">
        <v>502</v>
      </c>
    </row>
    <row r="1096" spans="1:6" x14ac:dyDescent="0.25">
      <c r="A1096" s="24" t="s">
        <v>7</v>
      </c>
      <c r="B1096" s="24" t="s">
        <v>2846</v>
      </c>
      <c r="C1096" s="25" t="s">
        <v>2847</v>
      </c>
      <c r="D1096" s="25" t="s">
        <v>2848</v>
      </c>
      <c r="E1096" s="26">
        <v>1680</v>
      </c>
      <c r="F1096" s="24" t="s">
        <v>502</v>
      </c>
    </row>
    <row r="1097" spans="1:6" x14ac:dyDescent="0.25">
      <c r="A1097" s="24" t="s">
        <v>7</v>
      </c>
      <c r="B1097" s="24" t="s">
        <v>2849</v>
      </c>
      <c r="C1097" s="25" t="s">
        <v>2850</v>
      </c>
      <c r="D1097" s="25" t="s">
        <v>2851</v>
      </c>
      <c r="E1097" s="26">
        <v>150</v>
      </c>
      <c r="F1097" s="24" t="s">
        <v>502</v>
      </c>
    </row>
    <row r="1098" spans="1:6" x14ac:dyDescent="0.25">
      <c r="A1098" s="24" t="s">
        <v>7</v>
      </c>
      <c r="B1098" s="24" t="s">
        <v>2852</v>
      </c>
      <c r="C1098" s="25" t="s">
        <v>2853</v>
      </c>
      <c r="D1098" s="25" t="s">
        <v>2854</v>
      </c>
      <c r="E1098" s="26">
        <v>6073</v>
      </c>
      <c r="F1098" s="24" t="s">
        <v>502</v>
      </c>
    </row>
    <row r="1099" spans="1:6" x14ac:dyDescent="0.25">
      <c r="A1099" s="24" t="s">
        <v>7</v>
      </c>
      <c r="B1099" s="24" t="s">
        <v>2855</v>
      </c>
      <c r="C1099" s="25" t="s">
        <v>2856</v>
      </c>
      <c r="D1099" s="25" t="s">
        <v>2857</v>
      </c>
      <c r="E1099" s="26">
        <v>9833</v>
      </c>
      <c r="F1099" s="24" t="s">
        <v>502</v>
      </c>
    </row>
    <row r="1100" spans="1:6" x14ac:dyDescent="0.25">
      <c r="A1100" s="24" t="s">
        <v>7</v>
      </c>
      <c r="B1100" s="24" t="s">
        <v>2858</v>
      </c>
      <c r="C1100" s="25" t="s">
        <v>2859</v>
      </c>
      <c r="D1100" s="25" t="s">
        <v>2860</v>
      </c>
      <c r="E1100" s="26">
        <v>3916</v>
      </c>
      <c r="F1100" s="24" t="s">
        <v>502</v>
      </c>
    </row>
    <row r="1101" spans="1:6" x14ac:dyDescent="0.25">
      <c r="A1101" s="24" t="s">
        <v>7</v>
      </c>
      <c r="B1101" s="24" t="s">
        <v>2861</v>
      </c>
      <c r="C1101" s="25" t="s">
        <v>2862</v>
      </c>
      <c r="D1101" s="25" t="s">
        <v>2863</v>
      </c>
      <c r="E1101" s="26">
        <v>12069</v>
      </c>
      <c r="F1101" s="24" t="s">
        <v>502</v>
      </c>
    </row>
    <row r="1102" spans="1:6" x14ac:dyDescent="0.25">
      <c r="A1102" s="24" t="s">
        <v>7</v>
      </c>
      <c r="B1102" s="24" t="s">
        <v>2864</v>
      </c>
      <c r="C1102" s="25" t="s">
        <v>2865</v>
      </c>
      <c r="D1102" s="25" t="s">
        <v>2866</v>
      </c>
      <c r="E1102" s="26">
        <v>258</v>
      </c>
      <c r="F1102" s="24" t="s">
        <v>502</v>
      </c>
    </row>
    <row r="1103" spans="1:6" x14ac:dyDescent="0.25">
      <c r="A1103" s="24" t="s">
        <v>7</v>
      </c>
      <c r="B1103" s="24" t="s">
        <v>2867</v>
      </c>
      <c r="C1103" s="25" t="s">
        <v>2868</v>
      </c>
      <c r="D1103" s="25" t="s">
        <v>2868</v>
      </c>
      <c r="E1103" s="26">
        <v>1160</v>
      </c>
      <c r="F1103" s="24" t="s">
        <v>502</v>
      </c>
    </row>
    <row r="1104" spans="1:6" x14ac:dyDescent="0.25">
      <c r="A1104" s="24" t="s">
        <v>7</v>
      </c>
      <c r="B1104" s="24" t="s">
        <v>2869</v>
      </c>
      <c r="C1104" s="25" t="s">
        <v>2870</v>
      </c>
      <c r="D1104" s="25" t="s">
        <v>2871</v>
      </c>
      <c r="E1104" s="26">
        <v>76.459999999999994</v>
      </c>
    </row>
    <row r="1105" spans="1:6" x14ac:dyDescent="0.25">
      <c r="A1105" s="24" t="s">
        <v>7</v>
      </c>
      <c r="B1105" s="24" t="s">
        <v>2872</v>
      </c>
      <c r="C1105" s="25" t="s">
        <v>2873</v>
      </c>
      <c r="D1105" s="25" t="s">
        <v>2874</v>
      </c>
      <c r="E1105" s="26">
        <v>341.08</v>
      </c>
    </row>
    <row r="1106" spans="1:6" x14ac:dyDescent="0.25">
      <c r="A1106" s="24" t="s">
        <v>7</v>
      </c>
      <c r="B1106" s="24" t="s">
        <v>2875</v>
      </c>
      <c r="C1106" s="25" t="s">
        <v>2876</v>
      </c>
      <c r="D1106" s="25" t="s">
        <v>2877</v>
      </c>
      <c r="E1106" s="26">
        <v>175.41</v>
      </c>
    </row>
    <row r="1107" spans="1:6" x14ac:dyDescent="0.25">
      <c r="A1107" s="24" t="s">
        <v>7</v>
      </c>
      <c r="B1107" s="24" t="s">
        <v>2878</v>
      </c>
      <c r="C1107" s="25" t="s">
        <v>2879</v>
      </c>
      <c r="D1107" s="25" t="s">
        <v>2871</v>
      </c>
      <c r="E1107" s="26">
        <v>60.39</v>
      </c>
    </row>
    <row r="1108" spans="1:6" x14ac:dyDescent="0.25">
      <c r="A1108" s="24" t="s">
        <v>7</v>
      </c>
      <c r="B1108" s="24" t="s">
        <v>2880</v>
      </c>
      <c r="C1108" s="25" t="s">
        <v>2881</v>
      </c>
      <c r="D1108" s="25" t="s">
        <v>2877</v>
      </c>
      <c r="E1108" s="26">
        <v>103.71</v>
      </c>
    </row>
    <row r="1109" spans="1:6" x14ac:dyDescent="0.25">
      <c r="A1109" s="24" t="s">
        <v>7</v>
      </c>
      <c r="B1109" s="24" t="s">
        <v>2882</v>
      </c>
      <c r="C1109" s="25" t="s">
        <v>2883</v>
      </c>
      <c r="D1109" s="25" t="s">
        <v>2884</v>
      </c>
      <c r="E1109" s="26">
        <v>24775</v>
      </c>
      <c r="F1109" s="24" t="s">
        <v>502</v>
      </c>
    </row>
    <row r="1110" spans="1:6" x14ac:dyDescent="0.25">
      <c r="A1110" s="24" t="s">
        <v>7</v>
      </c>
      <c r="B1110" s="24" t="s">
        <v>2885</v>
      </c>
      <c r="C1110" s="25" t="s">
        <v>2886</v>
      </c>
      <c r="D1110" s="25" t="s">
        <v>2887</v>
      </c>
      <c r="E1110" s="26">
        <v>299</v>
      </c>
      <c r="F1110" s="24" t="s">
        <v>502</v>
      </c>
    </row>
    <row r="1111" spans="1:6" x14ac:dyDescent="0.25">
      <c r="A1111" s="24" t="s">
        <v>7</v>
      </c>
      <c r="B1111" s="24" t="s">
        <v>2888</v>
      </c>
      <c r="C1111" s="25" t="s">
        <v>2889</v>
      </c>
      <c r="D1111" s="25" t="s">
        <v>2887</v>
      </c>
      <c r="E1111" s="26">
        <v>164</v>
      </c>
      <c r="F1111" s="24" t="s">
        <v>502</v>
      </c>
    </row>
    <row r="1112" spans="1:6" x14ac:dyDescent="0.25">
      <c r="A1112" s="24" t="s">
        <v>7</v>
      </c>
      <c r="B1112" s="24" t="s">
        <v>2890</v>
      </c>
      <c r="C1112" s="25" t="s">
        <v>2891</v>
      </c>
      <c r="D1112" s="25" t="s">
        <v>2887</v>
      </c>
      <c r="E1112" s="26">
        <v>299</v>
      </c>
      <c r="F1112" s="24" t="s">
        <v>502</v>
      </c>
    </row>
    <row r="1113" spans="1:6" x14ac:dyDescent="0.25">
      <c r="A1113" s="24" t="s">
        <v>7</v>
      </c>
      <c r="B1113" s="24" t="s">
        <v>2892</v>
      </c>
      <c r="C1113" s="25" t="s">
        <v>2893</v>
      </c>
      <c r="D1113" s="25" t="s">
        <v>2887</v>
      </c>
      <c r="E1113" s="26">
        <v>314</v>
      </c>
      <c r="F1113" s="24" t="s">
        <v>502</v>
      </c>
    </row>
    <row r="1114" spans="1:6" x14ac:dyDescent="0.25">
      <c r="A1114" s="24" t="s">
        <v>7</v>
      </c>
      <c r="B1114" s="24" t="s">
        <v>2894</v>
      </c>
      <c r="C1114" s="25" t="s">
        <v>2895</v>
      </c>
      <c r="D1114" s="25" t="s">
        <v>2887</v>
      </c>
      <c r="E1114" s="26">
        <v>245</v>
      </c>
      <c r="F1114" s="24" t="s">
        <v>502</v>
      </c>
    </row>
    <row r="1115" spans="1:6" x14ac:dyDescent="0.25">
      <c r="A1115" s="24" t="s">
        <v>7</v>
      </c>
      <c r="B1115" s="24" t="s">
        <v>2896</v>
      </c>
      <c r="C1115" s="25" t="s">
        <v>2393</v>
      </c>
      <c r="D1115" s="25" t="s">
        <v>2897</v>
      </c>
      <c r="E1115" s="26">
        <v>4098</v>
      </c>
      <c r="F1115" s="24" t="s">
        <v>502</v>
      </c>
    </row>
    <row r="1116" spans="1:6" x14ac:dyDescent="0.25">
      <c r="A1116" s="24" t="s">
        <v>7</v>
      </c>
      <c r="B1116" s="24" t="s">
        <v>2898</v>
      </c>
      <c r="C1116" s="25" t="s">
        <v>2393</v>
      </c>
      <c r="D1116" s="25" t="s">
        <v>2899</v>
      </c>
      <c r="E1116" s="26">
        <v>7128</v>
      </c>
      <c r="F1116" s="24" t="s">
        <v>502</v>
      </c>
    </row>
    <row r="1117" spans="1:6" x14ac:dyDescent="0.25">
      <c r="A1117" s="24" t="s">
        <v>7</v>
      </c>
      <c r="B1117" s="24" t="s">
        <v>2900</v>
      </c>
      <c r="C1117" s="25" t="s">
        <v>2901</v>
      </c>
      <c r="D1117" s="25" t="s">
        <v>2902</v>
      </c>
      <c r="E1117" s="26">
        <v>8758</v>
      </c>
    </row>
    <row r="1118" spans="1:6" x14ac:dyDescent="0.25">
      <c r="A1118" s="24" t="s">
        <v>7</v>
      </c>
      <c r="B1118" s="24" t="s">
        <v>2903</v>
      </c>
      <c r="C1118" s="25" t="s">
        <v>2904</v>
      </c>
      <c r="D1118" s="25" t="s">
        <v>2905</v>
      </c>
      <c r="E1118" s="26">
        <v>9367</v>
      </c>
    </row>
    <row r="1119" spans="1:6" x14ac:dyDescent="0.25">
      <c r="A1119" s="24" t="s">
        <v>7</v>
      </c>
      <c r="B1119" s="24" t="s">
        <v>2906</v>
      </c>
      <c r="C1119" s="25" t="s">
        <v>2907</v>
      </c>
      <c r="D1119" s="25" t="s">
        <v>2908</v>
      </c>
      <c r="E1119" s="26">
        <v>131</v>
      </c>
      <c r="F1119" s="24" t="s">
        <v>502</v>
      </c>
    </row>
    <row r="1120" spans="1:6" x14ac:dyDescent="0.25">
      <c r="A1120" s="24" t="s">
        <v>7</v>
      </c>
      <c r="B1120" s="24" t="s">
        <v>2909</v>
      </c>
      <c r="C1120" s="25" t="s">
        <v>2910</v>
      </c>
      <c r="D1120" s="25" t="s">
        <v>2911</v>
      </c>
      <c r="E1120" s="26">
        <v>6659</v>
      </c>
    </row>
    <row r="1121" spans="1:6" x14ac:dyDescent="0.25">
      <c r="A1121" s="24" t="s">
        <v>7</v>
      </c>
      <c r="B1121" s="24" t="s">
        <v>2912</v>
      </c>
      <c r="C1121" s="25" t="s">
        <v>2913</v>
      </c>
      <c r="D1121" s="25" t="s">
        <v>2914</v>
      </c>
      <c r="E1121" s="26">
        <v>181</v>
      </c>
      <c r="F1121" s="24" t="s">
        <v>502</v>
      </c>
    </row>
    <row r="1122" spans="1:6" x14ac:dyDescent="0.25">
      <c r="A1122" s="24" t="s">
        <v>7</v>
      </c>
      <c r="B1122" s="24" t="s">
        <v>2915</v>
      </c>
      <c r="C1122" s="25" t="s">
        <v>2916</v>
      </c>
      <c r="D1122" s="25" t="s">
        <v>2917</v>
      </c>
      <c r="E1122" s="26">
        <v>13105</v>
      </c>
    </row>
    <row r="1123" spans="1:6" x14ac:dyDescent="0.25">
      <c r="A1123" s="24" t="s">
        <v>7</v>
      </c>
      <c r="B1123" s="24" t="s">
        <v>2918</v>
      </c>
      <c r="C1123" s="25" t="s">
        <v>2919</v>
      </c>
      <c r="D1123" s="25" t="s">
        <v>2920</v>
      </c>
      <c r="E1123" s="26">
        <v>14468</v>
      </c>
      <c r="F1123" s="24" t="s">
        <v>502</v>
      </c>
    </row>
    <row r="1124" spans="1:6" x14ac:dyDescent="0.25">
      <c r="A1124" s="24" t="s">
        <v>7</v>
      </c>
      <c r="B1124" s="24" t="s">
        <v>2921</v>
      </c>
      <c r="C1124" s="25" t="s">
        <v>2922</v>
      </c>
      <c r="D1124" s="25" t="s">
        <v>2923</v>
      </c>
      <c r="E1124" s="26">
        <v>48821</v>
      </c>
      <c r="F1124" s="24" t="s">
        <v>502</v>
      </c>
    </row>
    <row r="1125" spans="1:6" x14ac:dyDescent="0.25">
      <c r="A1125" s="24" t="s">
        <v>7</v>
      </c>
      <c r="B1125" s="24" t="s">
        <v>2924</v>
      </c>
      <c r="C1125" s="25" t="s">
        <v>2925</v>
      </c>
      <c r="D1125" s="25" t="s">
        <v>2926</v>
      </c>
      <c r="E1125" s="26">
        <v>36098</v>
      </c>
    </row>
    <row r="1126" spans="1:6" x14ac:dyDescent="0.25">
      <c r="A1126" s="24" t="s">
        <v>7</v>
      </c>
      <c r="B1126" s="24" t="s">
        <v>2927</v>
      </c>
      <c r="C1126" s="25" t="s">
        <v>2928</v>
      </c>
      <c r="D1126" s="25" t="s">
        <v>2929</v>
      </c>
      <c r="E1126" s="26">
        <v>50130</v>
      </c>
    </row>
    <row r="1127" spans="1:6" x14ac:dyDescent="0.25">
      <c r="A1127" s="24" t="s">
        <v>7</v>
      </c>
      <c r="B1127" s="24" t="s">
        <v>2930</v>
      </c>
      <c r="C1127" s="25" t="s">
        <v>2931</v>
      </c>
      <c r="D1127" s="25" t="s">
        <v>2929</v>
      </c>
      <c r="E1127" s="26">
        <v>121847</v>
      </c>
    </row>
    <row r="1128" spans="1:6" x14ac:dyDescent="0.25">
      <c r="A1128" s="24" t="s">
        <v>7</v>
      </c>
      <c r="B1128" s="24" t="s">
        <v>2932</v>
      </c>
      <c r="C1128" s="25" t="s">
        <v>2933</v>
      </c>
      <c r="D1128" s="25" t="s">
        <v>2934</v>
      </c>
      <c r="E1128" s="26">
        <v>90630</v>
      </c>
    </row>
    <row r="1129" spans="1:6" x14ac:dyDescent="0.25">
      <c r="A1129" s="24" t="s">
        <v>7</v>
      </c>
      <c r="B1129" s="24" t="s">
        <v>2935</v>
      </c>
      <c r="C1129" s="25" t="s">
        <v>2936</v>
      </c>
      <c r="D1129" s="25" t="s">
        <v>2937</v>
      </c>
      <c r="E1129" s="26">
        <v>9118</v>
      </c>
    </row>
    <row r="1130" spans="1:6" x14ac:dyDescent="0.25">
      <c r="A1130" s="24" t="s">
        <v>7</v>
      </c>
      <c r="B1130" s="24" t="s">
        <v>2938</v>
      </c>
      <c r="C1130" s="25" t="s">
        <v>2939</v>
      </c>
      <c r="D1130" s="25" t="s">
        <v>2940</v>
      </c>
      <c r="E1130" s="26">
        <v>25132</v>
      </c>
    </row>
    <row r="1131" spans="1:6" x14ac:dyDescent="0.25">
      <c r="A1131" s="24" t="s">
        <v>7</v>
      </c>
      <c r="B1131" s="24" t="s">
        <v>2941</v>
      </c>
      <c r="C1131" s="25" t="s">
        <v>2942</v>
      </c>
      <c r="D1131" s="25" t="s">
        <v>2940</v>
      </c>
      <c r="E1131" s="26">
        <v>60281</v>
      </c>
      <c r="F1131" s="24" t="s">
        <v>502</v>
      </c>
    </row>
    <row r="1132" spans="1:6" x14ac:dyDescent="0.25">
      <c r="A1132" s="24" t="s">
        <v>7</v>
      </c>
      <c r="B1132" s="24" t="s">
        <v>2943</v>
      </c>
      <c r="C1132" s="25" t="s">
        <v>2944</v>
      </c>
      <c r="D1132" s="25" t="s">
        <v>2926</v>
      </c>
      <c r="E1132" s="26">
        <v>11053</v>
      </c>
    </row>
    <row r="1133" spans="1:6" x14ac:dyDescent="0.25">
      <c r="A1133" s="24" t="s">
        <v>7</v>
      </c>
      <c r="B1133" s="24" t="s">
        <v>2945</v>
      </c>
      <c r="C1133" s="25" t="s">
        <v>2946</v>
      </c>
      <c r="D1133" s="25" t="s">
        <v>2947</v>
      </c>
      <c r="E1133" s="26">
        <v>50286</v>
      </c>
    </row>
    <row r="1134" spans="1:6" x14ac:dyDescent="0.25">
      <c r="A1134" s="24" t="s">
        <v>7</v>
      </c>
      <c r="B1134" s="24" t="s">
        <v>2948</v>
      </c>
      <c r="C1134" s="25" t="s">
        <v>2949</v>
      </c>
      <c r="D1134" s="25" t="s">
        <v>2950</v>
      </c>
      <c r="E1134" s="26">
        <v>33882</v>
      </c>
    </row>
    <row r="1135" spans="1:6" x14ac:dyDescent="0.25">
      <c r="A1135" s="24" t="s">
        <v>7</v>
      </c>
      <c r="B1135" s="24" t="s">
        <v>2951</v>
      </c>
      <c r="C1135" s="25" t="s">
        <v>2952</v>
      </c>
      <c r="D1135" s="25" t="s">
        <v>2950</v>
      </c>
      <c r="E1135" s="26">
        <v>22420</v>
      </c>
      <c r="F1135" s="24" t="s">
        <v>502</v>
      </c>
    </row>
    <row r="1136" spans="1:6" x14ac:dyDescent="0.25">
      <c r="A1136" s="24" t="s">
        <v>7</v>
      </c>
      <c r="B1136" s="24" t="s">
        <v>2953</v>
      </c>
      <c r="C1136" s="25" t="s">
        <v>2954</v>
      </c>
      <c r="D1136" s="25" t="s">
        <v>2955</v>
      </c>
      <c r="E1136" s="26">
        <v>14282</v>
      </c>
      <c r="F1136" s="24" t="s">
        <v>502</v>
      </c>
    </row>
    <row r="1137" spans="1:6" x14ac:dyDescent="0.25">
      <c r="A1137" s="24" t="s">
        <v>7</v>
      </c>
      <c r="B1137" s="24" t="s">
        <v>2956</v>
      </c>
      <c r="C1137" s="25" t="s">
        <v>2957</v>
      </c>
      <c r="D1137" s="25" t="s">
        <v>2958</v>
      </c>
      <c r="E1137" s="26">
        <v>6915</v>
      </c>
    </row>
    <row r="1138" spans="1:6" x14ac:dyDescent="0.25">
      <c r="A1138" s="24" t="s">
        <v>7</v>
      </c>
      <c r="B1138" s="24" t="s">
        <v>2959</v>
      </c>
      <c r="C1138" s="25" t="s">
        <v>2960</v>
      </c>
      <c r="D1138" s="25" t="s">
        <v>2961</v>
      </c>
      <c r="E1138" s="26">
        <v>6926</v>
      </c>
      <c r="F1138" s="24" t="s">
        <v>502</v>
      </c>
    </row>
    <row r="1139" spans="1:6" x14ac:dyDescent="0.25">
      <c r="A1139" s="24" t="s">
        <v>7</v>
      </c>
      <c r="B1139" s="24" t="s">
        <v>2962</v>
      </c>
      <c r="C1139" s="25" t="s">
        <v>2963</v>
      </c>
      <c r="D1139" s="25" t="s">
        <v>2964</v>
      </c>
      <c r="E1139" s="26">
        <v>2310</v>
      </c>
    </row>
    <row r="1140" spans="1:6" x14ac:dyDescent="0.25">
      <c r="A1140" s="24" t="s">
        <v>7</v>
      </c>
      <c r="B1140" s="24" t="s">
        <v>2965</v>
      </c>
      <c r="C1140" s="25" t="s">
        <v>2966</v>
      </c>
      <c r="D1140" s="25" t="s">
        <v>2967</v>
      </c>
      <c r="E1140" s="26">
        <v>420</v>
      </c>
    </row>
    <row r="1141" spans="1:6" x14ac:dyDescent="0.25">
      <c r="A1141" s="24" t="s">
        <v>7</v>
      </c>
      <c r="B1141" s="24" t="s">
        <v>2968</v>
      </c>
      <c r="C1141" s="25" t="s">
        <v>2969</v>
      </c>
      <c r="D1141" s="25" t="s">
        <v>2970</v>
      </c>
      <c r="E1141" s="26">
        <v>573</v>
      </c>
    </row>
    <row r="1142" spans="1:6" x14ac:dyDescent="0.25">
      <c r="A1142" s="24" t="s">
        <v>7</v>
      </c>
      <c r="B1142" s="24" t="s">
        <v>2971</v>
      </c>
      <c r="C1142" s="25" t="s">
        <v>2972</v>
      </c>
      <c r="D1142" s="25" t="s">
        <v>2970</v>
      </c>
      <c r="E1142" s="26">
        <v>349</v>
      </c>
    </row>
    <row r="1143" spans="1:6" x14ac:dyDescent="0.25">
      <c r="A1143" s="24" t="s">
        <v>7</v>
      </c>
      <c r="B1143" s="24" t="s">
        <v>2973</v>
      </c>
      <c r="C1143" s="25" t="s">
        <v>2974</v>
      </c>
      <c r="D1143" s="25" t="s">
        <v>2975</v>
      </c>
      <c r="E1143" s="26">
        <v>531</v>
      </c>
    </row>
    <row r="1144" spans="1:6" x14ac:dyDescent="0.25">
      <c r="A1144" s="24" t="s">
        <v>7</v>
      </c>
      <c r="B1144" s="24" t="s">
        <v>2976</v>
      </c>
      <c r="C1144" s="25" t="s">
        <v>2977</v>
      </c>
      <c r="D1144" s="25" t="s">
        <v>2978</v>
      </c>
      <c r="E1144" s="26">
        <v>176</v>
      </c>
      <c r="F1144" s="24" t="s">
        <v>502</v>
      </c>
    </row>
    <row r="1145" spans="1:6" x14ac:dyDescent="0.25">
      <c r="A1145" s="24" t="s">
        <v>7</v>
      </c>
      <c r="B1145" s="24" t="s">
        <v>2979</v>
      </c>
      <c r="C1145" s="25" t="s">
        <v>2980</v>
      </c>
      <c r="D1145" s="25" t="s">
        <v>2981</v>
      </c>
      <c r="E1145" s="26">
        <v>685</v>
      </c>
      <c r="F1145" s="24" t="s">
        <v>502</v>
      </c>
    </row>
    <row r="1146" spans="1:6" x14ac:dyDescent="0.25">
      <c r="A1146" s="24" t="s">
        <v>7</v>
      </c>
      <c r="B1146" s="24" t="s">
        <v>2982</v>
      </c>
      <c r="C1146" s="25" t="s">
        <v>2983</v>
      </c>
      <c r="D1146" s="25" t="s">
        <v>2967</v>
      </c>
      <c r="E1146" s="26">
        <v>268</v>
      </c>
    </row>
    <row r="1147" spans="1:6" x14ac:dyDescent="0.25">
      <c r="A1147" s="24" t="s">
        <v>7</v>
      </c>
      <c r="B1147" s="24" t="s">
        <v>2984</v>
      </c>
      <c r="C1147" s="25" t="s">
        <v>2985</v>
      </c>
      <c r="D1147" s="25" t="s">
        <v>2986</v>
      </c>
      <c r="E1147" s="26">
        <v>646</v>
      </c>
    </row>
    <row r="1148" spans="1:6" x14ac:dyDescent="0.25">
      <c r="A1148" s="24" t="s">
        <v>7</v>
      </c>
      <c r="B1148" s="24" t="s">
        <v>2987</v>
      </c>
      <c r="C1148" s="25" t="s">
        <v>2988</v>
      </c>
      <c r="D1148" s="25" t="s">
        <v>2970</v>
      </c>
      <c r="E1148" s="26">
        <v>372</v>
      </c>
    </row>
    <row r="1149" spans="1:6" x14ac:dyDescent="0.25">
      <c r="A1149" s="24" t="s">
        <v>7</v>
      </c>
      <c r="B1149" s="24" t="s">
        <v>2989</v>
      </c>
      <c r="C1149" s="25" t="s">
        <v>2990</v>
      </c>
      <c r="D1149" s="25" t="s">
        <v>2991</v>
      </c>
      <c r="E1149" s="26">
        <v>4622</v>
      </c>
      <c r="F1149" s="24" t="s">
        <v>502</v>
      </c>
    </row>
    <row r="1150" spans="1:6" x14ac:dyDescent="0.25">
      <c r="A1150" s="24" t="s">
        <v>7</v>
      </c>
      <c r="B1150" s="24" t="s">
        <v>2992</v>
      </c>
      <c r="C1150" s="25" t="s">
        <v>2993</v>
      </c>
      <c r="D1150" s="25" t="s">
        <v>2994</v>
      </c>
      <c r="E1150" s="26">
        <v>273</v>
      </c>
      <c r="F1150" s="24" t="s">
        <v>502</v>
      </c>
    </row>
    <row r="1151" spans="1:6" x14ac:dyDescent="0.25">
      <c r="A1151" s="24" t="s">
        <v>7</v>
      </c>
      <c r="B1151" s="24" t="s">
        <v>2995</v>
      </c>
      <c r="C1151" s="25" t="s">
        <v>2996</v>
      </c>
      <c r="D1151" s="25" t="s">
        <v>2997</v>
      </c>
      <c r="E1151" s="26">
        <v>4122</v>
      </c>
      <c r="F1151" s="24" t="s">
        <v>502</v>
      </c>
    </row>
    <row r="1152" spans="1:6" x14ac:dyDescent="0.25">
      <c r="A1152" s="24" t="s">
        <v>7</v>
      </c>
      <c r="B1152" s="24" t="s">
        <v>2998</v>
      </c>
      <c r="C1152" s="25" t="s">
        <v>2999</v>
      </c>
      <c r="D1152" s="25" t="s">
        <v>3000</v>
      </c>
      <c r="E1152" s="26">
        <v>8490</v>
      </c>
      <c r="F1152" s="24" t="s">
        <v>502</v>
      </c>
    </row>
    <row r="1153" spans="1:6" x14ac:dyDescent="0.25">
      <c r="A1153" s="24" t="s">
        <v>7</v>
      </c>
      <c r="B1153" s="24" t="s">
        <v>3001</v>
      </c>
      <c r="C1153" s="25" t="s">
        <v>3002</v>
      </c>
      <c r="D1153" s="25" t="s">
        <v>3003</v>
      </c>
      <c r="E1153" s="26">
        <v>6937</v>
      </c>
    </row>
    <row r="1154" spans="1:6" x14ac:dyDescent="0.25">
      <c r="A1154" s="24" t="s">
        <v>7</v>
      </c>
      <c r="B1154" s="24" t="s">
        <v>3004</v>
      </c>
      <c r="C1154" s="25" t="s">
        <v>3005</v>
      </c>
      <c r="D1154" s="25" t="s">
        <v>3006</v>
      </c>
      <c r="E1154" s="26">
        <v>14794</v>
      </c>
    </row>
    <row r="1155" spans="1:6" x14ac:dyDescent="0.25">
      <c r="A1155" s="24" t="s">
        <v>7</v>
      </c>
      <c r="B1155" s="24" t="s">
        <v>3007</v>
      </c>
      <c r="C1155" s="25" t="s">
        <v>3008</v>
      </c>
      <c r="D1155" s="25" t="s">
        <v>3009</v>
      </c>
      <c r="E1155" s="26">
        <v>9419</v>
      </c>
    </row>
    <row r="1156" spans="1:6" x14ac:dyDescent="0.25">
      <c r="A1156" s="24" t="s">
        <v>7</v>
      </c>
      <c r="B1156" s="24" t="s">
        <v>3010</v>
      </c>
      <c r="C1156" s="25" t="s">
        <v>3011</v>
      </c>
      <c r="D1156" s="25" t="s">
        <v>3012</v>
      </c>
      <c r="E1156" s="26">
        <v>71073</v>
      </c>
    </row>
    <row r="1157" spans="1:6" x14ac:dyDescent="0.25">
      <c r="A1157" s="24" t="s">
        <v>7</v>
      </c>
      <c r="B1157" s="24" t="s">
        <v>3013</v>
      </c>
      <c r="C1157" s="25" t="s">
        <v>3014</v>
      </c>
      <c r="D1157" s="25" t="s">
        <v>3015</v>
      </c>
      <c r="E1157" s="26">
        <v>60.39</v>
      </c>
    </row>
    <row r="1158" spans="1:6" x14ac:dyDescent="0.25">
      <c r="A1158" s="24" t="s">
        <v>7</v>
      </c>
      <c r="B1158" s="24" t="s">
        <v>3016</v>
      </c>
      <c r="C1158" s="25" t="s">
        <v>3017</v>
      </c>
      <c r="D1158" s="25" t="s">
        <v>3018</v>
      </c>
      <c r="E1158" s="26">
        <v>652.6</v>
      </c>
    </row>
    <row r="1159" spans="1:6" x14ac:dyDescent="0.25">
      <c r="A1159" s="24" t="s">
        <v>7</v>
      </c>
      <c r="B1159" s="24" t="s">
        <v>3019</v>
      </c>
      <c r="C1159" s="25" t="s">
        <v>3020</v>
      </c>
      <c r="D1159" s="25" t="s">
        <v>3021</v>
      </c>
      <c r="E1159" s="26">
        <v>7161</v>
      </c>
      <c r="F1159" s="24" t="s">
        <v>502</v>
      </c>
    </row>
    <row r="1160" spans="1:6" x14ac:dyDescent="0.25">
      <c r="A1160" s="24" t="s">
        <v>7</v>
      </c>
      <c r="B1160" s="24" t="s">
        <v>3022</v>
      </c>
      <c r="C1160" s="25" t="s">
        <v>3023</v>
      </c>
      <c r="D1160" s="25" t="s">
        <v>3024</v>
      </c>
      <c r="E1160" s="26">
        <v>2094</v>
      </c>
      <c r="F1160" s="24" t="s">
        <v>502</v>
      </c>
    </row>
    <row r="1161" spans="1:6" x14ac:dyDescent="0.25">
      <c r="A1161" s="24" t="s">
        <v>7</v>
      </c>
      <c r="B1161" s="24" t="s">
        <v>3025</v>
      </c>
      <c r="C1161" s="25" t="s">
        <v>3026</v>
      </c>
      <c r="D1161" s="25" t="s">
        <v>3027</v>
      </c>
      <c r="E1161" s="26">
        <v>1268</v>
      </c>
      <c r="F1161" s="24" t="s">
        <v>502</v>
      </c>
    </row>
    <row r="1162" spans="1:6" x14ac:dyDescent="0.25">
      <c r="A1162" s="24" t="s">
        <v>7</v>
      </c>
      <c r="B1162" s="24" t="s">
        <v>3028</v>
      </c>
      <c r="C1162" s="25" t="s">
        <v>3029</v>
      </c>
      <c r="D1162" s="25" t="s">
        <v>3030</v>
      </c>
      <c r="E1162" s="26">
        <v>15176</v>
      </c>
      <c r="F1162" s="24" t="s">
        <v>502</v>
      </c>
    </row>
    <row r="1163" spans="1:6" x14ac:dyDescent="0.25">
      <c r="A1163" s="24" t="s">
        <v>7</v>
      </c>
      <c r="B1163" s="24" t="s">
        <v>3031</v>
      </c>
      <c r="C1163" s="25" t="s">
        <v>3032</v>
      </c>
      <c r="D1163" s="25" t="s">
        <v>3033</v>
      </c>
      <c r="E1163" s="26">
        <v>914</v>
      </c>
      <c r="F1163" s="24" t="s">
        <v>502</v>
      </c>
    </row>
    <row r="1164" spans="1:6" x14ac:dyDescent="0.25">
      <c r="A1164" s="24" t="s">
        <v>7</v>
      </c>
      <c r="B1164" s="24" t="s">
        <v>3034</v>
      </c>
      <c r="C1164" s="25" t="s">
        <v>3035</v>
      </c>
      <c r="D1164" s="25" t="s">
        <v>3036</v>
      </c>
      <c r="E1164" s="26">
        <v>60</v>
      </c>
      <c r="F1164" s="24" t="s">
        <v>502</v>
      </c>
    </row>
    <row r="1165" spans="1:6" x14ac:dyDescent="0.25">
      <c r="A1165" s="24" t="s">
        <v>7</v>
      </c>
      <c r="B1165" s="24" t="s">
        <v>3037</v>
      </c>
      <c r="C1165" s="25" t="s">
        <v>3038</v>
      </c>
      <c r="D1165" s="25" t="s">
        <v>3039</v>
      </c>
      <c r="E1165" s="26">
        <v>3982</v>
      </c>
      <c r="F1165" s="24" t="s">
        <v>502</v>
      </c>
    </row>
    <row r="1166" spans="1:6" x14ac:dyDescent="0.25">
      <c r="A1166" s="24" t="s">
        <v>7</v>
      </c>
      <c r="B1166" s="24" t="s">
        <v>3040</v>
      </c>
      <c r="C1166" s="25" t="s">
        <v>3041</v>
      </c>
      <c r="D1166" s="25" t="s">
        <v>3042</v>
      </c>
      <c r="E1166" s="26">
        <v>902</v>
      </c>
      <c r="F1166" s="24" t="s">
        <v>502</v>
      </c>
    </row>
    <row r="1167" spans="1:6" x14ac:dyDescent="0.25">
      <c r="A1167" s="24" t="s">
        <v>7</v>
      </c>
      <c r="B1167" s="24" t="s">
        <v>3043</v>
      </c>
      <c r="C1167" s="25" t="s">
        <v>3044</v>
      </c>
      <c r="D1167" s="25" t="s">
        <v>3045</v>
      </c>
      <c r="E1167" s="26">
        <v>9774</v>
      </c>
      <c r="F1167" s="24" t="s">
        <v>502</v>
      </c>
    </row>
    <row r="1168" spans="1:6" x14ac:dyDescent="0.25">
      <c r="A1168" s="24" t="s">
        <v>7</v>
      </c>
      <c r="B1168" s="24" t="s">
        <v>3046</v>
      </c>
      <c r="C1168" s="25" t="s">
        <v>3047</v>
      </c>
      <c r="D1168" s="25" t="s">
        <v>3048</v>
      </c>
      <c r="E1168" s="26">
        <v>8473</v>
      </c>
      <c r="F1168" s="24" t="s">
        <v>502</v>
      </c>
    </row>
    <row r="1169" spans="1:6" x14ac:dyDescent="0.25">
      <c r="A1169" s="24" t="s">
        <v>7</v>
      </c>
      <c r="B1169" s="24" t="s">
        <v>3049</v>
      </c>
      <c r="C1169" s="25" t="s">
        <v>3050</v>
      </c>
      <c r="D1169" s="25" t="s">
        <v>3050</v>
      </c>
      <c r="E1169" s="26">
        <v>3028</v>
      </c>
    </row>
    <row r="1170" spans="1:6" x14ac:dyDescent="0.25">
      <c r="A1170" s="24" t="s">
        <v>7</v>
      </c>
      <c r="B1170" s="24" t="s">
        <v>3051</v>
      </c>
      <c r="C1170" s="25" t="s">
        <v>3052</v>
      </c>
      <c r="D1170" s="25" t="s">
        <v>3053</v>
      </c>
      <c r="E1170" s="26">
        <v>632</v>
      </c>
      <c r="F1170" s="24" t="s">
        <v>502</v>
      </c>
    </row>
    <row r="1171" spans="1:6" x14ac:dyDescent="0.25">
      <c r="A1171" s="24" t="s">
        <v>7</v>
      </c>
      <c r="B1171" s="24" t="s">
        <v>3054</v>
      </c>
      <c r="C1171" s="25" t="s">
        <v>3055</v>
      </c>
      <c r="D1171" s="25" t="s">
        <v>3056</v>
      </c>
      <c r="E1171" s="26">
        <v>10533</v>
      </c>
      <c r="F1171" s="24" t="s">
        <v>502</v>
      </c>
    </row>
    <row r="1172" spans="1:6" x14ac:dyDescent="0.25">
      <c r="A1172" s="24" t="s">
        <v>7</v>
      </c>
      <c r="B1172" s="24" t="s">
        <v>3057</v>
      </c>
      <c r="C1172" s="25" t="s">
        <v>3058</v>
      </c>
      <c r="D1172" s="25" t="s">
        <v>2580</v>
      </c>
      <c r="E1172" s="26">
        <v>243</v>
      </c>
      <c r="F1172" s="24" t="s">
        <v>502</v>
      </c>
    </row>
    <row r="1173" spans="1:6" x14ac:dyDescent="0.25">
      <c r="A1173" s="24" t="s">
        <v>7</v>
      </c>
      <c r="B1173" s="24" t="s">
        <v>3059</v>
      </c>
      <c r="C1173" s="25" t="s">
        <v>3060</v>
      </c>
      <c r="D1173" s="25" t="s">
        <v>3061</v>
      </c>
      <c r="E1173" s="26">
        <v>793</v>
      </c>
      <c r="F1173" s="24" t="s">
        <v>502</v>
      </c>
    </row>
    <row r="1174" spans="1:6" x14ac:dyDescent="0.25">
      <c r="A1174" s="24" t="s">
        <v>7</v>
      </c>
      <c r="B1174" s="24" t="s">
        <v>3062</v>
      </c>
      <c r="C1174" s="25" t="s">
        <v>3063</v>
      </c>
      <c r="D1174" s="25" t="s">
        <v>3064</v>
      </c>
      <c r="E1174" s="26">
        <v>1276</v>
      </c>
    </row>
    <row r="1175" spans="1:6" x14ac:dyDescent="0.25">
      <c r="A1175" s="24" t="s">
        <v>7</v>
      </c>
      <c r="B1175" s="24" t="s">
        <v>3065</v>
      </c>
      <c r="C1175" s="25" t="s">
        <v>3066</v>
      </c>
      <c r="D1175" s="25" t="s">
        <v>3067</v>
      </c>
      <c r="E1175" s="26">
        <v>783</v>
      </c>
    </row>
    <row r="1176" spans="1:6" x14ac:dyDescent="0.25">
      <c r="A1176" s="24" t="s">
        <v>7</v>
      </c>
      <c r="B1176" s="24" t="s">
        <v>3068</v>
      </c>
      <c r="C1176" s="25" t="s">
        <v>3069</v>
      </c>
      <c r="D1176" s="25" t="s">
        <v>3070</v>
      </c>
      <c r="E1176" s="26">
        <v>2381</v>
      </c>
      <c r="F1176" s="24" t="s">
        <v>502</v>
      </c>
    </row>
    <row r="1177" spans="1:6" x14ac:dyDescent="0.25">
      <c r="A1177" s="24" t="s">
        <v>7</v>
      </c>
      <c r="B1177" s="24" t="s">
        <v>3071</v>
      </c>
      <c r="C1177" s="25" t="s">
        <v>3072</v>
      </c>
      <c r="D1177" s="25" t="s">
        <v>3073</v>
      </c>
      <c r="E1177" s="26">
        <v>783</v>
      </c>
      <c r="F1177" s="24" t="s">
        <v>502</v>
      </c>
    </row>
    <row r="1178" spans="1:6" x14ac:dyDescent="0.25">
      <c r="A1178" s="24" t="s">
        <v>7</v>
      </c>
      <c r="B1178" s="24" t="s">
        <v>3074</v>
      </c>
      <c r="C1178" s="25" t="s">
        <v>3075</v>
      </c>
      <c r="D1178" s="25" t="s">
        <v>3075</v>
      </c>
      <c r="E1178" s="26">
        <v>2552</v>
      </c>
      <c r="F1178" s="24" t="s">
        <v>502</v>
      </c>
    </row>
    <row r="1179" spans="1:6" x14ac:dyDescent="0.25">
      <c r="A1179" s="24" t="s">
        <v>7</v>
      </c>
      <c r="B1179" s="24" t="s">
        <v>3076</v>
      </c>
      <c r="C1179" s="25" t="s">
        <v>3077</v>
      </c>
      <c r="D1179" s="25" t="s">
        <v>3078</v>
      </c>
      <c r="E1179" s="26">
        <v>783</v>
      </c>
    </row>
    <row r="1180" spans="1:6" x14ac:dyDescent="0.25">
      <c r="A1180" s="24" t="s">
        <v>7</v>
      </c>
      <c r="B1180" s="24" t="s">
        <v>3079</v>
      </c>
      <c r="C1180" s="25" t="s">
        <v>3080</v>
      </c>
      <c r="D1180" s="25" t="s">
        <v>3081</v>
      </c>
      <c r="E1180" s="26">
        <v>4351</v>
      </c>
    </row>
    <row r="1181" spans="1:6" x14ac:dyDescent="0.25">
      <c r="A1181" s="24" t="s">
        <v>7</v>
      </c>
      <c r="B1181" s="24" t="s">
        <v>3082</v>
      </c>
      <c r="C1181" s="25" t="s">
        <v>3083</v>
      </c>
      <c r="D1181" s="25" t="s">
        <v>3084</v>
      </c>
      <c r="E1181" s="26">
        <v>5348</v>
      </c>
    </row>
    <row r="1182" spans="1:6" x14ac:dyDescent="0.25">
      <c r="A1182" s="24" t="s">
        <v>7</v>
      </c>
      <c r="B1182" s="24" t="s">
        <v>3085</v>
      </c>
      <c r="C1182" s="25" t="s">
        <v>3086</v>
      </c>
      <c r="D1182" s="25" t="s">
        <v>3087</v>
      </c>
      <c r="E1182" s="26">
        <v>783</v>
      </c>
    </row>
    <row r="1183" spans="1:6" x14ac:dyDescent="0.25">
      <c r="A1183" s="24" t="s">
        <v>7</v>
      </c>
      <c r="B1183" s="24" t="s">
        <v>3088</v>
      </c>
      <c r="C1183" s="25" t="s">
        <v>3089</v>
      </c>
      <c r="D1183" s="25" t="s">
        <v>3089</v>
      </c>
      <c r="E1183" s="26">
        <v>11513.76</v>
      </c>
    </row>
    <row r="1184" spans="1:6" x14ac:dyDescent="0.25">
      <c r="A1184" s="24" t="s">
        <v>7</v>
      </c>
      <c r="B1184" s="24" t="s">
        <v>3090</v>
      </c>
      <c r="C1184" s="25" t="s">
        <v>3091</v>
      </c>
      <c r="D1184" s="25" t="s">
        <v>3092</v>
      </c>
      <c r="E1184" s="26">
        <v>7777</v>
      </c>
    </row>
    <row r="1185" spans="1:6" x14ac:dyDescent="0.25">
      <c r="A1185" s="24" t="s">
        <v>7</v>
      </c>
      <c r="B1185" s="24" t="s">
        <v>3093</v>
      </c>
      <c r="C1185" s="25" t="s">
        <v>3094</v>
      </c>
      <c r="D1185" s="25" t="s">
        <v>3095</v>
      </c>
      <c r="E1185" s="26">
        <v>1872</v>
      </c>
      <c r="F1185" s="24" t="s">
        <v>502</v>
      </c>
    </row>
    <row r="1186" spans="1:6" x14ac:dyDescent="0.25">
      <c r="A1186" s="24" t="s">
        <v>7</v>
      </c>
      <c r="B1186" s="24" t="s">
        <v>3096</v>
      </c>
      <c r="C1186" s="25" t="s">
        <v>3097</v>
      </c>
      <c r="D1186" s="25" t="s">
        <v>3098</v>
      </c>
      <c r="E1186" s="26">
        <v>127</v>
      </c>
    </row>
    <row r="1187" spans="1:6" x14ac:dyDescent="0.25">
      <c r="A1187" s="24" t="s">
        <v>7</v>
      </c>
      <c r="B1187" s="24" t="s">
        <v>3099</v>
      </c>
      <c r="C1187" s="25" t="s">
        <v>3100</v>
      </c>
      <c r="D1187" s="25" t="s">
        <v>3100</v>
      </c>
      <c r="E1187" s="26">
        <v>104</v>
      </c>
    </row>
    <row r="1188" spans="1:6" x14ac:dyDescent="0.25">
      <c r="A1188" s="24" t="s">
        <v>7</v>
      </c>
      <c r="B1188" s="24" t="s">
        <v>3101</v>
      </c>
      <c r="C1188" s="25" t="s">
        <v>3102</v>
      </c>
      <c r="D1188" s="25" t="s">
        <v>3102</v>
      </c>
      <c r="E1188" s="26">
        <v>104</v>
      </c>
    </row>
    <row r="1189" spans="1:6" x14ac:dyDescent="0.25">
      <c r="A1189" s="24" t="s">
        <v>7</v>
      </c>
      <c r="B1189" s="24" t="s">
        <v>3103</v>
      </c>
      <c r="C1189" s="25" t="s">
        <v>3104</v>
      </c>
      <c r="D1189" s="25" t="s">
        <v>3104</v>
      </c>
      <c r="E1189" s="26">
        <v>615</v>
      </c>
    </row>
    <row r="1190" spans="1:6" x14ac:dyDescent="0.25">
      <c r="A1190" s="24" t="s">
        <v>7</v>
      </c>
      <c r="B1190" s="24" t="s">
        <v>3105</v>
      </c>
      <c r="C1190" s="25" t="s">
        <v>3106</v>
      </c>
      <c r="D1190" s="25" t="s">
        <v>3107</v>
      </c>
      <c r="E1190" s="26">
        <v>1270</v>
      </c>
    </row>
    <row r="1191" spans="1:6" x14ac:dyDescent="0.25">
      <c r="A1191" s="24" t="s">
        <v>7</v>
      </c>
      <c r="B1191" s="24" t="s">
        <v>3108</v>
      </c>
      <c r="C1191" s="25" t="s">
        <v>3109</v>
      </c>
      <c r="D1191" s="25" t="s">
        <v>3110</v>
      </c>
      <c r="E1191" s="26">
        <v>56</v>
      </c>
    </row>
    <row r="1192" spans="1:6" x14ac:dyDescent="0.25">
      <c r="A1192" s="24" t="s">
        <v>7</v>
      </c>
      <c r="B1192" s="24" t="s">
        <v>3111</v>
      </c>
      <c r="C1192" s="25" t="s">
        <v>3112</v>
      </c>
      <c r="D1192" s="25" t="s">
        <v>3112</v>
      </c>
      <c r="E1192" s="26">
        <v>46</v>
      </c>
    </row>
    <row r="1193" spans="1:6" x14ac:dyDescent="0.25">
      <c r="A1193" s="24" t="s">
        <v>7</v>
      </c>
      <c r="B1193" s="24" t="s">
        <v>3113</v>
      </c>
      <c r="C1193" s="25" t="s">
        <v>3114</v>
      </c>
      <c r="D1193" s="25" t="s">
        <v>3115</v>
      </c>
      <c r="E1193" s="26">
        <v>142</v>
      </c>
    </row>
    <row r="1194" spans="1:6" x14ac:dyDescent="0.25">
      <c r="A1194" s="24" t="s">
        <v>7</v>
      </c>
      <c r="B1194" s="24" t="s">
        <v>3116</v>
      </c>
      <c r="C1194" s="25" t="s">
        <v>3117</v>
      </c>
      <c r="D1194" s="25" t="s">
        <v>3118</v>
      </c>
      <c r="E1194" s="26">
        <v>75.819999999999993</v>
      </c>
    </row>
    <row r="1195" spans="1:6" x14ac:dyDescent="0.25">
      <c r="A1195" s="24" t="s">
        <v>7</v>
      </c>
      <c r="B1195" s="24" t="s">
        <v>3119</v>
      </c>
      <c r="C1195" s="25" t="s">
        <v>3120</v>
      </c>
      <c r="D1195" s="25" t="s">
        <v>3118</v>
      </c>
      <c r="E1195" s="26">
        <v>325</v>
      </c>
    </row>
    <row r="1196" spans="1:6" x14ac:dyDescent="0.25">
      <c r="A1196" s="24" t="s">
        <v>7</v>
      </c>
      <c r="B1196" s="24" t="s">
        <v>3121</v>
      </c>
      <c r="C1196" s="25" t="s">
        <v>3122</v>
      </c>
      <c r="D1196" s="25" t="s">
        <v>3118</v>
      </c>
      <c r="E1196" s="26">
        <v>325</v>
      </c>
    </row>
    <row r="1197" spans="1:6" x14ac:dyDescent="0.25">
      <c r="A1197" s="24" t="s">
        <v>7</v>
      </c>
      <c r="B1197" s="24" t="s">
        <v>3123</v>
      </c>
      <c r="C1197" s="25" t="s">
        <v>3124</v>
      </c>
      <c r="D1197" s="25" t="s">
        <v>3125</v>
      </c>
      <c r="E1197" s="26">
        <v>56</v>
      </c>
    </row>
    <row r="1198" spans="1:6" x14ac:dyDescent="0.25">
      <c r="A1198" s="24" t="s">
        <v>7</v>
      </c>
      <c r="B1198" s="24" t="s">
        <v>3126</v>
      </c>
      <c r="C1198" s="25" t="s">
        <v>3127</v>
      </c>
      <c r="D1198" s="25" t="s">
        <v>3128</v>
      </c>
      <c r="E1198" s="26">
        <v>104</v>
      </c>
    </row>
    <row r="1199" spans="1:6" x14ac:dyDescent="0.25">
      <c r="A1199" s="24" t="s">
        <v>7</v>
      </c>
      <c r="B1199" s="24" t="s">
        <v>3129</v>
      </c>
      <c r="C1199" s="25" t="s">
        <v>3130</v>
      </c>
      <c r="D1199" s="25" t="s">
        <v>3131</v>
      </c>
      <c r="E1199" s="26">
        <v>93</v>
      </c>
    </row>
    <row r="1200" spans="1:6" x14ac:dyDescent="0.25">
      <c r="A1200" s="24" t="s">
        <v>7</v>
      </c>
      <c r="B1200" s="24" t="s">
        <v>3132</v>
      </c>
      <c r="C1200" s="25" t="s">
        <v>3133</v>
      </c>
      <c r="D1200" s="25" t="s">
        <v>3118</v>
      </c>
      <c r="E1200" s="26">
        <v>1009</v>
      </c>
    </row>
    <row r="1201" spans="1:5" x14ac:dyDescent="0.25">
      <c r="A1201" s="24" t="s">
        <v>7</v>
      </c>
      <c r="B1201" s="24" t="s">
        <v>3134</v>
      </c>
      <c r="C1201" s="25" t="s">
        <v>3135</v>
      </c>
      <c r="D1201" s="25" t="s">
        <v>3136</v>
      </c>
      <c r="E1201" s="26">
        <v>269</v>
      </c>
    </row>
    <row r="1202" spans="1:5" x14ac:dyDescent="0.25">
      <c r="A1202" s="24" t="s">
        <v>7</v>
      </c>
      <c r="B1202" s="24" t="s">
        <v>3137</v>
      </c>
      <c r="C1202" s="25" t="s">
        <v>3138</v>
      </c>
      <c r="D1202" s="25" t="s">
        <v>3139</v>
      </c>
      <c r="E1202" s="26">
        <v>724</v>
      </c>
    </row>
    <row r="1203" spans="1:5" x14ac:dyDescent="0.25">
      <c r="A1203" s="24" t="s">
        <v>7</v>
      </c>
      <c r="B1203" s="24" t="s">
        <v>3140</v>
      </c>
      <c r="C1203" s="25" t="s">
        <v>3141</v>
      </c>
      <c r="D1203" s="25" t="s">
        <v>3141</v>
      </c>
      <c r="E1203" s="26">
        <v>21</v>
      </c>
    </row>
    <row r="1204" spans="1:5" x14ac:dyDescent="0.25">
      <c r="A1204" s="24" t="s">
        <v>7</v>
      </c>
      <c r="B1204" s="24" t="s">
        <v>3142</v>
      </c>
      <c r="C1204" s="25" t="s">
        <v>3143</v>
      </c>
      <c r="D1204" s="25" t="s">
        <v>3144</v>
      </c>
      <c r="E1204" s="26">
        <v>231</v>
      </c>
    </row>
    <row r="1205" spans="1:5" x14ac:dyDescent="0.25">
      <c r="A1205" s="24" t="s">
        <v>7</v>
      </c>
      <c r="B1205" s="24" t="s">
        <v>3145</v>
      </c>
      <c r="C1205" s="25" t="s">
        <v>3146</v>
      </c>
      <c r="D1205" s="25" t="s">
        <v>3144</v>
      </c>
      <c r="E1205" s="26">
        <v>742</v>
      </c>
    </row>
    <row r="1206" spans="1:5" x14ac:dyDescent="0.25">
      <c r="A1206" s="24" t="s">
        <v>7</v>
      </c>
      <c r="B1206" s="24" t="s">
        <v>3147</v>
      </c>
      <c r="C1206" s="25" t="s">
        <v>3148</v>
      </c>
      <c r="D1206" s="25" t="s">
        <v>3148</v>
      </c>
      <c r="E1206" s="26">
        <v>143</v>
      </c>
    </row>
    <row r="1207" spans="1:5" x14ac:dyDescent="0.25">
      <c r="A1207" s="24" t="s">
        <v>7</v>
      </c>
      <c r="B1207" s="24" t="s">
        <v>3149</v>
      </c>
      <c r="C1207" s="25" t="s">
        <v>3150</v>
      </c>
      <c r="D1207" s="25" t="s">
        <v>3151</v>
      </c>
      <c r="E1207" s="26">
        <v>32</v>
      </c>
    </row>
    <row r="1208" spans="1:5" x14ac:dyDescent="0.25">
      <c r="A1208" s="24" t="s">
        <v>7</v>
      </c>
      <c r="B1208" s="24" t="s">
        <v>3152</v>
      </c>
      <c r="C1208" s="25" t="s">
        <v>3153</v>
      </c>
      <c r="D1208" s="25" t="s">
        <v>3154</v>
      </c>
      <c r="E1208" s="26">
        <v>165</v>
      </c>
    </row>
    <row r="1209" spans="1:5" x14ac:dyDescent="0.25">
      <c r="A1209" s="24" t="s">
        <v>7</v>
      </c>
      <c r="B1209" s="24" t="s">
        <v>3155</v>
      </c>
      <c r="C1209" s="25" t="s">
        <v>3156</v>
      </c>
      <c r="D1209" s="25" t="s">
        <v>3157</v>
      </c>
      <c r="E1209" s="26">
        <v>71</v>
      </c>
    </row>
    <row r="1210" spans="1:5" x14ac:dyDescent="0.25">
      <c r="A1210" s="24" t="s">
        <v>7</v>
      </c>
      <c r="B1210" s="24" t="s">
        <v>3158</v>
      </c>
      <c r="C1210" s="25" t="s">
        <v>3159</v>
      </c>
      <c r="D1210" s="25" t="s">
        <v>3160</v>
      </c>
      <c r="E1210" s="26">
        <v>165</v>
      </c>
    </row>
    <row r="1211" spans="1:5" x14ac:dyDescent="0.25">
      <c r="A1211" s="24" t="s">
        <v>7</v>
      </c>
      <c r="B1211" s="24" t="s">
        <v>3161</v>
      </c>
      <c r="C1211" s="25" t="s">
        <v>3162</v>
      </c>
      <c r="D1211" s="25" t="s">
        <v>3163</v>
      </c>
      <c r="E1211" s="26">
        <v>63</v>
      </c>
    </row>
    <row r="1212" spans="1:5" x14ac:dyDescent="0.25">
      <c r="A1212" s="24" t="s">
        <v>7</v>
      </c>
      <c r="B1212" s="24" t="s">
        <v>3164</v>
      </c>
      <c r="C1212" s="25" t="s">
        <v>3165</v>
      </c>
      <c r="D1212" s="25" t="s">
        <v>3160</v>
      </c>
      <c r="E1212" s="26">
        <v>32</v>
      </c>
    </row>
    <row r="1213" spans="1:5" x14ac:dyDescent="0.25">
      <c r="A1213" s="24" t="s">
        <v>7</v>
      </c>
      <c r="B1213" s="24" t="s">
        <v>3166</v>
      </c>
      <c r="C1213" s="25" t="s">
        <v>3167</v>
      </c>
      <c r="D1213" s="25" t="s">
        <v>3118</v>
      </c>
      <c r="E1213" s="26">
        <v>151</v>
      </c>
    </row>
    <row r="1214" spans="1:5" x14ac:dyDescent="0.25">
      <c r="A1214" s="24" t="s">
        <v>7</v>
      </c>
      <c r="B1214" s="24" t="s">
        <v>3168</v>
      </c>
      <c r="C1214" s="25" t="s">
        <v>3169</v>
      </c>
      <c r="D1214" s="25" t="s">
        <v>3170</v>
      </c>
      <c r="E1214" s="26">
        <v>35</v>
      </c>
    </row>
    <row r="1215" spans="1:5" x14ac:dyDescent="0.25">
      <c r="A1215" s="24" t="s">
        <v>7</v>
      </c>
      <c r="B1215" s="24" t="s">
        <v>3171</v>
      </c>
      <c r="C1215" s="25" t="s">
        <v>3172</v>
      </c>
      <c r="D1215" s="25" t="s">
        <v>3118</v>
      </c>
      <c r="E1215" s="26">
        <v>151</v>
      </c>
    </row>
    <row r="1216" spans="1:5" x14ac:dyDescent="0.25">
      <c r="A1216" s="24" t="s">
        <v>7</v>
      </c>
      <c r="B1216" s="24" t="s">
        <v>3173</v>
      </c>
      <c r="C1216" s="25" t="s">
        <v>3174</v>
      </c>
      <c r="D1216" s="25" t="s">
        <v>3175</v>
      </c>
      <c r="E1216" s="26">
        <v>49</v>
      </c>
    </row>
    <row r="1217" spans="1:5" x14ac:dyDescent="0.25">
      <c r="A1217" s="24" t="s">
        <v>7</v>
      </c>
      <c r="B1217" s="24" t="s">
        <v>3176</v>
      </c>
      <c r="C1217" s="25" t="s">
        <v>3177</v>
      </c>
      <c r="D1217" s="25" t="s">
        <v>3177</v>
      </c>
      <c r="E1217" s="26">
        <v>32</v>
      </c>
    </row>
    <row r="1218" spans="1:5" x14ac:dyDescent="0.25">
      <c r="A1218" s="24" t="s">
        <v>7</v>
      </c>
      <c r="B1218" s="24" t="s">
        <v>3178</v>
      </c>
      <c r="C1218" s="25" t="s">
        <v>3179</v>
      </c>
      <c r="D1218" s="25" t="s">
        <v>3180</v>
      </c>
      <c r="E1218" s="26">
        <v>554</v>
      </c>
    </row>
    <row r="1219" spans="1:5" x14ac:dyDescent="0.25">
      <c r="A1219" s="24" t="s">
        <v>7</v>
      </c>
      <c r="B1219" s="24" t="s">
        <v>3181</v>
      </c>
      <c r="C1219" s="25" t="s">
        <v>3182</v>
      </c>
      <c r="D1219" s="25" t="s">
        <v>3183</v>
      </c>
      <c r="E1219" s="26">
        <v>18</v>
      </c>
    </row>
    <row r="1220" spans="1:5" x14ac:dyDescent="0.25">
      <c r="A1220" s="24" t="s">
        <v>7</v>
      </c>
      <c r="B1220" s="24" t="s">
        <v>3184</v>
      </c>
      <c r="C1220" s="25" t="s">
        <v>3185</v>
      </c>
      <c r="D1220" s="25" t="s">
        <v>3118</v>
      </c>
      <c r="E1220" s="26">
        <v>151</v>
      </c>
    </row>
    <row r="1221" spans="1:5" x14ac:dyDescent="0.25">
      <c r="A1221" s="24" t="s">
        <v>7</v>
      </c>
      <c r="B1221" s="24" t="s">
        <v>3186</v>
      </c>
      <c r="C1221" s="25" t="s">
        <v>3187</v>
      </c>
      <c r="D1221" s="25" t="s">
        <v>3118</v>
      </c>
      <c r="E1221" s="26">
        <v>151</v>
      </c>
    </row>
    <row r="1222" spans="1:5" x14ac:dyDescent="0.25">
      <c r="A1222" s="24" t="s">
        <v>7</v>
      </c>
      <c r="B1222" s="24" t="s">
        <v>3188</v>
      </c>
      <c r="C1222" s="25" t="s">
        <v>3189</v>
      </c>
      <c r="D1222" s="25" t="s">
        <v>3190</v>
      </c>
      <c r="E1222" s="26">
        <v>39</v>
      </c>
    </row>
    <row r="1223" spans="1:5" x14ac:dyDescent="0.25">
      <c r="A1223" s="24" t="s">
        <v>7</v>
      </c>
      <c r="B1223" s="24" t="s">
        <v>3191</v>
      </c>
      <c r="C1223" s="25" t="s">
        <v>3192</v>
      </c>
      <c r="D1223" s="25" t="s">
        <v>3192</v>
      </c>
      <c r="E1223" s="26">
        <v>554</v>
      </c>
    </row>
    <row r="1224" spans="1:5" x14ac:dyDescent="0.25">
      <c r="A1224" s="24" t="s">
        <v>7</v>
      </c>
      <c r="B1224" s="24" t="s">
        <v>3193</v>
      </c>
      <c r="C1224" s="25" t="s">
        <v>3194</v>
      </c>
      <c r="D1224" s="25" t="s">
        <v>3194</v>
      </c>
      <c r="E1224" s="26">
        <v>554</v>
      </c>
    </row>
    <row r="1225" spans="1:5" x14ac:dyDescent="0.25">
      <c r="A1225" s="24" t="s">
        <v>7</v>
      </c>
      <c r="B1225" s="24" t="s">
        <v>3195</v>
      </c>
      <c r="C1225" s="25" t="s">
        <v>3196</v>
      </c>
      <c r="D1225" s="25" t="s">
        <v>3196</v>
      </c>
      <c r="E1225" s="26">
        <v>284</v>
      </c>
    </row>
    <row r="1226" spans="1:5" x14ac:dyDescent="0.25">
      <c r="A1226" s="24" t="s">
        <v>7</v>
      </c>
      <c r="B1226" s="24" t="s">
        <v>3197</v>
      </c>
      <c r="C1226" s="25" t="s">
        <v>3198</v>
      </c>
      <c r="D1226" s="25" t="s">
        <v>3198</v>
      </c>
      <c r="E1226" s="26">
        <v>104</v>
      </c>
    </row>
    <row r="1227" spans="1:5" x14ac:dyDescent="0.25">
      <c r="A1227" s="24" t="s">
        <v>7</v>
      </c>
      <c r="B1227" s="24" t="s">
        <v>3199</v>
      </c>
      <c r="C1227" s="25" t="s">
        <v>3200</v>
      </c>
      <c r="D1227" s="25" t="s">
        <v>3200</v>
      </c>
      <c r="E1227" s="26">
        <v>40</v>
      </c>
    </row>
    <row r="1228" spans="1:5" x14ac:dyDescent="0.25">
      <c r="A1228" s="24" t="s">
        <v>7</v>
      </c>
      <c r="B1228" s="24" t="s">
        <v>3201</v>
      </c>
      <c r="C1228" s="25" t="s">
        <v>3202</v>
      </c>
      <c r="D1228" s="25" t="s">
        <v>3202</v>
      </c>
      <c r="E1228" s="26">
        <v>32</v>
      </c>
    </row>
    <row r="1229" spans="1:5" x14ac:dyDescent="0.25">
      <c r="A1229" s="24" t="s">
        <v>7</v>
      </c>
      <c r="B1229" s="24" t="s">
        <v>3203</v>
      </c>
      <c r="C1229" s="25" t="s">
        <v>3204</v>
      </c>
      <c r="D1229" s="25" t="s">
        <v>3204</v>
      </c>
      <c r="E1229" s="26">
        <v>148</v>
      </c>
    </row>
    <row r="1230" spans="1:5" x14ac:dyDescent="0.25">
      <c r="A1230" s="24" t="s">
        <v>7</v>
      </c>
      <c r="B1230" s="24" t="s">
        <v>3205</v>
      </c>
      <c r="C1230" s="25" t="s">
        <v>3206</v>
      </c>
      <c r="D1230" s="25" t="s">
        <v>3206</v>
      </c>
      <c r="E1230" s="26">
        <v>32</v>
      </c>
    </row>
    <row r="1231" spans="1:5" x14ac:dyDescent="0.25">
      <c r="A1231" s="24" t="s">
        <v>7</v>
      </c>
      <c r="B1231" s="24" t="s">
        <v>3207</v>
      </c>
      <c r="C1231" s="25" t="s">
        <v>3208</v>
      </c>
      <c r="D1231" s="25" t="s">
        <v>3118</v>
      </c>
      <c r="E1231" s="26">
        <v>325</v>
      </c>
    </row>
    <row r="1232" spans="1:5" x14ac:dyDescent="0.25">
      <c r="A1232" s="24" t="s">
        <v>7</v>
      </c>
      <c r="B1232" s="24" t="s">
        <v>3209</v>
      </c>
      <c r="C1232" s="25" t="s">
        <v>3210</v>
      </c>
      <c r="D1232" s="25" t="s">
        <v>3211</v>
      </c>
      <c r="E1232" s="26">
        <v>674</v>
      </c>
    </row>
    <row r="1233" spans="1:5" x14ac:dyDescent="0.25">
      <c r="A1233" s="24" t="s">
        <v>7</v>
      </c>
      <c r="B1233" s="24" t="s">
        <v>3212</v>
      </c>
      <c r="C1233" s="25" t="s">
        <v>3213</v>
      </c>
      <c r="D1233" s="25" t="s">
        <v>3214</v>
      </c>
      <c r="E1233" s="26">
        <v>27</v>
      </c>
    </row>
    <row r="1234" spans="1:5" x14ac:dyDescent="0.25">
      <c r="A1234" s="24" t="s">
        <v>7</v>
      </c>
      <c r="B1234" s="24" t="s">
        <v>3215</v>
      </c>
      <c r="C1234" s="25" t="s">
        <v>3216</v>
      </c>
      <c r="D1234" s="25" t="s">
        <v>3214</v>
      </c>
      <c r="E1234" s="26">
        <v>27</v>
      </c>
    </row>
    <row r="1235" spans="1:5" x14ac:dyDescent="0.25">
      <c r="A1235" s="24" t="s">
        <v>7</v>
      </c>
      <c r="B1235" s="24" t="s">
        <v>3217</v>
      </c>
      <c r="C1235" s="25" t="s">
        <v>3218</v>
      </c>
      <c r="D1235" s="25" t="s">
        <v>3219</v>
      </c>
      <c r="E1235" s="26">
        <v>27</v>
      </c>
    </row>
    <row r="1236" spans="1:5" x14ac:dyDescent="0.25">
      <c r="A1236" s="24" t="s">
        <v>7</v>
      </c>
      <c r="B1236" s="24" t="s">
        <v>3220</v>
      </c>
      <c r="C1236" s="25" t="s">
        <v>3221</v>
      </c>
      <c r="D1236" s="25" t="s">
        <v>3219</v>
      </c>
      <c r="E1236" s="26">
        <v>27</v>
      </c>
    </row>
    <row r="1237" spans="1:5" x14ac:dyDescent="0.25">
      <c r="A1237" s="24" t="s">
        <v>7</v>
      </c>
      <c r="B1237" s="24" t="s">
        <v>3222</v>
      </c>
      <c r="C1237" s="25" t="s">
        <v>3223</v>
      </c>
      <c r="D1237" s="25" t="s">
        <v>3224</v>
      </c>
      <c r="E1237" s="26">
        <v>175</v>
      </c>
    </row>
    <row r="1238" spans="1:5" x14ac:dyDescent="0.25">
      <c r="A1238" s="24" t="s">
        <v>7</v>
      </c>
      <c r="B1238" s="24" t="s">
        <v>3225</v>
      </c>
      <c r="C1238" s="25" t="s">
        <v>3226</v>
      </c>
      <c r="D1238" s="25" t="s">
        <v>3227</v>
      </c>
      <c r="E1238" s="26">
        <v>79</v>
      </c>
    </row>
    <row r="1239" spans="1:5" x14ac:dyDescent="0.25">
      <c r="A1239" s="24" t="s">
        <v>7</v>
      </c>
      <c r="B1239" s="24" t="s">
        <v>3228</v>
      </c>
      <c r="C1239" s="25" t="s">
        <v>3229</v>
      </c>
      <c r="D1239" s="25" t="s">
        <v>3230</v>
      </c>
      <c r="E1239" s="26">
        <v>26</v>
      </c>
    </row>
    <row r="1240" spans="1:5" x14ac:dyDescent="0.25">
      <c r="A1240" s="24" t="s">
        <v>7</v>
      </c>
      <c r="B1240" s="24" t="s">
        <v>3231</v>
      </c>
      <c r="C1240" s="25" t="s">
        <v>3232</v>
      </c>
      <c r="D1240" s="25" t="s">
        <v>3232</v>
      </c>
      <c r="E1240" s="26">
        <v>19</v>
      </c>
    </row>
    <row r="1241" spans="1:5" x14ac:dyDescent="0.25">
      <c r="A1241" s="24" t="s">
        <v>7</v>
      </c>
      <c r="B1241" s="24" t="s">
        <v>3233</v>
      </c>
      <c r="C1241" s="25" t="s">
        <v>3234</v>
      </c>
      <c r="D1241" s="25" t="s">
        <v>3234</v>
      </c>
      <c r="E1241" s="26">
        <v>86</v>
      </c>
    </row>
    <row r="1242" spans="1:5" x14ac:dyDescent="0.25">
      <c r="A1242" s="24" t="s">
        <v>7</v>
      </c>
      <c r="B1242" s="24" t="s">
        <v>3235</v>
      </c>
      <c r="C1242" s="25" t="s">
        <v>3236</v>
      </c>
      <c r="D1242" s="25" t="s">
        <v>3237</v>
      </c>
      <c r="E1242" s="26">
        <v>222</v>
      </c>
    </row>
    <row r="1243" spans="1:5" x14ac:dyDescent="0.25">
      <c r="A1243" s="24" t="s">
        <v>7</v>
      </c>
      <c r="B1243" s="24" t="s">
        <v>3238</v>
      </c>
      <c r="C1243" s="25" t="s">
        <v>3239</v>
      </c>
      <c r="D1243" s="25" t="s">
        <v>3237</v>
      </c>
      <c r="E1243" s="26">
        <v>168</v>
      </c>
    </row>
    <row r="1244" spans="1:5" x14ac:dyDescent="0.25">
      <c r="A1244" s="24" t="s">
        <v>7</v>
      </c>
      <c r="B1244" s="24" t="s">
        <v>3240</v>
      </c>
      <c r="C1244" s="25" t="s">
        <v>3241</v>
      </c>
      <c r="D1244" s="25" t="s">
        <v>3241</v>
      </c>
      <c r="E1244" s="26">
        <v>110</v>
      </c>
    </row>
    <row r="1245" spans="1:5" x14ac:dyDescent="0.25">
      <c r="A1245" s="24" t="s">
        <v>7</v>
      </c>
      <c r="B1245" s="24" t="s">
        <v>3242</v>
      </c>
      <c r="C1245" s="25" t="s">
        <v>3243</v>
      </c>
      <c r="D1245" s="25" t="s">
        <v>3243</v>
      </c>
      <c r="E1245" s="26">
        <v>110</v>
      </c>
    </row>
    <row r="1246" spans="1:5" x14ac:dyDescent="0.25">
      <c r="A1246" s="24" t="s">
        <v>7</v>
      </c>
      <c r="B1246" s="24" t="s">
        <v>3244</v>
      </c>
      <c r="C1246" s="25" t="s">
        <v>3245</v>
      </c>
      <c r="D1246" s="25" t="s">
        <v>3246</v>
      </c>
      <c r="E1246" s="26">
        <v>26</v>
      </c>
    </row>
    <row r="1247" spans="1:5" x14ac:dyDescent="0.25">
      <c r="A1247" s="24" t="s">
        <v>7</v>
      </c>
      <c r="B1247" s="24" t="s">
        <v>3247</v>
      </c>
      <c r="C1247" s="25" t="s">
        <v>3248</v>
      </c>
      <c r="D1247" s="25" t="s">
        <v>3249</v>
      </c>
      <c r="E1247" s="26">
        <v>133</v>
      </c>
    </row>
    <row r="1248" spans="1:5" x14ac:dyDescent="0.25">
      <c r="A1248" s="24" t="s">
        <v>7</v>
      </c>
      <c r="B1248" s="24" t="s">
        <v>3250</v>
      </c>
      <c r="C1248" s="25" t="s">
        <v>3251</v>
      </c>
      <c r="D1248" s="25" t="s">
        <v>3251</v>
      </c>
      <c r="E1248" s="26">
        <v>106</v>
      </c>
    </row>
    <row r="1249" spans="1:5" x14ac:dyDescent="0.25">
      <c r="A1249" s="24" t="s">
        <v>7</v>
      </c>
      <c r="B1249" s="24" t="s">
        <v>3252</v>
      </c>
      <c r="C1249" s="25" t="s">
        <v>3253</v>
      </c>
      <c r="D1249" s="25" t="s">
        <v>3254</v>
      </c>
      <c r="E1249" s="26">
        <v>24</v>
      </c>
    </row>
    <row r="1250" spans="1:5" x14ac:dyDescent="0.25">
      <c r="A1250" s="24" t="s">
        <v>7</v>
      </c>
      <c r="B1250" s="24" t="s">
        <v>3255</v>
      </c>
      <c r="C1250" s="25" t="s">
        <v>3256</v>
      </c>
      <c r="D1250" s="25" t="s">
        <v>3257</v>
      </c>
      <c r="E1250" s="26">
        <v>40</v>
      </c>
    </row>
    <row r="1251" spans="1:5" x14ac:dyDescent="0.25">
      <c r="A1251" s="24" t="s">
        <v>7</v>
      </c>
      <c r="B1251" s="24" t="s">
        <v>3258</v>
      </c>
      <c r="C1251" s="25" t="s">
        <v>3259</v>
      </c>
      <c r="D1251" s="25" t="s">
        <v>3259</v>
      </c>
      <c r="E1251" s="26">
        <v>12.38</v>
      </c>
    </row>
    <row r="1252" spans="1:5" x14ac:dyDescent="0.25">
      <c r="A1252" s="24" t="s">
        <v>7</v>
      </c>
      <c r="B1252" s="24" t="s">
        <v>3260</v>
      </c>
      <c r="C1252" s="25" t="s">
        <v>3261</v>
      </c>
      <c r="D1252" s="25" t="s">
        <v>3262</v>
      </c>
      <c r="E1252" s="26">
        <v>40</v>
      </c>
    </row>
    <row r="1253" spans="1:5" x14ac:dyDescent="0.25">
      <c r="A1253" s="24" t="s">
        <v>7</v>
      </c>
      <c r="B1253" s="24" t="s">
        <v>3263</v>
      </c>
      <c r="C1253" s="25" t="s">
        <v>3264</v>
      </c>
      <c r="D1253" s="25" t="s">
        <v>3265</v>
      </c>
      <c r="E1253" s="26">
        <v>40</v>
      </c>
    </row>
    <row r="1254" spans="1:5" x14ac:dyDescent="0.25">
      <c r="A1254" s="24" t="s">
        <v>7</v>
      </c>
      <c r="B1254" s="24" t="s">
        <v>3266</v>
      </c>
      <c r="C1254" s="25" t="s">
        <v>3267</v>
      </c>
      <c r="D1254" s="25" t="s">
        <v>3268</v>
      </c>
      <c r="E1254" s="26">
        <v>40</v>
      </c>
    </row>
    <row r="1255" spans="1:5" x14ac:dyDescent="0.25">
      <c r="A1255" s="24" t="s">
        <v>7</v>
      </c>
      <c r="B1255" s="24" t="s">
        <v>3269</v>
      </c>
      <c r="C1255" s="25" t="s">
        <v>3270</v>
      </c>
      <c r="D1255" s="25" t="s">
        <v>3271</v>
      </c>
      <c r="E1255" s="26">
        <v>41</v>
      </c>
    </row>
    <row r="1256" spans="1:5" x14ac:dyDescent="0.25">
      <c r="A1256" s="24" t="s">
        <v>7</v>
      </c>
      <c r="B1256" s="24" t="s">
        <v>3272</v>
      </c>
      <c r="C1256" s="25" t="s">
        <v>3273</v>
      </c>
      <c r="D1256" s="25" t="s">
        <v>3274</v>
      </c>
      <c r="E1256" s="26">
        <v>49</v>
      </c>
    </row>
    <row r="1257" spans="1:5" x14ac:dyDescent="0.25">
      <c r="A1257" s="24" t="s">
        <v>7</v>
      </c>
      <c r="B1257" s="24" t="s">
        <v>3275</v>
      </c>
      <c r="C1257" s="25" t="s">
        <v>3276</v>
      </c>
      <c r="D1257" s="25" t="s">
        <v>3118</v>
      </c>
      <c r="E1257" s="26">
        <v>325</v>
      </c>
    </row>
    <row r="1258" spans="1:5" x14ac:dyDescent="0.25">
      <c r="A1258" s="24" t="s">
        <v>7</v>
      </c>
      <c r="B1258" s="24" t="s">
        <v>3277</v>
      </c>
      <c r="C1258" s="25" t="s">
        <v>3278</v>
      </c>
      <c r="D1258" s="25" t="s">
        <v>3279</v>
      </c>
      <c r="E1258" s="26">
        <v>19</v>
      </c>
    </row>
    <row r="1259" spans="1:5" x14ac:dyDescent="0.25">
      <c r="A1259" s="24" t="s">
        <v>7</v>
      </c>
      <c r="B1259" s="24" t="s">
        <v>3280</v>
      </c>
      <c r="C1259" s="25" t="s">
        <v>3281</v>
      </c>
      <c r="D1259" s="25" t="s">
        <v>3282</v>
      </c>
      <c r="E1259" s="26">
        <v>41</v>
      </c>
    </row>
    <row r="1260" spans="1:5" x14ac:dyDescent="0.25">
      <c r="A1260" s="24" t="s">
        <v>7</v>
      </c>
      <c r="B1260" s="24" t="s">
        <v>3283</v>
      </c>
      <c r="C1260" s="25" t="s">
        <v>3284</v>
      </c>
      <c r="D1260" s="25" t="s">
        <v>3282</v>
      </c>
      <c r="E1260" s="26">
        <v>41</v>
      </c>
    </row>
    <row r="1261" spans="1:5" x14ac:dyDescent="0.25">
      <c r="A1261" s="24" t="s">
        <v>7</v>
      </c>
      <c r="B1261" s="24" t="s">
        <v>3285</v>
      </c>
      <c r="C1261" s="25" t="s">
        <v>3286</v>
      </c>
      <c r="D1261" s="25" t="s">
        <v>3287</v>
      </c>
      <c r="E1261" s="26">
        <v>44</v>
      </c>
    </row>
    <row r="1262" spans="1:5" x14ac:dyDescent="0.25">
      <c r="A1262" s="24" t="s">
        <v>7</v>
      </c>
      <c r="B1262" s="24" t="s">
        <v>3288</v>
      </c>
      <c r="C1262" s="25" t="s">
        <v>3289</v>
      </c>
      <c r="D1262" s="25" t="s">
        <v>3290</v>
      </c>
      <c r="E1262" s="26">
        <v>41</v>
      </c>
    </row>
    <row r="1263" spans="1:5" x14ac:dyDescent="0.25">
      <c r="A1263" s="24" t="s">
        <v>7</v>
      </c>
      <c r="B1263" s="24" t="s">
        <v>3291</v>
      </c>
      <c r="C1263" s="25" t="s">
        <v>3292</v>
      </c>
      <c r="D1263" s="25" t="s">
        <v>3292</v>
      </c>
      <c r="E1263" s="26">
        <v>115</v>
      </c>
    </row>
    <row r="1264" spans="1:5" x14ac:dyDescent="0.25">
      <c r="A1264" s="24" t="s">
        <v>7</v>
      </c>
      <c r="B1264" s="24" t="s">
        <v>3293</v>
      </c>
      <c r="C1264" s="25" t="s">
        <v>3294</v>
      </c>
      <c r="D1264" s="25" t="s">
        <v>3294</v>
      </c>
      <c r="E1264" s="26">
        <v>104</v>
      </c>
    </row>
    <row r="1265" spans="1:5" x14ac:dyDescent="0.25">
      <c r="A1265" s="24" t="s">
        <v>7</v>
      </c>
      <c r="B1265" s="24" t="s">
        <v>3295</v>
      </c>
      <c r="C1265" s="25" t="s">
        <v>3296</v>
      </c>
      <c r="D1265" s="25" t="s">
        <v>3297</v>
      </c>
      <c r="E1265" s="26">
        <v>488</v>
      </c>
    </row>
    <row r="1266" spans="1:5" x14ac:dyDescent="0.25">
      <c r="A1266" s="24" t="s">
        <v>7</v>
      </c>
      <c r="B1266" s="24" t="s">
        <v>3298</v>
      </c>
      <c r="C1266" s="25" t="s">
        <v>3299</v>
      </c>
      <c r="D1266" s="25" t="s">
        <v>3299</v>
      </c>
      <c r="E1266" s="26">
        <v>43</v>
      </c>
    </row>
    <row r="1267" spans="1:5" x14ac:dyDescent="0.25">
      <c r="A1267" s="24" t="s">
        <v>7</v>
      </c>
      <c r="B1267" s="24" t="s">
        <v>3300</v>
      </c>
      <c r="C1267" s="25" t="s">
        <v>3301</v>
      </c>
      <c r="D1267" s="25" t="s">
        <v>3302</v>
      </c>
      <c r="E1267" s="26">
        <v>119</v>
      </c>
    </row>
    <row r="1268" spans="1:5" x14ac:dyDescent="0.25">
      <c r="A1268" s="24" t="s">
        <v>7</v>
      </c>
      <c r="B1268" s="24" t="s">
        <v>3303</v>
      </c>
      <c r="C1268" s="25" t="s">
        <v>3304</v>
      </c>
      <c r="D1268" s="25" t="s">
        <v>3304</v>
      </c>
      <c r="E1268" s="26">
        <v>41</v>
      </c>
    </row>
    <row r="1269" spans="1:5" x14ac:dyDescent="0.25">
      <c r="A1269" s="24" t="s">
        <v>7</v>
      </c>
      <c r="B1269" s="24" t="s">
        <v>3305</v>
      </c>
      <c r="C1269" s="25" t="s">
        <v>3306</v>
      </c>
      <c r="D1269" s="25" t="s">
        <v>3307</v>
      </c>
      <c r="E1269" s="26">
        <v>47</v>
      </c>
    </row>
    <row r="1270" spans="1:5" x14ac:dyDescent="0.25">
      <c r="A1270" s="24" t="s">
        <v>7</v>
      </c>
      <c r="B1270" s="24" t="s">
        <v>3308</v>
      </c>
      <c r="C1270" s="25" t="s">
        <v>3309</v>
      </c>
      <c r="D1270" s="25" t="s">
        <v>3310</v>
      </c>
      <c r="E1270" s="26">
        <v>32</v>
      </c>
    </row>
    <row r="1271" spans="1:5" x14ac:dyDescent="0.25">
      <c r="A1271" s="24" t="s">
        <v>7</v>
      </c>
      <c r="B1271" s="24" t="s">
        <v>3311</v>
      </c>
      <c r="C1271" s="25" t="s">
        <v>3312</v>
      </c>
      <c r="D1271" s="25" t="s">
        <v>3313</v>
      </c>
      <c r="E1271" s="26">
        <v>32</v>
      </c>
    </row>
    <row r="1272" spans="1:5" x14ac:dyDescent="0.25">
      <c r="A1272" s="24" t="s">
        <v>7</v>
      </c>
      <c r="B1272" s="24" t="s">
        <v>3314</v>
      </c>
      <c r="C1272" s="25" t="s">
        <v>3315</v>
      </c>
      <c r="D1272" s="25" t="s">
        <v>3316</v>
      </c>
      <c r="E1272" s="26">
        <v>29</v>
      </c>
    </row>
    <row r="1273" spans="1:5" x14ac:dyDescent="0.25">
      <c r="A1273" s="24" t="s">
        <v>7</v>
      </c>
      <c r="B1273" s="24" t="s">
        <v>3317</v>
      </c>
      <c r="C1273" s="25" t="s">
        <v>3318</v>
      </c>
      <c r="D1273" s="25" t="s">
        <v>3319</v>
      </c>
      <c r="E1273" s="26">
        <v>292</v>
      </c>
    </row>
    <row r="1274" spans="1:5" x14ac:dyDescent="0.25">
      <c r="A1274" s="24" t="s">
        <v>7</v>
      </c>
      <c r="B1274" s="24" t="s">
        <v>3320</v>
      </c>
      <c r="C1274" s="25" t="s">
        <v>3321</v>
      </c>
      <c r="D1274" s="25" t="s">
        <v>3322</v>
      </c>
      <c r="E1274" s="26">
        <v>50</v>
      </c>
    </row>
    <row r="1275" spans="1:5" x14ac:dyDescent="0.25">
      <c r="A1275" s="24" t="s">
        <v>7</v>
      </c>
      <c r="B1275" s="24" t="s">
        <v>3323</v>
      </c>
      <c r="C1275" s="25" t="s">
        <v>3324</v>
      </c>
      <c r="D1275" s="25" t="s">
        <v>3325</v>
      </c>
      <c r="E1275" s="26">
        <v>373</v>
      </c>
    </row>
    <row r="1276" spans="1:5" x14ac:dyDescent="0.25">
      <c r="A1276" s="24" t="s">
        <v>7</v>
      </c>
      <c r="B1276" s="24" t="s">
        <v>3326</v>
      </c>
      <c r="C1276" s="25" t="s">
        <v>3327</v>
      </c>
      <c r="D1276" s="25" t="s">
        <v>3328</v>
      </c>
      <c r="E1276" s="26">
        <v>145</v>
      </c>
    </row>
    <row r="1277" spans="1:5" x14ac:dyDescent="0.25">
      <c r="A1277" s="24" t="s">
        <v>7</v>
      </c>
      <c r="B1277" s="24" t="s">
        <v>3329</v>
      </c>
      <c r="C1277" s="25" t="s">
        <v>3330</v>
      </c>
      <c r="D1277" s="25" t="s">
        <v>3313</v>
      </c>
      <c r="E1277" s="26">
        <v>247</v>
      </c>
    </row>
    <row r="1278" spans="1:5" x14ac:dyDescent="0.25">
      <c r="A1278" s="24" t="s">
        <v>7</v>
      </c>
      <c r="B1278" s="24" t="s">
        <v>3331</v>
      </c>
      <c r="C1278" s="25" t="s">
        <v>3332</v>
      </c>
      <c r="D1278" s="25" t="s">
        <v>3313</v>
      </c>
      <c r="E1278" s="26">
        <v>32</v>
      </c>
    </row>
    <row r="1279" spans="1:5" x14ac:dyDescent="0.25">
      <c r="A1279" s="24" t="s">
        <v>7</v>
      </c>
      <c r="B1279" s="24" t="s">
        <v>3333</v>
      </c>
      <c r="C1279" s="25" t="s">
        <v>3334</v>
      </c>
      <c r="D1279" s="25" t="s">
        <v>3335</v>
      </c>
      <c r="E1279" s="26">
        <v>28</v>
      </c>
    </row>
    <row r="1280" spans="1:5" x14ac:dyDescent="0.25">
      <c r="A1280" s="24" t="s">
        <v>7</v>
      </c>
      <c r="B1280" s="24" t="s">
        <v>3336</v>
      </c>
      <c r="C1280" s="25" t="s">
        <v>3337</v>
      </c>
      <c r="D1280" s="25" t="s">
        <v>3337</v>
      </c>
      <c r="E1280" s="26">
        <v>564</v>
      </c>
    </row>
    <row r="1281" spans="1:5" x14ac:dyDescent="0.25">
      <c r="A1281" s="24" t="s">
        <v>7</v>
      </c>
      <c r="B1281" s="24" t="s">
        <v>3338</v>
      </c>
      <c r="C1281" s="25" t="s">
        <v>3339</v>
      </c>
      <c r="D1281" s="25" t="s">
        <v>3340</v>
      </c>
      <c r="E1281" s="26">
        <v>35</v>
      </c>
    </row>
    <row r="1282" spans="1:5" x14ac:dyDescent="0.25">
      <c r="A1282" s="24" t="s">
        <v>7</v>
      </c>
      <c r="B1282" s="24" t="s">
        <v>3341</v>
      </c>
      <c r="C1282" s="25" t="s">
        <v>3342</v>
      </c>
      <c r="D1282" s="25" t="s">
        <v>3342</v>
      </c>
      <c r="E1282" s="26">
        <v>194</v>
      </c>
    </row>
    <row r="1283" spans="1:5" x14ac:dyDescent="0.25">
      <c r="A1283" s="24" t="s">
        <v>7</v>
      </c>
      <c r="B1283" s="24" t="s">
        <v>3343</v>
      </c>
      <c r="C1283" s="25" t="s">
        <v>3344</v>
      </c>
      <c r="D1283" s="25" t="s">
        <v>3345</v>
      </c>
      <c r="E1283" s="26">
        <v>748</v>
      </c>
    </row>
    <row r="1284" spans="1:5" x14ac:dyDescent="0.25">
      <c r="A1284" s="24" t="s">
        <v>7</v>
      </c>
      <c r="B1284" s="24" t="s">
        <v>3346</v>
      </c>
      <c r="C1284" s="25" t="s">
        <v>3347</v>
      </c>
      <c r="D1284" s="25" t="s">
        <v>3348</v>
      </c>
      <c r="E1284" s="26">
        <v>517</v>
      </c>
    </row>
    <row r="1285" spans="1:5" x14ac:dyDescent="0.25">
      <c r="A1285" s="24" t="s">
        <v>7</v>
      </c>
      <c r="B1285" s="24" t="s">
        <v>3349</v>
      </c>
      <c r="C1285" s="25" t="s">
        <v>3350</v>
      </c>
      <c r="D1285" s="25" t="s">
        <v>3351</v>
      </c>
      <c r="E1285" s="26">
        <v>41</v>
      </c>
    </row>
    <row r="1286" spans="1:5" x14ac:dyDescent="0.25">
      <c r="A1286" s="24" t="s">
        <v>7</v>
      </c>
      <c r="B1286" s="24" t="s">
        <v>3352</v>
      </c>
      <c r="C1286" s="25" t="s">
        <v>3353</v>
      </c>
      <c r="D1286" s="25" t="s">
        <v>3354</v>
      </c>
      <c r="E1286" s="26">
        <v>243</v>
      </c>
    </row>
    <row r="1287" spans="1:5" x14ac:dyDescent="0.25">
      <c r="A1287" s="24" t="s">
        <v>7</v>
      </c>
      <c r="B1287" s="24" t="s">
        <v>3355</v>
      </c>
      <c r="C1287" s="25" t="s">
        <v>3356</v>
      </c>
      <c r="D1287" s="25" t="s">
        <v>3357</v>
      </c>
      <c r="E1287" s="26">
        <v>150</v>
      </c>
    </row>
    <row r="1288" spans="1:5" x14ac:dyDescent="0.25">
      <c r="A1288" s="24" t="s">
        <v>7</v>
      </c>
      <c r="B1288" s="24" t="s">
        <v>3358</v>
      </c>
      <c r="C1288" s="25" t="s">
        <v>3359</v>
      </c>
      <c r="D1288" s="25" t="s">
        <v>3360</v>
      </c>
      <c r="E1288" s="26">
        <v>20</v>
      </c>
    </row>
    <row r="1289" spans="1:5" x14ac:dyDescent="0.25">
      <c r="A1289" s="24" t="s">
        <v>7</v>
      </c>
      <c r="B1289" s="24" t="s">
        <v>3361</v>
      </c>
      <c r="C1289" s="25" t="s">
        <v>3362</v>
      </c>
      <c r="D1289" s="25" t="s">
        <v>3363</v>
      </c>
      <c r="E1289" s="26">
        <v>20</v>
      </c>
    </row>
    <row r="1290" spans="1:5" x14ac:dyDescent="0.25">
      <c r="A1290" s="24" t="s">
        <v>7</v>
      </c>
      <c r="B1290" s="24" t="s">
        <v>3364</v>
      </c>
      <c r="C1290" s="25" t="s">
        <v>3365</v>
      </c>
      <c r="D1290" s="25" t="s">
        <v>3366</v>
      </c>
      <c r="E1290" s="26">
        <v>20</v>
      </c>
    </row>
    <row r="1291" spans="1:5" x14ac:dyDescent="0.25">
      <c r="A1291" s="24" t="s">
        <v>7</v>
      </c>
      <c r="B1291" s="24" t="s">
        <v>3367</v>
      </c>
      <c r="C1291" s="25" t="s">
        <v>3368</v>
      </c>
      <c r="D1291" s="25" t="s">
        <v>3369</v>
      </c>
      <c r="E1291" s="26">
        <v>72</v>
      </c>
    </row>
    <row r="1292" spans="1:5" x14ac:dyDescent="0.25">
      <c r="A1292" s="24" t="s">
        <v>7</v>
      </c>
      <c r="B1292" s="24" t="s">
        <v>3370</v>
      </c>
      <c r="C1292" s="25" t="s">
        <v>3371</v>
      </c>
      <c r="D1292" s="25" t="s">
        <v>3371</v>
      </c>
      <c r="E1292" s="26">
        <v>36</v>
      </c>
    </row>
    <row r="1293" spans="1:5" x14ac:dyDescent="0.25">
      <c r="A1293" s="24" t="s">
        <v>7</v>
      </c>
      <c r="B1293" s="24" t="s">
        <v>3372</v>
      </c>
      <c r="C1293" s="25" t="s">
        <v>3373</v>
      </c>
      <c r="D1293" s="25" t="s">
        <v>3374</v>
      </c>
      <c r="E1293" s="26">
        <v>605</v>
      </c>
    </row>
    <row r="1294" spans="1:5" x14ac:dyDescent="0.25">
      <c r="A1294" s="24" t="s">
        <v>7</v>
      </c>
      <c r="B1294" s="24" t="s">
        <v>3375</v>
      </c>
      <c r="C1294" s="25" t="s">
        <v>3376</v>
      </c>
      <c r="D1294" s="25" t="s">
        <v>3376</v>
      </c>
      <c r="E1294" s="26">
        <v>33</v>
      </c>
    </row>
    <row r="1295" spans="1:5" x14ac:dyDescent="0.25">
      <c r="A1295" s="24" t="s">
        <v>7</v>
      </c>
      <c r="B1295" s="24" t="s">
        <v>3377</v>
      </c>
      <c r="C1295" s="25" t="s">
        <v>3378</v>
      </c>
      <c r="D1295" s="25" t="s">
        <v>3379</v>
      </c>
      <c r="E1295" s="26">
        <v>31</v>
      </c>
    </row>
    <row r="1296" spans="1:5" x14ac:dyDescent="0.25">
      <c r="A1296" s="24" t="s">
        <v>7</v>
      </c>
      <c r="B1296" s="24" t="s">
        <v>3380</v>
      </c>
      <c r="C1296" s="25" t="s">
        <v>3381</v>
      </c>
      <c r="D1296" s="25" t="s">
        <v>3382</v>
      </c>
      <c r="E1296" s="26">
        <v>30</v>
      </c>
    </row>
    <row r="1297" spans="1:5" x14ac:dyDescent="0.25">
      <c r="A1297" s="24" t="s">
        <v>7</v>
      </c>
      <c r="B1297" s="24" t="s">
        <v>3383</v>
      </c>
      <c r="C1297" s="25" t="s">
        <v>3384</v>
      </c>
      <c r="D1297" s="25" t="s">
        <v>3385</v>
      </c>
      <c r="E1297" s="26">
        <v>41</v>
      </c>
    </row>
    <row r="1298" spans="1:5" x14ac:dyDescent="0.25">
      <c r="A1298" s="24" t="s">
        <v>7</v>
      </c>
      <c r="B1298" s="24" t="s">
        <v>3386</v>
      </c>
      <c r="C1298" s="25" t="s">
        <v>3387</v>
      </c>
      <c r="D1298" s="25" t="s">
        <v>3388</v>
      </c>
      <c r="E1298" s="26">
        <v>34</v>
      </c>
    </row>
    <row r="1299" spans="1:5" x14ac:dyDescent="0.25">
      <c r="A1299" s="24" t="s">
        <v>7</v>
      </c>
      <c r="B1299" s="24" t="s">
        <v>3389</v>
      </c>
      <c r="C1299" s="25" t="s">
        <v>3390</v>
      </c>
      <c r="D1299" s="25" t="s">
        <v>3391</v>
      </c>
      <c r="E1299" s="26">
        <v>34</v>
      </c>
    </row>
    <row r="1300" spans="1:5" x14ac:dyDescent="0.25">
      <c r="A1300" s="24" t="s">
        <v>7</v>
      </c>
      <c r="B1300" s="24" t="s">
        <v>3392</v>
      </c>
      <c r="C1300" s="25" t="s">
        <v>3393</v>
      </c>
      <c r="D1300" s="25" t="s">
        <v>3393</v>
      </c>
      <c r="E1300" s="26">
        <v>41</v>
      </c>
    </row>
    <row r="1301" spans="1:5" x14ac:dyDescent="0.25">
      <c r="A1301" s="24" t="s">
        <v>7</v>
      </c>
      <c r="B1301" s="24" t="s">
        <v>3394</v>
      </c>
      <c r="C1301" s="25" t="s">
        <v>3395</v>
      </c>
      <c r="D1301" s="25" t="s">
        <v>3395</v>
      </c>
      <c r="E1301" s="26">
        <v>705</v>
      </c>
    </row>
    <row r="1302" spans="1:5" x14ac:dyDescent="0.25">
      <c r="A1302" s="24" t="s">
        <v>7</v>
      </c>
      <c r="B1302" s="24" t="s">
        <v>3396</v>
      </c>
      <c r="C1302" s="25" t="s">
        <v>3397</v>
      </c>
      <c r="D1302" s="25" t="s">
        <v>3397</v>
      </c>
      <c r="E1302" s="26">
        <v>44</v>
      </c>
    </row>
    <row r="1303" spans="1:5" x14ac:dyDescent="0.25">
      <c r="A1303" s="24" t="s">
        <v>7</v>
      </c>
      <c r="B1303" s="24" t="s">
        <v>3398</v>
      </c>
      <c r="C1303" s="25" t="s">
        <v>3399</v>
      </c>
      <c r="D1303" s="25" t="s">
        <v>3399</v>
      </c>
      <c r="E1303" s="26">
        <v>120</v>
      </c>
    </row>
    <row r="1304" spans="1:5" x14ac:dyDescent="0.25">
      <c r="A1304" s="24" t="s">
        <v>7</v>
      </c>
      <c r="B1304" s="24" t="s">
        <v>3400</v>
      </c>
      <c r="C1304" s="25" t="s">
        <v>3401</v>
      </c>
      <c r="D1304" s="25" t="s">
        <v>3401</v>
      </c>
      <c r="E1304" s="26">
        <v>464</v>
      </c>
    </row>
    <row r="1305" spans="1:5" x14ac:dyDescent="0.25">
      <c r="A1305" s="24" t="s">
        <v>7</v>
      </c>
      <c r="B1305" s="24" t="s">
        <v>3402</v>
      </c>
      <c r="C1305" s="25" t="s">
        <v>3403</v>
      </c>
      <c r="D1305" s="25" t="s">
        <v>3403</v>
      </c>
      <c r="E1305" s="26">
        <v>175</v>
      </c>
    </row>
    <row r="1306" spans="1:5" x14ac:dyDescent="0.25">
      <c r="A1306" s="24" t="s">
        <v>7</v>
      </c>
      <c r="B1306" s="24" t="s">
        <v>3404</v>
      </c>
      <c r="C1306" s="25" t="s">
        <v>3405</v>
      </c>
      <c r="D1306" s="25" t="s">
        <v>3406</v>
      </c>
      <c r="E1306" s="26">
        <v>205.65</v>
      </c>
    </row>
    <row r="1307" spans="1:5" x14ac:dyDescent="0.25">
      <c r="A1307" s="24" t="s">
        <v>7</v>
      </c>
      <c r="B1307" s="24" t="s">
        <v>3407</v>
      </c>
      <c r="C1307" s="25" t="s">
        <v>3408</v>
      </c>
      <c r="D1307" s="25" t="s">
        <v>3118</v>
      </c>
      <c r="E1307" s="26">
        <v>325</v>
      </c>
    </row>
    <row r="1308" spans="1:5" x14ac:dyDescent="0.25">
      <c r="A1308" s="24" t="s">
        <v>7</v>
      </c>
      <c r="B1308" s="24" t="s">
        <v>3409</v>
      </c>
      <c r="C1308" s="25" t="s">
        <v>3410</v>
      </c>
      <c r="D1308" s="25" t="s">
        <v>3411</v>
      </c>
      <c r="E1308" s="26">
        <v>45</v>
      </c>
    </row>
    <row r="1309" spans="1:5" x14ac:dyDescent="0.25">
      <c r="A1309" s="24" t="s">
        <v>7</v>
      </c>
      <c r="B1309" s="24" t="s">
        <v>3412</v>
      </c>
      <c r="C1309" s="25" t="s">
        <v>3413</v>
      </c>
      <c r="D1309" s="25" t="s">
        <v>3414</v>
      </c>
      <c r="E1309" s="26">
        <v>41</v>
      </c>
    </row>
    <row r="1310" spans="1:5" x14ac:dyDescent="0.25">
      <c r="A1310" s="24" t="s">
        <v>7</v>
      </c>
      <c r="B1310" s="24" t="s">
        <v>3415</v>
      </c>
      <c r="C1310" s="25" t="s">
        <v>3416</v>
      </c>
      <c r="D1310" s="25" t="s">
        <v>3417</v>
      </c>
      <c r="E1310" s="26">
        <v>573</v>
      </c>
    </row>
    <row r="1311" spans="1:5" x14ac:dyDescent="0.25">
      <c r="A1311" s="24" t="s">
        <v>7</v>
      </c>
      <c r="B1311" s="24" t="s">
        <v>3418</v>
      </c>
      <c r="C1311" s="25" t="s">
        <v>3419</v>
      </c>
      <c r="D1311" s="25" t="s">
        <v>3420</v>
      </c>
      <c r="E1311" s="26">
        <v>74</v>
      </c>
    </row>
    <row r="1312" spans="1:5" x14ac:dyDescent="0.25">
      <c r="A1312" s="24" t="s">
        <v>7</v>
      </c>
      <c r="B1312" s="24" t="s">
        <v>3421</v>
      </c>
      <c r="C1312" s="25" t="s">
        <v>3422</v>
      </c>
      <c r="D1312" s="25" t="s">
        <v>3423</v>
      </c>
      <c r="E1312" s="26">
        <v>226</v>
      </c>
    </row>
    <row r="1313" spans="1:5" x14ac:dyDescent="0.25">
      <c r="A1313" s="24" t="s">
        <v>7</v>
      </c>
      <c r="B1313" s="24" t="s">
        <v>3424</v>
      </c>
      <c r="C1313" s="25" t="s">
        <v>3425</v>
      </c>
      <c r="D1313" s="25" t="s">
        <v>3425</v>
      </c>
      <c r="E1313" s="26">
        <v>914</v>
      </c>
    </row>
    <row r="1314" spans="1:5" x14ac:dyDescent="0.25">
      <c r="A1314" s="24" t="s">
        <v>7</v>
      </c>
      <c r="B1314" s="24" t="s">
        <v>3426</v>
      </c>
      <c r="C1314" s="25" t="s">
        <v>3427</v>
      </c>
      <c r="D1314" s="25" t="s">
        <v>3428</v>
      </c>
      <c r="E1314" s="26">
        <v>18</v>
      </c>
    </row>
    <row r="1315" spans="1:5" x14ac:dyDescent="0.25">
      <c r="A1315" s="24" t="s">
        <v>7</v>
      </c>
      <c r="B1315" s="24" t="s">
        <v>3429</v>
      </c>
      <c r="C1315" s="25" t="s">
        <v>3430</v>
      </c>
      <c r="D1315" s="25" t="s">
        <v>3431</v>
      </c>
      <c r="E1315" s="26">
        <v>302</v>
      </c>
    </row>
    <row r="1316" spans="1:5" x14ac:dyDescent="0.25">
      <c r="A1316" s="24" t="s">
        <v>7</v>
      </c>
      <c r="B1316" s="24" t="s">
        <v>3432</v>
      </c>
      <c r="C1316" s="25" t="s">
        <v>3433</v>
      </c>
      <c r="D1316" s="25" t="s">
        <v>3433</v>
      </c>
      <c r="E1316" s="26">
        <v>22</v>
      </c>
    </row>
    <row r="1317" spans="1:5" x14ac:dyDescent="0.25">
      <c r="A1317" s="24" t="s">
        <v>7</v>
      </c>
      <c r="B1317" s="24" t="s">
        <v>3434</v>
      </c>
      <c r="C1317" s="25" t="s">
        <v>3435</v>
      </c>
      <c r="D1317" s="25" t="s">
        <v>3436</v>
      </c>
      <c r="E1317" s="26">
        <v>297</v>
      </c>
    </row>
    <row r="1318" spans="1:5" x14ac:dyDescent="0.25">
      <c r="A1318" s="24" t="s">
        <v>7</v>
      </c>
      <c r="B1318" s="24" t="s">
        <v>3437</v>
      </c>
      <c r="C1318" s="25" t="s">
        <v>3438</v>
      </c>
      <c r="D1318" s="25" t="s">
        <v>3438</v>
      </c>
      <c r="E1318" s="26">
        <v>58</v>
      </c>
    </row>
    <row r="1319" spans="1:5" x14ac:dyDescent="0.25">
      <c r="A1319" s="24" t="s">
        <v>7</v>
      </c>
      <c r="B1319" s="24" t="s">
        <v>3439</v>
      </c>
      <c r="C1319" s="25" t="s">
        <v>3440</v>
      </c>
      <c r="D1319" s="25" t="s">
        <v>3440</v>
      </c>
      <c r="E1319" s="26">
        <v>29</v>
      </c>
    </row>
    <row r="1320" spans="1:5" x14ac:dyDescent="0.25">
      <c r="A1320" s="24" t="s">
        <v>7</v>
      </c>
      <c r="B1320" s="24" t="s">
        <v>3441</v>
      </c>
      <c r="C1320" s="25" t="s">
        <v>3442</v>
      </c>
      <c r="D1320" s="25" t="s">
        <v>3440</v>
      </c>
      <c r="E1320" s="26">
        <v>29</v>
      </c>
    </row>
    <row r="1321" spans="1:5" x14ac:dyDescent="0.25">
      <c r="A1321" s="24" t="s">
        <v>7</v>
      </c>
      <c r="B1321" s="24" t="s">
        <v>3443</v>
      </c>
      <c r="C1321" s="25" t="s">
        <v>3438</v>
      </c>
      <c r="D1321" s="25" t="s">
        <v>3438</v>
      </c>
      <c r="E1321" s="26">
        <v>328</v>
      </c>
    </row>
    <row r="1322" spans="1:5" x14ac:dyDescent="0.25">
      <c r="A1322" s="24" t="s">
        <v>7</v>
      </c>
      <c r="B1322" s="24" t="s">
        <v>3444</v>
      </c>
      <c r="C1322" s="25" t="s">
        <v>3445</v>
      </c>
      <c r="D1322" s="25" t="s">
        <v>3446</v>
      </c>
      <c r="E1322" s="26">
        <v>400</v>
      </c>
    </row>
    <row r="1323" spans="1:5" x14ac:dyDescent="0.25">
      <c r="A1323" s="24" t="s">
        <v>7</v>
      </c>
      <c r="B1323" s="24" t="s">
        <v>3447</v>
      </c>
      <c r="C1323" s="25" t="s">
        <v>3448</v>
      </c>
      <c r="D1323" s="25" t="s">
        <v>3449</v>
      </c>
      <c r="E1323" s="26">
        <v>34</v>
      </c>
    </row>
    <row r="1324" spans="1:5" x14ac:dyDescent="0.25">
      <c r="A1324" s="24" t="s">
        <v>7</v>
      </c>
      <c r="B1324" s="24" t="s">
        <v>3450</v>
      </c>
      <c r="C1324" s="25" t="s">
        <v>3451</v>
      </c>
      <c r="D1324" s="25" t="s">
        <v>3451</v>
      </c>
      <c r="E1324" s="26">
        <v>16</v>
      </c>
    </row>
    <row r="1325" spans="1:5" x14ac:dyDescent="0.25">
      <c r="A1325" s="24" t="s">
        <v>7</v>
      </c>
      <c r="B1325" s="24" t="s">
        <v>3452</v>
      </c>
      <c r="C1325" s="25" t="s">
        <v>3453</v>
      </c>
      <c r="D1325" s="25" t="s">
        <v>3453</v>
      </c>
      <c r="E1325" s="26">
        <v>19</v>
      </c>
    </row>
    <row r="1326" spans="1:5" x14ac:dyDescent="0.25">
      <c r="A1326" s="24" t="s">
        <v>7</v>
      </c>
      <c r="B1326" s="24" t="s">
        <v>3454</v>
      </c>
      <c r="C1326" s="25" t="s">
        <v>3455</v>
      </c>
      <c r="D1326" s="25" t="s">
        <v>3455</v>
      </c>
      <c r="E1326" s="26">
        <v>41</v>
      </c>
    </row>
    <row r="1327" spans="1:5" x14ac:dyDescent="0.25">
      <c r="A1327" s="24" t="s">
        <v>7</v>
      </c>
      <c r="B1327" s="24" t="s">
        <v>3456</v>
      </c>
      <c r="C1327" s="25" t="s">
        <v>3457</v>
      </c>
      <c r="D1327" s="25" t="s">
        <v>3457</v>
      </c>
      <c r="E1327" s="26">
        <v>19</v>
      </c>
    </row>
    <row r="1328" spans="1:5" x14ac:dyDescent="0.25">
      <c r="A1328" s="24" t="s">
        <v>7</v>
      </c>
      <c r="B1328" s="24" t="s">
        <v>3458</v>
      </c>
      <c r="C1328" s="25" t="s">
        <v>3459</v>
      </c>
      <c r="D1328" s="25" t="s">
        <v>3449</v>
      </c>
      <c r="E1328" s="26">
        <v>34</v>
      </c>
    </row>
    <row r="1329" spans="1:5" x14ac:dyDescent="0.25">
      <c r="A1329" s="24" t="s">
        <v>7</v>
      </c>
      <c r="B1329" s="24" t="s">
        <v>3460</v>
      </c>
      <c r="C1329" s="25" t="s">
        <v>3461</v>
      </c>
      <c r="D1329" s="25" t="s">
        <v>3449</v>
      </c>
      <c r="E1329" s="26">
        <v>34</v>
      </c>
    </row>
    <row r="1330" spans="1:5" x14ac:dyDescent="0.25">
      <c r="A1330" s="24" t="s">
        <v>7</v>
      </c>
      <c r="B1330" s="24" t="s">
        <v>3462</v>
      </c>
      <c r="C1330" s="25" t="s">
        <v>3463</v>
      </c>
      <c r="D1330" s="25" t="s">
        <v>3464</v>
      </c>
      <c r="E1330" s="26">
        <v>423</v>
      </c>
    </row>
    <row r="1331" spans="1:5" x14ac:dyDescent="0.25">
      <c r="A1331" s="24" t="s">
        <v>7</v>
      </c>
      <c r="B1331" s="24" t="s">
        <v>3465</v>
      </c>
      <c r="C1331" s="25" t="s">
        <v>3466</v>
      </c>
      <c r="D1331" s="25" t="s">
        <v>3467</v>
      </c>
      <c r="E1331" s="26">
        <v>341</v>
      </c>
    </row>
    <row r="1332" spans="1:5" x14ac:dyDescent="0.25">
      <c r="A1332" s="24" t="s">
        <v>7</v>
      </c>
      <c r="B1332" s="24" t="s">
        <v>3468</v>
      </c>
      <c r="C1332" s="25" t="s">
        <v>3469</v>
      </c>
      <c r="D1332" s="25" t="s">
        <v>3469</v>
      </c>
      <c r="E1332" s="26">
        <v>199</v>
      </c>
    </row>
    <row r="1333" spans="1:5" x14ac:dyDescent="0.25">
      <c r="A1333" s="24" t="s">
        <v>7</v>
      </c>
      <c r="B1333" s="24" t="s">
        <v>3470</v>
      </c>
      <c r="C1333" s="25" t="s">
        <v>3471</v>
      </c>
      <c r="D1333" s="25" t="s">
        <v>3471</v>
      </c>
      <c r="E1333" s="26">
        <v>31</v>
      </c>
    </row>
    <row r="1334" spans="1:5" x14ac:dyDescent="0.25">
      <c r="A1334" s="24" t="s">
        <v>7</v>
      </c>
      <c r="B1334" s="24" t="s">
        <v>3472</v>
      </c>
      <c r="C1334" s="25" t="s">
        <v>3473</v>
      </c>
      <c r="D1334" s="25" t="s">
        <v>3473</v>
      </c>
      <c r="E1334" s="26">
        <v>34</v>
      </c>
    </row>
    <row r="1335" spans="1:5" x14ac:dyDescent="0.25">
      <c r="A1335" s="24" t="s">
        <v>7</v>
      </c>
      <c r="B1335" s="24" t="s">
        <v>3474</v>
      </c>
      <c r="C1335" s="25" t="s">
        <v>3475</v>
      </c>
      <c r="D1335" s="25" t="s">
        <v>3476</v>
      </c>
      <c r="E1335" s="26">
        <v>341</v>
      </c>
    </row>
    <row r="1336" spans="1:5" x14ac:dyDescent="0.25">
      <c r="A1336" s="24" t="s">
        <v>7</v>
      </c>
      <c r="B1336" s="24" t="s">
        <v>3477</v>
      </c>
      <c r="C1336" s="25" t="s">
        <v>3478</v>
      </c>
      <c r="D1336" s="25" t="s">
        <v>3478</v>
      </c>
      <c r="E1336" s="26">
        <v>34</v>
      </c>
    </row>
    <row r="1337" spans="1:5" x14ac:dyDescent="0.25">
      <c r="A1337" s="24" t="s">
        <v>7</v>
      </c>
      <c r="B1337" s="24" t="s">
        <v>3479</v>
      </c>
      <c r="C1337" s="25" t="s">
        <v>3480</v>
      </c>
      <c r="D1337" s="25" t="s">
        <v>3480</v>
      </c>
      <c r="E1337" s="26">
        <v>30</v>
      </c>
    </row>
    <row r="1338" spans="1:5" x14ac:dyDescent="0.25">
      <c r="A1338" s="24" t="s">
        <v>7</v>
      </c>
      <c r="B1338" s="24" t="s">
        <v>3481</v>
      </c>
      <c r="C1338" s="25" t="s">
        <v>3482</v>
      </c>
      <c r="D1338" s="25" t="s">
        <v>3483</v>
      </c>
      <c r="E1338" s="26">
        <v>149</v>
      </c>
    </row>
    <row r="1339" spans="1:5" x14ac:dyDescent="0.25">
      <c r="A1339" s="24" t="s">
        <v>7</v>
      </c>
      <c r="B1339" s="24" t="s">
        <v>3484</v>
      </c>
      <c r="C1339" s="25" t="s">
        <v>3485</v>
      </c>
      <c r="D1339" s="25" t="s">
        <v>3486</v>
      </c>
      <c r="E1339" s="26">
        <v>534</v>
      </c>
    </row>
    <row r="1340" spans="1:5" x14ac:dyDescent="0.25">
      <c r="A1340" s="24" t="s">
        <v>7</v>
      </c>
      <c r="B1340" s="24" t="s">
        <v>3487</v>
      </c>
      <c r="C1340" s="25" t="s">
        <v>3488</v>
      </c>
      <c r="D1340" s="25" t="s">
        <v>3118</v>
      </c>
      <c r="E1340" s="26">
        <v>325</v>
      </c>
    </row>
    <row r="1341" spans="1:5" x14ac:dyDescent="0.25">
      <c r="A1341" s="24" t="s">
        <v>7</v>
      </c>
      <c r="B1341" s="24" t="s">
        <v>3489</v>
      </c>
      <c r="C1341" s="25" t="s">
        <v>3490</v>
      </c>
      <c r="D1341" s="25" t="s">
        <v>3491</v>
      </c>
      <c r="E1341" s="26">
        <v>24</v>
      </c>
    </row>
    <row r="1342" spans="1:5" x14ac:dyDescent="0.25">
      <c r="A1342" s="24" t="s">
        <v>7</v>
      </c>
      <c r="B1342" s="24" t="s">
        <v>3492</v>
      </c>
      <c r="C1342" s="25" t="s">
        <v>3493</v>
      </c>
      <c r="D1342" s="25" t="s">
        <v>3493</v>
      </c>
      <c r="E1342" s="26">
        <v>49</v>
      </c>
    </row>
    <row r="1343" spans="1:5" x14ac:dyDescent="0.25">
      <c r="A1343" s="24" t="s">
        <v>7</v>
      </c>
      <c r="B1343" s="24" t="s">
        <v>3494</v>
      </c>
      <c r="C1343" s="25" t="s">
        <v>3495</v>
      </c>
      <c r="D1343" s="25" t="s">
        <v>3496</v>
      </c>
      <c r="E1343" s="26">
        <v>94</v>
      </c>
    </row>
    <row r="1344" spans="1:5" x14ac:dyDescent="0.25">
      <c r="A1344" s="24" t="s">
        <v>7</v>
      </c>
      <c r="B1344" s="24" t="s">
        <v>3497</v>
      </c>
      <c r="C1344" s="25" t="s">
        <v>3498</v>
      </c>
      <c r="D1344" s="25" t="s">
        <v>3499</v>
      </c>
      <c r="E1344" s="26">
        <v>31</v>
      </c>
    </row>
    <row r="1345" spans="1:5" x14ac:dyDescent="0.25">
      <c r="A1345" s="24" t="s">
        <v>7</v>
      </c>
      <c r="B1345" s="24" t="s">
        <v>3500</v>
      </c>
      <c r="C1345" s="25" t="s">
        <v>3501</v>
      </c>
      <c r="D1345" s="25" t="s">
        <v>3501</v>
      </c>
      <c r="E1345" s="26">
        <v>37</v>
      </c>
    </row>
    <row r="1346" spans="1:5" x14ac:dyDescent="0.25">
      <c r="A1346" s="24" t="s">
        <v>7</v>
      </c>
      <c r="B1346" s="24" t="s">
        <v>3502</v>
      </c>
      <c r="C1346" s="25" t="s">
        <v>3503</v>
      </c>
      <c r="D1346" s="25" t="s">
        <v>3503</v>
      </c>
      <c r="E1346" s="26">
        <v>222</v>
      </c>
    </row>
    <row r="1347" spans="1:5" x14ac:dyDescent="0.25">
      <c r="A1347" s="24" t="s">
        <v>7</v>
      </c>
      <c r="B1347" s="24" t="s">
        <v>3504</v>
      </c>
      <c r="C1347" s="25" t="s">
        <v>3505</v>
      </c>
      <c r="D1347" s="25" t="s">
        <v>3505</v>
      </c>
      <c r="E1347" s="26">
        <v>222</v>
      </c>
    </row>
    <row r="1348" spans="1:5" x14ac:dyDescent="0.25">
      <c r="A1348" s="24" t="s">
        <v>7</v>
      </c>
      <c r="B1348" s="24" t="s">
        <v>3506</v>
      </c>
      <c r="C1348" s="25" t="s">
        <v>3507</v>
      </c>
      <c r="D1348" s="25" t="s">
        <v>3507</v>
      </c>
      <c r="E1348" s="26">
        <v>222</v>
      </c>
    </row>
    <row r="1349" spans="1:5" x14ac:dyDescent="0.25">
      <c r="A1349" s="24" t="s">
        <v>7</v>
      </c>
      <c r="B1349" s="24" t="s">
        <v>3508</v>
      </c>
      <c r="C1349" s="25" t="s">
        <v>3509</v>
      </c>
      <c r="D1349" s="25" t="s">
        <v>3510</v>
      </c>
      <c r="E1349" s="26">
        <v>25</v>
      </c>
    </row>
    <row r="1350" spans="1:5" x14ac:dyDescent="0.25">
      <c r="A1350" s="24" t="s">
        <v>7</v>
      </c>
      <c r="B1350" s="24" t="s">
        <v>3511</v>
      </c>
      <c r="C1350" s="25" t="s">
        <v>3512</v>
      </c>
      <c r="D1350" s="25" t="s">
        <v>3513</v>
      </c>
      <c r="E1350" s="26">
        <v>297</v>
      </c>
    </row>
    <row r="1351" spans="1:5" x14ac:dyDescent="0.25">
      <c r="A1351" s="24" t="s">
        <v>7</v>
      </c>
      <c r="B1351" s="24" t="s">
        <v>3514</v>
      </c>
      <c r="C1351" s="25" t="s">
        <v>3515</v>
      </c>
      <c r="D1351" s="25" t="s">
        <v>3118</v>
      </c>
      <c r="E1351" s="26">
        <v>325</v>
      </c>
    </row>
    <row r="1352" spans="1:5" x14ac:dyDescent="0.25">
      <c r="A1352" s="24" t="s">
        <v>7</v>
      </c>
      <c r="B1352" s="24" t="s">
        <v>3516</v>
      </c>
      <c r="C1352" s="25" t="s">
        <v>3517</v>
      </c>
      <c r="D1352" s="25" t="s">
        <v>3518</v>
      </c>
      <c r="E1352" s="26">
        <v>27</v>
      </c>
    </row>
    <row r="1353" spans="1:5" x14ac:dyDescent="0.25">
      <c r="A1353" s="24" t="s">
        <v>7</v>
      </c>
      <c r="B1353" s="24" t="s">
        <v>3519</v>
      </c>
      <c r="C1353" s="25" t="s">
        <v>3520</v>
      </c>
      <c r="D1353" s="25" t="s">
        <v>3521</v>
      </c>
      <c r="E1353" s="26">
        <v>27</v>
      </c>
    </row>
    <row r="1354" spans="1:5" x14ac:dyDescent="0.25">
      <c r="A1354" s="24" t="s">
        <v>7</v>
      </c>
      <c r="B1354" s="24" t="s">
        <v>3522</v>
      </c>
      <c r="C1354" s="25" t="s">
        <v>3523</v>
      </c>
      <c r="D1354" s="25" t="s">
        <v>3521</v>
      </c>
      <c r="E1354" s="26">
        <v>310</v>
      </c>
    </row>
    <row r="1355" spans="1:5" x14ac:dyDescent="0.25">
      <c r="A1355" s="24" t="s">
        <v>7</v>
      </c>
      <c r="B1355" s="24" t="s">
        <v>3524</v>
      </c>
      <c r="C1355" s="25" t="s">
        <v>3525</v>
      </c>
      <c r="D1355" s="25" t="s">
        <v>3525</v>
      </c>
      <c r="E1355" s="26">
        <v>19</v>
      </c>
    </row>
    <row r="1356" spans="1:5" x14ac:dyDescent="0.25">
      <c r="A1356" s="24" t="s">
        <v>7</v>
      </c>
      <c r="B1356" s="24" t="s">
        <v>3526</v>
      </c>
      <c r="C1356" s="25" t="s">
        <v>3527</v>
      </c>
      <c r="D1356" s="25" t="s">
        <v>3528</v>
      </c>
      <c r="E1356" s="26">
        <v>442</v>
      </c>
    </row>
    <row r="1357" spans="1:5" x14ac:dyDescent="0.25">
      <c r="A1357" s="24" t="s">
        <v>7</v>
      </c>
      <c r="B1357" s="24" t="s">
        <v>3529</v>
      </c>
      <c r="C1357" s="25" t="s">
        <v>3530</v>
      </c>
      <c r="D1357" s="25" t="s">
        <v>3528</v>
      </c>
      <c r="E1357" s="26">
        <v>16</v>
      </c>
    </row>
    <row r="1358" spans="1:5" x14ac:dyDescent="0.25">
      <c r="A1358" s="24" t="s">
        <v>7</v>
      </c>
      <c r="B1358" s="24" t="s">
        <v>3531</v>
      </c>
      <c r="C1358" s="25" t="s">
        <v>3532</v>
      </c>
      <c r="D1358" s="25" t="s">
        <v>3528</v>
      </c>
      <c r="E1358" s="26">
        <v>401</v>
      </c>
    </row>
    <row r="1359" spans="1:5" x14ac:dyDescent="0.25">
      <c r="A1359" s="24" t="s">
        <v>7</v>
      </c>
      <c r="B1359" s="24" t="s">
        <v>3533</v>
      </c>
      <c r="C1359" s="25" t="s">
        <v>3534</v>
      </c>
      <c r="D1359" s="25" t="s">
        <v>3535</v>
      </c>
      <c r="E1359" s="26">
        <v>99</v>
      </c>
    </row>
    <row r="1360" spans="1:5" x14ac:dyDescent="0.25">
      <c r="A1360" s="24" t="s">
        <v>7</v>
      </c>
      <c r="B1360" s="24" t="s">
        <v>3536</v>
      </c>
      <c r="C1360" s="25" t="s">
        <v>3537</v>
      </c>
      <c r="D1360" s="25" t="s">
        <v>3538</v>
      </c>
      <c r="E1360" s="26">
        <v>59</v>
      </c>
    </row>
    <row r="1361" spans="1:5" x14ac:dyDescent="0.25">
      <c r="A1361" s="24" t="s">
        <v>7</v>
      </c>
      <c r="B1361" s="24" t="s">
        <v>3539</v>
      </c>
      <c r="C1361" s="25" t="s">
        <v>3540</v>
      </c>
      <c r="D1361" s="25" t="s">
        <v>3540</v>
      </c>
      <c r="E1361" s="26">
        <v>605</v>
      </c>
    </row>
    <row r="1362" spans="1:5" x14ac:dyDescent="0.25">
      <c r="A1362" s="24" t="s">
        <v>7</v>
      </c>
      <c r="B1362" s="24" t="s">
        <v>3541</v>
      </c>
      <c r="C1362" s="25" t="s">
        <v>3542</v>
      </c>
      <c r="D1362" s="25" t="s">
        <v>3543</v>
      </c>
      <c r="E1362" s="26">
        <v>126</v>
      </c>
    </row>
    <row r="1363" spans="1:5" x14ac:dyDescent="0.25">
      <c r="A1363" s="24" t="s">
        <v>7</v>
      </c>
      <c r="B1363" s="24" t="s">
        <v>3544</v>
      </c>
      <c r="C1363" s="25" t="s">
        <v>3545</v>
      </c>
      <c r="D1363" s="25" t="s">
        <v>3545</v>
      </c>
      <c r="E1363" s="26">
        <v>33</v>
      </c>
    </row>
    <row r="1364" spans="1:5" x14ac:dyDescent="0.25">
      <c r="A1364" s="24" t="s">
        <v>7</v>
      </c>
      <c r="B1364" s="24" t="s">
        <v>3546</v>
      </c>
      <c r="C1364" s="25" t="s">
        <v>3547</v>
      </c>
      <c r="D1364" s="25" t="s">
        <v>3548</v>
      </c>
      <c r="E1364" s="26">
        <v>53</v>
      </c>
    </row>
    <row r="1365" spans="1:5" x14ac:dyDescent="0.25">
      <c r="A1365" s="24" t="s">
        <v>7</v>
      </c>
      <c r="B1365" s="24" t="s">
        <v>3549</v>
      </c>
      <c r="C1365" s="25" t="s">
        <v>3550</v>
      </c>
      <c r="D1365" s="25" t="s">
        <v>3551</v>
      </c>
      <c r="E1365" s="26">
        <v>477</v>
      </c>
    </row>
    <row r="1366" spans="1:5" x14ac:dyDescent="0.25">
      <c r="A1366" s="24" t="s">
        <v>7</v>
      </c>
      <c r="B1366" s="24" t="s">
        <v>3552</v>
      </c>
      <c r="C1366" s="25" t="s">
        <v>3553</v>
      </c>
      <c r="D1366" s="25" t="s">
        <v>3554</v>
      </c>
      <c r="E1366" s="26">
        <v>258</v>
      </c>
    </row>
    <row r="1367" spans="1:5" x14ac:dyDescent="0.25">
      <c r="A1367" s="24" t="s">
        <v>7</v>
      </c>
      <c r="B1367" s="24" t="s">
        <v>3555</v>
      </c>
      <c r="C1367" s="25" t="s">
        <v>3556</v>
      </c>
      <c r="D1367" s="25" t="s">
        <v>3556</v>
      </c>
      <c r="E1367" s="26">
        <v>55</v>
      </c>
    </row>
    <row r="1368" spans="1:5" x14ac:dyDescent="0.25">
      <c r="A1368" s="24" t="s">
        <v>7</v>
      </c>
      <c r="B1368" s="24" t="s">
        <v>3557</v>
      </c>
      <c r="C1368" s="25" t="s">
        <v>3558</v>
      </c>
      <c r="D1368" s="25" t="s">
        <v>3558</v>
      </c>
      <c r="E1368" s="26">
        <v>64</v>
      </c>
    </row>
    <row r="1369" spans="1:5" x14ac:dyDescent="0.25">
      <c r="A1369" s="24" t="s">
        <v>7</v>
      </c>
      <c r="B1369" s="24" t="s">
        <v>3559</v>
      </c>
      <c r="C1369" s="25" t="s">
        <v>3560</v>
      </c>
      <c r="D1369" s="25" t="s">
        <v>3561</v>
      </c>
      <c r="E1369" s="26">
        <v>140</v>
      </c>
    </row>
    <row r="1370" spans="1:5" x14ac:dyDescent="0.25">
      <c r="A1370" s="24" t="s">
        <v>7</v>
      </c>
      <c r="B1370" s="24" t="s">
        <v>3562</v>
      </c>
      <c r="C1370" s="25" t="s">
        <v>3563</v>
      </c>
      <c r="D1370" s="25" t="s">
        <v>3564</v>
      </c>
      <c r="E1370" s="26">
        <v>67</v>
      </c>
    </row>
    <row r="1371" spans="1:5" x14ac:dyDescent="0.25">
      <c r="A1371" s="24" t="s">
        <v>7</v>
      </c>
      <c r="B1371" s="24" t="s">
        <v>3565</v>
      </c>
      <c r="C1371" s="25" t="s">
        <v>3566</v>
      </c>
      <c r="D1371" s="25" t="s">
        <v>3567</v>
      </c>
      <c r="E1371" s="26">
        <v>52</v>
      </c>
    </row>
    <row r="1372" spans="1:5" x14ac:dyDescent="0.25">
      <c r="A1372" s="24" t="s">
        <v>7</v>
      </c>
      <c r="B1372" s="24" t="s">
        <v>3568</v>
      </c>
      <c r="C1372" s="25" t="s">
        <v>3569</v>
      </c>
      <c r="D1372" s="25" t="s">
        <v>3570</v>
      </c>
      <c r="E1372" s="26">
        <v>183</v>
      </c>
    </row>
    <row r="1373" spans="1:5" x14ac:dyDescent="0.25">
      <c r="A1373" s="24" t="s">
        <v>7</v>
      </c>
      <c r="B1373" s="24" t="s">
        <v>3571</v>
      </c>
      <c r="C1373" s="25" t="s">
        <v>3572</v>
      </c>
      <c r="D1373" s="25" t="s">
        <v>3573</v>
      </c>
      <c r="E1373" s="26">
        <v>273</v>
      </c>
    </row>
    <row r="1374" spans="1:5" x14ac:dyDescent="0.25">
      <c r="A1374" s="24" t="s">
        <v>7</v>
      </c>
      <c r="B1374" s="24" t="s">
        <v>3574</v>
      </c>
      <c r="C1374" s="25" t="s">
        <v>3575</v>
      </c>
      <c r="D1374" s="25" t="s">
        <v>3576</v>
      </c>
      <c r="E1374" s="26">
        <v>464</v>
      </c>
    </row>
    <row r="1375" spans="1:5" x14ac:dyDescent="0.25">
      <c r="A1375" s="24" t="s">
        <v>7</v>
      </c>
      <c r="B1375" s="24" t="s">
        <v>3577</v>
      </c>
      <c r="C1375" s="25" t="s">
        <v>3578</v>
      </c>
      <c r="D1375" s="25" t="s">
        <v>3576</v>
      </c>
      <c r="E1375" s="26">
        <v>646</v>
      </c>
    </row>
    <row r="1376" spans="1:5" x14ac:dyDescent="0.25">
      <c r="A1376" s="24" t="s">
        <v>7</v>
      </c>
      <c r="B1376" s="24" t="s">
        <v>3579</v>
      </c>
      <c r="C1376" s="25" t="s">
        <v>3580</v>
      </c>
      <c r="D1376" s="25" t="s">
        <v>3581</v>
      </c>
      <c r="E1376" s="26">
        <v>209</v>
      </c>
    </row>
    <row r="1377" spans="1:5" x14ac:dyDescent="0.25">
      <c r="A1377" s="24" t="s">
        <v>7</v>
      </c>
      <c r="B1377" s="24" t="s">
        <v>3582</v>
      </c>
      <c r="C1377" s="25" t="s">
        <v>3583</v>
      </c>
      <c r="D1377" s="25" t="s">
        <v>3584</v>
      </c>
      <c r="E1377" s="26">
        <v>161</v>
      </c>
    </row>
    <row r="1378" spans="1:5" x14ac:dyDescent="0.25">
      <c r="A1378" s="24" t="s">
        <v>7</v>
      </c>
      <c r="B1378" s="24" t="s">
        <v>3585</v>
      </c>
      <c r="C1378" s="25" t="s">
        <v>3586</v>
      </c>
      <c r="D1378" s="25" t="s">
        <v>3587</v>
      </c>
      <c r="E1378" s="26">
        <v>851</v>
      </c>
    </row>
    <row r="1379" spans="1:5" x14ac:dyDescent="0.25">
      <c r="A1379" s="24" t="s">
        <v>7</v>
      </c>
      <c r="B1379" s="24" t="s">
        <v>3588</v>
      </c>
      <c r="C1379" s="25" t="s">
        <v>3589</v>
      </c>
      <c r="D1379" s="25" t="s">
        <v>3590</v>
      </c>
      <c r="E1379" s="26">
        <v>460</v>
      </c>
    </row>
    <row r="1380" spans="1:5" x14ac:dyDescent="0.25">
      <c r="A1380" s="24" t="s">
        <v>7</v>
      </c>
      <c r="B1380" s="24" t="s">
        <v>3591</v>
      </c>
      <c r="C1380" s="25" t="s">
        <v>3592</v>
      </c>
      <c r="D1380" s="25" t="s">
        <v>3593</v>
      </c>
      <c r="E1380" s="26">
        <v>82</v>
      </c>
    </row>
    <row r="1381" spans="1:5" x14ac:dyDescent="0.25">
      <c r="A1381" s="24" t="s">
        <v>7</v>
      </c>
      <c r="B1381" s="24" t="s">
        <v>3594</v>
      </c>
      <c r="C1381" s="25" t="s">
        <v>3595</v>
      </c>
      <c r="D1381" s="25" t="s">
        <v>3595</v>
      </c>
      <c r="E1381" s="26">
        <v>345</v>
      </c>
    </row>
    <row r="1382" spans="1:5" x14ac:dyDescent="0.25">
      <c r="A1382" s="24" t="s">
        <v>7</v>
      </c>
      <c r="B1382" s="24" t="s">
        <v>3596</v>
      </c>
      <c r="C1382" s="25" t="s">
        <v>3597</v>
      </c>
      <c r="D1382" s="25" t="s">
        <v>3598</v>
      </c>
      <c r="E1382" s="26">
        <v>578</v>
      </c>
    </row>
    <row r="1383" spans="1:5" x14ac:dyDescent="0.25">
      <c r="A1383" s="24" t="s">
        <v>7</v>
      </c>
      <c r="B1383" s="24" t="s">
        <v>3599</v>
      </c>
      <c r="C1383" s="25" t="s">
        <v>3600</v>
      </c>
      <c r="D1383" s="25" t="s">
        <v>3600</v>
      </c>
      <c r="E1383" s="26">
        <v>175</v>
      </c>
    </row>
    <row r="1384" spans="1:5" x14ac:dyDescent="0.25">
      <c r="A1384" s="24" t="s">
        <v>7</v>
      </c>
      <c r="B1384" s="24" t="s">
        <v>3601</v>
      </c>
      <c r="C1384" s="25" t="s">
        <v>3602</v>
      </c>
      <c r="D1384" s="25" t="s">
        <v>3603</v>
      </c>
      <c r="E1384" s="26">
        <v>427</v>
      </c>
    </row>
    <row r="1385" spans="1:5" x14ac:dyDescent="0.25">
      <c r="A1385" s="24" t="s">
        <v>7</v>
      </c>
      <c r="B1385" s="24" t="s">
        <v>3604</v>
      </c>
      <c r="C1385" s="25" t="s">
        <v>3605</v>
      </c>
      <c r="D1385" s="25" t="s">
        <v>3606</v>
      </c>
      <c r="E1385" s="26">
        <v>359</v>
      </c>
    </row>
    <row r="1386" spans="1:5" x14ac:dyDescent="0.25">
      <c r="A1386" s="24" t="s">
        <v>7</v>
      </c>
      <c r="B1386" s="24" t="s">
        <v>3607</v>
      </c>
      <c r="C1386" s="25" t="s">
        <v>3608</v>
      </c>
      <c r="D1386" s="25" t="s">
        <v>3606</v>
      </c>
      <c r="E1386" s="26">
        <v>170</v>
      </c>
    </row>
    <row r="1387" spans="1:5" x14ac:dyDescent="0.25">
      <c r="A1387" s="24" t="s">
        <v>7</v>
      </c>
      <c r="B1387" s="24" t="s">
        <v>3609</v>
      </c>
      <c r="C1387" s="25" t="s">
        <v>3610</v>
      </c>
      <c r="D1387" s="25" t="s">
        <v>3606</v>
      </c>
      <c r="E1387" s="26">
        <v>286</v>
      </c>
    </row>
    <row r="1388" spans="1:5" x14ac:dyDescent="0.25">
      <c r="A1388" s="24" t="s">
        <v>7</v>
      </c>
      <c r="B1388" s="24" t="s">
        <v>3611</v>
      </c>
      <c r="C1388" s="25" t="s">
        <v>3612</v>
      </c>
      <c r="D1388" s="25" t="s">
        <v>3612</v>
      </c>
      <c r="E1388" s="26">
        <v>38</v>
      </c>
    </row>
    <row r="1389" spans="1:5" x14ac:dyDescent="0.25">
      <c r="A1389" s="24" t="s">
        <v>7</v>
      </c>
      <c r="B1389" s="24" t="s">
        <v>3613</v>
      </c>
      <c r="C1389" s="25" t="s">
        <v>3614</v>
      </c>
      <c r="D1389" s="25" t="s">
        <v>3615</v>
      </c>
      <c r="E1389" s="26">
        <v>48</v>
      </c>
    </row>
    <row r="1390" spans="1:5" x14ac:dyDescent="0.25">
      <c r="A1390" s="24" t="s">
        <v>7</v>
      </c>
      <c r="B1390" s="24" t="s">
        <v>3616</v>
      </c>
      <c r="C1390" s="25" t="s">
        <v>3617</v>
      </c>
      <c r="D1390" s="25" t="s">
        <v>3618</v>
      </c>
      <c r="E1390" s="26">
        <v>311</v>
      </c>
    </row>
    <row r="1391" spans="1:5" x14ac:dyDescent="0.25">
      <c r="A1391" s="24" t="s">
        <v>7</v>
      </c>
      <c r="B1391" s="24" t="s">
        <v>3619</v>
      </c>
      <c r="C1391" s="25" t="s">
        <v>3620</v>
      </c>
      <c r="D1391" s="25" t="s">
        <v>3620</v>
      </c>
      <c r="E1391" s="26">
        <v>41</v>
      </c>
    </row>
    <row r="1392" spans="1:5" x14ac:dyDescent="0.25">
      <c r="A1392" s="24" t="s">
        <v>7</v>
      </c>
      <c r="B1392" s="24" t="s">
        <v>3621</v>
      </c>
      <c r="C1392" s="25" t="s">
        <v>3622</v>
      </c>
      <c r="D1392" s="25" t="s">
        <v>3622</v>
      </c>
      <c r="E1392" s="26">
        <v>78</v>
      </c>
    </row>
    <row r="1393" spans="1:5" x14ac:dyDescent="0.25">
      <c r="A1393" s="24" t="s">
        <v>7</v>
      </c>
      <c r="B1393" s="24" t="s">
        <v>3623</v>
      </c>
      <c r="C1393" s="25" t="s">
        <v>3624</v>
      </c>
      <c r="D1393" s="25" t="s">
        <v>3625</v>
      </c>
      <c r="E1393" s="26">
        <v>470</v>
      </c>
    </row>
    <row r="1394" spans="1:5" x14ac:dyDescent="0.25">
      <c r="A1394" s="24" t="s">
        <v>7</v>
      </c>
      <c r="B1394" s="24" t="s">
        <v>3626</v>
      </c>
      <c r="C1394" s="25" t="s">
        <v>3627</v>
      </c>
      <c r="D1394" s="25" t="s">
        <v>3628</v>
      </c>
      <c r="E1394" s="26">
        <v>384</v>
      </c>
    </row>
    <row r="1395" spans="1:5" x14ac:dyDescent="0.25">
      <c r="A1395" s="24" t="s">
        <v>7</v>
      </c>
      <c r="B1395" s="24" t="s">
        <v>3629</v>
      </c>
      <c r="C1395" s="25" t="s">
        <v>3630</v>
      </c>
      <c r="D1395" s="25" t="s">
        <v>3631</v>
      </c>
      <c r="E1395" s="26">
        <v>278</v>
      </c>
    </row>
    <row r="1396" spans="1:5" x14ac:dyDescent="0.25">
      <c r="A1396" s="24" t="s">
        <v>7</v>
      </c>
      <c r="B1396" s="24" t="s">
        <v>3632</v>
      </c>
      <c r="C1396" s="25" t="s">
        <v>3633</v>
      </c>
      <c r="D1396" s="25" t="s">
        <v>3634</v>
      </c>
      <c r="E1396" s="26">
        <v>215</v>
      </c>
    </row>
    <row r="1397" spans="1:5" x14ac:dyDescent="0.25">
      <c r="A1397" s="24" t="s">
        <v>7</v>
      </c>
      <c r="B1397" s="24" t="s">
        <v>3635</v>
      </c>
      <c r="C1397" s="25" t="s">
        <v>3636</v>
      </c>
      <c r="D1397" s="25" t="s">
        <v>3637</v>
      </c>
      <c r="E1397" s="26">
        <v>487</v>
      </c>
    </row>
    <row r="1398" spans="1:5" x14ac:dyDescent="0.25">
      <c r="A1398" s="24" t="s">
        <v>7</v>
      </c>
      <c r="B1398" s="24" t="s">
        <v>3638</v>
      </c>
      <c r="C1398" s="25" t="s">
        <v>3639</v>
      </c>
      <c r="D1398" s="25" t="s">
        <v>3640</v>
      </c>
      <c r="E1398" s="26">
        <v>81</v>
      </c>
    </row>
    <row r="1399" spans="1:5" x14ac:dyDescent="0.25">
      <c r="A1399" s="24" t="s">
        <v>7</v>
      </c>
      <c r="B1399" s="24" t="s">
        <v>3641</v>
      </c>
      <c r="C1399" s="25" t="s">
        <v>3642</v>
      </c>
      <c r="D1399" s="25" t="s">
        <v>3643</v>
      </c>
      <c r="E1399" s="26">
        <v>238</v>
      </c>
    </row>
    <row r="1400" spans="1:5" x14ac:dyDescent="0.25">
      <c r="A1400" s="24" t="s">
        <v>7</v>
      </c>
      <c r="B1400" s="24" t="s">
        <v>3644</v>
      </c>
      <c r="C1400" s="25" t="s">
        <v>3645</v>
      </c>
      <c r="D1400" s="25" t="s">
        <v>3646</v>
      </c>
      <c r="E1400" s="26">
        <v>92</v>
      </c>
    </row>
    <row r="1401" spans="1:5" x14ac:dyDescent="0.25">
      <c r="A1401" s="24" t="s">
        <v>7</v>
      </c>
      <c r="B1401" s="24" t="s">
        <v>3647</v>
      </c>
      <c r="C1401" s="25" t="s">
        <v>3648</v>
      </c>
      <c r="D1401" s="25" t="s">
        <v>3649</v>
      </c>
      <c r="E1401" s="26">
        <v>557</v>
      </c>
    </row>
    <row r="1402" spans="1:5" x14ac:dyDescent="0.25">
      <c r="A1402" s="24" t="s">
        <v>7</v>
      </c>
      <c r="B1402" s="24" t="s">
        <v>3650</v>
      </c>
      <c r="C1402" s="25" t="s">
        <v>3651</v>
      </c>
      <c r="D1402" s="25" t="s">
        <v>3652</v>
      </c>
      <c r="E1402" s="26">
        <v>83</v>
      </c>
    </row>
    <row r="1403" spans="1:5" x14ac:dyDescent="0.25">
      <c r="A1403" s="24" t="s">
        <v>7</v>
      </c>
      <c r="B1403" s="24" t="s">
        <v>3653</v>
      </c>
      <c r="C1403" s="25" t="s">
        <v>3654</v>
      </c>
      <c r="D1403" s="25" t="s">
        <v>3654</v>
      </c>
      <c r="E1403" s="26">
        <v>133</v>
      </c>
    </row>
    <row r="1404" spans="1:5" x14ac:dyDescent="0.25">
      <c r="A1404" s="24" t="s">
        <v>7</v>
      </c>
      <c r="B1404" s="24" t="s">
        <v>3655</v>
      </c>
      <c r="C1404" s="25" t="s">
        <v>3656</v>
      </c>
      <c r="D1404" s="25" t="s">
        <v>3657</v>
      </c>
      <c r="E1404" s="26">
        <v>230</v>
      </c>
    </row>
    <row r="1405" spans="1:5" x14ac:dyDescent="0.25">
      <c r="A1405" s="24" t="s">
        <v>7</v>
      </c>
      <c r="B1405" s="24" t="s">
        <v>3658</v>
      </c>
      <c r="C1405" s="25" t="s">
        <v>3659</v>
      </c>
      <c r="D1405" s="25" t="s">
        <v>3659</v>
      </c>
      <c r="E1405" s="26">
        <v>79</v>
      </c>
    </row>
    <row r="1406" spans="1:5" x14ac:dyDescent="0.25">
      <c r="A1406" s="24" t="s">
        <v>7</v>
      </c>
      <c r="B1406" s="24" t="s">
        <v>3660</v>
      </c>
      <c r="C1406" s="25" t="s">
        <v>3661</v>
      </c>
      <c r="D1406" s="25" t="s">
        <v>3662</v>
      </c>
      <c r="E1406" s="26">
        <v>292</v>
      </c>
    </row>
    <row r="1407" spans="1:5" x14ac:dyDescent="0.25">
      <c r="A1407" s="24" t="s">
        <v>7</v>
      </c>
      <c r="B1407" s="24" t="s">
        <v>3663</v>
      </c>
      <c r="C1407" s="25" t="s">
        <v>3664</v>
      </c>
      <c r="D1407" s="25" t="s">
        <v>3665</v>
      </c>
      <c r="E1407" s="26">
        <v>139</v>
      </c>
    </row>
    <row r="1408" spans="1:5" x14ac:dyDescent="0.25">
      <c r="A1408" s="24" t="s">
        <v>7</v>
      </c>
      <c r="B1408" s="24" t="s">
        <v>3666</v>
      </c>
      <c r="C1408" s="25" t="s">
        <v>3667</v>
      </c>
      <c r="D1408" s="25" t="s">
        <v>3668</v>
      </c>
      <c r="E1408" s="26">
        <v>49</v>
      </c>
    </row>
    <row r="1409" spans="1:5" x14ac:dyDescent="0.25">
      <c r="A1409" s="24" t="s">
        <v>7</v>
      </c>
      <c r="B1409" s="24" t="s">
        <v>3669</v>
      </c>
      <c r="C1409" s="25" t="s">
        <v>3670</v>
      </c>
      <c r="D1409" s="25" t="s">
        <v>3671</v>
      </c>
      <c r="E1409" s="26">
        <v>184</v>
      </c>
    </row>
    <row r="1410" spans="1:5" x14ac:dyDescent="0.25">
      <c r="A1410" s="24" t="s">
        <v>7</v>
      </c>
      <c r="B1410" s="24" t="s">
        <v>3672</v>
      </c>
      <c r="C1410" s="25" t="s">
        <v>3673</v>
      </c>
      <c r="D1410" s="25" t="s">
        <v>3674</v>
      </c>
      <c r="E1410" s="26">
        <v>690</v>
      </c>
    </row>
    <row r="1411" spans="1:5" x14ac:dyDescent="0.25">
      <c r="A1411" s="24" t="s">
        <v>7</v>
      </c>
      <c r="B1411" s="24" t="s">
        <v>3675</v>
      </c>
      <c r="C1411" s="25" t="s">
        <v>3676</v>
      </c>
      <c r="D1411" s="25" t="s">
        <v>3677</v>
      </c>
      <c r="E1411" s="26">
        <v>227</v>
      </c>
    </row>
    <row r="1412" spans="1:5" x14ac:dyDescent="0.25">
      <c r="A1412" s="24" t="s">
        <v>7</v>
      </c>
      <c r="B1412" s="24" t="s">
        <v>3678</v>
      </c>
      <c r="C1412" s="25" t="s">
        <v>3679</v>
      </c>
      <c r="D1412" s="25" t="s">
        <v>3679</v>
      </c>
      <c r="E1412" s="26">
        <v>398</v>
      </c>
    </row>
    <row r="1413" spans="1:5" x14ac:dyDescent="0.25">
      <c r="A1413" s="24" t="s">
        <v>7</v>
      </c>
      <c r="B1413" s="24" t="s">
        <v>3680</v>
      </c>
      <c r="C1413" s="25" t="s">
        <v>3681</v>
      </c>
      <c r="D1413" s="25" t="s">
        <v>3682</v>
      </c>
      <c r="E1413" s="26">
        <v>423</v>
      </c>
    </row>
    <row r="1414" spans="1:5" x14ac:dyDescent="0.25">
      <c r="A1414" s="24" t="s">
        <v>7</v>
      </c>
      <c r="B1414" s="24" t="s">
        <v>3683</v>
      </c>
      <c r="C1414" s="25" t="s">
        <v>3684</v>
      </c>
      <c r="D1414" s="25" t="s">
        <v>3684</v>
      </c>
      <c r="E1414" s="26">
        <v>526</v>
      </c>
    </row>
    <row r="1415" spans="1:5" x14ac:dyDescent="0.25">
      <c r="A1415" s="24" t="s">
        <v>7</v>
      </c>
      <c r="B1415" s="24" t="s">
        <v>3685</v>
      </c>
      <c r="C1415" s="25" t="s">
        <v>3686</v>
      </c>
      <c r="D1415" s="25" t="s">
        <v>3686</v>
      </c>
      <c r="E1415" s="26">
        <v>44</v>
      </c>
    </row>
    <row r="1416" spans="1:5" x14ac:dyDescent="0.25">
      <c r="A1416" s="24" t="s">
        <v>7</v>
      </c>
      <c r="B1416" s="24" t="s">
        <v>3687</v>
      </c>
      <c r="C1416" s="25" t="s">
        <v>3688</v>
      </c>
      <c r="D1416" s="25" t="s">
        <v>3118</v>
      </c>
      <c r="E1416" s="26">
        <v>325</v>
      </c>
    </row>
    <row r="1417" spans="1:5" x14ac:dyDescent="0.25">
      <c r="A1417" s="24" t="s">
        <v>7</v>
      </c>
      <c r="B1417" s="24" t="s">
        <v>3689</v>
      </c>
      <c r="C1417" s="25" t="s">
        <v>3690</v>
      </c>
      <c r="D1417" s="25" t="s">
        <v>3691</v>
      </c>
      <c r="E1417" s="26">
        <v>121</v>
      </c>
    </row>
    <row r="1418" spans="1:5" x14ac:dyDescent="0.25">
      <c r="A1418" s="24" t="s">
        <v>7</v>
      </c>
      <c r="B1418" s="24" t="s">
        <v>3692</v>
      </c>
      <c r="C1418" s="25" t="s">
        <v>3693</v>
      </c>
      <c r="D1418" s="25" t="s">
        <v>3691</v>
      </c>
      <c r="E1418" s="26">
        <v>121</v>
      </c>
    </row>
    <row r="1419" spans="1:5" x14ac:dyDescent="0.25">
      <c r="A1419" s="24" t="s">
        <v>7</v>
      </c>
      <c r="B1419" s="24" t="s">
        <v>3694</v>
      </c>
      <c r="C1419" s="25" t="s">
        <v>3695</v>
      </c>
      <c r="D1419" s="25" t="s">
        <v>3696</v>
      </c>
      <c r="E1419" s="26">
        <v>58</v>
      </c>
    </row>
    <row r="1420" spans="1:5" x14ac:dyDescent="0.25">
      <c r="A1420" s="24" t="s">
        <v>7</v>
      </c>
      <c r="B1420" s="24" t="s">
        <v>3697</v>
      </c>
      <c r="C1420" s="25" t="s">
        <v>3698</v>
      </c>
      <c r="D1420" s="25" t="s">
        <v>3699</v>
      </c>
      <c r="E1420" s="26">
        <v>384</v>
      </c>
    </row>
    <row r="1421" spans="1:5" x14ac:dyDescent="0.25">
      <c r="A1421" s="24" t="s">
        <v>7</v>
      </c>
      <c r="B1421" s="24" t="s">
        <v>3700</v>
      </c>
      <c r="C1421" s="25" t="s">
        <v>3701</v>
      </c>
      <c r="D1421" s="25" t="s">
        <v>3701</v>
      </c>
      <c r="E1421" s="26">
        <v>173.63</v>
      </c>
    </row>
    <row r="1422" spans="1:5" x14ac:dyDescent="0.25">
      <c r="A1422" s="24" t="s">
        <v>7</v>
      </c>
      <c r="B1422" s="24" t="s">
        <v>3702</v>
      </c>
      <c r="C1422" s="25" t="s">
        <v>3703</v>
      </c>
      <c r="D1422" s="25" t="s">
        <v>3704</v>
      </c>
      <c r="E1422" s="26">
        <v>183</v>
      </c>
    </row>
    <row r="1423" spans="1:5" x14ac:dyDescent="0.25">
      <c r="A1423" s="24" t="s">
        <v>7</v>
      </c>
      <c r="B1423" s="24" t="s">
        <v>3705</v>
      </c>
      <c r="C1423" s="25" t="s">
        <v>3706</v>
      </c>
      <c r="D1423" s="25" t="s">
        <v>3707</v>
      </c>
      <c r="E1423" s="26">
        <v>202</v>
      </c>
    </row>
    <row r="1424" spans="1:5" x14ac:dyDescent="0.25">
      <c r="A1424" s="24" t="s">
        <v>7</v>
      </c>
      <c r="B1424" s="24" t="s">
        <v>3708</v>
      </c>
      <c r="C1424" s="25" t="s">
        <v>3709</v>
      </c>
      <c r="D1424" s="25" t="s">
        <v>3710</v>
      </c>
      <c r="E1424" s="26">
        <v>158</v>
      </c>
    </row>
    <row r="1425" spans="1:5" x14ac:dyDescent="0.25">
      <c r="A1425" s="24" t="s">
        <v>7</v>
      </c>
      <c r="B1425" s="24" t="s">
        <v>3711</v>
      </c>
      <c r="C1425" s="25" t="s">
        <v>3712</v>
      </c>
      <c r="D1425" s="25" t="s">
        <v>3710</v>
      </c>
      <c r="E1425" s="26">
        <v>275</v>
      </c>
    </row>
    <row r="1426" spans="1:5" x14ac:dyDescent="0.25">
      <c r="A1426" s="24" t="s">
        <v>7</v>
      </c>
      <c r="B1426" s="24" t="s">
        <v>3713</v>
      </c>
      <c r="C1426" s="25" t="s">
        <v>3714</v>
      </c>
      <c r="D1426" s="25" t="s">
        <v>3714</v>
      </c>
      <c r="E1426" s="26">
        <v>584</v>
      </c>
    </row>
    <row r="1427" spans="1:5" x14ac:dyDescent="0.25">
      <c r="A1427" s="24" t="s">
        <v>7</v>
      </c>
      <c r="B1427" s="24" t="s">
        <v>3715</v>
      </c>
      <c r="C1427" s="25" t="s">
        <v>3716</v>
      </c>
      <c r="D1427" s="25" t="s">
        <v>3717</v>
      </c>
      <c r="E1427" s="26">
        <v>996</v>
      </c>
    </row>
    <row r="1428" spans="1:5" x14ac:dyDescent="0.25">
      <c r="A1428" s="24" t="s">
        <v>7</v>
      </c>
      <c r="B1428" s="24" t="s">
        <v>3718</v>
      </c>
      <c r="C1428" s="25" t="s">
        <v>3719</v>
      </c>
      <c r="D1428" s="25" t="s">
        <v>3719</v>
      </c>
      <c r="E1428" s="26">
        <v>303</v>
      </c>
    </row>
    <row r="1429" spans="1:5" x14ac:dyDescent="0.25">
      <c r="A1429" s="24" t="s">
        <v>7</v>
      </c>
      <c r="B1429" s="24" t="s">
        <v>3720</v>
      </c>
      <c r="C1429" s="25" t="s">
        <v>3721</v>
      </c>
      <c r="D1429" s="25" t="s">
        <v>3722</v>
      </c>
      <c r="E1429" s="26">
        <v>303</v>
      </c>
    </row>
    <row r="1430" spans="1:5" x14ac:dyDescent="0.25">
      <c r="A1430" s="24" t="s">
        <v>7</v>
      </c>
      <c r="B1430" s="24" t="s">
        <v>3723</v>
      </c>
      <c r="C1430" s="25" t="s">
        <v>3724</v>
      </c>
      <c r="D1430" s="25" t="s">
        <v>3724</v>
      </c>
      <c r="E1430" s="26">
        <v>543</v>
      </c>
    </row>
    <row r="1431" spans="1:5" x14ac:dyDescent="0.25">
      <c r="A1431" s="24" t="s">
        <v>7</v>
      </c>
      <c r="B1431" s="24" t="s">
        <v>3725</v>
      </c>
      <c r="C1431" s="25" t="s">
        <v>3726</v>
      </c>
      <c r="D1431" s="25" t="s">
        <v>3727</v>
      </c>
      <c r="E1431" s="26">
        <v>230</v>
      </c>
    </row>
    <row r="1432" spans="1:5" x14ac:dyDescent="0.25">
      <c r="A1432" s="24" t="s">
        <v>7</v>
      </c>
      <c r="B1432" s="24" t="s">
        <v>3728</v>
      </c>
      <c r="C1432" s="25" t="s">
        <v>3729</v>
      </c>
      <c r="D1432" s="25" t="s">
        <v>3730</v>
      </c>
      <c r="E1432" s="26">
        <v>594</v>
      </c>
    </row>
    <row r="1433" spans="1:5" x14ac:dyDescent="0.25">
      <c r="A1433" s="24" t="s">
        <v>7</v>
      </c>
      <c r="B1433" s="24" t="s">
        <v>3731</v>
      </c>
      <c r="C1433" s="25" t="s">
        <v>3732</v>
      </c>
      <c r="D1433" s="25" t="s">
        <v>3733</v>
      </c>
      <c r="E1433" s="26">
        <v>76</v>
      </c>
    </row>
    <row r="1434" spans="1:5" x14ac:dyDescent="0.25">
      <c r="A1434" s="24" t="s">
        <v>7</v>
      </c>
      <c r="B1434" s="24" t="s">
        <v>3734</v>
      </c>
      <c r="C1434" s="25" t="s">
        <v>3735</v>
      </c>
      <c r="D1434" s="25" t="s">
        <v>3736</v>
      </c>
      <c r="E1434" s="26">
        <v>119</v>
      </c>
    </row>
    <row r="1435" spans="1:5" x14ac:dyDescent="0.25">
      <c r="A1435" s="24" t="s">
        <v>7</v>
      </c>
      <c r="B1435" s="24" t="s">
        <v>3737</v>
      </c>
      <c r="C1435" s="25" t="s">
        <v>3738</v>
      </c>
      <c r="D1435" s="25" t="s">
        <v>3739</v>
      </c>
      <c r="E1435" s="26">
        <v>164</v>
      </c>
    </row>
    <row r="1436" spans="1:5" x14ac:dyDescent="0.25">
      <c r="A1436" s="24" t="s">
        <v>7</v>
      </c>
      <c r="B1436" s="24" t="s">
        <v>3740</v>
      </c>
      <c r="C1436" s="25" t="s">
        <v>3741</v>
      </c>
      <c r="D1436" s="25" t="s">
        <v>3742</v>
      </c>
      <c r="E1436" s="26">
        <v>269</v>
      </c>
    </row>
    <row r="1437" spans="1:5" x14ac:dyDescent="0.25">
      <c r="A1437" s="24" t="s">
        <v>7</v>
      </c>
      <c r="B1437" s="24" t="s">
        <v>3743</v>
      </c>
      <c r="C1437" s="25" t="s">
        <v>3744</v>
      </c>
      <c r="D1437" s="25" t="s">
        <v>3742</v>
      </c>
      <c r="E1437" s="26">
        <v>269</v>
      </c>
    </row>
    <row r="1438" spans="1:5" x14ac:dyDescent="0.25">
      <c r="A1438" s="24" t="s">
        <v>7</v>
      </c>
      <c r="B1438" s="24" t="s">
        <v>3745</v>
      </c>
      <c r="C1438" s="25" t="s">
        <v>3746</v>
      </c>
      <c r="D1438" s="25" t="s">
        <v>3742</v>
      </c>
      <c r="E1438" s="26">
        <v>665</v>
      </c>
    </row>
    <row r="1439" spans="1:5" x14ac:dyDescent="0.25">
      <c r="A1439" s="24" t="s">
        <v>7</v>
      </c>
      <c r="B1439" s="24" t="s">
        <v>3747</v>
      </c>
      <c r="C1439" s="25" t="s">
        <v>3748</v>
      </c>
      <c r="D1439" s="25" t="s">
        <v>3749</v>
      </c>
      <c r="E1439" s="26">
        <v>232</v>
      </c>
    </row>
    <row r="1440" spans="1:5" x14ac:dyDescent="0.25">
      <c r="A1440" s="24" t="s">
        <v>7</v>
      </c>
      <c r="B1440" s="24" t="s">
        <v>3750</v>
      </c>
      <c r="C1440" s="25" t="s">
        <v>3751</v>
      </c>
      <c r="D1440" s="25" t="s">
        <v>3752</v>
      </c>
      <c r="E1440" s="26">
        <v>212</v>
      </c>
    </row>
    <row r="1441" spans="1:5" x14ac:dyDescent="0.25">
      <c r="A1441" s="24" t="s">
        <v>7</v>
      </c>
      <c r="B1441" s="24" t="s">
        <v>3753</v>
      </c>
      <c r="C1441" s="25" t="s">
        <v>3754</v>
      </c>
      <c r="D1441" s="25" t="s">
        <v>3755</v>
      </c>
      <c r="E1441" s="26">
        <v>392</v>
      </c>
    </row>
    <row r="1442" spans="1:5" x14ac:dyDescent="0.25">
      <c r="A1442" s="24" t="s">
        <v>7</v>
      </c>
      <c r="B1442" s="24" t="s">
        <v>3756</v>
      </c>
      <c r="C1442" s="25" t="s">
        <v>3757</v>
      </c>
      <c r="D1442" s="25" t="s">
        <v>3742</v>
      </c>
      <c r="E1442" s="26">
        <v>507</v>
      </c>
    </row>
    <row r="1443" spans="1:5" x14ac:dyDescent="0.25">
      <c r="A1443" s="24" t="s">
        <v>7</v>
      </c>
      <c r="B1443" s="24" t="s">
        <v>3758</v>
      </c>
      <c r="C1443" s="25" t="s">
        <v>3759</v>
      </c>
      <c r="D1443" s="25" t="s">
        <v>3752</v>
      </c>
      <c r="E1443" s="26">
        <v>212</v>
      </c>
    </row>
    <row r="1444" spans="1:5" x14ac:dyDescent="0.25">
      <c r="A1444" s="24" t="s">
        <v>7</v>
      </c>
      <c r="B1444" s="24" t="s">
        <v>3760</v>
      </c>
      <c r="C1444" s="25" t="s">
        <v>3761</v>
      </c>
      <c r="D1444" s="25" t="s">
        <v>3762</v>
      </c>
      <c r="E1444" s="26">
        <v>133</v>
      </c>
    </row>
    <row r="1445" spans="1:5" x14ac:dyDescent="0.25">
      <c r="A1445" s="24" t="s">
        <v>7</v>
      </c>
      <c r="B1445" s="24" t="s">
        <v>3763</v>
      </c>
      <c r="C1445" s="25" t="s">
        <v>3764</v>
      </c>
      <c r="D1445" s="25" t="s">
        <v>3762</v>
      </c>
      <c r="E1445" s="26">
        <v>133</v>
      </c>
    </row>
    <row r="1446" spans="1:5" x14ac:dyDescent="0.25">
      <c r="A1446" s="24" t="s">
        <v>7</v>
      </c>
      <c r="B1446" s="24" t="s">
        <v>3765</v>
      </c>
      <c r="C1446" s="25" t="s">
        <v>3766</v>
      </c>
      <c r="D1446" s="25" t="s">
        <v>3752</v>
      </c>
      <c r="E1446" s="26">
        <v>212</v>
      </c>
    </row>
    <row r="1447" spans="1:5" x14ac:dyDescent="0.25">
      <c r="A1447" s="24" t="s">
        <v>7</v>
      </c>
      <c r="B1447" s="24" t="s">
        <v>3767</v>
      </c>
      <c r="C1447" s="25" t="s">
        <v>3768</v>
      </c>
      <c r="D1447" s="25" t="s">
        <v>3769</v>
      </c>
      <c r="E1447" s="26">
        <v>216</v>
      </c>
    </row>
    <row r="1448" spans="1:5" x14ac:dyDescent="0.25">
      <c r="A1448" s="24" t="s">
        <v>7</v>
      </c>
      <c r="B1448" s="24" t="s">
        <v>3770</v>
      </c>
      <c r="C1448" s="25" t="s">
        <v>3771</v>
      </c>
      <c r="D1448" s="25" t="s">
        <v>3742</v>
      </c>
      <c r="E1448" s="26">
        <v>269</v>
      </c>
    </row>
    <row r="1449" spans="1:5" x14ac:dyDescent="0.25">
      <c r="A1449" s="24" t="s">
        <v>7</v>
      </c>
      <c r="B1449" s="24" t="s">
        <v>3772</v>
      </c>
      <c r="C1449" s="25" t="s">
        <v>3773</v>
      </c>
      <c r="D1449" s="25" t="s">
        <v>3762</v>
      </c>
      <c r="E1449" s="26">
        <v>175</v>
      </c>
    </row>
    <row r="1450" spans="1:5" x14ac:dyDescent="0.25">
      <c r="A1450" s="24" t="s">
        <v>7</v>
      </c>
      <c r="B1450" s="24" t="s">
        <v>3774</v>
      </c>
      <c r="C1450" s="25" t="s">
        <v>3775</v>
      </c>
      <c r="D1450" s="25" t="s">
        <v>3752</v>
      </c>
      <c r="E1450" s="26">
        <v>1989</v>
      </c>
    </row>
    <row r="1451" spans="1:5" x14ac:dyDescent="0.25">
      <c r="A1451" s="24" t="s">
        <v>7</v>
      </c>
      <c r="B1451" s="24" t="s">
        <v>3776</v>
      </c>
      <c r="C1451" s="25" t="s">
        <v>3777</v>
      </c>
      <c r="D1451" s="25" t="s">
        <v>3742</v>
      </c>
      <c r="E1451" s="26">
        <v>626</v>
      </c>
    </row>
    <row r="1452" spans="1:5" x14ac:dyDescent="0.25">
      <c r="A1452" s="24" t="s">
        <v>7</v>
      </c>
      <c r="B1452" s="24" t="s">
        <v>3778</v>
      </c>
      <c r="C1452" s="25" t="s">
        <v>3779</v>
      </c>
      <c r="D1452" s="25" t="s">
        <v>3742</v>
      </c>
      <c r="E1452" s="26">
        <v>269</v>
      </c>
    </row>
    <row r="1453" spans="1:5" x14ac:dyDescent="0.25">
      <c r="A1453" s="24" t="s">
        <v>7</v>
      </c>
      <c r="B1453" s="24" t="s">
        <v>3780</v>
      </c>
      <c r="C1453" s="25" t="s">
        <v>3781</v>
      </c>
      <c r="D1453" s="25" t="s">
        <v>3742</v>
      </c>
      <c r="E1453" s="26">
        <v>269</v>
      </c>
    </row>
    <row r="1454" spans="1:5" x14ac:dyDescent="0.25">
      <c r="A1454" s="24" t="s">
        <v>7</v>
      </c>
      <c r="B1454" s="24" t="s">
        <v>3782</v>
      </c>
      <c r="C1454" s="25" t="s">
        <v>3783</v>
      </c>
      <c r="D1454" s="25" t="s">
        <v>3742</v>
      </c>
      <c r="E1454" s="26">
        <v>269</v>
      </c>
    </row>
    <row r="1455" spans="1:5" x14ac:dyDescent="0.25">
      <c r="A1455" s="24" t="s">
        <v>7</v>
      </c>
      <c r="B1455" s="24" t="s">
        <v>3784</v>
      </c>
      <c r="C1455" s="25" t="s">
        <v>3785</v>
      </c>
      <c r="D1455" s="25" t="s">
        <v>3742</v>
      </c>
      <c r="E1455" s="26">
        <v>269</v>
      </c>
    </row>
    <row r="1456" spans="1:5" x14ac:dyDescent="0.25">
      <c r="A1456" s="24" t="s">
        <v>7</v>
      </c>
      <c r="B1456" s="24" t="s">
        <v>3786</v>
      </c>
      <c r="C1456" s="25" t="s">
        <v>3787</v>
      </c>
      <c r="D1456" s="25" t="s">
        <v>3742</v>
      </c>
      <c r="E1456" s="26">
        <v>269</v>
      </c>
    </row>
    <row r="1457" spans="1:5" x14ac:dyDescent="0.25">
      <c r="A1457" s="24" t="s">
        <v>7</v>
      </c>
      <c r="B1457" s="24" t="s">
        <v>3788</v>
      </c>
      <c r="C1457" s="25" t="s">
        <v>3789</v>
      </c>
      <c r="D1457" s="25" t="s">
        <v>3742</v>
      </c>
      <c r="E1457" s="26">
        <v>732</v>
      </c>
    </row>
    <row r="1458" spans="1:5" x14ac:dyDescent="0.25">
      <c r="A1458" s="24" t="s">
        <v>7</v>
      </c>
      <c r="B1458" s="24" t="s">
        <v>3790</v>
      </c>
      <c r="C1458" s="25" t="s">
        <v>3791</v>
      </c>
      <c r="D1458" s="25" t="s">
        <v>3742</v>
      </c>
      <c r="E1458" s="26">
        <v>269</v>
      </c>
    </row>
    <row r="1459" spans="1:5" x14ac:dyDescent="0.25">
      <c r="A1459" s="24" t="s">
        <v>7</v>
      </c>
      <c r="B1459" s="24" t="s">
        <v>3792</v>
      </c>
      <c r="C1459" s="25" t="s">
        <v>3793</v>
      </c>
      <c r="D1459" s="25" t="s">
        <v>3742</v>
      </c>
      <c r="E1459" s="26">
        <v>665</v>
      </c>
    </row>
    <row r="1460" spans="1:5" x14ac:dyDescent="0.25">
      <c r="A1460" s="24" t="s">
        <v>7</v>
      </c>
      <c r="B1460" s="24" t="s">
        <v>3794</v>
      </c>
      <c r="C1460" s="25" t="s">
        <v>3795</v>
      </c>
      <c r="D1460" s="25" t="s">
        <v>3796</v>
      </c>
      <c r="E1460" s="26">
        <v>269</v>
      </c>
    </row>
    <row r="1461" spans="1:5" x14ac:dyDescent="0.25">
      <c r="A1461" s="24" t="s">
        <v>7</v>
      </c>
      <c r="B1461" s="24" t="s">
        <v>3797</v>
      </c>
      <c r="C1461" s="25" t="s">
        <v>3798</v>
      </c>
      <c r="D1461" s="25" t="s">
        <v>3799</v>
      </c>
      <c r="E1461" s="26">
        <v>202</v>
      </c>
    </row>
    <row r="1462" spans="1:5" x14ac:dyDescent="0.25">
      <c r="A1462" s="24" t="s">
        <v>7</v>
      </c>
      <c r="B1462" s="24" t="s">
        <v>3800</v>
      </c>
      <c r="C1462" s="25" t="s">
        <v>3801</v>
      </c>
      <c r="D1462" s="25" t="s">
        <v>3742</v>
      </c>
      <c r="E1462" s="26">
        <v>269</v>
      </c>
    </row>
    <row r="1463" spans="1:5" x14ac:dyDescent="0.25">
      <c r="A1463" s="24" t="s">
        <v>7</v>
      </c>
      <c r="B1463" s="24" t="s">
        <v>3802</v>
      </c>
      <c r="C1463" s="25" t="s">
        <v>3803</v>
      </c>
      <c r="D1463" s="25" t="s">
        <v>3742</v>
      </c>
      <c r="E1463" s="26">
        <v>732</v>
      </c>
    </row>
    <row r="1464" spans="1:5" x14ac:dyDescent="0.25">
      <c r="A1464" s="24" t="s">
        <v>7</v>
      </c>
      <c r="B1464" s="24" t="s">
        <v>3804</v>
      </c>
      <c r="C1464" s="25" t="s">
        <v>3805</v>
      </c>
      <c r="D1464" s="25" t="s">
        <v>3762</v>
      </c>
      <c r="E1464" s="26">
        <v>175</v>
      </c>
    </row>
    <row r="1465" spans="1:5" x14ac:dyDescent="0.25">
      <c r="A1465" s="24" t="s">
        <v>7</v>
      </c>
      <c r="B1465" s="24" t="s">
        <v>3806</v>
      </c>
      <c r="C1465" s="25" t="s">
        <v>3807</v>
      </c>
      <c r="D1465" s="25" t="s">
        <v>3752</v>
      </c>
      <c r="E1465" s="26">
        <v>212</v>
      </c>
    </row>
    <row r="1466" spans="1:5" x14ac:dyDescent="0.25">
      <c r="A1466" s="24" t="s">
        <v>7</v>
      </c>
      <c r="B1466" s="24" t="s">
        <v>3808</v>
      </c>
      <c r="C1466" s="25" t="s">
        <v>3809</v>
      </c>
      <c r="D1466" s="25" t="s">
        <v>3742</v>
      </c>
      <c r="E1466" s="26">
        <v>732</v>
      </c>
    </row>
    <row r="1467" spans="1:5" x14ac:dyDescent="0.25">
      <c r="A1467" s="24" t="s">
        <v>7</v>
      </c>
      <c r="B1467" s="24" t="s">
        <v>3810</v>
      </c>
      <c r="C1467" s="25" t="s">
        <v>3811</v>
      </c>
      <c r="D1467" s="25" t="s">
        <v>3812</v>
      </c>
      <c r="E1467" s="26">
        <v>187</v>
      </c>
    </row>
    <row r="1468" spans="1:5" x14ac:dyDescent="0.25">
      <c r="A1468" s="24" t="s">
        <v>7</v>
      </c>
      <c r="B1468" s="24" t="s">
        <v>3813</v>
      </c>
      <c r="C1468" s="25" t="s">
        <v>3814</v>
      </c>
      <c r="D1468" s="25" t="s">
        <v>3815</v>
      </c>
      <c r="E1468" s="26">
        <v>189</v>
      </c>
    </row>
    <row r="1469" spans="1:5" x14ac:dyDescent="0.25">
      <c r="A1469" s="24" t="s">
        <v>7</v>
      </c>
      <c r="B1469" s="24" t="s">
        <v>3816</v>
      </c>
      <c r="C1469" s="25" t="s">
        <v>3817</v>
      </c>
      <c r="D1469" s="25" t="s">
        <v>3799</v>
      </c>
      <c r="E1469" s="26">
        <v>202</v>
      </c>
    </row>
    <row r="1470" spans="1:5" x14ac:dyDescent="0.25">
      <c r="A1470" s="24" t="s">
        <v>7</v>
      </c>
      <c r="B1470" s="24" t="s">
        <v>3818</v>
      </c>
      <c r="C1470" s="25" t="s">
        <v>3819</v>
      </c>
      <c r="D1470" s="25" t="s">
        <v>3752</v>
      </c>
      <c r="E1470" s="26">
        <v>212</v>
      </c>
    </row>
    <row r="1471" spans="1:5" x14ac:dyDescent="0.25">
      <c r="A1471" s="24" t="s">
        <v>7</v>
      </c>
      <c r="B1471" s="24" t="s">
        <v>3820</v>
      </c>
      <c r="C1471" s="25" t="s">
        <v>3821</v>
      </c>
      <c r="D1471" s="25" t="s">
        <v>3812</v>
      </c>
      <c r="E1471" s="26">
        <v>187</v>
      </c>
    </row>
    <row r="1472" spans="1:5" x14ac:dyDescent="0.25">
      <c r="A1472" s="24" t="s">
        <v>7</v>
      </c>
      <c r="B1472" s="24" t="s">
        <v>3822</v>
      </c>
      <c r="C1472" s="25" t="s">
        <v>3823</v>
      </c>
      <c r="D1472" s="25" t="s">
        <v>3824</v>
      </c>
      <c r="E1472" s="26">
        <v>222</v>
      </c>
    </row>
    <row r="1473" spans="1:5" x14ac:dyDescent="0.25">
      <c r="A1473" s="24" t="s">
        <v>7</v>
      </c>
      <c r="B1473" s="24" t="s">
        <v>3825</v>
      </c>
      <c r="C1473" s="25" t="s">
        <v>3826</v>
      </c>
      <c r="D1473" s="25" t="s">
        <v>3827</v>
      </c>
      <c r="E1473" s="26">
        <v>156</v>
      </c>
    </row>
    <row r="1474" spans="1:5" x14ac:dyDescent="0.25">
      <c r="A1474" s="24" t="s">
        <v>7</v>
      </c>
      <c r="B1474" s="24" t="s">
        <v>3828</v>
      </c>
      <c r="C1474" s="25" t="s">
        <v>3829</v>
      </c>
      <c r="D1474" s="25" t="s">
        <v>3830</v>
      </c>
      <c r="E1474" s="26">
        <v>218</v>
      </c>
    </row>
    <row r="1475" spans="1:5" x14ac:dyDescent="0.25">
      <c r="A1475" s="24" t="s">
        <v>7</v>
      </c>
      <c r="B1475" s="24" t="s">
        <v>3831</v>
      </c>
      <c r="C1475" s="25" t="s">
        <v>3832</v>
      </c>
      <c r="D1475" s="25" t="s">
        <v>3833</v>
      </c>
      <c r="E1475" s="26">
        <v>298</v>
      </c>
    </row>
    <row r="1476" spans="1:5" x14ac:dyDescent="0.25">
      <c r="A1476" s="24" t="s">
        <v>7</v>
      </c>
      <c r="B1476" s="24" t="s">
        <v>3834</v>
      </c>
      <c r="C1476" s="25" t="s">
        <v>3835</v>
      </c>
      <c r="D1476" s="25" t="s">
        <v>3742</v>
      </c>
      <c r="E1476" s="26">
        <v>269</v>
      </c>
    </row>
    <row r="1477" spans="1:5" x14ac:dyDescent="0.25">
      <c r="A1477" s="24" t="s">
        <v>7</v>
      </c>
      <c r="B1477" s="24" t="s">
        <v>3836</v>
      </c>
      <c r="C1477" s="25" t="s">
        <v>3837</v>
      </c>
      <c r="D1477" s="25" t="s">
        <v>3838</v>
      </c>
      <c r="E1477" s="26">
        <v>298</v>
      </c>
    </row>
    <row r="1478" spans="1:5" x14ac:dyDescent="0.25">
      <c r="A1478" s="24" t="s">
        <v>7</v>
      </c>
      <c r="B1478" s="24" t="s">
        <v>3839</v>
      </c>
      <c r="C1478" s="25" t="s">
        <v>3840</v>
      </c>
      <c r="D1478" s="25" t="s">
        <v>3742</v>
      </c>
      <c r="E1478" s="26">
        <v>665</v>
      </c>
    </row>
    <row r="1479" spans="1:5" x14ac:dyDescent="0.25">
      <c r="A1479" s="24" t="s">
        <v>7</v>
      </c>
      <c r="B1479" s="24" t="s">
        <v>3841</v>
      </c>
      <c r="C1479" s="25" t="s">
        <v>3842</v>
      </c>
      <c r="D1479" s="25" t="s">
        <v>3843</v>
      </c>
      <c r="E1479" s="26">
        <v>17.04</v>
      </c>
    </row>
    <row r="1480" spans="1:5" x14ac:dyDescent="0.25">
      <c r="A1480" s="24" t="s">
        <v>7</v>
      </c>
      <c r="B1480" s="24" t="s">
        <v>3844</v>
      </c>
      <c r="C1480" s="25" t="s">
        <v>3845</v>
      </c>
      <c r="D1480" s="25" t="s">
        <v>3845</v>
      </c>
      <c r="E1480" s="26">
        <v>477</v>
      </c>
    </row>
    <row r="1481" spans="1:5" x14ac:dyDescent="0.25">
      <c r="A1481" s="24" t="s">
        <v>7</v>
      </c>
      <c r="B1481" s="24" t="s">
        <v>3846</v>
      </c>
      <c r="C1481" s="25" t="s">
        <v>3847</v>
      </c>
      <c r="D1481" s="25" t="s">
        <v>3848</v>
      </c>
      <c r="E1481" s="26">
        <v>120</v>
      </c>
    </row>
    <row r="1482" spans="1:5" x14ac:dyDescent="0.25">
      <c r="A1482" s="24" t="s">
        <v>7</v>
      </c>
      <c r="B1482" s="24" t="s">
        <v>3849</v>
      </c>
      <c r="C1482" s="25" t="s">
        <v>3850</v>
      </c>
      <c r="D1482" s="25" t="s">
        <v>3851</v>
      </c>
      <c r="E1482" s="26">
        <v>367</v>
      </c>
    </row>
    <row r="1483" spans="1:5" x14ac:dyDescent="0.25">
      <c r="A1483" s="24" t="s">
        <v>7</v>
      </c>
      <c r="B1483" s="24" t="s">
        <v>3852</v>
      </c>
      <c r="C1483" s="25" t="s">
        <v>3853</v>
      </c>
      <c r="D1483" s="25" t="s">
        <v>3752</v>
      </c>
      <c r="E1483" s="26">
        <v>212</v>
      </c>
    </row>
    <row r="1484" spans="1:5" x14ac:dyDescent="0.25">
      <c r="A1484" s="24" t="s">
        <v>7</v>
      </c>
      <c r="B1484" s="24" t="s">
        <v>3854</v>
      </c>
      <c r="C1484" s="25" t="s">
        <v>3855</v>
      </c>
      <c r="D1484" s="25" t="s">
        <v>3856</v>
      </c>
      <c r="E1484" s="26">
        <v>924</v>
      </c>
    </row>
    <row r="1485" spans="1:5" x14ac:dyDescent="0.25">
      <c r="A1485" s="24" t="s">
        <v>7</v>
      </c>
      <c r="B1485" s="24" t="s">
        <v>3857</v>
      </c>
      <c r="C1485" s="25" t="s">
        <v>3858</v>
      </c>
      <c r="D1485" s="25" t="s">
        <v>3859</v>
      </c>
      <c r="E1485" s="26">
        <v>592</v>
      </c>
    </row>
    <row r="1486" spans="1:5" x14ac:dyDescent="0.25">
      <c r="A1486" s="24" t="s">
        <v>7</v>
      </c>
      <c r="B1486" s="24" t="s">
        <v>3860</v>
      </c>
      <c r="C1486" s="25" t="s">
        <v>3861</v>
      </c>
      <c r="D1486" s="25" t="s">
        <v>3862</v>
      </c>
      <c r="E1486" s="26">
        <v>139</v>
      </c>
    </row>
    <row r="1487" spans="1:5" x14ac:dyDescent="0.25">
      <c r="A1487" s="24" t="s">
        <v>7</v>
      </c>
      <c r="B1487" s="24" t="s">
        <v>3863</v>
      </c>
      <c r="C1487" s="25" t="s">
        <v>3864</v>
      </c>
      <c r="D1487" s="25" t="s">
        <v>3862</v>
      </c>
      <c r="E1487" s="26">
        <v>90</v>
      </c>
    </row>
    <row r="1488" spans="1:5" x14ac:dyDescent="0.25">
      <c r="A1488" s="24" t="s">
        <v>7</v>
      </c>
      <c r="B1488" s="24" t="s">
        <v>3865</v>
      </c>
      <c r="C1488" s="25" t="s">
        <v>3866</v>
      </c>
      <c r="D1488" s="25" t="s">
        <v>3867</v>
      </c>
      <c r="E1488" s="26">
        <v>143</v>
      </c>
    </row>
    <row r="1489" spans="1:5" x14ac:dyDescent="0.25">
      <c r="A1489" s="24" t="s">
        <v>7</v>
      </c>
      <c r="B1489" s="24" t="s">
        <v>3868</v>
      </c>
      <c r="C1489" s="25" t="s">
        <v>3869</v>
      </c>
      <c r="D1489" s="25" t="s">
        <v>3870</v>
      </c>
      <c r="E1489" s="26">
        <v>439</v>
      </c>
    </row>
    <row r="1490" spans="1:5" x14ac:dyDescent="0.25">
      <c r="A1490" s="24" t="s">
        <v>7</v>
      </c>
      <c r="B1490" s="24" t="s">
        <v>3871</v>
      </c>
      <c r="C1490" s="25" t="s">
        <v>3872</v>
      </c>
      <c r="D1490" s="25" t="s">
        <v>3873</v>
      </c>
      <c r="E1490" s="26">
        <v>58</v>
      </c>
    </row>
    <row r="1491" spans="1:5" x14ac:dyDescent="0.25">
      <c r="A1491" s="24" t="s">
        <v>7</v>
      </c>
      <c r="B1491" s="24" t="s">
        <v>3874</v>
      </c>
      <c r="C1491" s="25" t="s">
        <v>3875</v>
      </c>
      <c r="D1491" s="25" t="s">
        <v>3876</v>
      </c>
      <c r="E1491" s="26">
        <v>122</v>
      </c>
    </row>
    <row r="1492" spans="1:5" x14ac:dyDescent="0.25">
      <c r="A1492" s="24" t="s">
        <v>7</v>
      </c>
      <c r="B1492" s="24" t="s">
        <v>3877</v>
      </c>
      <c r="C1492" s="25" t="s">
        <v>3878</v>
      </c>
      <c r="D1492" s="25" t="s">
        <v>3879</v>
      </c>
      <c r="E1492" s="26">
        <v>202</v>
      </c>
    </row>
    <row r="1493" spans="1:5" x14ac:dyDescent="0.25">
      <c r="A1493" s="24" t="s">
        <v>7</v>
      </c>
      <c r="B1493" s="24" t="s">
        <v>3880</v>
      </c>
      <c r="C1493" s="25" t="s">
        <v>3881</v>
      </c>
      <c r="D1493" s="25" t="s">
        <v>3882</v>
      </c>
      <c r="E1493" s="26">
        <v>137</v>
      </c>
    </row>
    <row r="1494" spans="1:5" x14ac:dyDescent="0.25">
      <c r="A1494" s="24" t="s">
        <v>7</v>
      </c>
      <c r="B1494" s="24" t="s">
        <v>3883</v>
      </c>
      <c r="C1494" s="25" t="s">
        <v>3884</v>
      </c>
      <c r="D1494" s="25" t="s">
        <v>3882</v>
      </c>
      <c r="E1494" s="26">
        <v>137</v>
      </c>
    </row>
    <row r="1495" spans="1:5" x14ac:dyDescent="0.25">
      <c r="A1495" s="24" t="s">
        <v>7</v>
      </c>
      <c r="B1495" s="24" t="s">
        <v>3885</v>
      </c>
      <c r="C1495" s="25" t="s">
        <v>3886</v>
      </c>
      <c r="D1495" s="25" t="s">
        <v>3882</v>
      </c>
      <c r="E1495" s="26">
        <v>137</v>
      </c>
    </row>
    <row r="1496" spans="1:5" x14ac:dyDescent="0.25">
      <c r="A1496" s="24" t="s">
        <v>7</v>
      </c>
      <c r="B1496" s="24" t="s">
        <v>3887</v>
      </c>
      <c r="C1496" s="25" t="s">
        <v>3888</v>
      </c>
      <c r="D1496" s="25" t="s">
        <v>3889</v>
      </c>
      <c r="E1496" s="26">
        <v>247</v>
      </c>
    </row>
    <row r="1497" spans="1:5" x14ac:dyDescent="0.25">
      <c r="A1497" s="24" t="s">
        <v>7</v>
      </c>
      <c r="B1497" s="24" t="s">
        <v>3890</v>
      </c>
      <c r="C1497" s="25" t="s">
        <v>3891</v>
      </c>
      <c r="D1497" s="25" t="s">
        <v>3891</v>
      </c>
      <c r="E1497" s="26">
        <v>198</v>
      </c>
    </row>
    <row r="1498" spans="1:5" x14ac:dyDescent="0.25">
      <c r="A1498" s="24" t="s">
        <v>7</v>
      </c>
      <c r="B1498" s="24" t="s">
        <v>3892</v>
      </c>
      <c r="C1498" s="25" t="s">
        <v>3893</v>
      </c>
      <c r="D1498" s="25" t="s">
        <v>3894</v>
      </c>
      <c r="E1498" s="26">
        <v>33</v>
      </c>
    </row>
    <row r="1499" spans="1:5" x14ac:dyDescent="0.25">
      <c r="A1499" s="24" t="s">
        <v>7</v>
      </c>
      <c r="B1499" s="24" t="s">
        <v>3895</v>
      </c>
      <c r="C1499" s="25" t="s">
        <v>3896</v>
      </c>
      <c r="D1499" s="25" t="s">
        <v>3897</v>
      </c>
      <c r="E1499" s="26">
        <v>507</v>
      </c>
    </row>
    <row r="1500" spans="1:5" x14ac:dyDescent="0.25">
      <c r="A1500" s="24" t="s">
        <v>7</v>
      </c>
      <c r="B1500" s="24" t="s">
        <v>3898</v>
      </c>
      <c r="C1500" s="25" t="s">
        <v>3899</v>
      </c>
      <c r="D1500" s="25" t="s">
        <v>3900</v>
      </c>
      <c r="E1500" s="26">
        <v>507</v>
      </c>
    </row>
    <row r="1501" spans="1:5" x14ac:dyDescent="0.25">
      <c r="A1501" s="24" t="s">
        <v>7</v>
      </c>
      <c r="B1501" s="24" t="s">
        <v>3901</v>
      </c>
      <c r="C1501" s="25" t="s">
        <v>3902</v>
      </c>
      <c r="D1501" s="25" t="s">
        <v>3903</v>
      </c>
      <c r="E1501" s="26">
        <v>243</v>
      </c>
    </row>
    <row r="1502" spans="1:5" x14ac:dyDescent="0.25">
      <c r="A1502" s="24" t="s">
        <v>7</v>
      </c>
      <c r="B1502" s="24" t="s">
        <v>3904</v>
      </c>
      <c r="C1502" s="25" t="s">
        <v>3905</v>
      </c>
      <c r="D1502" s="25" t="s">
        <v>3906</v>
      </c>
      <c r="E1502" s="26">
        <v>276.25</v>
      </c>
    </row>
    <row r="1503" spans="1:5" x14ac:dyDescent="0.25">
      <c r="A1503" s="24" t="s">
        <v>7</v>
      </c>
      <c r="B1503" s="24" t="s">
        <v>3907</v>
      </c>
      <c r="C1503" s="25" t="s">
        <v>3908</v>
      </c>
      <c r="D1503" s="25" t="s">
        <v>3909</v>
      </c>
      <c r="E1503" s="26">
        <v>592.66999999999996</v>
      </c>
    </row>
    <row r="1504" spans="1:5" x14ac:dyDescent="0.25">
      <c r="A1504" s="24" t="s">
        <v>7</v>
      </c>
      <c r="B1504" s="24" t="s">
        <v>3910</v>
      </c>
      <c r="C1504" s="25" t="s">
        <v>3911</v>
      </c>
      <c r="D1504" s="25" t="s">
        <v>3912</v>
      </c>
      <c r="E1504" s="26">
        <v>2322</v>
      </c>
    </row>
    <row r="1505" spans="1:5" x14ac:dyDescent="0.25">
      <c r="A1505" s="24" t="s">
        <v>7</v>
      </c>
      <c r="B1505" s="24" t="s">
        <v>3913</v>
      </c>
      <c r="C1505" s="25" t="s">
        <v>3914</v>
      </c>
      <c r="D1505" s="25" t="s">
        <v>3915</v>
      </c>
      <c r="E1505" s="26">
        <v>592.66999999999996</v>
      </c>
    </row>
    <row r="1506" spans="1:5" x14ac:dyDescent="0.25">
      <c r="A1506" s="24" t="s">
        <v>7</v>
      </c>
      <c r="B1506" s="24" t="s">
        <v>3916</v>
      </c>
      <c r="C1506" s="25" t="s">
        <v>3917</v>
      </c>
      <c r="D1506" s="25" t="s">
        <v>3918</v>
      </c>
      <c r="E1506" s="26">
        <v>1670</v>
      </c>
    </row>
    <row r="1507" spans="1:5" x14ac:dyDescent="0.25">
      <c r="A1507" s="24" t="s">
        <v>7</v>
      </c>
      <c r="B1507" s="24" t="s">
        <v>3919</v>
      </c>
      <c r="C1507" s="25" t="s">
        <v>3920</v>
      </c>
      <c r="D1507" s="25" t="s">
        <v>3921</v>
      </c>
      <c r="E1507" s="26">
        <v>386</v>
      </c>
    </row>
    <row r="1508" spans="1:5" x14ac:dyDescent="0.25">
      <c r="A1508" s="24" t="s">
        <v>7</v>
      </c>
      <c r="B1508" s="24" t="s">
        <v>3922</v>
      </c>
      <c r="C1508" s="25" t="s">
        <v>3923</v>
      </c>
      <c r="D1508" s="25" t="s">
        <v>3924</v>
      </c>
      <c r="E1508" s="26">
        <v>386</v>
      </c>
    </row>
    <row r="1509" spans="1:5" x14ac:dyDescent="0.25">
      <c r="A1509" s="24" t="s">
        <v>7</v>
      </c>
      <c r="B1509" s="24" t="s">
        <v>3925</v>
      </c>
      <c r="C1509" s="25" t="s">
        <v>3926</v>
      </c>
      <c r="D1509" s="25" t="s">
        <v>3927</v>
      </c>
      <c r="E1509" s="26">
        <v>643</v>
      </c>
    </row>
    <row r="1510" spans="1:5" x14ac:dyDescent="0.25">
      <c r="A1510" s="24" t="s">
        <v>7</v>
      </c>
      <c r="B1510" s="24" t="s">
        <v>3928</v>
      </c>
      <c r="C1510" s="25" t="s">
        <v>3929</v>
      </c>
      <c r="D1510" s="25" t="s">
        <v>3930</v>
      </c>
      <c r="E1510" s="26">
        <v>303</v>
      </c>
    </row>
    <row r="1511" spans="1:5" x14ac:dyDescent="0.25">
      <c r="A1511" s="24" t="s">
        <v>7</v>
      </c>
      <c r="B1511" s="24" t="s">
        <v>3931</v>
      </c>
      <c r="C1511" s="25" t="s">
        <v>3932</v>
      </c>
      <c r="D1511" s="25" t="s">
        <v>3933</v>
      </c>
      <c r="E1511" s="26">
        <v>262</v>
      </c>
    </row>
    <row r="1512" spans="1:5" x14ac:dyDescent="0.25">
      <c r="A1512" s="24" t="s">
        <v>7</v>
      </c>
      <c r="B1512" s="24" t="s">
        <v>3934</v>
      </c>
      <c r="C1512" s="25" t="s">
        <v>3935</v>
      </c>
      <c r="D1512" s="25" t="s">
        <v>3933</v>
      </c>
      <c r="E1512" s="26">
        <v>262</v>
      </c>
    </row>
    <row r="1513" spans="1:5" x14ac:dyDescent="0.25">
      <c r="A1513" s="24" t="s">
        <v>7</v>
      </c>
      <c r="B1513" s="24" t="s">
        <v>3936</v>
      </c>
      <c r="C1513" s="25" t="s">
        <v>3937</v>
      </c>
      <c r="D1513" s="25" t="s">
        <v>3938</v>
      </c>
      <c r="E1513" s="26">
        <v>215</v>
      </c>
    </row>
    <row r="1514" spans="1:5" x14ac:dyDescent="0.25">
      <c r="A1514" s="24" t="s">
        <v>7</v>
      </c>
      <c r="B1514" s="24" t="s">
        <v>3939</v>
      </c>
      <c r="C1514" s="25" t="s">
        <v>3940</v>
      </c>
      <c r="D1514" s="25" t="s">
        <v>3940</v>
      </c>
      <c r="E1514" s="26">
        <v>74</v>
      </c>
    </row>
    <row r="1515" spans="1:5" x14ac:dyDescent="0.25">
      <c r="A1515" s="24" t="s">
        <v>7</v>
      </c>
      <c r="B1515" s="24" t="s">
        <v>3941</v>
      </c>
      <c r="C1515" s="25" t="s">
        <v>3942</v>
      </c>
      <c r="D1515" s="25" t="s">
        <v>3943</v>
      </c>
      <c r="E1515" s="26">
        <v>5</v>
      </c>
    </row>
    <row r="1516" spans="1:5" x14ac:dyDescent="0.25">
      <c r="A1516" s="24" t="s">
        <v>7</v>
      </c>
      <c r="B1516" s="24" t="s">
        <v>3944</v>
      </c>
      <c r="C1516" s="25" t="s">
        <v>3945</v>
      </c>
      <c r="D1516" s="25" t="s">
        <v>3946</v>
      </c>
      <c r="E1516" s="26">
        <v>147</v>
      </c>
    </row>
    <row r="1517" spans="1:5" x14ac:dyDescent="0.25">
      <c r="A1517" s="24" t="s">
        <v>7</v>
      </c>
      <c r="B1517" s="24" t="s">
        <v>3947</v>
      </c>
      <c r="C1517" s="25" t="s">
        <v>3948</v>
      </c>
      <c r="D1517" s="25" t="s">
        <v>3949</v>
      </c>
      <c r="E1517" s="26">
        <v>122</v>
      </c>
    </row>
    <row r="1518" spans="1:5" x14ac:dyDescent="0.25">
      <c r="A1518" s="24" t="s">
        <v>7</v>
      </c>
      <c r="B1518" s="24" t="s">
        <v>3950</v>
      </c>
      <c r="C1518" s="25" t="s">
        <v>3951</v>
      </c>
      <c r="D1518" s="25" t="s">
        <v>3952</v>
      </c>
      <c r="E1518" s="26">
        <v>139</v>
      </c>
    </row>
    <row r="1519" spans="1:5" x14ac:dyDescent="0.25">
      <c r="A1519" s="24" t="s">
        <v>7</v>
      </c>
      <c r="B1519" s="24" t="s">
        <v>3953</v>
      </c>
      <c r="C1519" s="25" t="s">
        <v>3954</v>
      </c>
      <c r="D1519" s="25" t="s">
        <v>3954</v>
      </c>
      <c r="E1519" s="26">
        <v>554</v>
      </c>
    </row>
    <row r="1520" spans="1:5" x14ac:dyDescent="0.25">
      <c r="A1520" s="24" t="s">
        <v>7</v>
      </c>
      <c r="B1520" s="24" t="s">
        <v>3955</v>
      </c>
      <c r="C1520" s="25" t="s">
        <v>3956</v>
      </c>
      <c r="D1520" s="25" t="s">
        <v>3957</v>
      </c>
      <c r="E1520" s="26">
        <v>240</v>
      </c>
    </row>
    <row r="1521" spans="1:7" x14ac:dyDescent="0.25">
      <c r="A1521" s="24" t="s">
        <v>7</v>
      </c>
      <c r="B1521" s="24" t="s">
        <v>3958</v>
      </c>
      <c r="C1521" s="25" t="s">
        <v>3959</v>
      </c>
      <c r="D1521" s="25" t="s">
        <v>3960</v>
      </c>
      <c r="E1521" s="26">
        <v>415</v>
      </c>
    </row>
    <row r="1522" spans="1:7" x14ac:dyDescent="0.25">
      <c r="A1522" s="24" t="s">
        <v>7</v>
      </c>
      <c r="B1522" s="24" t="s">
        <v>3961</v>
      </c>
      <c r="C1522" s="25" t="s">
        <v>3962</v>
      </c>
      <c r="D1522" s="25" t="s">
        <v>3963</v>
      </c>
      <c r="E1522" s="26">
        <v>174</v>
      </c>
    </row>
    <row r="1523" spans="1:7" x14ac:dyDescent="0.25">
      <c r="A1523" s="24" t="s">
        <v>7</v>
      </c>
      <c r="B1523" s="24" t="s">
        <v>3964</v>
      </c>
      <c r="C1523" s="25" t="s">
        <v>3965</v>
      </c>
      <c r="D1523" s="25" t="s">
        <v>3966</v>
      </c>
      <c r="E1523" s="26">
        <v>175</v>
      </c>
    </row>
    <row r="1524" spans="1:7" x14ac:dyDescent="0.25">
      <c r="A1524" s="24" t="s">
        <v>7</v>
      </c>
      <c r="B1524" s="24" t="s">
        <v>3967</v>
      </c>
      <c r="C1524" s="25" t="s">
        <v>3968</v>
      </c>
      <c r="D1524" s="25" t="s">
        <v>3157</v>
      </c>
      <c r="E1524" s="26">
        <v>199</v>
      </c>
    </row>
    <row r="1525" spans="1:7" x14ac:dyDescent="0.25">
      <c r="A1525" s="24" t="s">
        <v>7</v>
      </c>
      <c r="B1525" s="24" t="s">
        <v>3969</v>
      </c>
      <c r="C1525" s="25" t="s">
        <v>3970</v>
      </c>
      <c r="D1525" s="25" t="s">
        <v>3423</v>
      </c>
      <c r="E1525" s="26">
        <v>206</v>
      </c>
    </row>
    <row r="1526" spans="1:7" x14ac:dyDescent="0.25">
      <c r="A1526" s="24" t="s">
        <v>7</v>
      </c>
      <c r="B1526" s="24" t="s">
        <v>3971</v>
      </c>
      <c r="C1526" s="25" t="s">
        <v>3972</v>
      </c>
      <c r="D1526" s="25" t="s">
        <v>3973</v>
      </c>
      <c r="E1526" s="26">
        <v>184</v>
      </c>
    </row>
    <row r="1527" spans="1:7" x14ac:dyDescent="0.25">
      <c r="A1527" s="24" t="s">
        <v>7</v>
      </c>
      <c r="B1527" s="24" t="s">
        <v>3974</v>
      </c>
      <c r="C1527" s="25" t="s">
        <v>3975</v>
      </c>
      <c r="D1527" s="25" t="s">
        <v>3976</v>
      </c>
      <c r="E1527" s="26">
        <v>189</v>
      </c>
    </row>
    <row r="1528" spans="1:7" x14ac:dyDescent="0.25">
      <c r="A1528" s="24" t="s">
        <v>7</v>
      </c>
      <c r="B1528" s="24" t="s">
        <v>3977</v>
      </c>
      <c r="C1528" s="25" t="s">
        <v>3273</v>
      </c>
      <c r="D1528" s="25" t="s">
        <v>3274</v>
      </c>
      <c r="E1528" s="26">
        <v>192</v>
      </c>
      <c r="G1528" s="27" t="s">
        <v>22609</v>
      </c>
    </row>
    <row r="1529" spans="1:7" x14ac:dyDescent="0.25">
      <c r="A1529" s="24" t="s">
        <v>7</v>
      </c>
      <c r="B1529" s="24" t="s">
        <v>3978</v>
      </c>
      <c r="C1529" s="25" t="s">
        <v>3979</v>
      </c>
      <c r="D1529" s="25" t="s">
        <v>3699</v>
      </c>
      <c r="E1529" s="26">
        <v>315</v>
      </c>
      <c r="G1529" s="27" t="s">
        <v>22609</v>
      </c>
    </row>
    <row r="1530" spans="1:7" x14ac:dyDescent="0.25">
      <c r="A1530" s="24" t="s">
        <v>7</v>
      </c>
      <c r="B1530" s="24" t="s">
        <v>3980</v>
      </c>
      <c r="C1530" s="25" t="s">
        <v>3162</v>
      </c>
      <c r="D1530" s="25" t="s">
        <v>3163</v>
      </c>
      <c r="E1530" s="26">
        <v>405</v>
      </c>
      <c r="G1530" s="27" t="s">
        <v>22609</v>
      </c>
    </row>
    <row r="1531" spans="1:7" x14ac:dyDescent="0.25">
      <c r="A1531" s="24" t="s">
        <v>7</v>
      </c>
      <c r="B1531" s="24" t="s">
        <v>3981</v>
      </c>
      <c r="C1531" s="25" t="s">
        <v>3982</v>
      </c>
      <c r="D1531" s="25" t="s">
        <v>3983</v>
      </c>
      <c r="E1531" s="26">
        <v>15</v>
      </c>
    </row>
    <row r="1532" spans="1:7" x14ac:dyDescent="0.25">
      <c r="A1532" s="24" t="s">
        <v>7</v>
      </c>
      <c r="B1532" s="24" t="s">
        <v>3984</v>
      </c>
      <c r="C1532" s="25" t="s">
        <v>3985</v>
      </c>
      <c r="D1532" s="25" t="s">
        <v>3986</v>
      </c>
      <c r="E1532" s="26">
        <v>9</v>
      </c>
      <c r="F1532" s="24" t="s">
        <v>502</v>
      </c>
    </row>
    <row r="1533" spans="1:7" x14ac:dyDescent="0.25">
      <c r="A1533" s="24" t="s">
        <v>7</v>
      </c>
      <c r="B1533" s="24" t="s">
        <v>3987</v>
      </c>
      <c r="C1533" s="25" t="s">
        <v>3988</v>
      </c>
      <c r="D1533" s="25" t="s">
        <v>3989</v>
      </c>
      <c r="E1533" s="26">
        <v>241</v>
      </c>
    </row>
    <row r="1534" spans="1:7" x14ac:dyDescent="0.25">
      <c r="A1534" s="24" t="s">
        <v>7</v>
      </c>
      <c r="B1534" s="24" t="s">
        <v>3990</v>
      </c>
      <c r="C1534" s="25" t="s">
        <v>3991</v>
      </c>
      <c r="D1534" s="25" t="s">
        <v>3992</v>
      </c>
      <c r="E1534" s="26">
        <v>36</v>
      </c>
      <c r="F1534" s="24" t="s">
        <v>502</v>
      </c>
    </row>
    <row r="1535" spans="1:7" x14ac:dyDescent="0.25">
      <c r="A1535" s="24" t="s">
        <v>7</v>
      </c>
      <c r="B1535" s="24" t="s">
        <v>3993</v>
      </c>
      <c r="C1535" s="25" t="s">
        <v>3994</v>
      </c>
      <c r="D1535" s="25" t="s">
        <v>3995</v>
      </c>
      <c r="E1535" s="26">
        <v>262</v>
      </c>
    </row>
    <row r="1536" spans="1:7" x14ac:dyDescent="0.25">
      <c r="A1536" s="24" t="s">
        <v>7</v>
      </c>
      <c r="B1536" s="24" t="s">
        <v>3996</v>
      </c>
      <c r="C1536" s="25" t="s">
        <v>3997</v>
      </c>
      <c r="D1536" s="25" t="s">
        <v>3998</v>
      </c>
      <c r="E1536" s="26">
        <v>4461</v>
      </c>
    </row>
    <row r="1537" spans="1:5" x14ac:dyDescent="0.25">
      <c r="A1537" s="24" t="s">
        <v>7</v>
      </c>
      <c r="B1537" s="24" t="s">
        <v>3999</v>
      </c>
      <c r="C1537" s="25" t="s">
        <v>4000</v>
      </c>
      <c r="D1537" s="25" t="s">
        <v>4000</v>
      </c>
      <c r="E1537" s="26">
        <v>56</v>
      </c>
    </row>
    <row r="1538" spans="1:5" x14ac:dyDescent="0.25">
      <c r="A1538" s="24" t="s">
        <v>7</v>
      </c>
      <c r="B1538" s="24" t="s">
        <v>4001</v>
      </c>
      <c r="C1538" s="25" t="s">
        <v>4002</v>
      </c>
      <c r="D1538" s="25" t="s">
        <v>4003</v>
      </c>
      <c r="E1538" s="26">
        <v>365</v>
      </c>
    </row>
    <row r="1539" spans="1:5" x14ac:dyDescent="0.25">
      <c r="A1539" s="24" t="s">
        <v>7</v>
      </c>
      <c r="B1539" s="24" t="s">
        <v>4004</v>
      </c>
      <c r="C1539" s="25" t="s">
        <v>4005</v>
      </c>
      <c r="D1539" s="25" t="s">
        <v>4005</v>
      </c>
      <c r="E1539" s="26">
        <v>56</v>
      </c>
    </row>
    <row r="1540" spans="1:5" x14ac:dyDescent="0.25">
      <c r="A1540" s="24" t="s">
        <v>7</v>
      </c>
      <c r="B1540" s="24" t="s">
        <v>4006</v>
      </c>
      <c r="C1540" s="25" t="s">
        <v>4007</v>
      </c>
      <c r="D1540" s="25" t="s">
        <v>4008</v>
      </c>
      <c r="E1540" s="26">
        <v>427</v>
      </c>
    </row>
    <row r="1541" spans="1:5" x14ac:dyDescent="0.25">
      <c r="A1541" s="24" t="s">
        <v>7</v>
      </c>
      <c r="B1541" s="24" t="s">
        <v>4009</v>
      </c>
      <c r="C1541" s="25" t="s">
        <v>4010</v>
      </c>
      <c r="D1541" s="25" t="s">
        <v>4011</v>
      </c>
      <c r="E1541" s="26">
        <v>219</v>
      </c>
    </row>
    <row r="1542" spans="1:5" x14ac:dyDescent="0.25">
      <c r="A1542" s="24" t="s">
        <v>7</v>
      </c>
      <c r="B1542" s="24" t="s">
        <v>4012</v>
      </c>
      <c r="C1542" s="25" t="s">
        <v>4013</v>
      </c>
      <c r="D1542" s="25" t="s">
        <v>4014</v>
      </c>
      <c r="E1542" s="26">
        <v>34</v>
      </c>
    </row>
    <row r="1543" spans="1:5" x14ac:dyDescent="0.25">
      <c r="A1543" s="24" t="s">
        <v>7</v>
      </c>
      <c r="B1543" s="24" t="s">
        <v>4015</v>
      </c>
      <c r="C1543" s="25" t="s">
        <v>4016</v>
      </c>
      <c r="D1543" s="25" t="s">
        <v>4017</v>
      </c>
      <c r="E1543" s="26">
        <v>34</v>
      </c>
    </row>
    <row r="1544" spans="1:5" x14ac:dyDescent="0.25">
      <c r="A1544" s="24" t="s">
        <v>7</v>
      </c>
      <c r="B1544" s="24" t="s">
        <v>4018</v>
      </c>
      <c r="C1544" s="25" t="s">
        <v>4019</v>
      </c>
      <c r="D1544" s="25" t="s">
        <v>4020</v>
      </c>
      <c r="E1544" s="26">
        <v>34</v>
      </c>
    </row>
    <row r="1545" spans="1:5" x14ac:dyDescent="0.25">
      <c r="A1545" s="24" t="s">
        <v>7</v>
      </c>
      <c r="B1545" s="24" t="s">
        <v>4021</v>
      </c>
      <c r="C1545" s="25" t="s">
        <v>4022</v>
      </c>
      <c r="D1545" s="25" t="s">
        <v>4023</v>
      </c>
      <c r="E1545" s="26">
        <v>455</v>
      </c>
    </row>
    <row r="1546" spans="1:5" x14ac:dyDescent="0.25">
      <c r="A1546" s="24" t="s">
        <v>7</v>
      </c>
      <c r="B1546" s="24" t="s">
        <v>4024</v>
      </c>
      <c r="C1546" s="25" t="s">
        <v>4025</v>
      </c>
      <c r="D1546" s="25" t="s">
        <v>4026</v>
      </c>
      <c r="E1546" s="26">
        <v>580</v>
      </c>
    </row>
    <row r="1547" spans="1:5" x14ac:dyDescent="0.25">
      <c r="A1547" s="24" t="s">
        <v>7</v>
      </c>
      <c r="B1547" s="24" t="s">
        <v>4027</v>
      </c>
      <c r="C1547" s="25" t="s">
        <v>4028</v>
      </c>
      <c r="D1547" s="25" t="s">
        <v>4029</v>
      </c>
      <c r="E1547" s="26">
        <v>394</v>
      </c>
    </row>
    <row r="1548" spans="1:5" x14ac:dyDescent="0.25">
      <c r="A1548" s="24" t="s">
        <v>7</v>
      </c>
      <c r="B1548" s="24" t="s">
        <v>4030</v>
      </c>
      <c r="C1548" s="25" t="s">
        <v>4031</v>
      </c>
      <c r="D1548" s="25" t="s">
        <v>4032</v>
      </c>
      <c r="E1548" s="26">
        <v>391</v>
      </c>
    </row>
    <row r="1549" spans="1:5" x14ac:dyDescent="0.25">
      <c r="A1549" s="24" t="s">
        <v>7</v>
      </c>
      <c r="B1549" s="24" t="s">
        <v>4033</v>
      </c>
      <c r="C1549" s="25" t="s">
        <v>4034</v>
      </c>
      <c r="D1549" s="25" t="s">
        <v>4035</v>
      </c>
      <c r="E1549" s="26">
        <v>382</v>
      </c>
    </row>
    <row r="1550" spans="1:5" x14ac:dyDescent="0.25">
      <c r="A1550" s="24" t="s">
        <v>7</v>
      </c>
      <c r="B1550" s="24" t="s">
        <v>4036</v>
      </c>
      <c r="C1550" s="25" t="s">
        <v>4037</v>
      </c>
      <c r="D1550" s="25" t="s">
        <v>4038</v>
      </c>
      <c r="E1550" s="26">
        <v>455</v>
      </c>
    </row>
    <row r="1551" spans="1:5" x14ac:dyDescent="0.25">
      <c r="A1551" s="24" t="s">
        <v>7</v>
      </c>
      <c r="B1551" s="24" t="s">
        <v>4039</v>
      </c>
      <c r="C1551" s="25" t="s">
        <v>4040</v>
      </c>
      <c r="D1551" s="25" t="s">
        <v>4041</v>
      </c>
      <c r="E1551" s="26">
        <v>357</v>
      </c>
    </row>
    <row r="1552" spans="1:5" x14ac:dyDescent="0.25">
      <c r="A1552" s="24" t="s">
        <v>7</v>
      </c>
      <c r="B1552" s="24" t="s">
        <v>4042</v>
      </c>
      <c r="C1552" s="25" t="s">
        <v>4043</v>
      </c>
      <c r="D1552" s="25" t="s">
        <v>4044</v>
      </c>
      <c r="E1552" s="26">
        <v>1249</v>
      </c>
    </row>
    <row r="1553" spans="1:5" x14ac:dyDescent="0.25">
      <c r="A1553" s="24" t="s">
        <v>7</v>
      </c>
      <c r="B1553" s="24" t="s">
        <v>4045</v>
      </c>
      <c r="C1553" s="25" t="s">
        <v>4046</v>
      </c>
      <c r="D1553" s="25" t="s">
        <v>4047</v>
      </c>
      <c r="E1553" s="26">
        <v>211</v>
      </c>
    </row>
    <row r="1554" spans="1:5" x14ac:dyDescent="0.25">
      <c r="A1554" s="24" t="s">
        <v>7</v>
      </c>
      <c r="B1554" s="24" t="s">
        <v>4048</v>
      </c>
      <c r="C1554" s="25" t="s">
        <v>4049</v>
      </c>
      <c r="D1554" s="25" t="s">
        <v>4050</v>
      </c>
      <c r="E1554" s="26">
        <v>1052</v>
      </c>
    </row>
    <row r="1555" spans="1:5" x14ac:dyDescent="0.25">
      <c r="A1555" s="24" t="s">
        <v>7</v>
      </c>
      <c r="B1555" s="24" t="s">
        <v>4051</v>
      </c>
      <c r="C1555" s="25" t="s">
        <v>4052</v>
      </c>
      <c r="D1555" s="25" t="s">
        <v>4053</v>
      </c>
      <c r="E1555" s="26">
        <v>803</v>
      </c>
    </row>
    <row r="1556" spans="1:5" x14ac:dyDescent="0.25">
      <c r="A1556" s="24" t="s">
        <v>7</v>
      </c>
      <c r="B1556" s="24" t="s">
        <v>4054</v>
      </c>
      <c r="C1556" s="25" t="s">
        <v>4055</v>
      </c>
      <c r="D1556" s="25" t="s">
        <v>4056</v>
      </c>
      <c r="E1556" s="26">
        <v>311</v>
      </c>
    </row>
    <row r="1557" spans="1:5" x14ac:dyDescent="0.25">
      <c r="A1557" s="24" t="s">
        <v>7</v>
      </c>
      <c r="B1557" s="24" t="s">
        <v>4057</v>
      </c>
      <c r="C1557" s="25" t="s">
        <v>4058</v>
      </c>
      <c r="D1557" s="25" t="s">
        <v>4059</v>
      </c>
      <c r="E1557" s="26">
        <v>357</v>
      </c>
    </row>
    <row r="1558" spans="1:5" x14ac:dyDescent="0.25">
      <c r="A1558" s="24" t="s">
        <v>7</v>
      </c>
      <c r="B1558" s="24" t="s">
        <v>4060</v>
      </c>
      <c r="C1558" s="25" t="s">
        <v>4061</v>
      </c>
      <c r="D1558" s="25" t="s">
        <v>4062</v>
      </c>
      <c r="E1558" s="26">
        <v>916</v>
      </c>
    </row>
    <row r="1559" spans="1:5" x14ac:dyDescent="0.25">
      <c r="A1559" s="24" t="s">
        <v>7</v>
      </c>
      <c r="B1559" s="24" t="s">
        <v>4063</v>
      </c>
      <c r="C1559" s="25" t="s">
        <v>4064</v>
      </c>
      <c r="D1559" s="25" t="s">
        <v>4065</v>
      </c>
      <c r="E1559" s="26">
        <v>1883</v>
      </c>
    </row>
    <row r="1560" spans="1:5" x14ac:dyDescent="0.25">
      <c r="A1560" s="24" t="s">
        <v>7</v>
      </c>
      <c r="B1560" s="24" t="s">
        <v>4066</v>
      </c>
      <c r="C1560" s="25" t="s">
        <v>4067</v>
      </c>
      <c r="D1560" s="25" t="s">
        <v>4067</v>
      </c>
      <c r="E1560" s="26">
        <v>263</v>
      </c>
    </row>
    <row r="1561" spans="1:5" x14ac:dyDescent="0.25">
      <c r="A1561" s="24" t="s">
        <v>7</v>
      </c>
      <c r="B1561" s="24" t="s">
        <v>4068</v>
      </c>
      <c r="C1561" s="25" t="s">
        <v>4069</v>
      </c>
      <c r="D1561" s="25" t="s">
        <v>4070</v>
      </c>
      <c r="E1561" s="26">
        <v>504</v>
      </c>
    </row>
    <row r="1562" spans="1:5" x14ac:dyDescent="0.25">
      <c r="A1562" s="24" t="s">
        <v>7</v>
      </c>
      <c r="B1562" s="24" t="s">
        <v>4071</v>
      </c>
      <c r="C1562" s="25" t="s">
        <v>4072</v>
      </c>
      <c r="D1562" s="25" t="s">
        <v>4073</v>
      </c>
      <c r="E1562" s="26">
        <v>517</v>
      </c>
    </row>
    <row r="1563" spans="1:5" x14ac:dyDescent="0.25">
      <c r="A1563" s="24" t="s">
        <v>7</v>
      </c>
      <c r="B1563" s="24" t="s">
        <v>4074</v>
      </c>
      <c r="C1563" s="25" t="s">
        <v>4075</v>
      </c>
      <c r="D1563" s="25" t="s">
        <v>4076</v>
      </c>
      <c r="E1563" s="26">
        <v>826</v>
      </c>
    </row>
    <row r="1564" spans="1:5" x14ac:dyDescent="0.25">
      <c r="A1564" s="24" t="s">
        <v>7</v>
      </c>
      <c r="B1564" s="24" t="s">
        <v>4077</v>
      </c>
      <c r="C1564" s="25" t="s">
        <v>4078</v>
      </c>
      <c r="D1564" s="25" t="s">
        <v>4079</v>
      </c>
      <c r="E1564" s="26">
        <v>425</v>
      </c>
    </row>
    <row r="1565" spans="1:5" x14ac:dyDescent="0.25">
      <c r="A1565" s="24" t="s">
        <v>7</v>
      </c>
      <c r="B1565" s="24" t="s">
        <v>4080</v>
      </c>
      <c r="C1565" s="25" t="s">
        <v>4081</v>
      </c>
      <c r="D1565" s="25" t="s">
        <v>4082</v>
      </c>
      <c r="E1565" s="26">
        <v>150</v>
      </c>
    </row>
    <row r="1566" spans="1:5" x14ac:dyDescent="0.25">
      <c r="A1566" s="24" t="s">
        <v>7</v>
      </c>
      <c r="B1566" s="24" t="s">
        <v>4083</v>
      </c>
      <c r="C1566" s="25" t="s">
        <v>4084</v>
      </c>
      <c r="D1566" s="25" t="s">
        <v>4085</v>
      </c>
      <c r="E1566" s="26">
        <v>365</v>
      </c>
    </row>
    <row r="1567" spans="1:5" x14ac:dyDescent="0.25">
      <c r="A1567" s="24" t="s">
        <v>7</v>
      </c>
      <c r="B1567" s="24" t="s">
        <v>4086</v>
      </c>
      <c r="C1567" s="25" t="s">
        <v>4087</v>
      </c>
      <c r="D1567" s="25" t="s">
        <v>4087</v>
      </c>
      <c r="E1567" s="26">
        <v>886</v>
      </c>
    </row>
    <row r="1568" spans="1:5" x14ac:dyDescent="0.25">
      <c r="A1568" s="24" t="s">
        <v>7</v>
      </c>
      <c r="B1568" s="24" t="s">
        <v>4088</v>
      </c>
      <c r="C1568" s="25" t="s">
        <v>4089</v>
      </c>
      <c r="D1568" s="25" t="s">
        <v>4090</v>
      </c>
      <c r="E1568" s="26">
        <v>880</v>
      </c>
    </row>
    <row r="1569" spans="1:5" x14ac:dyDescent="0.25">
      <c r="A1569" s="24" t="s">
        <v>7</v>
      </c>
      <c r="B1569" s="24" t="s">
        <v>4091</v>
      </c>
      <c r="C1569" s="25" t="s">
        <v>4092</v>
      </c>
      <c r="D1569" s="25" t="s">
        <v>4092</v>
      </c>
      <c r="E1569" s="26">
        <v>692</v>
      </c>
    </row>
    <row r="1570" spans="1:5" x14ac:dyDescent="0.25">
      <c r="A1570" s="24" t="s">
        <v>7</v>
      </c>
      <c r="B1570" s="24" t="s">
        <v>4093</v>
      </c>
      <c r="C1570" s="25" t="s">
        <v>4094</v>
      </c>
      <c r="D1570" s="25" t="s">
        <v>4095</v>
      </c>
      <c r="E1570" s="26">
        <v>1553</v>
      </c>
    </row>
    <row r="1571" spans="1:5" x14ac:dyDescent="0.25">
      <c r="A1571" s="24" t="s">
        <v>7</v>
      </c>
      <c r="B1571" s="24" t="s">
        <v>4096</v>
      </c>
      <c r="C1571" s="25" t="s">
        <v>4097</v>
      </c>
      <c r="D1571" s="25" t="s">
        <v>4098</v>
      </c>
      <c r="E1571" s="26">
        <v>228</v>
      </c>
    </row>
    <row r="1572" spans="1:5" x14ac:dyDescent="0.25">
      <c r="A1572" s="24" t="s">
        <v>7</v>
      </c>
      <c r="B1572" s="24" t="s">
        <v>4099</v>
      </c>
      <c r="C1572" s="25" t="s">
        <v>4100</v>
      </c>
      <c r="D1572" s="25" t="s">
        <v>4101</v>
      </c>
      <c r="E1572" s="26">
        <v>731</v>
      </c>
    </row>
    <row r="1573" spans="1:5" x14ac:dyDescent="0.25">
      <c r="A1573" s="24" t="s">
        <v>7</v>
      </c>
      <c r="B1573" s="24" t="s">
        <v>4102</v>
      </c>
      <c r="C1573" s="25" t="s">
        <v>4103</v>
      </c>
      <c r="D1573" s="25" t="s">
        <v>4104</v>
      </c>
      <c r="E1573" s="26">
        <v>1240</v>
      </c>
    </row>
    <row r="1574" spans="1:5" x14ac:dyDescent="0.25">
      <c r="A1574" s="24" t="s">
        <v>7</v>
      </c>
      <c r="B1574" s="24" t="s">
        <v>4105</v>
      </c>
      <c r="C1574" s="25" t="s">
        <v>4106</v>
      </c>
      <c r="D1574" s="25" t="s">
        <v>4106</v>
      </c>
      <c r="E1574" s="26">
        <v>1509</v>
      </c>
    </row>
    <row r="1575" spans="1:5" x14ac:dyDescent="0.25">
      <c r="A1575" s="24" t="s">
        <v>7</v>
      </c>
      <c r="B1575" s="24" t="s">
        <v>4107</v>
      </c>
      <c r="C1575" s="25" t="s">
        <v>4108</v>
      </c>
      <c r="D1575" s="25" t="s">
        <v>4109</v>
      </c>
      <c r="E1575" s="26">
        <v>621</v>
      </c>
    </row>
    <row r="1576" spans="1:5" x14ac:dyDescent="0.25">
      <c r="A1576" s="24" t="s">
        <v>7</v>
      </c>
      <c r="B1576" s="24" t="s">
        <v>4110</v>
      </c>
      <c r="C1576" s="25" t="s">
        <v>4111</v>
      </c>
      <c r="D1576" s="25" t="s">
        <v>4112</v>
      </c>
      <c r="E1576" s="26">
        <v>96</v>
      </c>
    </row>
    <row r="1577" spans="1:5" x14ac:dyDescent="0.25">
      <c r="A1577" s="24" t="s">
        <v>7</v>
      </c>
      <c r="B1577" s="24" t="s">
        <v>4113</v>
      </c>
      <c r="C1577" s="25" t="s">
        <v>4114</v>
      </c>
      <c r="D1577" s="25" t="s">
        <v>4115</v>
      </c>
      <c r="E1577" s="26">
        <v>0.01</v>
      </c>
    </row>
    <row r="1578" spans="1:5" x14ac:dyDescent="0.25">
      <c r="A1578" s="24" t="s">
        <v>7</v>
      </c>
      <c r="B1578" s="24" t="s">
        <v>4116</v>
      </c>
      <c r="C1578" s="25" t="s">
        <v>4117</v>
      </c>
      <c r="D1578" s="25" t="s">
        <v>4118</v>
      </c>
      <c r="E1578" s="26">
        <v>0.01</v>
      </c>
    </row>
    <row r="1579" spans="1:5" x14ac:dyDescent="0.25">
      <c r="A1579" s="24" t="s">
        <v>7</v>
      </c>
      <c r="B1579" s="24" t="s">
        <v>4119</v>
      </c>
      <c r="C1579" s="25" t="s">
        <v>4120</v>
      </c>
      <c r="D1579" s="25" t="s">
        <v>4121</v>
      </c>
      <c r="E1579" s="26">
        <v>0.01</v>
      </c>
    </row>
    <row r="1580" spans="1:5" x14ac:dyDescent="0.25">
      <c r="A1580" s="24" t="s">
        <v>7</v>
      </c>
      <c r="B1580" s="24" t="s">
        <v>4122</v>
      </c>
      <c r="C1580" s="25" t="s">
        <v>4123</v>
      </c>
      <c r="D1580" s="25" t="s">
        <v>4124</v>
      </c>
      <c r="E1580" s="26">
        <v>696</v>
      </c>
    </row>
    <row r="1581" spans="1:5" x14ac:dyDescent="0.25">
      <c r="A1581" s="24" t="s">
        <v>7</v>
      </c>
      <c r="B1581" s="24" t="s">
        <v>4125</v>
      </c>
      <c r="C1581" s="25" t="s">
        <v>4126</v>
      </c>
      <c r="D1581" s="25" t="s">
        <v>4127</v>
      </c>
      <c r="E1581" s="26">
        <v>745</v>
      </c>
    </row>
    <row r="1582" spans="1:5" x14ac:dyDescent="0.25">
      <c r="A1582" s="24" t="s">
        <v>7</v>
      </c>
      <c r="B1582" s="24" t="s">
        <v>4128</v>
      </c>
      <c r="C1582" s="25" t="s">
        <v>4129</v>
      </c>
      <c r="D1582" s="25" t="s">
        <v>4130</v>
      </c>
      <c r="E1582" s="26">
        <v>428</v>
      </c>
    </row>
    <row r="1583" spans="1:5" x14ac:dyDescent="0.25">
      <c r="A1583" s="24" t="s">
        <v>7</v>
      </c>
      <c r="B1583" s="24" t="s">
        <v>4131</v>
      </c>
      <c r="C1583" s="25" t="s">
        <v>4132</v>
      </c>
      <c r="D1583" s="25" t="s">
        <v>4132</v>
      </c>
      <c r="E1583" s="26">
        <v>459</v>
      </c>
    </row>
    <row r="1584" spans="1:5" x14ac:dyDescent="0.25">
      <c r="A1584" s="24" t="s">
        <v>7</v>
      </c>
      <c r="B1584" s="24" t="s">
        <v>4133</v>
      </c>
      <c r="C1584" s="25" t="s">
        <v>4134</v>
      </c>
      <c r="D1584" s="25" t="s">
        <v>4135</v>
      </c>
      <c r="E1584" s="26">
        <v>282</v>
      </c>
    </row>
    <row r="1585" spans="1:5" x14ac:dyDescent="0.25">
      <c r="A1585" s="24" t="s">
        <v>7</v>
      </c>
      <c r="B1585" s="24" t="s">
        <v>4136</v>
      </c>
      <c r="C1585" s="25" t="s">
        <v>4137</v>
      </c>
      <c r="D1585" s="25" t="s">
        <v>4138</v>
      </c>
      <c r="E1585" s="26">
        <v>459</v>
      </c>
    </row>
    <row r="1586" spans="1:5" x14ac:dyDescent="0.25">
      <c r="A1586" s="24" t="s">
        <v>7</v>
      </c>
      <c r="B1586" s="24" t="s">
        <v>4139</v>
      </c>
      <c r="C1586" s="25" t="s">
        <v>4140</v>
      </c>
      <c r="D1586" s="25" t="s">
        <v>4141</v>
      </c>
      <c r="E1586" s="26">
        <v>3776</v>
      </c>
    </row>
    <row r="1587" spans="1:5" x14ac:dyDescent="0.25">
      <c r="A1587" s="24" t="s">
        <v>7</v>
      </c>
      <c r="B1587" s="24" t="s">
        <v>4142</v>
      </c>
      <c r="C1587" s="25" t="s">
        <v>4143</v>
      </c>
      <c r="D1587" s="25" t="s">
        <v>4144</v>
      </c>
      <c r="E1587" s="26">
        <v>640</v>
      </c>
    </row>
    <row r="1588" spans="1:5" x14ac:dyDescent="0.25">
      <c r="A1588" s="24" t="s">
        <v>7</v>
      </c>
      <c r="B1588" s="24" t="s">
        <v>4145</v>
      </c>
      <c r="C1588" s="25" t="s">
        <v>4146</v>
      </c>
      <c r="D1588" s="25" t="s">
        <v>4147</v>
      </c>
      <c r="E1588" s="26">
        <v>1765</v>
      </c>
    </row>
    <row r="1589" spans="1:5" x14ac:dyDescent="0.25">
      <c r="A1589" s="24" t="s">
        <v>7</v>
      </c>
      <c r="B1589" s="24" t="s">
        <v>4148</v>
      </c>
      <c r="C1589" s="25" t="s">
        <v>4149</v>
      </c>
      <c r="D1589" s="25" t="s">
        <v>4150</v>
      </c>
      <c r="E1589" s="26">
        <v>2028</v>
      </c>
    </row>
    <row r="1590" spans="1:5" x14ac:dyDescent="0.25">
      <c r="A1590" s="24" t="s">
        <v>7</v>
      </c>
      <c r="B1590" s="24" t="s">
        <v>4151</v>
      </c>
      <c r="C1590" s="25" t="s">
        <v>4152</v>
      </c>
      <c r="D1590" s="25" t="s">
        <v>4153</v>
      </c>
      <c r="E1590" s="26">
        <v>1765</v>
      </c>
    </row>
    <row r="1591" spans="1:5" x14ac:dyDescent="0.25">
      <c r="A1591" s="24" t="s">
        <v>7</v>
      </c>
      <c r="B1591" s="24" t="s">
        <v>4154</v>
      </c>
      <c r="C1591" s="25" t="s">
        <v>4155</v>
      </c>
      <c r="D1591" s="25" t="s">
        <v>4156</v>
      </c>
      <c r="E1591" s="26">
        <v>1206</v>
      </c>
    </row>
    <row r="1592" spans="1:5" x14ac:dyDescent="0.25">
      <c r="A1592" s="24" t="s">
        <v>7</v>
      </c>
      <c r="B1592" s="24" t="s">
        <v>4157</v>
      </c>
      <c r="C1592" s="25" t="s">
        <v>4158</v>
      </c>
      <c r="D1592" s="25" t="s">
        <v>4147</v>
      </c>
      <c r="E1592" s="26">
        <v>652</v>
      </c>
    </row>
    <row r="1593" spans="1:5" x14ac:dyDescent="0.25">
      <c r="A1593" s="24" t="s">
        <v>7</v>
      </c>
      <c r="B1593" s="24" t="s">
        <v>4159</v>
      </c>
      <c r="C1593" s="25" t="s">
        <v>4160</v>
      </c>
      <c r="D1593" s="25" t="s">
        <v>4161</v>
      </c>
      <c r="E1593" s="26">
        <v>577</v>
      </c>
    </row>
    <row r="1594" spans="1:5" x14ac:dyDescent="0.25">
      <c r="A1594" s="24" t="s">
        <v>7</v>
      </c>
      <c r="B1594" s="24" t="s">
        <v>4162</v>
      </c>
      <c r="C1594" s="25" t="s">
        <v>4163</v>
      </c>
      <c r="D1594" s="25" t="s">
        <v>4164</v>
      </c>
      <c r="E1594" s="26">
        <v>190</v>
      </c>
    </row>
    <row r="1595" spans="1:5" x14ac:dyDescent="0.25">
      <c r="A1595" s="24" t="s">
        <v>7</v>
      </c>
      <c r="B1595" s="24" t="s">
        <v>4165</v>
      </c>
      <c r="C1595" s="25" t="s">
        <v>4166</v>
      </c>
      <c r="D1595" s="25" t="s">
        <v>4166</v>
      </c>
      <c r="E1595" s="26">
        <v>1450</v>
      </c>
    </row>
    <row r="1596" spans="1:5" x14ac:dyDescent="0.25">
      <c r="A1596" s="24" t="s">
        <v>7</v>
      </c>
      <c r="B1596" s="24" t="s">
        <v>4167</v>
      </c>
      <c r="C1596" s="25" t="s">
        <v>4168</v>
      </c>
      <c r="D1596" s="25" t="s">
        <v>4169</v>
      </c>
      <c r="E1596" s="26">
        <v>1353</v>
      </c>
    </row>
    <row r="1597" spans="1:5" x14ac:dyDescent="0.25">
      <c r="A1597" s="24" t="s">
        <v>7</v>
      </c>
      <c r="B1597" s="24" t="s">
        <v>4170</v>
      </c>
      <c r="C1597" s="25" t="s">
        <v>4171</v>
      </c>
      <c r="D1597" s="25" t="s">
        <v>4171</v>
      </c>
      <c r="E1597" s="26">
        <v>886</v>
      </c>
    </row>
    <row r="1598" spans="1:5" x14ac:dyDescent="0.25">
      <c r="A1598" s="24" t="s">
        <v>7</v>
      </c>
      <c r="B1598" s="24" t="s">
        <v>4172</v>
      </c>
      <c r="C1598" s="25" t="s">
        <v>4173</v>
      </c>
      <c r="D1598" s="25" t="s">
        <v>4173</v>
      </c>
      <c r="E1598" s="26">
        <v>1487</v>
      </c>
    </row>
    <row r="1599" spans="1:5" x14ac:dyDescent="0.25">
      <c r="A1599" s="24" t="s">
        <v>7</v>
      </c>
      <c r="B1599" s="24" t="s">
        <v>4174</v>
      </c>
      <c r="C1599" s="25" t="s">
        <v>4175</v>
      </c>
      <c r="D1599" s="25" t="s">
        <v>4176</v>
      </c>
      <c r="E1599" s="26">
        <v>2657</v>
      </c>
    </row>
    <row r="1600" spans="1:5" x14ac:dyDescent="0.25">
      <c r="A1600" s="24" t="s">
        <v>7</v>
      </c>
      <c r="B1600" s="24" t="s">
        <v>4177</v>
      </c>
      <c r="C1600" s="25" t="s">
        <v>4178</v>
      </c>
      <c r="D1600" s="25" t="s">
        <v>4176</v>
      </c>
      <c r="E1600" s="26">
        <v>4883</v>
      </c>
    </row>
    <row r="1601" spans="1:5" x14ac:dyDescent="0.25">
      <c r="A1601" s="24" t="s">
        <v>7</v>
      </c>
      <c r="B1601" s="24" t="s">
        <v>4179</v>
      </c>
      <c r="C1601" s="25" t="s">
        <v>4180</v>
      </c>
      <c r="D1601" s="25" t="s">
        <v>4181</v>
      </c>
      <c r="E1601" s="26">
        <v>3015</v>
      </c>
    </row>
    <row r="1602" spans="1:5" x14ac:dyDescent="0.25">
      <c r="A1602" s="24" t="s">
        <v>7</v>
      </c>
      <c r="B1602" s="24" t="s">
        <v>4182</v>
      </c>
      <c r="C1602" s="25" t="s">
        <v>4183</v>
      </c>
      <c r="D1602" s="25" t="s">
        <v>4184</v>
      </c>
      <c r="E1602" s="26">
        <v>1185</v>
      </c>
    </row>
    <row r="1603" spans="1:5" x14ac:dyDescent="0.25">
      <c r="A1603" s="24" t="s">
        <v>7</v>
      </c>
      <c r="B1603" s="24" t="s">
        <v>4185</v>
      </c>
      <c r="C1603" s="25" t="s">
        <v>4186</v>
      </c>
      <c r="D1603" s="25" t="s">
        <v>4187</v>
      </c>
      <c r="E1603" s="26">
        <v>1064</v>
      </c>
    </row>
    <row r="1604" spans="1:5" x14ac:dyDescent="0.25">
      <c r="A1604" s="24" t="s">
        <v>7</v>
      </c>
      <c r="B1604" s="24" t="s">
        <v>4188</v>
      </c>
      <c r="C1604" s="25" t="s">
        <v>4189</v>
      </c>
      <c r="D1604" s="25" t="s">
        <v>4190</v>
      </c>
      <c r="E1604" s="26">
        <v>225</v>
      </c>
    </row>
    <row r="1605" spans="1:5" x14ac:dyDescent="0.25">
      <c r="A1605" s="24" t="s">
        <v>7</v>
      </c>
      <c r="B1605" s="24" t="s">
        <v>4191</v>
      </c>
      <c r="C1605" s="25" t="s">
        <v>4192</v>
      </c>
      <c r="D1605" s="25" t="s">
        <v>4193</v>
      </c>
      <c r="E1605" s="26">
        <v>1326</v>
      </c>
    </row>
    <row r="1606" spans="1:5" x14ac:dyDescent="0.25">
      <c r="A1606" s="24" t="s">
        <v>7</v>
      </c>
      <c r="B1606" s="24" t="s">
        <v>4194</v>
      </c>
      <c r="C1606" s="25" t="s">
        <v>4195</v>
      </c>
      <c r="D1606" s="25" t="s">
        <v>4196</v>
      </c>
      <c r="E1606" s="26">
        <v>392</v>
      </c>
    </row>
    <row r="1607" spans="1:5" x14ac:dyDescent="0.25">
      <c r="A1607" s="24" t="s">
        <v>7</v>
      </c>
      <c r="B1607" s="24" t="s">
        <v>4197</v>
      </c>
      <c r="C1607" s="25" t="s">
        <v>4198</v>
      </c>
      <c r="D1607" s="25" t="s">
        <v>4199</v>
      </c>
      <c r="E1607" s="26">
        <v>1788</v>
      </c>
    </row>
    <row r="1608" spans="1:5" x14ac:dyDescent="0.25">
      <c r="A1608" s="24" t="s">
        <v>7</v>
      </c>
      <c r="B1608" s="24" t="s">
        <v>4200</v>
      </c>
      <c r="C1608" s="25" t="s">
        <v>4201</v>
      </c>
      <c r="D1608" s="25" t="s">
        <v>4202</v>
      </c>
      <c r="E1608" s="26">
        <v>6355</v>
      </c>
    </row>
    <row r="1609" spans="1:5" x14ac:dyDescent="0.25">
      <c r="A1609" s="24" t="s">
        <v>7</v>
      </c>
      <c r="B1609" s="24" t="s">
        <v>4203</v>
      </c>
      <c r="C1609" s="25" t="s">
        <v>4204</v>
      </c>
      <c r="D1609" s="25" t="s">
        <v>4205</v>
      </c>
      <c r="E1609" s="26">
        <v>357</v>
      </c>
    </row>
    <row r="1610" spans="1:5" x14ac:dyDescent="0.25">
      <c r="A1610" s="24" t="s">
        <v>7</v>
      </c>
      <c r="B1610" s="24" t="s">
        <v>4206</v>
      </c>
      <c r="C1610" s="25" t="s">
        <v>4207</v>
      </c>
      <c r="D1610" s="25" t="s">
        <v>4208</v>
      </c>
      <c r="E1610" s="26">
        <v>357</v>
      </c>
    </row>
    <row r="1611" spans="1:5" x14ac:dyDescent="0.25">
      <c r="A1611" s="24" t="s">
        <v>7</v>
      </c>
      <c r="B1611" s="24" t="s">
        <v>4209</v>
      </c>
      <c r="C1611" s="25" t="s">
        <v>4210</v>
      </c>
      <c r="D1611" s="25" t="s">
        <v>4211</v>
      </c>
      <c r="E1611" s="26">
        <v>957</v>
      </c>
    </row>
    <row r="1612" spans="1:5" x14ac:dyDescent="0.25">
      <c r="A1612" s="24" t="s">
        <v>7</v>
      </c>
      <c r="B1612" s="24" t="s">
        <v>4212</v>
      </c>
      <c r="C1612" s="25" t="s">
        <v>4213</v>
      </c>
      <c r="D1612" s="25" t="s">
        <v>4214</v>
      </c>
      <c r="E1612" s="26">
        <v>4709</v>
      </c>
    </row>
    <row r="1613" spans="1:5" x14ac:dyDescent="0.25">
      <c r="A1613" s="24" t="s">
        <v>7</v>
      </c>
      <c r="B1613" s="24" t="s">
        <v>4215</v>
      </c>
      <c r="C1613" s="25" t="s">
        <v>4216</v>
      </c>
      <c r="D1613" s="25" t="s">
        <v>4217</v>
      </c>
      <c r="E1613" s="26">
        <v>2604</v>
      </c>
    </row>
    <row r="1614" spans="1:5" x14ac:dyDescent="0.25">
      <c r="A1614" s="24" t="s">
        <v>7</v>
      </c>
      <c r="B1614" s="24" t="s">
        <v>4218</v>
      </c>
      <c r="C1614" s="25" t="s">
        <v>4219</v>
      </c>
      <c r="D1614" s="25" t="s">
        <v>4220</v>
      </c>
      <c r="E1614" s="26">
        <v>4577</v>
      </c>
    </row>
    <row r="1615" spans="1:5" x14ac:dyDescent="0.25">
      <c r="A1615" s="24" t="s">
        <v>7</v>
      </c>
      <c r="B1615" s="24" t="s">
        <v>4221</v>
      </c>
      <c r="C1615" s="25" t="s">
        <v>4222</v>
      </c>
      <c r="D1615" s="25" t="s">
        <v>4223</v>
      </c>
      <c r="E1615" s="26">
        <v>3229</v>
      </c>
    </row>
    <row r="1616" spans="1:5" x14ac:dyDescent="0.25">
      <c r="A1616" s="24" t="s">
        <v>7</v>
      </c>
      <c r="B1616" s="24" t="s">
        <v>4224</v>
      </c>
      <c r="C1616" s="25" t="s">
        <v>4225</v>
      </c>
      <c r="D1616" s="25" t="s">
        <v>4226</v>
      </c>
      <c r="E1616" s="26">
        <v>4571</v>
      </c>
    </row>
    <row r="1617" spans="1:5" x14ac:dyDescent="0.25">
      <c r="A1617" s="24" t="s">
        <v>7</v>
      </c>
      <c r="B1617" s="24" t="s">
        <v>4227</v>
      </c>
      <c r="C1617" s="25" t="s">
        <v>4228</v>
      </c>
      <c r="D1617" s="25" t="s">
        <v>4229</v>
      </c>
      <c r="E1617" s="26">
        <v>1404</v>
      </c>
    </row>
    <row r="1618" spans="1:5" x14ac:dyDescent="0.25">
      <c r="A1618" s="24" t="s">
        <v>7</v>
      </c>
      <c r="B1618" s="24" t="s">
        <v>4230</v>
      </c>
      <c r="C1618" s="25" t="s">
        <v>4231</v>
      </c>
      <c r="D1618" s="25" t="s">
        <v>4232</v>
      </c>
      <c r="E1618" s="26">
        <v>1021</v>
      </c>
    </row>
    <row r="1619" spans="1:5" x14ac:dyDescent="0.25">
      <c r="A1619" s="24" t="s">
        <v>7</v>
      </c>
      <c r="B1619" s="24" t="s">
        <v>4233</v>
      </c>
      <c r="C1619" s="25" t="s">
        <v>4234</v>
      </c>
      <c r="D1619" s="25" t="s">
        <v>4235</v>
      </c>
      <c r="E1619" s="26">
        <v>5675</v>
      </c>
    </row>
    <row r="1620" spans="1:5" x14ac:dyDescent="0.25">
      <c r="A1620" s="24" t="s">
        <v>7</v>
      </c>
      <c r="B1620" s="24" t="s">
        <v>4236</v>
      </c>
      <c r="C1620" s="25" t="s">
        <v>4237</v>
      </c>
      <c r="D1620" s="25" t="s">
        <v>4238</v>
      </c>
      <c r="E1620" s="26">
        <v>4032</v>
      </c>
    </row>
    <row r="1621" spans="1:5" x14ac:dyDescent="0.25">
      <c r="A1621" s="24" t="s">
        <v>7</v>
      </c>
      <c r="B1621" s="24" t="s">
        <v>4239</v>
      </c>
      <c r="C1621" s="25" t="s">
        <v>4240</v>
      </c>
      <c r="D1621" s="25" t="s">
        <v>4241</v>
      </c>
      <c r="E1621" s="26">
        <v>3966</v>
      </c>
    </row>
    <row r="1622" spans="1:5" x14ac:dyDescent="0.25">
      <c r="A1622" s="24" t="s">
        <v>7</v>
      </c>
      <c r="B1622" s="24" t="s">
        <v>4242</v>
      </c>
      <c r="C1622" s="25" t="s">
        <v>4243</v>
      </c>
      <c r="D1622" s="25" t="s">
        <v>4244</v>
      </c>
      <c r="E1622" s="26">
        <v>4022</v>
      </c>
    </row>
    <row r="1623" spans="1:5" x14ac:dyDescent="0.25">
      <c r="A1623" s="24" t="s">
        <v>7</v>
      </c>
      <c r="B1623" s="24" t="s">
        <v>4245</v>
      </c>
      <c r="C1623" s="25" t="s">
        <v>4246</v>
      </c>
      <c r="D1623" s="25" t="s">
        <v>4247</v>
      </c>
      <c r="E1623" s="26">
        <v>3761</v>
      </c>
    </row>
    <row r="1624" spans="1:5" x14ac:dyDescent="0.25">
      <c r="A1624" s="24" t="s">
        <v>7</v>
      </c>
      <c r="B1624" s="24" t="s">
        <v>4248</v>
      </c>
      <c r="C1624" s="25" t="s">
        <v>4249</v>
      </c>
      <c r="D1624" s="25" t="s">
        <v>4250</v>
      </c>
      <c r="E1624" s="26">
        <v>4164</v>
      </c>
    </row>
    <row r="1625" spans="1:5" x14ac:dyDescent="0.25">
      <c r="A1625" s="24" t="s">
        <v>7</v>
      </c>
      <c r="B1625" s="24" t="s">
        <v>4251</v>
      </c>
      <c r="C1625" s="25" t="s">
        <v>4252</v>
      </c>
      <c r="D1625" s="25" t="s">
        <v>4253</v>
      </c>
      <c r="E1625" s="26">
        <v>1243</v>
      </c>
    </row>
    <row r="1626" spans="1:5" x14ac:dyDescent="0.25">
      <c r="A1626" s="24" t="s">
        <v>7</v>
      </c>
      <c r="B1626" s="24" t="s">
        <v>4254</v>
      </c>
      <c r="C1626" s="25" t="s">
        <v>4255</v>
      </c>
      <c r="D1626" s="25" t="s">
        <v>4256</v>
      </c>
      <c r="E1626" s="26">
        <v>3305</v>
      </c>
    </row>
    <row r="1627" spans="1:5" x14ac:dyDescent="0.25">
      <c r="A1627" s="24" t="s">
        <v>7</v>
      </c>
      <c r="B1627" s="24" t="s">
        <v>4257</v>
      </c>
      <c r="C1627" s="25" t="s">
        <v>4258</v>
      </c>
      <c r="D1627" s="25" t="s">
        <v>4259</v>
      </c>
      <c r="E1627" s="26">
        <v>1767</v>
      </c>
    </row>
    <row r="1628" spans="1:5" x14ac:dyDescent="0.25">
      <c r="A1628" s="24" t="s">
        <v>7</v>
      </c>
      <c r="B1628" s="24" t="s">
        <v>4260</v>
      </c>
      <c r="C1628" s="25" t="s">
        <v>4261</v>
      </c>
      <c r="D1628" s="25" t="s">
        <v>4262</v>
      </c>
      <c r="E1628" s="26">
        <v>2440</v>
      </c>
    </row>
    <row r="1629" spans="1:5" x14ac:dyDescent="0.25">
      <c r="A1629" s="24" t="s">
        <v>7</v>
      </c>
      <c r="B1629" s="24" t="s">
        <v>4263</v>
      </c>
      <c r="C1629" s="25" t="s">
        <v>4264</v>
      </c>
      <c r="D1629" s="25" t="s">
        <v>4265</v>
      </c>
      <c r="E1629" s="26">
        <v>1517</v>
      </c>
    </row>
    <row r="1630" spans="1:5" x14ac:dyDescent="0.25">
      <c r="A1630" s="24" t="s">
        <v>7</v>
      </c>
      <c r="B1630" s="24" t="s">
        <v>4266</v>
      </c>
      <c r="C1630" s="25" t="s">
        <v>4267</v>
      </c>
      <c r="D1630" s="25" t="s">
        <v>4181</v>
      </c>
      <c r="E1630" s="26">
        <v>2607</v>
      </c>
    </row>
    <row r="1631" spans="1:5" x14ac:dyDescent="0.25">
      <c r="A1631" s="24" t="s">
        <v>7</v>
      </c>
      <c r="B1631" s="24" t="s">
        <v>4268</v>
      </c>
      <c r="C1631" s="25" t="s">
        <v>4269</v>
      </c>
      <c r="D1631" s="25" t="s">
        <v>4270</v>
      </c>
      <c r="E1631" s="26">
        <v>3075</v>
      </c>
    </row>
    <row r="1632" spans="1:5" x14ac:dyDescent="0.25">
      <c r="A1632" s="24" t="s">
        <v>7</v>
      </c>
      <c r="B1632" s="24" t="s">
        <v>4271</v>
      </c>
      <c r="C1632" s="25" t="s">
        <v>4272</v>
      </c>
      <c r="D1632" s="25" t="s">
        <v>4270</v>
      </c>
      <c r="E1632" s="26">
        <v>2372</v>
      </c>
    </row>
    <row r="1633" spans="1:5" x14ac:dyDescent="0.25">
      <c r="A1633" s="24" t="s">
        <v>7</v>
      </c>
      <c r="B1633" s="24" t="s">
        <v>4273</v>
      </c>
      <c r="C1633" s="25" t="s">
        <v>4274</v>
      </c>
      <c r="D1633" s="25" t="s">
        <v>4275</v>
      </c>
      <c r="E1633" s="26">
        <v>5995</v>
      </c>
    </row>
    <row r="1634" spans="1:5" x14ac:dyDescent="0.25">
      <c r="A1634" s="24" t="s">
        <v>7</v>
      </c>
      <c r="B1634" s="24" t="s">
        <v>4276</v>
      </c>
      <c r="C1634" s="25" t="s">
        <v>4277</v>
      </c>
      <c r="D1634" s="25" t="s">
        <v>4278</v>
      </c>
      <c r="E1634" s="26">
        <v>5995</v>
      </c>
    </row>
    <row r="1635" spans="1:5" x14ac:dyDescent="0.25">
      <c r="A1635" s="24" t="s">
        <v>7</v>
      </c>
      <c r="B1635" s="24" t="s">
        <v>4279</v>
      </c>
      <c r="C1635" s="25" t="s">
        <v>4280</v>
      </c>
      <c r="D1635" s="25" t="s">
        <v>4281</v>
      </c>
      <c r="E1635" s="26">
        <v>10368</v>
      </c>
    </row>
    <row r="1636" spans="1:5" x14ac:dyDescent="0.25">
      <c r="A1636" s="24" t="s">
        <v>7</v>
      </c>
      <c r="B1636" s="24" t="s">
        <v>4282</v>
      </c>
      <c r="C1636" s="25" t="s">
        <v>4283</v>
      </c>
      <c r="D1636" s="25" t="s">
        <v>4283</v>
      </c>
      <c r="E1636" s="26">
        <v>5968</v>
      </c>
    </row>
    <row r="1637" spans="1:5" x14ac:dyDescent="0.25">
      <c r="A1637" s="24" t="s">
        <v>7</v>
      </c>
      <c r="B1637" s="24" t="s">
        <v>4284</v>
      </c>
      <c r="C1637" s="25" t="s">
        <v>4285</v>
      </c>
      <c r="D1637" s="25" t="s">
        <v>4286</v>
      </c>
      <c r="E1637" s="26">
        <v>3179</v>
      </c>
    </row>
    <row r="1638" spans="1:5" x14ac:dyDescent="0.25">
      <c r="A1638" s="24" t="s">
        <v>7</v>
      </c>
      <c r="B1638" s="24" t="s">
        <v>4287</v>
      </c>
      <c r="C1638" s="25" t="s">
        <v>4288</v>
      </c>
      <c r="D1638" s="25" t="s">
        <v>4289</v>
      </c>
      <c r="E1638" s="26">
        <v>18012</v>
      </c>
    </row>
    <row r="1639" spans="1:5" x14ac:dyDescent="0.25">
      <c r="A1639" s="24" t="s">
        <v>7</v>
      </c>
      <c r="B1639" s="24" t="s">
        <v>4290</v>
      </c>
      <c r="C1639" s="25" t="s">
        <v>4291</v>
      </c>
      <c r="D1639" s="25" t="s">
        <v>4292</v>
      </c>
      <c r="E1639" s="26">
        <v>1507</v>
      </c>
    </row>
    <row r="1640" spans="1:5" x14ac:dyDescent="0.25">
      <c r="A1640" s="24" t="s">
        <v>7</v>
      </c>
      <c r="B1640" s="24" t="s">
        <v>4293</v>
      </c>
      <c r="C1640" s="25" t="s">
        <v>4294</v>
      </c>
      <c r="D1640" s="25" t="s">
        <v>4295</v>
      </c>
      <c r="E1640" s="26">
        <v>9129</v>
      </c>
    </row>
    <row r="1641" spans="1:5" x14ac:dyDescent="0.25">
      <c r="A1641" s="24" t="s">
        <v>7</v>
      </c>
      <c r="B1641" s="24" t="s">
        <v>4296</v>
      </c>
      <c r="C1641" s="25" t="s">
        <v>4297</v>
      </c>
      <c r="D1641" s="25" t="s">
        <v>4298</v>
      </c>
      <c r="E1641" s="26">
        <v>76185</v>
      </c>
    </row>
    <row r="1642" spans="1:5" x14ac:dyDescent="0.25">
      <c r="A1642" s="24" t="s">
        <v>7</v>
      </c>
      <c r="B1642" s="24" t="s">
        <v>4299</v>
      </c>
      <c r="C1642" s="25" t="s">
        <v>4300</v>
      </c>
      <c r="D1642" s="25" t="s">
        <v>4301</v>
      </c>
      <c r="E1642" s="26">
        <v>83042</v>
      </c>
    </row>
    <row r="1643" spans="1:5" x14ac:dyDescent="0.25">
      <c r="A1643" s="24" t="s">
        <v>7</v>
      </c>
      <c r="B1643" s="24" t="s">
        <v>4302</v>
      </c>
      <c r="C1643" s="25" t="s">
        <v>4303</v>
      </c>
      <c r="D1643" s="25" t="s">
        <v>4304</v>
      </c>
      <c r="E1643" s="26">
        <v>1324</v>
      </c>
    </row>
    <row r="1644" spans="1:5" x14ac:dyDescent="0.25">
      <c r="A1644" s="24" t="s">
        <v>7</v>
      </c>
      <c r="B1644" s="24" t="s">
        <v>4305</v>
      </c>
      <c r="C1644" s="25" t="s">
        <v>4306</v>
      </c>
      <c r="D1644" s="25" t="s">
        <v>4307</v>
      </c>
      <c r="E1644" s="26">
        <v>8581</v>
      </c>
    </row>
    <row r="1645" spans="1:5" x14ac:dyDescent="0.25">
      <c r="A1645" s="24" t="s">
        <v>7</v>
      </c>
      <c r="B1645" s="24" t="s">
        <v>4308</v>
      </c>
      <c r="C1645" s="25" t="s">
        <v>4309</v>
      </c>
      <c r="D1645" s="25" t="s">
        <v>4310</v>
      </c>
      <c r="E1645" s="26">
        <v>82327</v>
      </c>
    </row>
    <row r="1646" spans="1:5" x14ac:dyDescent="0.25">
      <c r="A1646" s="24" t="s">
        <v>7</v>
      </c>
      <c r="B1646" s="24" t="s">
        <v>4311</v>
      </c>
      <c r="C1646" s="25" t="s">
        <v>4312</v>
      </c>
      <c r="D1646" s="25" t="s">
        <v>4313</v>
      </c>
      <c r="E1646" s="26">
        <v>9372</v>
      </c>
    </row>
    <row r="1647" spans="1:5" x14ac:dyDescent="0.25">
      <c r="A1647" s="24" t="s">
        <v>7</v>
      </c>
      <c r="B1647" s="24" t="s">
        <v>4314</v>
      </c>
      <c r="C1647" s="25" t="s">
        <v>4315</v>
      </c>
      <c r="D1647" s="25" t="s">
        <v>4316</v>
      </c>
      <c r="E1647" s="26">
        <v>81164</v>
      </c>
    </row>
    <row r="1648" spans="1:5" x14ac:dyDescent="0.25">
      <c r="A1648" s="24" t="s">
        <v>7</v>
      </c>
      <c r="B1648" s="24" t="s">
        <v>4317</v>
      </c>
      <c r="C1648" s="25" t="s">
        <v>4318</v>
      </c>
      <c r="D1648" s="25" t="s">
        <v>4319</v>
      </c>
      <c r="E1648" s="26">
        <v>4419</v>
      </c>
    </row>
    <row r="1649" spans="1:5" x14ac:dyDescent="0.25">
      <c r="A1649" s="24" t="s">
        <v>7</v>
      </c>
      <c r="B1649" s="24" t="s">
        <v>4320</v>
      </c>
      <c r="C1649" s="25" t="s">
        <v>4321</v>
      </c>
      <c r="D1649" s="25" t="s">
        <v>4322</v>
      </c>
      <c r="E1649" s="26">
        <v>8708</v>
      </c>
    </row>
    <row r="1650" spans="1:5" x14ac:dyDescent="0.25">
      <c r="A1650" s="24" t="s">
        <v>7</v>
      </c>
      <c r="B1650" s="24" t="s">
        <v>4323</v>
      </c>
      <c r="C1650" s="25" t="s">
        <v>4324</v>
      </c>
      <c r="D1650" s="25" t="s">
        <v>4325</v>
      </c>
      <c r="E1650" s="26">
        <v>88456</v>
      </c>
    </row>
    <row r="1651" spans="1:5" x14ac:dyDescent="0.25">
      <c r="A1651" s="24" t="s">
        <v>7</v>
      </c>
      <c r="B1651" s="24" t="s">
        <v>4326</v>
      </c>
      <c r="C1651" s="25" t="s">
        <v>4327</v>
      </c>
      <c r="D1651" s="25" t="s">
        <v>4328</v>
      </c>
      <c r="E1651" s="26">
        <v>115369</v>
      </c>
    </row>
    <row r="1652" spans="1:5" x14ac:dyDescent="0.25">
      <c r="A1652" s="24" t="s">
        <v>7</v>
      </c>
      <c r="B1652" s="24" t="s">
        <v>4329</v>
      </c>
      <c r="C1652" s="25" t="s">
        <v>4330</v>
      </c>
      <c r="D1652" s="25" t="s">
        <v>4331</v>
      </c>
      <c r="E1652" s="26">
        <v>9372</v>
      </c>
    </row>
    <row r="1653" spans="1:5" x14ac:dyDescent="0.25">
      <c r="A1653" s="24" t="s">
        <v>7</v>
      </c>
      <c r="B1653" s="24" t="s">
        <v>4332</v>
      </c>
      <c r="C1653" s="25" t="s">
        <v>4333</v>
      </c>
      <c r="D1653" s="25" t="s">
        <v>4334</v>
      </c>
      <c r="E1653" s="26">
        <v>45614</v>
      </c>
    </row>
    <row r="1654" spans="1:5" x14ac:dyDescent="0.25">
      <c r="A1654" s="24" t="s">
        <v>7</v>
      </c>
      <c r="B1654" s="24" t="s">
        <v>4335</v>
      </c>
      <c r="C1654" s="25" t="s">
        <v>4336</v>
      </c>
      <c r="D1654" s="25" t="s">
        <v>4337</v>
      </c>
      <c r="E1654" s="26">
        <v>88456</v>
      </c>
    </row>
    <row r="1655" spans="1:5" x14ac:dyDescent="0.25">
      <c r="A1655" s="24" t="s">
        <v>7</v>
      </c>
      <c r="B1655" s="24" t="s">
        <v>4338</v>
      </c>
      <c r="C1655" s="25" t="s">
        <v>4339</v>
      </c>
      <c r="D1655" s="25" t="s">
        <v>4340</v>
      </c>
      <c r="E1655" s="26">
        <v>73084</v>
      </c>
    </row>
    <row r="1656" spans="1:5" x14ac:dyDescent="0.25">
      <c r="A1656" s="24" t="s">
        <v>7</v>
      </c>
      <c r="B1656" s="24" t="s">
        <v>4341</v>
      </c>
      <c r="C1656" s="25" t="s">
        <v>4342</v>
      </c>
      <c r="D1656" s="25" t="s">
        <v>4343</v>
      </c>
      <c r="E1656" s="26">
        <v>107624</v>
      </c>
    </row>
    <row r="1657" spans="1:5" x14ac:dyDescent="0.25">
      <c r="A1657" s="24" t="s">
        <v>7</v>
      </c>
      <c r="B1657" s="24" t="s">
        <v>4344</v>
      </c>
      <c r="C1657" s="25" t="s">
        <v>4345</v>
      </c>
      <c r="D1657" s="25" t="s">
        <v>4346</v>
      </c>
      <c r="E1657" s="26">
        <v>46903</v>
      </c>
    </row>
    <row r="1658" spans="1:5" x14ac:dyDescent="0.25">
      <c r="A1658" s="24" t="s">
        <v>7</v>
      </c>
      <c r="B1658" s="24" t="s">
        <v>4347</v>
      </c>
      <c r="C1658" s="25" t="s">
        <v>4348</v>
      </c>
      <c r="D1658" s="25" t="s">
        <v>4349</v>
      </c>
      <c r="E1658" s="26">
        <v>123915</v>
      </c>
    </row>
    <row r="1659" spans="1:5" x14ac:dyDescent="0.25">
      <c r="A1659" s="24" t="s">
        <v>7</v>
      </c>
      <c r="B1659" s="24" t="s">
        <v>4350</v>
      </c>
      <c r="C1659" s="25" t="s">
        <v>4351</v>
      </c>
      <c r="D1659" s="25" t="s">
        <v>4352</v>
      </c>
      <c r="E1659" s="26">
        <v>48992</v>
      </c>
    </row>
    <row r="1660" spans="1:5" x14ac:dyDescent="0.25">
      <c r="A1660" s="24" t="s">
        <v>7</v>
      </c>
      <c r="B1660" s="24" t="s">
        <v>4353</v>
      </c>
      <c r="C1660" s="25" t="s">
        <v>4354</v>
      </c>
      <c r="D1660" s="25" t="s">
        <v>4355</v>
      </c>
      <c r="E1660" s="26">
        <v>3454</v>
      </c>
    </row>
    <row r="1661" spans="1:5" x14ac:dyDescent="0.25">
      <c r="A1661" s="24" t="s">
        <v>7</v>
      </c>
      <c r="B1661" s="24" t="s">
        <v>4356</v>
      </c>
      <c r="C1661" s="25" t="s">
        <v>4357</v>
      </c>
      <c r="D1661" s="25" t="s">
        <v>4358</v>
      </c>
      <c r="E1661" s="26">
        <v>15615</v>
      </c>
    </row>
    <row r="1662" spans="1:5" x14ac:dyDescent="0.25">
      <c r="A1662" s="24" t="s">
        <v>7</v>
      </c>
      <c r="B1662" s="24" t="s">
        <v>4359</v>
      </c>
      <c r="C1662" s="25" t="s">
        <v>4360</v>
      </c>
      <c r="D1662" s="25" t="s">
        <v>4361</v>
      </c>
      <c r="E1662" s="26">
        <v>163082</v>
      </c>
    </row>
    <row r="1663" spans="1:5" x14ac:dyDescent="0.25">
      <c r="A1663" s="24" t="s">
        <v>7</v>
      </c>
      <c r="B1663" s="24" t="s">
        <v>4362</v>
      </c>
      <c r="C1663" s="25" t="s">
        <v>4363</v>
      </c>
      <c r="D1663" s="25" t="s">
        <v>4364</v>
      </c>
      <c r="E1663" s="26">
        <v>14030</v>
      </c>
    </row>
    <row r="1664" spans="1:5" x14ac:dyDescent="0.25">
      <c r="A1664" s="24" t="s">
        <v>7</v>
      </c>
      <c r="B1664" s="24" t="s">
        <v>4365</v>
      </c>
      <c r="C1664" s="25" t="s">
        <v>4366</v>
      </c>
      <c r="D1664" s="25" t="s">
        <v>4367</v>
      </c>
      <c r="E1664" s="26">
        <v>21095</v>
      </c>
    </row>
    <row r="1665" spans="1:5" x14ac:dyDescent="0.25">
      <c r="A1665" s="24" t="s">
        <v>7</v>
      </c>
      <c r="B1665" s="24" t="s">
        <v>4368</v>
      </c>
      <c r="C1665" s="25" t="s">
        <v>4369</v>
      </c>
      <c r="D1665" s="25" t="s">
        <v>4370</v>
      </c>
      <c r="E1665" s="26">
        <v>12849</v>
      </c>
    </row>
    <row r="1666" spans="1:5" x14ac:dyDescent="0.25">
      <c r="A1666" s="24" t="s">
        <v>7</v>
      </c>
      <c r="B1666" s="24" t="s">
        <v>4371</v>
      </c>
      <c r="C1666" s="25" t="s">
        <v>4372</v>
      </c>
      <c r="D1666" s="25" t="s">
        <v>4373</v>
      </c>
      <c r="E1666" s="26">
        <v>88912</v>
      </c>
    </row>
    <row r="1667" spans="1:5" x14ac:dyDescent="0.25">
      <c r="A1667" s="24" t="s">
        <v>7</v>
      </c>
      <c r="B1667" s="24" t="s">
        <v>4374</v>
      </c>
      <c r="C1667" s="25" t="s">
        <v>4375</v>
      </c>
      <c r="D1667" s="25" t="s">
        <v>4376</v>
      </c>
      <c r="E1667" s="26">
        <v>13393</v>
      </c>
    </row>
    <row r="1668" spans="1:5" x14ac:dyDescent="0.25">
      <c r="A1668" s="24" t="s">
        <v>7</v>
      </c>
      <c r="B1668" s="24" t="s">
        <v>4377</v>
      </c>
      <c r="C1668" s="25" t="s">
        <v>4378</v>
      </c>
      <c r="D1668" s="25" t="s">
        <v>4379</v>
      </c>
      <c r="E1668" s="26">
        <v>1098</v>
      </c>
    </row>
    <row r="1669" spans="1:5" x14ac:dyDescent="0.25">
      <c r="A1669" s="24" t="s">
        <v>7</v>
      </c>
      <c r="B1669" s="24" t="s">
        <v>4380</v>
      </c>
      <c r="C1669" s="25" t="s">
        <v>4381</v>
      </c>
      <c r="D1669" s="25" t="s">
        <v>4382</v>
      </c>
      <c r="E1669" s="26">
        <v>3075</v>
      </c>
    </row>
    <row r="1670" spans="1:5" x14ac:dyDescent="0.25">
      <c r="A1670" s="24" t="s">
        <v>7</v>
      </c>
      <c r="B1670" s="24" t="s">
        <v>4383</v>
      </c>
      <c r="C1670" s="25" t="s">
        <v>4384</v>
      </c>
      <c r="D1670" s="25" t="s">
        <v>4385</v>
      </c>
      <c r="E1670" s="26">
        <v>7308</v>
      </c>
    </row>
    <row r="1671" spans="1:5" x14ac:dyDescent="0.25">
      <c r="A1671" s="24" t="s">
        <v>7</v>
      </c>
      <c r="B1671" s="24" t="s">
        <v>4386</v>
      </c>
      <c r="C1671" s="25" t="s">
        <v>4387</v>
      </c>
      <c r="D1671" s="25" t="s">
        <v>4388</v>
      </c>
      <c r="E1671" s="26">
        <v>4710</v>
      </c>
    </row>
    <row r="1672" spans="1:5" x14ac:dyDescent="0.25">
      <c r="A1672" s="24" t="s">
        <v>7</v>
      </c>
      <c r="B1672" s="24" t="s">
        <v>4389</v>
      </c>
      <c r="C1672" s="25" t="s">
        <v>4390</v>
      </c>
      <c r="D1672" s="25" t="s">
        <v>4391</v>
      </c>
      <c r="E1672" s="26">
        <v>9703.2999999999993</v>
      </c>
    </row>
    <row r="1673" spans="1:5" x14ac:dyDescent="0.25">
      <c r="A1673" s="24" t="s">
        <v>7</v>
      </c>
      <c r="B1673" s="24" t="s">
        <v>4392</v>
      </c>
      <c r="C1673" s="25" t="s">
        <v>4393</v>
      </c>
      <c r="D1673" s="25" t="s">
        <v>4394</v>
      </c>
      <c r="E1673" s="26">
        <v>9887</v>
      </c>
    </row>
    <row r="1674" spans="1:5" x14ac:dyDescent="0.25">
      <c r="A1674" s="24" t="s">
        <v>7</v>
      </c>
      <c r="B1674" s="24" t="s">
        <v>4395</v>
      </c>
      <c r="C1674" s="25" t="s">
        <v>4396</v>
      </c>
      <c r="D1674" s="25" t="s">
        <v>4397</v>
      </c>
      <c r="E1674" s="26">
        <v>1922</v>
      </c>
    </row>
    <row r="1675" spans="1:5" x14ac:dyDescent="0.25">
      <c r="A1675" s="24" t="s">
        <v>7</v>
      </c>
      <c r="B1675" s="24" t="s">
        <v>4398</v>
      </c>
      <c r="C1675" s="25" t="s">
        <v>4399</v>
      </c>
      <c r="D1675" s="25" t="s">
        <v>4400</v>
      </c>
      <c r="E1675" s="26">
        <v>18970</v>
      </c>
    </row>
    <row r="1676" spans="1:5" x14ac:dyDescent="0.25">
      <c r="A1676" s="24" t="s">
        <v>7</v>
      </c>
      <c r="B1676" s="24" t="s">
        <v>4401</v>
      </c>
      <c r="C1676" s="25" t="s">
        <v>4402</v>
      </c>
      <c r="D1676" s="25" t="s">
        <v>4397</v>
      </c>
      <c r="E1676" s="26">
        <v>1922</v>
      </c>
    </row>
    <row r="1677" spans="1:5" x14ac:dyDescent="0.25">
      <c r="A1677" s="24" t="s">
        <v>7</v>
      </c>
      <c r="B1677" s="24" t="s">
        <v>4403</v>
      </c>
      <c r="C1677" s="25" t="s">
        <v>4404</v>
      </c>
      <c r="D1677" s="25" t="s">
        <v>4405</v>
      </c>
      <c r="E1677" s="26">
        <v>21991</v>
      </c>
    </row>
    <row r="1678" spans="1:5" x14ac:dyDescent="0.25">
      <c r="A1678" s="24" t="s">
        <v>7</v>
      </c>
      <c r="B1678" s="24" t="s">
        <v>4406</v>
      </c>
      <c r="C1678" s="25" t="s">
        <v>4407</v>
      </c>
      <c r="D1678" s="25" t="s">
        <v>4408</v>
      </c>
      <c r="E1678" s="26">
        <v>19135</v>
      </c>
    </row>
    <row r="1679" spans="1:5" x14ac:dyDescent="0.25">
      <c r="A1679" s="24" t="s">
        <v>7</v>
      </c>
      <c r="B1679" s="24" t="s">
        <v>4409</v>
      </c>
      <c r="C1679" s="25" t="s">
        <v>4410</v>
      </c>
      <c r="D1679" s="25" t="s">
        <v>4411</v>
      </c>
      <c r="E1679" s="26">
        <v>7561</v>
      </c>
    </row>
    <row r="1680" spans="1:5" x14ac:dyDescent="0.25">
      <c r="A1680" s="24" t="s">
        <v>7</v>
      </c>
      <c r="B1680" s="24" t="s">
        <v>4412</v>
      </c>
      <c r="C1680" s="25" t="s">
        <v>4413</v>
      </c>
      <c r="D1680" s="25" t="s">
        <v>4414</v>
      </c>
      <c r="E1680" s="26">
        <v>32309</v>
      </c>
    </row>
    <row r="1681" spans="1:5" x14ac:dyDescent="0.25">
      <c r="A1681" s="24" t="s">
        <v>7</v>
      </c>
      <c r="B1681" s="24" t="s">
        <v>4415</v>
      </c>
      <c r="C1681" s="25" t="s">
        <v>4416</v>
      </c>
      <c r="D1681" s="25" t="s">
        <v>4417</v>
      </c>
      <c r="E1681" s="26">
        <v>11037</v>
      </c>
    </row>
    <row r="1682" spans="1:5" x14ac:dyDescent="0.25">
      <c r="A1682" s="24" t="s">
        <v>7</v>
      </c>
      <c r="B1682" s="24" t="s">
        <v>4418</v>
      </c>
      <c r="C1682" s="25" t="s">
        <v>4419</v>
      </c>
      <c r="D1682" s="25" t="s">
        <v>4420</v>
      </c>
      <c r="E1682" s="26">
        <v>9333</v>
      </c>
    </row>
    <row r="1683" spans="1:5" x14ac:dyDescent="0.25">
      <c r="A1683" s="24" t="s">
        <v>7</v>
      </c>
      <c r="B1683" s="24" t="s">
        <v>4421</v>
      </c>
      <c r="C1683" s="25" t="s">
        <v>4422</v>
      </c>
      <c r="D1683" s="25" t="s">
        <v>4423</v>
      </c>
      <c r="E1683" s="26">
        <v>2705</v>
      </c>
    </row>
    <row r="1684" spans="1:5" x14ac:dyDescent="0.25">
      <c r="A1684" s="24" t="s">
        <v>7</v>
      </c>
      <c r="B1684" s="24" t="s">
        <v>4424</v>
      </c>
      <c r="C1684" s="25" t="s">
        <v>4425</v>
      </c>
      <c r="D1684" s="25" t="s">
        <v>4426</v>
      </c>
      <c r="E1684" s="26">
        <v>3569</v>
      </c>
    </row>
    <row r="1685" spans="1:5" x14ac:dyDescent="0.25">
      <c r="A1685" s="24" t="s">
        <v>7</v>
      </c>
      <c r="B1685" s="24" t="s">
        <v>4427</v>
      </c>
      <c r="C1685" s="25" t="s">
        <v>4428</v>
      </c>
      <c r="D1685" s="25" t="s">
        <v>4429</v>
      </c>
      <c r="E1685" s="26">
        <v>26504</v>
      </c>
    </row>
    <row r="1686" spans="1:5" x14ac:dyDescent="0.25">
      <c r="A1686" s="24" t="s">
        <v>7</v>
      </c>
      <c r="B1686" s="24" t="s">
        <v>4430</v>
      </c>
      <c r="C1686" s="25" t="s">
        <v>4431</v>
      </c>
      <c r="D1686" s="25" t="s">
        <v>4432</v>
      </c>
      <c r="E1686" s="26">
        <v>20148</v>
      </c>
    </row>
    <row r="1687" spans="1:5" x14ac:dyDescent="0.25">
      <c r="A1687" s="24" t="s">
        <v>7</v>
      </c>
      <c r="B1687" s="24" t="s">
        <v>4433</v>
      </c>
      <c r="C1687" s="25" t="s">
        <v>4434</v>
      </c>
      <c r="D1687" s="25" t="s">
        <v>4435</v>
      </c>
      <c r="E1687" s="26">
        <v>5296</v>
      </c>
    </row>
    <row r="1688" spans="1:5" x14ac:dyDescent="0.25">
      <c r="A1688" s="24" t="s">
        <v>7</v>
      </c>
      <c r="B1688" s="24" t="s">
        <v>4436</v>
      </c>
      <c r="C1688" s="25" t="s">
        <v>4437</v>
      </c>
      <c r="D1688" s="25" t="s">
        <v>4438</v>
      </c>
      <c r="E1688" s="26">
        <v>16424</v>
      </c>
    </row>
    <row r="1689" spans="1:5" x14ac:dyDescent="0.25">
      <c r="A1689" s="24" t="s">
        <v>7</v>
      </c>
      <c r="B1689" s="24" t="s">
        <v>4439</v>
      </c>
      <c r="C1689" s="25" t="s">
        <v>4440</v>
      </c>
      <c r="D1689" s="25" t="s">
        <v>4441</v>
      </c>
      <c r="E1689" s="26">
        <v>3367</v>
      </c>
    </row>
    <row r="1690" spans="1:5" x14ac:dyDescent="0.25">
      <c r="A1690" s="24" t="s">
        <v>7</v>
      </c>
      <c r="B1690" s="24" t="s">
        <v>4442</v>
      </c>
      <c r="C1690" s="25" t="s">
        <v>4443</v>
      </c>
      <c r="D1690" s="25" t="s">
        <v>4444</v>
      </c>
      <c r="E1690" s="26">
        <v>1773</v>
      </c>
    </row>
    <row r="1691" spans="1:5" x14ac:dyDescent="0.25">
      <c r="A1691" s="24" t="s">
        <v>7</v>
      </c>
      <c r="B1691" s="24" t="s">
        <v>4445</v>
      </c>
      <c r="C1691" s="25" t="s">
        <v>4446</v>
      </c>
      <c r="D1691" s="25" t="s">
        <v>4447</v>
      </c>
      <c r="E1691" s="26">
        <v>1657</v>
      </c>
    </row>
    <row r="1692" spans="1:5" x14ac:dyDescent="0.25">
      <c r="A1692" s="24" t="s">
        <v>7</v>
      </c>
      <c r="B1692" s="24" t="s">
        <v>4448</v>
      </c>
      <c r="C1692" s="25" t="s">
        <v>4449</v>
      </c>
      <c r="D1692" s="25" t="s">
        <v>4450</v>
      </c>
      <c r="E1692" s="26">
        <v>3883</v>
      </c>
    </row>
    <row r="1693" spans="1:5" x14ac:dyDescent="0.25">
      <c r="A1693" s="24" t="s">
        <v>7</v>
      </c>
      <c r="B1693" s="24" t="s">
        <v>4451</v>
      </c>
      <c r="C1693" s="25" t="s">
        <v>4452</v>
      </c>
      <c r="D1693" s="25" t="s">
        <v>4453</v>
      </c>
      <c r="E1693" s="26">
        <v>1584</v>
      </c>
    </row>
    <row r="1694" spans="1:5" x14ac:dyDescent="0.25">
      <c r="A1694" s="24" t="s">
        <v>7</v>
      </c>
      <c r="B1694" s="24" t="s">
        <v>4454</v>
      </c>
      <c r="C1694" s="25" t="s">
        <v>4455</v>
      </c>
      <c r="D1694" s="25" t="s">
        <v>4456</v>
      </c>
      <c r="E1694" s="26">
        <v>8351</v>
      </c>
    </row>
    <row r="1695" spans="1:5" x14ac:dyDescent="0.25">
      <c r="A1695" s="24" t="s">
        <v>7</v>
      </c>
      <c r="B1695" s="24" t="s">
        <v>4457</v>
      </c>
      <c r="C1695" s="25" t="s">
        <v>4458</v>
      </c>
      <c r="D1695" s="25" t="s">
        <v>4459</v>
      </c>
      <c r="E1695" s="26">
        <v>16994</v>
      </c>
    </row>
    <row r="1696" spans="1:5" x14ac:dyDescent="0.25">
      <c r="A1696" s="24" t="s">
        <v>7</v>
      </c>
      <c r="B1696" s="24" t="s">
        <v>4460</v>
      </c>
      <c r="C1696" s="25" t="s">
        <v>4461</v>
      </c>
      <c r="D1696" s="25" t="s">
        <v>4462</v>
      </c>
      <c r="E1696" s="26">
        <v>15250</v>
      </c>
    </row>
    <row r="1697" spans="1:5" x14ac:dyDescent="0.25">
      <c r="A1697" s="24" t="s">
        <v>7</v>
      </c>
      <c r="B1697" s="24" t="s">
        <v>4463</v>
      </c>
      <c r="C1697" s="25" t="s">
        <v>4464</v>
      </c>
      <c r="D1697" s="25" t="s">
        <v>4465</v>
      </c>
      <c r="E1697" s="26">
        <v>14377</v>
      </c>
    </row>
    <row r="1698" spans="1:5" x14ac:dyDescent="0.25">
      <c r="A1698" s="24" t="s">
        <v>7</v>
      </c>
      <c r="B1698" s="24" t="s">
        <v>4466</v>
      </c>
      <c r="C1698" s="25" t="s">
        <v>4467</v>
      </c>
      <c r="D1698" s="25" t="s">
        <v>4468</v>
      </c>
      <c r="E1698" s="26">
        <v>500</v>
      </c>
    </row>
    <row r="1699" spans="1:5" x14ac:dyDescent="0.25">
      <c r="A1699" s="24" t="s">
        <v>7</v>
      </c>
      <c r="B1699" s="24" t="s">
        <v>4469</v>
      </c>
      <c r="C1699" s="25" t="s">
        <v>4470</v>
      </c>
      <c r="D1699" s="25" t="s">
        <v>4471</v>
      </c>
      <c r="E1699" s="26">
        <v>1772</v>
      </c>
    </row>
    <row r="1700" spans="1:5" x14ac:dyDescent="0.25">
      <c r="A1700" s="24" t="s">
        <v>7</v>
      </c>
      <c r="B1700" s="24" t="s">
        <v>4472</v>
      </c>
      <c r="C1700" s="25" t="s">
        <v>4473</v>
      </c>
      <c r="D1700" s="25" t="s">
        <v>4474</v>
      </c>
      <c r="E1700" s="26">
        <v>7807</v>
      </c>
    </row>
    <row r="1701" spans="1:5" x14ac:dyDescent="0.25">
      <c r="A1701" s="24" t="s">
        <v>7</v>
      </c>
      <c r="B1701" s="24" t="s">
        <v>4475</v>
      </c>
      <c r="C1701" s="25" t="s">
        <v>4476</v>
      </c>
      <c r="D1701" s="25" t="s">
        <v>4477</v>
      </c>
      <c r="E1701" s="26">
        <v>7800</v>
      </c>
    </row>
    <row r="1702" spans="1:5" x14ac:dyDescent="0.25">
      <c r="A1702" s="24" t="s">
        <v>7</v>
      </c>
      <c r="B1702" s="24" t="s">
        <v>4478</v>
      </c>
      <c r="C1702" s="25" t="s">
        <v>4479</v>
      </c>
      <c r="D1702" s="25" t="s">
        <v>4480</v>
      </c>
      <c r="E1702" s="26">
        <v>4798</v>
      </c>
    </row>
    <row r="1703" spans="1:5" x14ac:dyDescent="0.25">
      <c r="A1703" s="24" t="s">
        <v>7</v>
      </c>
      <c r="B1703" s="24" t="s">
        <v>4481</v>
      </c>
      <c r="C1703" s="25" t="s">
        <v>4482</v>
      </c>
      <c r="D1703" s="25" t="s">
        <v>4483</v>
      </c>
      <c r="E1703" s="26">
        <v>5266</v>
      </c>
    </row>
    <row r="1704" spans="1:5" x14ac:dyDescent="0.25">
      <c r="A1704" s="24" t="s">
        <v>7</v>
      </c>
      <c r="B1704" s="24" t="s">
        <v>4484</v>
      </c>
      <c r="C1704" s="25" t="s">
        <v>4485</v>
      </c>
      <c r="D1704" s="25" t="s">
        <v>4486</v>
      </c>
      <c r="E1704" s="26">
        <v>2918</v>
      </c>
    </row>
    <row r="1705" spans="1:5" x14ac:dyDescent="0.25">
      <c r="A1705" s="24" t="s">
        <v>7</v>
      </c>
      <c r="B1705" s="24" t="s">
        <v>4487</v>
      </c>
      <c r="C1705" s="25" t="s">
        <v>4488</v>
      </c>
      <c r="D1705" s="25" t="s">
        <v>4489</v>
      </c>
      <c r="E1705" s="26">
        <v>4818</v>
      </c>
    </row>
    <row r="1706" spans="1:5" x14ac:dyDescent="0.25">
      <c r="A1706" s="24" t="s">
        <v>7</v>
      </c>
      <c r="B1706" s="24" t="s">
        <v>4490</v>
      </c>
      <c r="C1706" s="25" t="s">
        <v>4491</v>
      </c>
      <c r="D1706" s="25" t="s">
        <v>4492</v>
      </c>
      <c r="E1706" s="26">
        <v>1919</v>
      </c>
    </row>
    <row r="1707" spans="1:5" x14ac:dyDescent="0.25">
      <c r="A1707" s="24" t="s">
        <v>7</v>
      </c>
      <c r="B1707" s="24" t="s">
        <v>4493</v>
      </c>
      <c r="C1707" s="25" t="s">
        <v>4494</v>
      </c>
      <c r="D1707" s="25" t="s">
        <v>4495</v>
      </c>
      <c r="E1707" s="26">
        <v>21778</v>
      </c>
    </row>
    <row r="1708" spans="1:5" x14ac:dyDescent="0.25">
      <c r="A1708" s="24" t="s">
        <v>7</v>
      </c>
      <c r="B1708" s="24" t="s">
        <v>4496</v>
      </c>
      <c r="C1708" s="25" t="s">
        <v>4497</v>
      </c>
      <c r="D1708" s="25" t="s">
        <v>4498</v>
      </c>
      <c r="E1708" s="26">
        <v>4553</v>
      </c>
    </row>
    <row r="1709" spans="1:5" x14ac:dyDescent="0.25">
      <c r="A1709" s="24" t="s">
        <v>7</v>
      </c>
      <c r="B1709" s="24" t="s">
        <v>4499</v>
      </c>
      <c r="C1709" s="25" t="s">
        <v>4500</v>
      </c>
      <c r="D1709" s="25" t="s">
        <v>4501</v>
      </c>
      <c r="E1709" s="26">
        <v>8391</v>
      </c>
    </row>
    <row r="1710" spans="1:5" x14ac:dyDescent="0.25">
      <c r="A1710" s="24" t="s">
        <v>7</v>
      </c>
      <c r="B1710" s="24" t="s">
        <v>4502</v>
      </c>
      <c r="C1710" s="25" t="s">
        <v>4503</v>
      </c>
      <c r="D1710" s="25" t="s">
        <v>4504</v>
      </c>
      <c r="E1710" s="26">
        <v>9954</v>
      </c>
    </row>
    <row r="1711" spans="1:5" x14ac:dyDescent="0.25">
      <c r="A1711" s="24" t="s">
        <v>7</v>
      </c>
      <c r="B1711" s="24" t="s">
        <v>4505</v>
      </c>
      <c r="C1711" s="25" t="s">
        <v>4506</v>
      </c>
      <c r="D1711" s="25" t="s">
        <v>4507</v>
      </c>
      <c r="E1711" s="26">
        <v>21075</v>
      </c>
    </row>
    <row r="1712" spans="1:5" x14ac:dyDescent="0.25">
      <c r="A1712" s="24" t="s">
        <v>7</v>
      </c>
      <c r="B1712" s="24" t="s">
        <v>4508</v>
      </c>
      <c r="C1712" s="25" t="s">
        <v>4509</v>
      </c>
      <c r="D1712" s="25" t="s">
        <v>4510</v>
      </c>
      <c r="E1712" s="26">
        <v>30359</v>
      </c>
    </row>
    <row r="1713" spans="1:5" x14ac:dyDescent="0.25">
      <c r="A1713" s="24" t="s">
        <v>7</v>
      </c>
      <c r="B1713" s="24" t="s">
        <v>4511</v>
      </c>
      <c r="C1713" s="25" t="s">
        <v>4512</v>
      </c>
      <c r="D1713" s="25" t="s">
        <v>4513</v>
      </c>
      <c r="E1713" s="26">
        <v>22972</v>
      </c>
    </row>
    <row r="1714" spans="1:5" x14ac:dyDescent="0.25">
      <c r="A1714" s="24" t="s">
        <v>7</v>
      </c>
      <c r="B1714" s="24" t="s">
        <v>4514</v>
      </c>
      <c r="C1714" s="25" t="s">
        <v>4515</v>
      </c>
      <c r="D1714" s="25" t="s">
        <v>4516</v>
      </c>
      <c r="E1714" s="26">
        <v>19883</v>
      </c>
    </row>
    <row r="1715" spans="1:5" x14ac:dyDescent="0.25">
      <c r="A1715" s="24" t="s">
        <v>7</v>
      </c>
      <c r="B1715" s="24" t="s">
        <v>4517</v>
      </c>
      <c r="C1715" s="25" t="s">
        <v>4518</v>
      </c>
      <c r="D1715" s="25" t="s">
        <v>4519</v>
      </c>
      <c r="E1715" s="26">
        <v>21672</v>
      </c>
    </row>
    <row r="1716" spans="1:5" x14ac:dyDescent="0.25">
      <c r="A1716" s="24" t="s">
        <v>7</v>
      </c>
      <c r="B1716" s="24" t="s">
        <v>4520</v>
      </c>
      <c r="C1716" s="25" t="s">
        <v>4521</v>
      </c>
      <c r="D1716" s="25" t="s">
        <v>4522</v>
      </c>
      <c r="E1716" s="26">
        <v>2584</v>
      </c>
    </row>
    <row r="1717" spans="1:5" x14ac:dyDescent="0.25">
      <c r="A1717" s="24" t="s">
        <v>7</v>
      </c>
      <c r="B1717" s="24" t="s">
        <v>4523</v>
      </c>
      <c r="C1717" s="25" t="s">
        <v>4524</v>
      </c>
      <c r="D1717" s="25" t="s">
        <v>4525</v>
      </c>
      <c r="E1717" s="26">
        <v>2787</v>
      </c>
    </row>
    <row r="1718" spans="1:5" x14ac:dyDescent="0.25">
      <c r="A1718" s="24" t="s">
        <v>7</v>
      </c>
      <c r="B1718" s="24" t="s">
        <v>4526</v>
      </c>
      <c r="C1718" s="25" t="s">
        <v>4527</v>
      </c>
      <c r="D1718" s="25" t="s">
        <v>4528</v>
      </c>
      <c r="E1718" s="26">
        <v>9995</v>
      </c>
    </row>
    <row r="1719" spans="1:5" x14ac:dyDescent="0.25">
      <c r="A1719" s="24" t="s">
        <v>7</v>
      </c>
      <c r="B1719" s="24" t="s">
        <v>4529</v>
      </c>
      <c r="C1719" s="25" t="s">
        <v>4530</v>
      </c>
      <c r="D1719" s="25" t="s">
        <v>4531</v>
      </c>
      <c r="E1719" s="26">
        <v>2981</v>
      </c>
    </row>
    <row r="1720" spans="1:5" x14ac:dyDescent="0.25">
      <c r="A1720" s="24" t="s">
        <v>7</v>
      </c>
      <c r="B1720" s="24" t="s">
        <v>4532</v>
      </c>
      <c r="C1720" s="25" t="s">
        <v>4533</v>
      </c>
      <c r="D1720" s="25" t="s">
        <v>4533</v>
      </c>
      <c r="E1720" s="26">
        <v>565</v>
      </c>
    </row>
    <row r="1721" spans="1:5" x14ac:dyDescent="0.25">
      <c r="A1721" s="24" t="s">
        <v>7</v>
      </c>
      <c r="B1721" s="24" t="s">
        <v>4534</v>
      </c>
      <c r="C1721" s="25" t="s">
        <v>4535</v>
      </c>
      <c r="D1721" s="25" t="s">
        <v>4536</v>
      </c>
      <c r="E1721" s="26">
        <v>7505</v>
      </c>
    </row>
    <row r="1722" spans="1:5" x14ac:dyDescent="0.25">
      <c r="A1722" s="24" t="s">
        <v>7</v>
      </c>
      <c r="B1722" s="24" t="s">
        <v>4537</v>
      </c>
      <c r="C1722" s="25" t="s">
        <v>4538</v>
      </c>
      <c r="D1722" s="25" t="s">
        <v>4539</v>
      </c>
      <c r="E1722" s="26">
        <v>2417</v>
      </c>
    </row>
    <row r="1723" spans="1:5" x14ac:dyDescent="0.25">
      <c r="A1723" s="24" t="s">
        <v>7</v>
      </c>
      <c r="B1723" s="24" t="s">
        <v>4540</v>
      </c>
      <c r="C1723" s="25" t="s">
        <v>4541</v>
      </c>
      <c r="D1723" s="25" t="s">
        <v>4542</v>
      </c>
      <c r="E1723" s="26">
        <v>7505</v>
      </c>
    </row>
    <row r="1724" spans="1:5" x14ac:dyDescent="0.25">
      <c r="A1724" s="24" t="s">
        <v>7</v>
      </c>
      <c r="B1724" s="24" t="s">
        <v>4543</v>
      </c>
      <c r="C1724" s="25" t="s">
        <v>4544</v>
      </c>
      <c r="D1724" s="25" t="s">
        <v>4545</v>
      </c>
      <c r="E1724" s="26">
        <v>8331</v>
      </c>
    </row>
    <row r="1725" spans="1:5" x14ac:dyDescent="0.25">
      <c r="A1725" s="24" t="s">
        <v>7</v>
      </c>
      <c r="B1725" s="24" t="s">
        <v>4546</v>
      </c>
      <c r="C1725" s="25" t="s">
        <v>4547</v>
      </c>
      <c r="D1725" s="25" t="s">
        <v>4548</v>
      </c>
      <c r="E1725" s="26">
        <v>73877</v>
      </c>
    </row>
    <row r="1726" spans="1:5" x14ac:dyDescent="0.25">
      <c r="A1726" s="24" t="s">
        <v>7</v>
      </c>
      <c r="B1726" s="24" t="s">
        <v>4549</v>
      </c>
      <c r="C1726" s="25" t="s">
        <v>4550</v>
      </c>
      <c r="D1726" s="25" t="s">
        <v>4551</v>
      </c>
      <c r="E1726" s="26">
        <v>62615</v>
      </c>
    </row>
    <row r="1727" spans="1:5" x14ac:dyDescent="0.25">
      <c r="A1727" s="24" t="s">
        <v>7</v>
      </c>
      <c r="B1727" s="24" t="s">
        <v>4552</v>
      </c>
      <c r="C1727" s="25" t="s">
        <v>4553</v>
      </c>
      <c r="D1727" s="25" t="s">
        <v>4554</v>
      </c>
      <c r="E1727" s="26">
        <v>29424</v>
      </c>
    </row>
    <row r="1728" spans="1:5" x14ac:dyDescent="0.25">
      <c r="A1728" s="24" t="s">
        <v>7</v>
      </c>
      <c r="B1728" s="24" t="s">
        <v>4555</v>
      </c>
      <c r="C1728" s="25" t="s">
        <v>4556</v>
      </c>
      <c r="D1728" s="25" t="s">
        <v>4557</v>
      </c>
      <c r="E1728" s="26">
        <v>58846</v>
      </c>
    </row>
    <row r="1729" spans="1:5" x14ac:dyDescent="0.25">
      <c r="A1729" s="24" t="s">
        <v>7</v>
      </c>
      <c r="B1729" s="24" t="s">
        <v>4558</v>
      </c>
      <c r="C1729" s="25" t="s">
        <v>4559</v>
      </c>
      <c r="D1729" s="25" t="s">
        <v>4560</v>
      </c>
      <c r="E1729" s="26">
        <v>38440</v>
      </c>
    </row>
    <row r="1730" spans="1:5" x14ac:dyDescent="0.25">
      <c r="A1730" s="24" t="s">
        <v>7</v>
      </c>
      <c r="B1730" s="24" t="s">
        <v>4561</v>
      </c>
      <c r="C1730" s="25" t="s">
        <v>4562</v>
      </c>
      <c r="D1730" s="25" t="s">
        <v>4563</v>
      </c>
      <c r="E1730" s="26">
        <v>66372</v>
      </c>
    </row>
    <row r="1731" spans="1:5" x14ac:dyDescent="0.25">
      <c r="A1731" s="24" t="s">
        <v>7</v>
      </c>
      <c r="B1731" s="24" t="s">
        <v>4564</v>
      </c>
      <c r="C1731" s="25" t="s">
        <v>4565</v>
      </c>
      <c r="D1731" s="25" t="s">
        <v>4566</v>
      </c>
      <c r="E1731" s="26">
        <v>8088</v>
      </c>
    </row>
    <row r="1732" spans="1:5" x14ac:dyDescent="0.25">
      <c r="A1732" s="24" t="s">
        <v>7</v>
      </c>
      <c r="B1732" s="24" t="s">
        <v>4567</v>
      </c>
      <c r="C1732" s="25" t="s">
        <v>4568</v>
      </c>
      <c r="D1732" s="25" t="s">
        <v>4569</v>
      </c>
      <c r="E1732" s="26">
        <v>73029</v>
      </c>
    </row>
    <row r="1733" spans="1:5" x14ac:dyDescent="0.25">
      <c r="A1733" s="24" t="s">
        <v>7</v>
      </c>
      <c r="B1733" s="24" t="s">
        <v>4570</v>
      </c>
      <c r="C1733" s="25" t="s">
        <v>4571</v>
      </c>
      <c r="D1733" s="25" t="s">
        <v>4572</v>
      </c>
      <c r="E1733" s="26">
        <v>7942</v>
      </c>
    </row>
    <row r="1734" spans="1:5" x14ac:dyDescent="0.25">
      <c r="A1734" s="24" t="s">
        <v>7</v>
      </c>
      <c r="B1734" s="24" t="s">
        <v>4573</v>
      </c>
      <c r="C1734" s="25" t="s">
        <v>4574</v>
      </c>
      <c r="D1734" s="25" t="s">
        <v>4575</v>
      </c>
      <c r="E1734" s="26">
        <v>5206</v>
      </c>
    </row>
    <row r="1735" spans="1:5" x14ac:dyDescent="0.25">
      <c r="A1735" s="24" t="s">
        <v>7</v>
      </c>
      <c r="B1735" s="24" t="s">
        <v>4576</v>
      </c>
      <c r="C1735" s="25" t="s">
        <v>4577</v>
      </c>
      <c r="D1735" s="25" t="s">
        <v>4578</v>
      </c>
      <c r="E1735" s="26">
        <v>12692</v>
      </c>
    </row>
    <row r="1736" spans="1:5" x14ac:dyDescent="0.25">
      <c r="A1736" s="24" t="s">
        <v>7</v>
      </c>
      <c r="B1736" s="24" t="s">
        <v>4579</v>
      </c>
      <c r="C1736" s="25" t="s">
        <v>4192</v>
      </c>
      <c r="D1736" s="25" t="s">
        <v>4193</v>
      </c>
      <c r="E1736" s="26">
        <v>4156</v>
      </c>
    </row>
    <row r="1737" spans="1:5" x14ac:dyDescent="0.25">
      <c r="A1737" s="24" t="s">
        <v>7</v>
      </c>
      <c r="B1737" s="24" t="s">
        <v>4580</v>
      </c>
      <c r="C1737" s="25" t="s">
        <v>4581</v>
      </c>
      <c r="D1737" s="25" t="s">
        <v>4582</v>
      </c>
      <c r="E1737" s="26">
        <v>12692</v>
      </c>
    </row>
    <row r="1738" spans="1:5" x14ac:dyDescent="0.25">
      <c r="A1738" s="24" t="s">
        <v>7</v>
      </c>
      <c r="B1738" s="24" t="s">
        <v>4583</v>
      </c>
      <c r="C1738" s="25" t="s">
        <v>4584</v>
      </c>
      <c r="D1738" s="25" t="s">
        <v>4585</v>
      </c>
      <c r="E1738" s="26">
        <v>3121</v>
      </c>
    </row>
    <row r="1739" spans="1:5" x14ac:dyDescent="0.25">
      <c r="A1739" s="24" t="s">
        <v>7</v>
      </c>
      <c r="B1739" s="24" t="s">
        <v>4586</v>
      </c>
      <c r="C1739" s="25" t="s">
        <v>4587</v>
      </c>
      <c r="D1739" s="25" t="s">
        <v>4588</v>
      </c>
      <c r="E1739" s="26">
        <v>10916</v>
      </c>
    </row>
    <row r="1740" spans="1:5" x14ac:dyDescent="0.25">
      <c r="A1740" s="24" t="s">
        <v>7</v>
      </c>
      <c r="B1740" s="24" t="s">
        <v>4589</v>
      </c>
      <c r="C1740" s="25" t="s">
        <v>4590</v>
      </c>
      <c r="D1740" s="25" t="s">
        <v>4591</v>
      </c>
      <c r="E1740" s="26">
        <v>48560</v>
      </c>
    </row>
    <row r="1741" spans="1:5" x14ac:dyDescent="0.25">
      <c r="A1741" s="24" t="s">
        <v>7</v>
      </c>
      <c r="B1741" s="24" t="s">
        <v>4592</v>
      </c>
      <c r="C1741" s="25" t="s">
        <v>4593</v>
      </c>
      <c r="D1741" s="25" t="s">
        <v>4594</v>
      </c>
      <c r="E1741" s="26">
        <v>58493</v>
      </c>
    </row>
    <row r="1742" spans="1:5" x14ac:dyDescent="0.25">
      <c r="A1742" s="24" t="s">
        <v>7</v>
      </c>
      <c r="B1742" s="24" t="s">
        <v>4595</v>
      </c>
      <c r="C1742" s="25" t="s">
        <v>4596</v>
      </c>
      <c r="D1742" s="25" t="s">
        <v>4597</v>
      </c>
      <c r="E1742" s="26">
        <v>30359</v>
      </c>
    </row>
    <row r="1743" spans="1:5" x14ac:dyDescent="0.25">
      <c r="A1743" s="24" t="s">
        <v>7</v>
      </c>
      <c r="B1743" s="24" t="s">
        <v>4598</v>
      </c>
      <c r="C1743" s="25" t="s">
        <v>4599</v>
      </c>
      <c r="D1743" s="25" t="s">
        <v>4600</v>
      </c>
      <c r="E1743" s="26">
        <v>17348</v>
      </c>
    </row>
    <row r="1744" spans="1:5" x14ac:dyDescent="0.25">
      <c r="A1744" s="24" t="s">
        <v>7</v>
      </c>
      <c r="B1744" s="24" t="s">
        <v>4601</v>
      </c>
      <c r="C1744" s="25" t="s">
        <v>4602</v>
      </c>
      <c r="D1744" s="25" t="s">
        <v>4603</v>
      </c>
      <c r="E1744" s="26">
        <v>6631</v>
      </c>
    </row>
    <row r="1745" spans="1:5" x14ac:dyDescent="0.25">
      <c r="A1745" s="24" t="s">
        <v>7</v>
      </c>
      <c r="B1745" s="24" t="s">
        <v>4604</v>
      </c>
      <c r="C1745" s="25" t="s">
        <v>4605</v>
      </c>
      <c r="D1745" s="25" t="s">
        <v>4606</v>
      </c>
      <c r="E1745" s="26">
        <v>123665</v>
      </c>
    </row>
    <row r="1746" spans="1:5" x14ac:dyDescent="0.25">
      <c r="A1746" s="24" t="s">
        <v>7</v>
      </c>
      <c r="B1746" s="24" t="s">
        <v>4607</v>
      </c>
      <c r="C1746" s="25" t="s">
        <v>4608</v>
      </c>
      <c r="D1746" s="25" t="s">
        <v>4609</v>
      </c>
      <c r="E1746" s="26">
        <v>17029</v>
      </c>
    </row>
    <row r="1747" spans="1:5" x14ac:dyDescent="0.25">
      <c r="A1747" s="24" t="s">
        <v>7</v>
      </c>
      <c r="B1747" s="24" t="s">
        <v>4610</v>
      </c>
      <c r="C1747" s="25" t="s">
        <v>4611</v>
      </c>
      <c r="D1747" s="25" t="s">
        <v>4612</v>
      </c>
      <c r="E1747" s="26">
        <v>24473</v>
      </c>
    </row>
    <row r="1748" spans="1:5" x14ac:dyDescent="0.25">
      <c r="A1748" s="24" t="s">
        <v>7</v>
      </c>
      <c r="B1748" s="24" t="s">
        <v>4613</v>
      </c>
      <c r="C1748" s="25" t="s">
        <v>4614</v>
      </c>
      <c r="D1748" s="25" t="s">
        <v>4615</v>
      </c>
      <c r="E1748" s="26">
        <v>26196</v>
      </c>
    </row>
    <row r="1749" spans="1:5" x14ac:dyDescent="0.25">
      <c r="A1749" s="24" t="s">
        <v>7</v>
      </c>
      <c r="B1749" s="24" t="s">
        <v>4616</v>
      </c>
      <c r="C1749" s="25" t="s">
        <v>4617</v>
      </c>
      <c r="D1749" s="25" t="s">
        <v>4618</v>
      </c>
      <c r="E1749" s="26">
        <v>21785</v>
      </c>
    </row>
    <row r="1750" spans="1:5" x14ac:dyDescent="0.25">
      <c r="A1750" s="24" t="s">
        <v>7</v>
      </c>
      <c r="B1750" s="24" t="s">
        <v>4619</v>
      </c>
      <c r="C1750" s="25" t="s">
        <v>4620</v>
      </c>
      <c r="D1750" s="25" t="s">
        <v>4621</v>
      </c>
      <c r="E1750" s="26">
        <v>10405</v>
      </c>
    </row>
    <row r="1751" spans="1:5" x14ac:dyDescent="0.25">
      <c r="A1751" s="24" t="s">
        <v>7</v>
      </c>
      <c r="B1751" s="24" t="s">
        <v>4622</v>
      </c>
      <c r="C1751" s="25" t="s">
        <v>4623</v>
      </c>
      <c r="D1751" s="25" t="s">
        <v>4624</v>
      </c>
      <c r="E1751" s="26">
        <v>12660</v>
      </c>
    </row>
    <row r="1752" spans="1:5" x14ac:dyDescent="0.25">
      <c r="A1752" s="24" t="s">
        <v>7</v>
      </c>
      <c r="B1752" s="24" t="s">
        <v>4625</v>
      </c>
      <c r="C1752" s="25" t="s">
        <v>4626</v>
      </c>
      <c r="D1752" s="25" t="s">
        <v>4627</v>
      </c>
      <c r="E1752" s="26">
        <v>85712</v>
      </c>
    </row>
    <row r="1753" spans="1:5" x14ac:dyDescent="0.25">
      <c r="A1753" s="24" t="s">
        <v>7</v>
      </c>
      <c r="B1753" s="24" t="s">
        <v>4628</v>
      </c>
      <c r="C1753" s="25" t="s">
        <v>4629</v>
      </c>
      <c r="D1753" s="25" t="s">
        <v>4630</v>
      </c>
      <c r="E1753" s="26">
        <v>6631</v>
      </c>
    </row>
    <row r="1754" spans="1:5" x14ac:dyDescent="0.25">
      <c r="A1754" s="24" t="s">
        <v>7</v>
      </c>
      <c r="B1754" s="24" t="s">
        <v>4631</v>
      </c>
      <c r="C1754" s="25" t="s">
        <v>4632</v>
      </c>
      <c r="D1754" s="25" t="s">
        <v>4633</v>
      </c>
      <c r="E1754" s="26">
        <v>102469</v>
      </c>
    </row>
    <row r="1755" spans="1:5" x14ac:dyDescent="0.25">
      <c r="A1755" s="24" t="s">
        <v>7</v>
      </c>
      <c r="B1755" s="24" t="s">
        <v>4634</v>
      </c>
      <c r="C1755" s="25" t="s">
        <v>4635</v>
      </c>
      <c r="D1755" s="25" t="s">
        <v>4636</v>
      </c>
      <c r="E1755" s="26">
        <v>24102</v>
      </c>
    </row>
    <row r="1756" spans="1:5" x14ac:dyDescent="0.25">
      <c r="A1756" s="24" t="s">
        <v>7</v>
      </c>
      <c r="B1756" s="24" t="s">
        <v>4637</v>
      </c>
      <c r="C1756" s="25" t="s">
        <v>4638</v>
      </c>
      <c r="D1756" s="25" t="s">
        <v>4639</v>
      </c>
      <c r="E1756" s="26">
        <v>37095</v>
      </c>
    </row>
    <row r="1757" spans="1:5" x14ac:dyDescent="0.25">
      <c r="A1757" s="24" t="s">
        <v>7</v>
      </c>
      <c r="B1757" s="24" t="s">
        <v>4640</v>
      </c>
      <c r="C1757" s="25" t="s">
        <v>4641</v>
      </c>
      <c r="D1757" s="25" t="s">
        <v>4642</v>
      </c>
      <c r="E1757" s="26">
        <v>8088</v>
      </c>
    </row>
    <row r="1758" spans="1:5" x14ac:dyDescent="0.25">
      <c r="A1758" s="24" t="s">
        <v>7</v>
      </c>
      <c r="B1758" s="24" t="s">
        <v>4643</v>
      </c>
      <c r="C1758" s="25" t="s">
        <v>4644</v>
      </c>
      <c r="D1758" s="25" t="s">
        <v>4645</v>
      </c>
      <c r="E1758" s="26">
        <v>218587</v>
      </c>
    </row>
    <row r="1759" spans="1:5" x14ac:dyDescent="0.25">
      <c r="A1759" s="24" t="s">
        <v>7</v>
      </c>
      <c r="B1759" s="24" t="s">
        <v>4646</v>
      </c>
      <c r="C1759" s="25" t="s">
        <v>4647</v>
      </c>
      <c r="D1759" s="25" t="s">
        <v>4648</v>
      </c>
      <c r="E1759" s="26">
        <v>7895</v>
      </c>
    </row>
    <row r="1760" spans="1:5" x14ac:dyDescent="0.25">
      <c r="A1760" s="24" t="s">
        <v>7</v>
      </c>
      <c r="B1760" s="24" t="s">
        <v>4649</v>
      </c>
      <c r="C1760" s="25" t="s">
        <v>4650</v>
      </c>
      <c r="D1760" s="25" t="s">
        <v>4651</v>
      </c>
      <c r="E1760" s="26">
        <v>737</v>
      </c>
    </row>
    <row r="1761" spans="1:5" x14ac:dyDescent="0.25">
      <c r="A1761" s="24" t="s">
        <v>7</v>
      </c>
      <c r="B1761" s="24" t="s">
        <v>4652</v>
      </c>
      <c r="C1761" s="25" t="s">
        <v>4653</v>
      </c>
      <c r="D1761" s="25" t="s">
        <v>4654</v>
      </c>
      <c r="E1761" s="26">
        <v>5557</v>
      </c>
    </row>
    <row r="1762" spans="1:5" x14ac:dyDescent="0.25">
      <c r="A1762" s="24" t="s">
        <v>7</v>
      </c>
      <c r="B1762" s="24" t="s">
        <v>4655</v>
      </c>
      <c r="C1762" s="25" t="s">
        <v>4656</v>
      </c>
      <c r="D1762" s="25" t="s">
        <v>4657</v>
      </c>
      <c r="E1762" s="26">
        <v>51398</v>
      </c>
    </row>
    <row r="1763" spans="1:5" x14ac:dyDescent="0.25">
      <c r="A1763" s="24" t="s">
        <v>7</v>
      </c>
      <c r="B1763" s="24" t="s">
        <v>4658</v>
      </c>
      <c r="C1763" s="25" t="s">
        <v>4659</v>
      </c>
      <c r="D1763" s="25" t="s">
        <v>4660</v>
      </c>
      <c r="E1763" s="26">
        <v>6777</v>
      </c>
    </row>
    <row r="1764" spans="1:5" x14ac:dyDescent="0.25">
      <c r="A1764" s="24" t="s">
        <v>7</v>
      </c>
      <c r="B1764" s="24" t="s">
        <v>4661</v>
      </c>
      <c r="C1764" s="25" t="s">
        <v>4662</v>
      </c>
      <c r="D1764" s="25" t="s">
        <v>4663</v>
      </c>
      <c r="E1764" s="26">
        <v>6922</v>
      </c>
    </row>
    <row r="1765" spans="1:5" x14ac:dyDescent="0.25">
      <c r="A1765" s="24" t="s">
        <v>7</v>
      </c>
      <c r="B1765" s="24" t="s">
        <v>4664</v>
      </c>
      <c r="C1765" s="25" t="s">
        <v>4665</v>
      </c>
      <c r="D1765" s="25" t="s">
        <v>4666</v>
      </c>
      <c r="E1765" s="26">
        <v>7505</v>
      </c>
    </row>
    <row r="1766" spans="1:5" x14ac:dyDescent="0.25">
      <c r="A1766" s="24" t="s">
        <v>7</v>
      </c>
      <c r="B1766" s="24" t="s">
        <v>4667</v>
      </c>
      <c r="C1766" s="25" t="s">
        <v>4668</v>
      </c>
      <c r="D1766" s="25" t="s">
        <v>4669</v>
      </c>
      <c r="E1766" s="26">
        <v>6786</v>
      </c>
    </row>
    <row r="1767" spans="1:5" x14ac:dyDescent="0.25">
      <c r="A1767" s="24" t="s">
        <v>7</v>
      </c>
      <c r="B1767" s="24" t="s">
        <v>4670</v>
      </c>
      <c r="C1767" s="25" t="s">
        <v>4671</v>
      </c>
      <c r="D1767" s="25" t="s">
        <v>4672</v>
      </c>
      <c r="E1767" s="26">
        <v>6631</v>
      </c>
    </row>
    <row r="1768" spans="1:5" x14ac:dyDescent="0.25">
      <c r="A1768" s="24" t="s">
        <v>7</v>
      </c>
      <c r="B1768" s="24" t="s">
        <v>4673</v>
      </c>
      <c r="C1768" s="25" t="s">
        <v>4674</v>
      </c>
      <c r="D1768" s="25" t="s">
        <v>4675</v>
      </c>
      <c r="E1768" s="26">
        <v>7505</v>
      </c>
    </row>
    <row r="1769" spans="1:5" x14ac:dyDescent="0.25">
      <c r="A1769" s="24" t="s">
        <v>7</v>
      </c>
      <c r="B1769" s="24" t="s">
        <v>4676</v>
      </c>
      <c r="C1769" s="25" t="s">
        <v>4677</v>
      </c>
      <c r="D1769" s="25" t="s">
        <v>4678</v>
      </c>
      <c r="E1769" s="26">
        <v>81650</v>
      </c>
    </row>
    <row r="1770" spans="1:5" x14ac:dyDescent="0.25">
      <c r="A1770" s="24" t="s">
        <v>7</v>
      </c>
      <c r="B1770" s="24" t="s">
        <v>4679</v>
      </c>
      <c r="C1770" s="25" t="s">
        <v>4680</v>
      </c>
      <c r="D1770" s="25" t="s">
        <v>4681</v>
      </c>
      <c r="E1770" s="26">
        <v>7505</v>
      </c>
    </row>
    <row r="1771" spans="1:5" x14ac:dyDescent="0.25">
      <c r="A1771" s="24" t="s">
        <v>7</v>
      </c>
      <c r="B1771" s="24" t="s">
        <v>4682</v>
      </c>
      <c r="C1771" s="25" t="s">
        <v>4683</v>
      </c>
      <c r="D1771" s="25" t="s">
        <v>4684</v>
      </c>
      <c r="E1771" s="26">
        <v>14650</v>
      </c>
    </row>
    <row r="1772" spans="1:5" x14ac:dyDescent="0.25">
      <c r="A1772" s="24" t="s">
        <v>7</v>
      </c>
      <c r="B1772" s="24" t="s">
        <v>4685</v>
      </c>
      <c r="C1772" s="25" t="s">
        <v>4686</v>
      </c>
      <c r="D1772" s="25" t="s">
        <v>4687</v>
      </c>
      <c r="E1772" s="26">
        <v>9333</v>
      </c>
    </row>
    <row r="1773" spans="1:5" x14ac:dyDescent="0.25">
      <c r="A1773" s="24" t="s">
        <v>7</v>
      </c>
      <c r="B1773" s="24" t="s">
        <v>4688</v>
      </c>
      <c r="C1773" s="25" t="s">
        <v>4689</v>
      </c>
      <c r="D1773" s="25" t="s">
        <v>4690</v>
      </c>
      <c r="E1773" s="26">
        <v>2950</v>
      </c>
    </row>
    <row r="1774" spans="1:5" x14ac:dyDescent="0.25">
      <c r="A1774" s="24" t="s">
        <v>7</v>
      </c>
      <c r="B1774" s="24" t="s">
        <v>4691</v>
      </c>
      <c r="C1774" s="25" t="s">
        <v>4692</v>
      </c>
      <c r="D1774" s="25" t="s">
        <v>4693</v>
      </c>
      <c r="E1774" s="26">
        <v>95325</v>
      </c>
    </row>
    <row r="1775" spans="1:5" x14ac:dyDescent="0.25">
      <c r="A1775" s="24" t="s">
        <v>7</v>
      </c>
      <c r="B1775" s="24" t="s">
        <v>4694</v>
      </c>
      <c r="C1775" s="25" t="s">
        <v>4695</v>
      </c>
      <c r="D1775" s="25" t="s">
        <v>4696</v>
      </c>
      <c r="E1775" s="26">
        <v>101045</v>
      </c>
    </row>
    <row r="1776" spans="1:5" x14ac:dyDescent="0.25">
      <c r="A1776" s="24" t="s">
        <v>7</v>
      </c>
      <c r="B1776" s="24" t="s">
        <v>4697</v>
      </c>
      <c r="C1776" s="25" t="s">
        <v>4698</v>
      </c>
      <c r="D1776" s="25" t="s">
        <v>4699</v>
      </c>
      <c r="E1776" s="26">
        <v>2013</v>
      </c>
    </row>
    <row r="1777" spans="1:5" x14ac:dyDescent="0.25">
      <c r="A1777" s="24" t="s">
        <v>7</v>
      </c>
      <c r="B1777" s="24" t="s">
        <v>4700</v>
      </c>
      <c r="C1777" s="25" t="s">
        <v>4701</v>
      </c>
      <c r="D1777" s="25" t="s">
        <v>4702</v>
      </c>
      <c r="E1777" s="26">
        <v>33485</v>
      </c>
    </row>
    <row r="1778" spans="1:5" x14ac:dyDescent="0.25">
      <c r="A1778" s="24" t="s">
        <v>7</v>
      </c>
      <c r="B1778" s="24" t="s">
        <v>4703</v>
      </c>
      <c r="C1778" s="25" t="s">
        <v>4704</v>
      </c>
      <c r="D1778" s="25" t="s">
        <v>4705</v>
      </c>
      <c r="E1778" s="26">
        <v>9244</v>
      </c>
    </row>
    <row r="1779" spans="1:5" x14ac:dyDescent="0.25">
      <c r="A1779" s="24" t="s">
        <v>7</v>
      </c>
      <c r="B1779" s="24" t="s">
        <v>4706</v>
      </c>
      <c r="C1779" s="25" t="s">
        <v>4707</v>
      </c>
      <c r="D1779" s="25" t="s">
        <v>4708</v>
      </c>
      <c r="E1779" s="26">
        <v>7561</v>
      </c>
    </row>
    <row r="1780" spans="1:5" x14ac:dyDescent="0.25">
      <c r="A1780" s="24" t="s">
        <v>7</v>
      </c>
      <c r="B1780" s="24" t="s">
        <v>4709</v>
      </c>
      <c r="C1780" s="25" t="s">
        <v>4710</v>
      </c>
      <c r="D1780" s="25" t="s">
        <v>4711</v>
      </c>
      <c r="E1780" s="26">
        <v>9333</v>
      </c>
    </row>
    <row r="1781" spans="1:5" x14ac:dyDescent="0.25">
      <c r="A1781" s="24" t="s">
        <v>7</v>
      </c>
      <c r="B1781" s="24" t="s">
        <v>4712</v>
      </c>
      <c r="C1781" s="25" t="s">
        <v>4713</v>
      </c>
      <c r="D1781" s="25" t="s">
        <v>4714</v>
      </c>
      <c r="E1781" s="26">
        <v>9253</v>
      </c>
    </row>
    <row r="1782" spans="1:5" x14ac:dyDescent="0.25">
      <c r="A1782" s="24" t="s">
        <v>7</v>
      </c>
      <c r="B1782" s="24" t="s">
        <v>4715</v>
      </c>
      <c r="C1782" s="25" t="s">
        <v>4716</v>
      </c>
      <c r="D1782" s="25" t="s">
        <v>4717</v>
      </c>
      <c r="E1782" s="26">
        <v>5003</v>
      </c>
    </row>
    <row r="1783" spans="1:5" x14ac:dyDescent="0.25">
      <c r="A1783" s="24" t="s">
        <v>7</v>
      </c>
      <c r="B1783" s="24" t="s">
        <v>4718</v>
      </c>
      <c r="C1783" s="25" t="s">
        <v>4719</v>
      </c>
      <c r="D1783" s="25" t="s">
        <v>4720</v>
      </c>
      <c r="E1783" s="26">
        <v>34961</v>
      </c>
    </row>
    <row r="1784" spans="1:5" x14ac:dyDescent="0.25">
      <c r="A1784" s="24" t="s">
        <v>7</v>
      </c>
      <c r="B1784" s="24" t="s">
        <v>4721</v>
      </c>
      <c r="C1784" s="25" t="s">
        <v>4722</v>
      </c>
      <c r="D1784" s="25" t="s">
        <v>4722</v>
      </c>
      <c r="E1784" s="26">
        <v>5808</v>
      </c>
    </row>
    <row r="1785" spans="1:5" x14ac:dyDescent="0.25">
      <c r="A1785" s="24" t="s">
        <v>7</v>
      </c>
      <c r="B1785" s="24" t="s">
        <v>4723</v>
      </c>
      <c r="C1785" s="25" t="s">
        <v>4724</v>
      </c>
      <c r="D1785" s="25" t="s">
        <v>4725</v>
      </c>
      <c r="E1785" s="26">
        <v>7561</v>
      </c>
    </row>
    <row r="1786" spans="1:5" x14ac:dyDescent="0.25">
      <c r="A1786" s="24" t="s">
        <v>7</v>
      </c>
      <c r="B1786" s="24" t="s">
        <v>4726</v>
      </c>
      <c r="C1786" s="25" t="s">
        <v>4727</v>
      </c>
      <c r="D1786" s="25" t="s">
        <v>4728</v>
      </c>
      <c r="E1786" s="26">
        <v>37060</v>
      </c>
    </row>
    <row r="1787" spans="1:5" x14ac:dyDescent="0.25">
      <c r="A1787" s="24" t="s">
        <v>7</v>
      </c>
      <c r="B1787" s="24" t="s">
        <v>4729</v>
      </c>
      <c r="C1787" s="25" t="s">
        <v>4730</v>
      </c>
      <c r="D1787" s="25" t="s">
        <v>4731</v>
      </c>
      <c r="E1787" s="26">
        <v>7705</v>
      </c>
    </row>
    <row r="1788" spans="1:5" x14ac:dyDescent="0.25">
      <c r="A1788" s="24" t="s">
        <v>7</v>
      </c>
      <c r="B1788" s="24" t="s">
        <v>4732</v>
      </c>
      <c r="C1788" s="25" t="s">
        <v>4733</v>
      </c>
      <c r="D1788" s="25" t="s">
        <v>998</v>
      </c>
      <c r="E1788" s="26">
        <v>3417</v>
      </c>
    </row>
    <row r="1789" spans="1:5" x14ac:dyDescent="0.25">
      <c r="A1789" s="24" t="s">
        <v>7</v>
      </c>
      <c r="B1789" s="24" t="s">
        <v>4734</v>
      </c>
      <c r="C1789" s="25" t="s">
        <v>4735</v>
      </c>
      <c r="D1789" s="25" t="s">
        <v>4504</v>
      </c>
      <c r="E1789" s="26">
        <v>11949</v>
      </c>
    </row>
    <row r="1790" spans="1:5" x14ac:dyDescent="0.25">
      <c r="A1790" s="24" t="s">
        <v>7</v>
      </c>
      <c r="B1790" s="24" t="s">
        <v>4736</v>
      </c>
      <c r="C1790" s="25" t="s">
        <v>4737</v>
      </c>
      <c r="D1790" s="25" t="s">
        <v>4738</v>
      </c>
      <c r="E1790" s="26">
        <v>15247</v>
      </c>
    </row>
    <row r="1791" spans="1:5" x14ac:dyDescent="0.25">
      <c r="A1791" s="24" t="s">
        <v>7</v>
      </c>
      <c r="B1791" s="24" t="s">
        <v>4739</v>
      </c>
      <c r="C1791" s="25" t="s">
        <v>4740</v>
      </c>
      <c r="D1791" s="25" t="s">
        <v>4741</v>
      </c>
      <c r="E1791" s="26">
        <v>3732</v>
      </c>
    </row>
    <row r="1792" spans="1:5" x14ac:dyDescent="0.25">
      <c r="A1792" s="24" t="s">
        <v>7</v>
      </c>
      <c r="B1792" s="24" t="s">
        <v>4742</v>
      </c>
      <c r="C1792" s="25" t="s">
        <v>4743</v>
      </c>
      <c r="D1792" s="25" t="s">
        <v>4744</v>
      </c>
      <c r="E1792" s="26">
        <v>19298</v>
      </c>
    </row>
    <row r="1793" spans="1:5" x14ac:dyDescent="0.25">
      <c r="A1793" s="24" t="s">
        <v>7</v>
      </c>
      <c r="B1793" s="24" t="s">
        <v>4745</v>
      </c>
      <c r="C1793" s="25" t="s">
        <v>4746</v>
      </c>
      <c r="D1793" s="25" t="s">
        <v>4747</v>
      </c>
      <c r="E1793" s="26">
        <v>25747</v>
      </c>
    </row>
    <row r="1794" spans="1:5" x14ac:dyDescent="0.25">
      <c r="A1794" s="24" t="s">
        <v>7</v>
      </c>
      <c r="B1794" s="24" t="s">
        <v>4748</v>
      </c>
      <c r="C1794" s="25" t="s">
        <v>4749</v>
      </c>
      <c r="D1794" s="25" t="s">
        <v>4750</v>
      </c>
      <c r="E1794" s="26">
        <v>11497</v>
      </c>
    </row>
    <row r="1795" spans="1:5" x14ac:dyDescent="0.25">
      <c r="A1795" s="24" t="s">
        <v>7</v>
      </c>
      <c r="B1795" s="24" t="s">
        <v>4751</v>
      </c>
      <c r="C1795" s="25" t="s">
        <v>4752</v>
      </c>
      <c r="D1795" s="25" t="s">
        <v>4752</v>
      </c>
      <c r="E1795" s="26">
        <v>2949</v>
      </c>
    </row>
    <row r="1796" spans="1:5" x14ac:dyDescent="0.25">
      <c r="A1796" s="24" t="s">
        <v>7</v>
      </c>
      <c r="B1796" s="24" t="s">
        <v>4753</v>
      </c>
      <c r="C1796" s="25" t="s">
        <v>4754</v>
      </c>
      <c r="D1796" s="25" t="s">
        <v>4755</v>
      </c>
      <c r="E1796" s="26">
        <v>7828</v>
      </c>
    </row>
    <row r="1797" spans="1:5" x14ac:dyDescent="0.25">
      <c r="A1797" s="24" t="s">
        <v>7</v>
      </c>
      <c r="B1797" s="24" t="s">
        <v>4756</v>
      </c>
      <c r="C1797" s="25" t="s">
        <v>4757</v>
      </c>
      <c r="D1797" s="25" t="s">
        <v>4758</v>
      </c>
      <c r="E1797" s="26">
        <v>10721</v>
      </c>
    </row>
    <row r="1798" spans="1:5" x14ac:dyDescent="0.25">
      <c r="A1798" s="24" t="s">
        <v>7</v>
      </c>
      <c r="B1798" s="24" t="s">
        <v>4759</v>
      </c>
      <c r="C1798" s="25" t="s">
        <v>4760</v>
      </c>
      <c r="D1798" s="25" t="s">
        <v>4761</v>
      </c>
      <c r="E1798" s="26">
        <v>3717</v>
      </c>
    </row>
    <row r="1799" spans="1:5" x14ac:dyDescent="0.25">
      <c r="A1799" s="24" t="s">
        <v>7</v>
      </c>
      <c r="B1799" s="24" t="s">
        <v>4762</v>
      </c>
      <c r="C1799" s="25" t="s">
        <v>4763</v>
      </c>
      <c r="D1799" s="25" t="s">
        <v>4764</v>
      </c>
      <c r="E1799" s="26">
        <v>2681</v>
      </c>
    </row>
    <row r="1800" spans="1:5" x14ac:dyDescent="0.25">
      <c r="A1800" s="24" t="s">
        <v>7</v>
      </c>
      <c r="B1800" s="24" t="s">
        <v>4765</v>
      </c>
      <c r="C1800" s="25" t="s">
        <v>4766</v>
      </c>
      <c r="D1800" s="25" t="s">
        <v>4767</v>
      </c>
      <c r="E1800" s="26">
        <v>673</v>
      </c>
    </row>
    <row r="1801" spans="1:5" x14ac:dyDescent="0.25">
      <c r="A1801" s="24" t="s">
        <v>7</v>
      </c>
      <c r="B1801" s="24" t="s">
        <v>4768</v>
      </c>
      <c r="C1801" s="25" t="s">
        <v>4769</v>
      </c>
      <c r="D1801" s="25" t="s">
        <v>4770</v>
      </c>
      <c r="E1801" s="26">
        <v>2000</v>
      </c>
    </row>
    <row r="1802" spans="1:5" x14ac:dyDescent="0.25">
      <c r="A1802" s="24" t="s">
        <v>7</v>
      </c>
      <c r="B1802" s="24" t="s">
        <v>4771</v>
      </c>
      <c r="C1802" s="25" t="s">
        <v>4772</v>
      </c>
      <c r="D1802" s="25" t="s">
        <v>4773</v>
      </c>
      <c r="E1802" s="26">
        <v>1500</v>
      </c>
    </row>
    <row r="1803" spans="1:5" x14ac:dyDescent="0.25">
      <c r="A1803" s="24" t="s">
        <v>7</v>
      </c>
      <c r="B1803" s="24" t="s">
        <v>4774</v>
      </c>
      <c r="C1803" s="25" t="s">
        <v>4775</v>
      </c>
      <c r="D1803" s="25" t="s">
        <v>4776</v>
      </c>
      <c r="E1803" s="26">
        <v>15250</v>
      </c>
    </row>
    <row r="1804" spans="1:5" x14ac:dyDescent="0.25">
      <c r="A1804" s="24" t="s">
        <v>7</v>
      </c>
      <c r="B1804" s="24" t="s">
        <v>4777</v>
      </c>
      <c r="C1804" s="25" t="s">
        <v>4778</v>
      </c>
      <c r="D1804" s="25" t="s">
        <v>4779</v>
      </c>
      <c r="E1804" s="26">
        <v>17729</v>
      </c>
    </row>
    <row r="1805" spans="1:5" x14ac:dyDescent="0.25">
      <c r="A1805" s="24" t="s">
        <v>7</v>
      </c>
      <c r="B1805" s="24" t="s">
        <v>4780</v>
      </c>
      <c r="C1805" s="25" t="s">
        <v>4781</v>
      </c>
      <c r="D1805" s="25" t="s">
        <v>4779</v>
      </c>
      <c r="E1805" s="26">
        <v>21535</v>
      </c>
    </row>
    <row r="1806" spans="1:5" x14ac:dyDescent="0.25">
      <c r="A1806" s="24" t="s">
        <v>7</v>
      </c>
      <c r="B1806" s="24" t="s">
        <v>4782</v>
      </c>
      <c r="C1806" s="25" t="s">
        <v>4783</v>
      </c>
      <c r="D1806" s="25" t="s">
        <v>4784</v>
      </c>
      <c r="E1806" s="26">
        <v>18012</v>
      </c>
    </row>
    <row r="1807" spans="1:5" x14ac:dyDescent="0.25">
      <c r="A1807" s="24" t="s">
        <v>7</v>
      </c>
      <c r="B1807" s="24" t="s">
        <v>4785</v>
      </c>
      <c r="C1807" s="25" t="s">
        <v>4786</v>
      </c>
      <c r="D1807" s="25" t="s">
        <v>4787</v>
      </c>
      <c r="E1807" s="26">
        <v>23441</v>
      </c>
    </row>
    <row r="1808" spans="1:5" x14ac:dyDescent="0.25">
      <c r="A1808" s="24" t="s">
        <v>7</v>
      </c>
      <c r="B1808" s="24" t="s">
        <v>4788</v>
      </c>
      <c r="C1808" s="25" t="s">
        <v>4789</v>
      </c>
      <c r="D1808" s="25" t="s">
        <v>4790</v>
      </c>
      <c r="E1808" s="26">
        <v>23381</v>
      </c>
    </row>
    <row r="1809" spans="1:5" x14ac:dyDescent="0.25">
      <c r="A1809" s="24" t="s">
        <v>7</v>
      </c>
      <c r="B1809" s="24" t="s">
        <v>4791</v>
      </c>
      <c r="C1809" s="25" t="s">
        <v>4792</v>
      </c>
      <c r="D1809" s="25" t="s">
        <v>4793</v>
      </c>
      <c r="E1809" s="26">
        <v>98335</v>
      </c>
    </row>
    <row r="1810" spans="1:5" x14ac:dyDescent="0.25">
      <c r="A1810" s="24" t="s">
        <v>7</v>
      </c>
      <c r="B1810" s="24" t="s">
        <v>4794</v>
      </c>
      <c r="C1810" s="25" t="s">
        <v>4795</v>
      </c>
      <c r="D1810" s="25" t="s">
        <v>4796</v>
      </c>
      <c r="E1810" s="26">
        <v>15820</v>
      </c>
    </row>
    <row r="1811" spans="1:5" x14ac:dyDescent="0.25">
      <c r="A1811" s="24" t="s">
        <v>7</v>
      </c>
      <c r="B1811" s="24" t="s">
        <v>4797</v>
      </c>
      <c r="C1811" s="25" t="s">
        <v>4798</v>
      </c>
      <c r="D1811" s="25" t="s">
        <v>4799</v>
      </c>
      <c r="E1811" s="26">
        <v>15820</v>
      </c>
    </row>
    <row r="1812" spans="1:5" x14ac:dyDescent="0.25">
      <c r="A1812" s="24" t="s">
        <v>7</v>
      </c>
      <c r="B1812" s="24" t="s">
        <v>4800</v>
      </c>
      <c r="C1812" s="25" t="s">
        <v>4801</v>
      </c>
      <c r="D1812" s="25" t="s">
        <v>4802</v>
      </c>
      <c r="E1812" s="26">
        <v>9338</v>
      </c>
    </row>
    <row r="1813" spans="1:5" x14ac:dyDescent="0.25">
      <c r="A1813" s="24" t="s">
        <v>7</v>
      </c>
      <c r="B1813" s="24" t="s">
        <v>4803</v>
      </c>
      <c r="C1813" s="25" t="s">
        <v>4804</v>
      </c>
      <c r="D1813" s="25" t="s">
        <v>4805</v>
      </c>
      <c r="E1813" s="26">
        <v>10224.5</v>
      </c>
    </row>
    <row r="1814" spans="1:5" x14ac:dyDescent="0.25">
      <c r="A1814" s="24" t="s">
        <v>7</v>
      </c>
      <c r="B1814" s="24" t="s">
        <v>4806</v>
      </c>
      <c r="C1814" s="25" t="s">
        <v>4807</v>
      </c>
      <c r="D1814" s="25" t="s">
        <v>4808</v>
      </c>
      <c r="E1814" s="26">
        <v>3374</v>
      </c>
    </row>
    <row r="1815" spans="1:5" x14ac:dyDescent="0.25">
      <c r="A1815" s="24" t="s">
        <v>7</v>
      </c>
      <c r="B1815" s="24" t="s">
        <v>4809</v>
      </c>
      <c r="C1815" s="25" t="s">
        <v>4810</v>
      </c>
      <c r="D1815" s="25" t="s">
        <v>4811</v>
      </c>
      <c r="E1815" s="26">
        <v>43712</v>
      </c>
    </row>
    <row r="1816" spans="1:5" x14ac:dyDescent="0.25">
      <c r="A1816" s="24" t="s">
        <v>7</v>
      </c>
      <c r="B1816" s="24" t="s">
        <v>4812</v>
      </c>
      <c r="C1816" s="25" t="s">
        <v>4813</v>
      </c>
      <c r="D1816" s="25" t="s">
        <v>4814</v>
      </c>
      <c r="E1816" s="26">
        <v>76068</v>
      </c>
    </row>
    <row r="1817" spans="1:5" x14ac:dyDescent="0.25">
      <c r="A1817" s="24" t="s">
        <v>7</v>
      </c>
      <c r="B1817" s="24" t="s">
        <v>4815</v>
      </c>
      <c r="C1817" s="25" t="s">
        <v>4816</v>
      </c>
      <c r="D1817" s="25" t="s">
        <v>4817</v>
      </c>
      <c r="E1817" s="26">
        <v>24367</v>
      </c>
    </row>
    <row r="1818" spans="1:5" x14ac:dyDescent="0.25">
      <c r="A1818" s="24" t="s">
        <v>7</v>
      </c>
      <c r="B1818" s="24" t="s">
        <v>4818</v>
      </c>
      <c r="C1818" s="25" t="s">
        <v>4819</v>
      </c>
      <c r="D1818" s="25" t="s">
        <v>4820</v>
      </c>
      <c r="E1818" s="26">
        <v>28123</v>
      </c>
    </row>
    <row r="1819" spans="1:5" x14ac:dyDescent="0.25">
      <c r="A1819" s="24" t="s">
        <v>7</v>
      </c>
      <c r="B1819" s="24" t="s">
        <v>4821</v>
      </c>
      <c r="C1819" s="25" t="s">
        <v>4822</v>
      </c>
      <c r="D1819" s="25" t="s">
        <v>4823</v>
      </c>
      <c r="E1819" s="26">
        <v>22478</v>
      </c>
    </row>
    <row r="1820" spans="1:5" x14ac:dyDescent="0.25">
      <c r="A1820" s="24" t="s">
        <v>7</v>
      </c>
      <c r="B1820" s="24" t="s">
        <v>4824</v>
      </c>
      <c r="C1820" s="25" t="s">
        <v>4825</v>
      </c>
      <c r="D1820" s="25" t="s">
        <v>4826</v>
      </c>
      <c r="E1820" s="26">
        <v>4690</v>
      </c>
    </row>
    <row r="1821" spans="1:5" x14ac:dyDescent="0.25">
      <c r="A1821" s="24" t="s">
        <v>7</v>
      </c>
      <c r="B1821" s="24" t="s">
        <v>4827</v>
      </c>
      <c r="C1821" s="25" t="s">
        <v>4828</v>
      </c>
      <c r="D1821" s="25" t="s">
        <v>4829</v>
      </c>
      <c r="E1821" s="26">
        <v>8500</v>
      </c>
    </row>
    <row r="1822" spans="1:5" x14ac:dyDescent="0.25">
      <c r="A1822" s="24" t="s">
        <v>7</v>
      </c>
      <c r="B1822" s="24" t="s">
        <v>4830</v>
      </c>
      <c r="C1822" s="25" t="s">
        <v>4831</v>
      </c>
      <c r="D1822" s="25" t="s">
        <v>4832</v>
      </c>
      <c r="E1822" s="26">
        <v>23664</v>
      </c>
    </row>
    <row r="1823" spans="1:5" x14ac:dyDescent="0.25">
      <c r="A1823" s="24" t="s">
        <v>7</v>
      </c>
      <c r="B1823" s="24" t="s">
        <v>4833</v>
      </c>
      <c r="C1823" s="25" t="s">
        <v>4834</v>
      </c>
      <c r="D1823" s="25" t="s">
        <v>4835</v>
      </c>
      <c r="E1823" s="26">
        <v>4739</v>
      </c>
    </row>
    <row r="1824" spans="1:5" x14ac:dyDescent="0.25">
      <c r="A1824" s="24" t="s">
        <v>7</v>
      </c>
      <c r="B1824" s="24" t="s">
        <v>4836</v>
      </c>
      <c r="C1824" s="25" t="s">
        <v>4837</v>
      </c>
      <c r="D1824" s="25" t="s">
        <v>4838</v>
      </c>
      <c r="E1824" s="26">
        <v>5741</v>
      </c>
    </row>
    <row r="1825" spans="1:5" x14ac:dyDescent="0.25">
      <c r="A1825" s="24" t="s">
        <v>7</v>
      </c>
      <c r="B1825" s="24" t="s">
        <v>4839</v>
      </c>
      <c r="C1825" s="25" t="s">
        <v>4840</v>
      </c>
      <c r="D1825" s="25" t="s">
        <v>4841</v>
      </c>
      <c r="E1825" s="26">
        <v>10441</v>
      </c>
    </row>
    <row r="1826" spans="1:5" x14ac:dyDescent="0.25">
      <c r="A1826" s="24" t="s">
        <v>7</v>
      </c>
      <c r="B1826" s="24" t="s">
        <v>4842</v>
      </c>
      <c r="C1826" s="25" t="s">
        <v>4843</v>
      </c>
      <c r="D1826" s="25" t="s">
        <v>4844</v>
      </c>
      <c r="E1826" s="26">
        <v>27930</v>
      </c>
    </row>
    <row r="1827" spans="1:5" x14ac:dyDescent="0.25">
      <c r="A1827" s="24" t="s">
        <v>7</v>
      </c>
      <c r="B1827" s="24" t="s">
        <v>4845</v>
      </c>
      <c r="C1827" s="25" t="s">
        <v>4846</v>
      </c>
      <c r="D1827" s="25" t="s">
        <v>4847</v>
      </c>
      <c r="E1827" s="26">
        <v>27930</v>
      </c>
    </row>
    <row r="1828" spans="1:5" x14ac:dyDescent="0.25">
      <c r="A1828" s="24" t="s">
        <v>7</v>
      </c>
      <c r="B1828" s="24" t="s">
        <v>4848</v>
      </c>
      <c r="C1828" s="25" t="s">
        <v>4849</v>
      </c>
      <c r="D1828" s="25" t="s">
        <v>4850</v>
      </c>
      <c r="E1828" s="26">
        <v>9500</v>
      </c>
    </row>
    <row r="1829" spans="1:5" x14ac:dyDescent="0.25">
      <c r="A1829" s="24" t="s">
        <v>7</v>
      </c>
      <c r="B1829" s="24" t="s">
        <v>4851</v>
      </c>
      <c r="C1829" s="25" t="s">
        <v>4852</v>
      </c>
      <c r="D1829" s="25" t="s">
        <v>4853</v>
      </c>
      <c r="E1829" s="26">
        <v>4750</v>
      </c>
    </row>
    <row r="1830" spans="1:5" x14ac:dyDescent="0.25">
      <c r="A1830" s="24" t="s">
        <v>7</v>
      </c>
      <c r="B1830" s="24" t="s">
        <v>4854</v>
      </c>
      <c r="C1830" s="25" t="s">
        <v>4855</v>
      </c>
      <c r="D1830" s="25" t="s">
        <v>4856</v>
      </c>
      <c r="E1830" s="26">
        <v>5688</v>
      </c>
    </row>
    <row r="1831" spans="1:5" x14ac:dyDescent="0.25">
      <c r="A1831" s="24" t="s">
        <v>7</v>
      </c>
      <c r="B1831" s="24" t="s">
        <v>4857</v>
      </c>
      <c r="C1831" s="25" t="s">
        <v>4858</v>
      </c>
      <c r="D1831" s="25" t="s">
        <v>4859</v>
      </c>
      <c r="E1831" s="26">
        <v>5129</v>
      </c>
    </row>
    <row r="1832" spans="1:5" x14ac:dyDescent="0.25">
      <c r="A1832" s="24" t="s">
        <v>7</v>
      </c>
      <c r="B1832" s="24" t="s">
        <v>4860</v>
      </c>
      <c r="C1832" s="25" t="s">
        <v>4861</v>
      </c>
      <c r="D1832" s="25" t="s">
        <v>4862</v>
      </c>
      <c r="E1832" s="26">
        <v>3853</v>
      </c>
    </row>
    <row r="1833" spans="1:5" x14ac:dyDescent="0.25">
      <c r="A1833" s="24" t="s">
        <v>7</v>
      </c>
      <c r="B1833" s="24" t="s">
        <v>4863</v>
      </c>
      <c r="C1833" s="25" t="s">
        <v>4864</v>
      </c>
      <c r="D1833" s="25" t="s">
        <v>4865</v>
      </c>
      <c r="E1833" s="26">
        <v>4711</v>
      </c>
    </row>
    <row r="1834" spans="1:5" x14ac:dyDescent="0.25">
      <c r="A1834" s="24" t="s">
        <v>7</v>
      </c>
      <c r="B1834" s="24" t="s">
        <v>4866</v>
      </c>
      <c r="C1834" s="25" t="s">
        <v>4867</v>
      </c>
      <c r="D1834" s="25" t="s">
        <v>4868</v>
      </c>
      <c r="E1834" s="26">
        <v>4465</v>
      </c>
    </row>
    <row r="1835" spans="1:5" x14ac:dyDescent="0.25">
      <c r="A1835" s="24" t="s">
        <v>7</v>
      </c>
      <c r="B1835" s="24" t="s">
        <v>4869</v>
      </c>
      <c r="C1835" s="25" t="s">
        <v>4870</v>
      </c>
      <c r="D1835" s="25" t="s">
        <v>4871</v>
      </c>
      <c r="E1835" s="26">
        <v>4428</v>
      </c>
    </row>
    <row r="1836" spans="1:5" x14ac:dyDescent="0.25">
      <c r="A1836" s="24" t="s">
        <v>7</v>
      </c>
      <c r="B1836" s="24" t="s">
        <v>4872</v>
      </c>
      <c r="C1836" s="25" t="s">
        <v>4873</v>
      </c>
      <c r="D1836" s="25" t="s">
        <v>4874</v>
      </c>
      <c r="E1836" s="26">
        <v>30681</v>
      </c>
    </row>
    <row r="1837" spans="1:5" x14ac:dyDescent="0.25">
      <c r="A1837" s="24" t="s">
        <v>7</v>
      </c>
      <c r="B1837" s="24" t="s">
        <v>4875</v>
      </c>
      <c r="C1837" s="25" t="s">
        <v>4876</v>
      </c>
      <c r="D1837" s="25" t="s">
        <v>4877</v>
      </c>
      <c r="E1837" s="26">
        <v>30681</v>
      </c>
    </row>
    <row r="1838" spans="1:5" x14ac:dyDescent="0.25">
      <c r="A1838" s="24" t="s">
        <v>7</v>
      </c>
      <c r="B1838" s="24" t="s">
        <v>4878</v>
      </c>
      <c r="C1838" s="25" t="s">
        <v>4879</v>
      </c>
      <c r="D1838" s="25" t="s">
        <v>4880</v>
      </c>
      <c r="E1838" s="26">
        <v>30681</v>
      </c>
    </row>
    <row r="1839" spans="1:5" x14ac:dyDescent="0.25">
      <c r="A1839" s="24" t="s">
        <v>7</v>
      </c>
      <c r="B1839" s="24" t="s">
        <v>4881</v>
      </c>
      <c r="C1839" s="25" t="s">
        <v>4882</v>
      </c>
      <c r="D1839" s="25" t="s">
        <v>4883</v>
      </c>
      <c r="E1839" s="26">
        <v>30681</v>
      </c>
    </row>
    <row r="1840" spans="1:5" x14ac:dyDescent="0.25">
      <c r="A1840" s="24" t="s">
        <v>7</v>
      </c>
      <c r="B1840" s="24" t="s">
        <v>4884</v>
      </c>
      <c r="C1840" s="25" t="s">
        <v>4885</v>
      </c>
      <c r="D1840" s="25" t="s">
        <v>4886</v>
      </c>
      <c r="E1840" s="26">
        <v>872</v>
      </c>
    </row>
    <row r="1841" spans="1:5" x14ac:dyDescent="0.25">
      <c r="A1841" s="24" t="s">
        <v>7</v>
      </c>
      <c r="B1841" s="24" t="s">
        <v>4887</v>
      </c>
      <c r="C1841" s="25" t="s">
        <v>4888</v>
      </c>
      <c r="D1841" s="25" t="s">
        <v>4889</v>
      </c>
      <c r="E1841" s="26">
        <v>1621</v>
      </c>
    </row>
    <row r="1842" spans="1:5" x14ac:dyDescent="0.25">
      <c r="A1842" s="24" t="s">
        <v>7</v>
      </c>
      <c r="B1842" s="24" t="s">
        <v>4890</v>
      </c>
      <c r="C1842" s="25" t="s">
        <v>4891</v>
      </c>
      <c r="D1842" s="25" t="s">
        <v>4892</v>
      </c>
      <c r="E1842" s="26">
        <v>25793</v>
      </c>
    </row>
    <row r="1843" spans="1:5" x14ac:dyDescent="0.25">
      <c r="A1843" s="24" t="s">
        <v>7</v>
      </c>
      <c r="B1843" s="24" t="s">
        <v>4893</v>
      </c>
      <c r="C1843" s="25" t="s">
        <v>4894</v>
      </c>
      <c r="D1843" s="25" t="s">
        <v>4895</v>
      </c>
      <c r="E1843" s="26">
        <v>15112</v>
      </c>
    </row>
    <row r="1844" spans="1:5" x14ac:dyDescent="0.25">
      <c r="A1844" s="24" t="s">
        <v>7</v>
      </c>
      <c r="B1844" s="24" t="s">
        <v>4896</v>
      </c>
      <c r="C1844" s="25" t="s">
        <v>4897</v>
      </c>
      <c r="D1844" s="25" t="s">
        <v>4898</v>
      </c>
      <c r="E1844" s="26">
        <v>21160</v>
      </c>
    </row>
    <row r="1845" spans="1:5" x14ac:dyDescent="0.25">
      <c r="A1845" s="24" t="s">
        <v>7</v>
      </c>
      <c r="B1845" s="24" t="s">
        <v>4899</v>
      </c>
      <c r="C1845" s="25" t="s">
        <v>4900</v>
      </c>
      <c r="D1845" s="25" t="s">
        <v>4901</v>
      </c>
      <c r="E1845" s="26">
        <v>30681</v>
      </c>
    </row>
    <row r="1846" spans="1:5" x14ac:dyDescent="0.25">
      <c r="A1846" s="24" t="s">
        <v>7</v>
      </c>
      <c r="B1846" s="24" t="s">
        <v>4902</v>
      </c>
      <c r="C1846" s="25" t="s">
        <v>4903</v>
      </c>
      <c r="D1846" s="25" t="s">
        <v>4904</v>
      </c>
      <c r="E1846" s="26">
        <v>30681</v>
      </c>
    </row>
    <row r="1847" spans="1:5" x14ac:dyDescent="0.25">
      <c r="A1847" s="24" t="s">
        <v>7</v>
      </c>
      <c r="B1847" s="24" t="s">
        <v>4905</v>
      </c>
      <c r="C1847" s="25" t="s">
        <v>4906</v>
      </c>
      <c r="D1847" s="25" t="s">
        <v>4907</v>
      </c>
      <c r="E1847" s="26">
        <v>13180</v>
      </c>
    </row>
    <row r="1848" spans="1:5" x14ac:dyDescent="0.25">
      <c r="A1848" s="24" t="s">
        <v>7</v>
      </c>
      <c r="B1848" s="24" t="s">
        <v>4908</v>
      </c>
      <c r="C1848" s="25" t="s">
        <v>4909</v>
      </c>
      <c r="D1848" s="25" t="s">
        <v>4910</v>
      </c>
      <c r="E1848" s="26">
        <v>3191</v>
      </c>
    </row>
    <row r="1849" spans="1:5" x14ac:dyDescent="0.25">
      <c r="A1849" s="24" t="s">
        <v>7</v>
      </c>
      <c r="B1849" s="24" t="s">
        <v>4911</v>
      </c>
      <c r="C1849" s="25" t="s">
        <v>4912</v>
      </c>
      <c r="D1849" s="25" t="s">
        <v>4910</v>
      </c>
      <c r="E1849" s="26">
        <v>1602</v>
      </c>
    </row>
    <row r="1850" spans="1:5" x14ac:dyDescent="0.25">
      <c r="A1850" s="24" t="s">
        <v>7</v>
      </c>
      <c r="B1850" s="24" t="s">
        <v>4913</v>
      </c>
      <c r="C1850" s="25" t="s">
        <v>4914</v>
      </c>
      <c r="D1850" s="25" t="s">
        <v>4915</v>
      </c>
      <c r="E1850" s="26">
        <v>4510</v>
      </c>
    </row>
    <row r="1851" spans="1:5" x14ac:dyDescent="0.25">
      <c r="A1851" s="24" t="s">
        <v>7</v>
      </c>
      <c r="B1851" s="24" t="s">
        <v>4916</v>
      </c>
      <c r="C1851" s="25" t="s">
        <v>4917</v>
      </c>
      <c r="D1851" s="25" t="s">
        <v>4918</v>
      </c>
      <c r="E1851" s="26">
        <v>6570</v>
      </c>
    </row>
    <row r="1852" spans="1:5" x14ac:dyDescent="0.25">
      <c r="A1852" s="24" t="s">
        <v>7</v>
      </c>
      <c r="B1852" s="24" t="s">
        <v>4919</v>
      </c>
      <c r="C1852" s="25" t="s">
        <v>4920</v>
      </c>
      <c r="D1852" s="25" t="s">
        <v>4921</v>
      </c>
      <c r="E1852" s="26">
        <v>4819</v>
      </c>
    </row>
    <row r="1853" spans="1:5" x14ac:dyDescent="0.25">
      <c r="A1853" s="24" t="s">
        <v>7</v>
      </c>
      <c r="B1853" s="24" t="s">
        <v>4922</v>
      </c>
      <c r="C1853" s="25" t="s">
        <v>4923</v>
      </c>
      <c r="D1853" s="25" t="s">
        <v>4924</v>
      </c>
      <c r="E1853" s="26">
        <v>2091</v>
      </c>
    </row>
    <row r="1854" spans="1:5" x14ac:dyDescent="0.25">
      <c r="A1854" s="24" t="s">
        <v>7</v>
      </c>
      <c r="B1854" s="24" t="s">
        <v>4925</v>
      </c>
      <c r="C1854" s="25" t="s">
        <v>4926</v>
      </c>
      <c r="D1854" s="25" t="s">
        <v>4927</v>
      </c>
      <c r="E1854" s="26">
        <v>2901</v>
      </c>
    </row>
    <row r="1855" spans="1:5" x14ac:dyDescent="0.25">
      <c r="A1855" s="24" t="s">
        <v>7</v>
      </c>
      <c r="B1855" s="24" t="s">
        <v>4928</v>
      </c>
      <c r="C1855" s="25" t="s">
        <v>4929</v>
      </c>
      <c r="D1855" s="25" t="s">
        <v>4930</v>
      </c>
      <c r="E1855" s="26">
        <v>2334</v>
      </c>
    </row>
    <row r="1856" spans="1:5" x14ac:dyDescent="0.25">
      <c r="A1856" s="24" t="s">
        <v>7</v>
      </c>
      <c r="B1856" s="24" t="s">
        <v>4931</v>
      </c>
      <c r="C1856" s="25" t="s">
        <v>4932</v>
      </c>
      <c r="D1856" s="25" t="s">
        <v>4933</v>
      </c>
      <c r="E1856" s="26">
        <v>2385</v>
      </c>
    </row>
    <row r="1857" spans="1:5" x14ac:dyDescent="0.25">
      <c r="A1857" s="24" t="s">
        <v>7</v>
      </c>
      <c r="B1857" s="24" t="s">
        <v>4934</v>
      </c>
      <c r="C1857" s="25" t="s">
        <v>4935</v>
      </c>
      <c r="D1857" s="25" t="s">
        <v>4936</v>
      </c>
      <c r="E1857" s="26">
        <v>864</v>
      </c>
    </row>
    <row r="1858" spans="1:5" x14ac:dyDescent="0.25">
      <c r="A1858" s="24" t="s">
        <v>7</v>
      </c>
      <c r="B1858" s="24" t="s">
        <v>4937</v>
      </c>
      <c r="C1858" s="25" t="s">
        <v>4938</v>
      </c>
      <c r="D1858" s="25" t="s">
        <v>4939</v>
      </c>
      <c r="E1858" s="26">
        <v>1187</v>
      </c>
    </row>
    <row r="1859" spans="1:5" x14ac:dyDescent="0.25">
      <c r="A1859" s="24" t="s">
        <v>7</v>
      </c>
      <c r="B1859" s="24" t="s">
        <v>4940</v>
      </c>
      <c r="C1859" s="25" t="s">
        <v>4941</v>
      </c>
      <c r="D1859" s="25" t="s">
        <v>4942</v>
      </c>
      <c r="E1859" s="26">
        <v>17535</v>
      </c>
    </row>
    <row r="1860" spans="1:5" x14ac:dyDescent="0.25">
      <c r="A1860" s="24" t="s">
        <v>7</v>
      </c>
      <c r="B1860" s="24" t="s">
        <v>4943</v>
      </c>
      <c r="C1860" s="25" t="s">
        <v>4944</v>
      </c>
      <c r="D1860" s="25" t="s">
        <v>4945</v>
      </c>
      <c r="E1860" s="26">
        <v>759</v>
      </c>
    </row>
    <row r="1861" spans="1:5" x14ac:dyDescent="0.25">
      <c r="A1861" s="24" t="s">
        <v>7</v>
      </c>
      <c r="B1861" s="24" t="s">
        <v>4946</v>
      </c>
      <c r="C1861" s="25" t="s">
        <v>4947</v>
      </c>
      <c r="D1861" s="25" t="s">
        <v>4948</v>
      </c>
      <c r="E1861" s="26">
        <v>12453</v>
      </c>
    </row>
    <row r="1862" spans="1:5" x14ac:dyDescent="0.25">
      <c r="A1862" s="24" t="s">
        <v>7</v>
      </c>
      <c r="B1862" s="24" t="s">
        <v>4949</v>
      </c>
      <c r="C1862" s="25" t="s">
        <v>4950</v>
      </c>
      <c r="D1862" s="25" t="s">
        <v>4948</v>
      </c>
      <c r="E1862" s="26">
        <v>782</v>
      </c>
    </row>
    <row r="1863" spans="1:5" x14ac:dyDescent="0.25">
      <c r="A1863" s="24" t="s">
        <v>7</v>
      </c>
      <c r="B1863" s="24" t="s">
        <v>4951</v>
      </c>
      <c r="C1863" s="25" t="s">
        <v>4952</v>
      </c>
      <c r="D1863" s="25" t="s">
        <v>4953</v>
      </c>
      <c r="E1863" s="26">
        <v>3809</v>
      </c>
    </row>
    <row r="1864" spans="1:5" x14ac:dyDescent="0.25">
      <c r="A1864" s="24" t="s">
        <v>7</v>
      </c>
      <c r="B1864" s="24" t="s">
        <v>4954</v>
      </c>
      <c r="C1864" s="25" t="s">
        <v>4955</v>
      </c>
      <c r="D1864" s="25" t="s">
        <v>4956</v>
      </c>
      <c r="E1864" s="26">
        <v>4060</v>
      </c>
    </row>
    <row r="1865" spans="1:5" x14ac:dyDescent="0.25">
      <c r="A1865" s="24" t="s">
        <v>7</v>
      </c>
      <c r="B1865" s="24" t="s">
        <v>4957</v>
      </c>
      <c r="C1865" s="25" t="s">
        <v>4958</v>
      </c>
      <c r="D1865" s="25" t="s">
        <v>4959</v>
      </c>
      <c r="E1865" s="26">
        <v>21233</v>
      </c>
    </row>
    <row r="1866" spans="1:5" x14ac:dyDescent="0.25">
      <c r="A1866" s="24" t="s">
        <v>7</v>
      </c>
      <c r="B1866" s="24" t="s">
        <v>4960</v>
      </c>
      <c r="C1866" s="25" t="s">
        <v>4961</v>
      </c>
      <c r="D1866" s="25" t="s">
        <v>4962</v>
      </c>
      <c r="E1866" s="26">
        <v>7523</v>
      </c>
    </row>
    <row r="1867" spans="1:5" x14ac:dyDescent="0.25">
      <c r="A1867" s="24" t="s">
        <v>7</v>
      </c>
      <c r="B1867" s="24" t="s">
        <v>4963</v>
      </c>
      <c r="C1867" s="25" t="s">
        <v>4964</v>
      </c>
      <c r="D1867" s="25" t="s">
        <v>4965</v>
      </c>
      <c r="E1867" s="26">
        <v>8132</v>
      </c>
    </row>
    <row r="1868" spans="1:5" x14ac:dyDescent="0.25">
      <c r="A1868" s="24" t="s">
        <v>7</v>
      </c>
      <c r="B1868" s="24" t="s">
        <v>4966</v>
      </c>
      <c r="C1868" s="25" t="s">
        <v>4967</v>
      </c>
      <c r="D1868" s="25" t="s">
        <v>4968</v>
      </c>
      <c r="E1868" s="26">
        <v>9875</v>
      </c>
    </row>
    <row r="1869" spans="1:5" x14ac:dyDescent="0.25">
      <c r="A1869" s="24" t="s">
        <v>7</v>
      </c>
      <c r="B1869" s="24" t="s">
        <v>4969</v>
      </c>
      <c r="C1869" s="25" t="s">
        <v>4970</v>
      </c>
      <c r="D1869" s="25" t="s">
        <v>4971</v>
      </c>
      <c r="E1869" s="26">
        <v>9875</v>
      </c>
    </row>
    <row r="1870" spans="1:5" x14ac:dyDescent="0.25">
      <c r="A1870" s="24" t="s">
        <v>7</v>
      </c>
      <c r="B1870" s="24" t="s">
        <v>4972</v>
      </c>
      <c r="C1870" s="25" t="s">
        <v>4973</v>
      </c>
      <c r="D1870" s="25" t="s">
        <v>4974</v>
      </c>
      <c r="E1870" s="26">
        <v>3040</v>
      </c>
    </row>
    <row r="1871" spans="1:5" x14ac:dyDescent="0.25">
      <c r="A1871" s="24" t="s">
        <v>7</v>
      </c>
      <c r="B1871" s="24" t="s">
        <v>4975</v>
      </c>
      <c r="C1871" s="25" t="s">
        <v>4976</v>
      </c>
      <c r="D1871" s="25" t="s">
        <v>4977</v>
      </c>
      <c r="E1871" s="26">
        <v>5228</v>
      </c>
    </row>
    <row r="1872" spans="1:5" x14ac:dyDescent="0.25">
      <c r="A1872" s="24" t="s">
        <v>7</v>
      </c>
      <c r="B1872" s="24" t="s">
        <v>4978</v>
      </c>
      <c r="C1872" s="25" t="s">
        <v>4979</v>
      </c>
      <c r="D1872" s="25" t="s">
        <v>4980</v>
      </c>
      <c r="E1872" s="26">
        <v>23787</v>
      </c>
    </row>
    <row r="1873" spans="1:5" x14ac:dyDescent="0.25">
      <c r="A1873" s="24" t="s">
        <v>7</v>
      </c>
      <c r="B1873" s="24" t="s">
        <v>4981</v>
      </c>
      <c r="C1873" s="25" t="s">
        <v>4982</v>
      </c>
      <c r="D1873" s="25" t="s">
        <v>4980</v>
      </c>
      <c r="E1873" s="26">
        <v>27083</v>
      </c>
    </row>
    <row r="1874" spans="1:5" x14ac:dyDescent="0.25">
      <c r="A1874" s="24" t="s">
        <v>7</v>
      </c>
      <c r="B1874" s="24" t="s">
        <v>4983</v>
      </c>
      <c r="C1874" s="25" t="s">
        <v>4984</v>
      </c>
      <c r="D1874" s="25" t="s">
        <v>4980</v>
      </c>
      <c r="E1874" s="26">
        <v>27484</v>
      </c>
    </row>
    <row r="1875" spans="1:5" x14ac:dyDescent="0.25">
      <c r="A1875" s="24" t="s">
        <v>7</v>
      </c>
      <c r="B1875" s="24" t="s">
        <v>4985</v>
      </c>
      <c r="C1875" s="25" t="s">
        <v>4986</v>
      </c>
      <c r="D1875" s="25" t="s">
        <v>4987</v>
      </c>
      <c r="E1875" s="26">
        <v>7505</v>
      </c>
    </row>
    <row r="1876" spans="1:5" x14ac:dyDescent="0.25">
      <c r="A1876" s="24" t="s">
        <v>7</v>
      </c>
      <c r="B1876" s="24" t="s">
        <v>4988</v>
      </c>
      <c r="C1876" s="25" t="s">
        <v>4989</v>
      </c>
      <c r="D1876" s="25" t="s">
        <v>4645</v>
      </c>
      <c r="E1876" s="26">
        <v>310738</v>
      </c>
    </row>
    <row r="1877" spans="1:5" x14ac:dyDescent="0.25">
      <c r="A1877" s="24" t="s">
        <v>7</v>
      </c>
      <c r="B1877" s="24" t="s">
        <v>4990</v>
      </c>
      <c r="C1877" s="25" t="s">
        <v>4269</v>
      </c>
      <c r="D1877" s="25" t="s">
        <v>4270</v>
      </c>
      <c r="E1877" s="26">
        <v>1984</v>
      </c>
    </row>
    <row r="1878" spans="1:5" x14ac:dyDescent="0.25">
      <c r="A1878" s="24" t="s">
        <v>7</v>
      </c>
      <c r="B1878" s="24" t="s">
        <v>4991</v>
      </c>
      <c r="C1878" s="25" t="s">
        <v>4992</v>
      </c>
      <c r="D1878" s="25" t="s">
        <v>4992</v>
      </c>
      <c r="E1878" s="26">
        <v>5133</v>
      </c>
    </row>
    <row r="1879" spans="1:5" x14ac:dyDescent="0.25">
      <c r="A1879" s="24" t="s">
        <v>7</v>
      </c>
      <c r="B1879" s="24" t="s">
        <v>4993</v>
      </c>
      <c r="C1879" s="25" t="s">
        <v>4994</v>
      </c>
      <c r="D1879" s="25" t="s">
        <v>4995</v>
      </c>
      <c r="E1879" s="26">
        <v>14511</v>
      </c>
    </row>
    <row r="1880" spans="1:5" x14ac:dyDescent="0.25">
      <c r="A1880" s="24" t="s">
        <v>7</v>
      </c>
      <c r="B1880" s="24" t="s">
        <v>4996</v>
      </c>
      <c r="C1880" s="25" t="s">
        <v>4997</v>
      </c>
      <c r="D1880" s="25" t="s">
        <v>4995</v>
      </c>
      <c r="E1880" s="26">
        <v>14511</v>
      </c>
    </row>
    <row r="1881" spans="1:5" x14ac:dyDescent="0.25">
      <c r="A1881" s="24" t="s">
        <v>7</v>
      </c>
      <c r="B1881" s="24" t="s">
        <v>4998</v>
      </c>
      <c r="C1881" s="25" t="s">
        <v>4999</v>
      </c>
      <c r="D1881" s="25" t="s">
        <v>5000</v>
      </c>
      <c r="E1881" s="26">
        <v>10529</v>
      </c>
    </row>
    <row r="1882" spans="1:5" x14ac:dyDescent="0.25">
      <c r="A1882" s="24" t="s">
        <v>7</v>
      </c>
      <c r="B1882" s="24" t="s">
        <v>5001</v>
      </c>
      <c r="C1882" s="25" t="s">
        <v>5002</v>
      </c>
      <c r="D1882" s="25" t="s">
        <v>5003</v>
      </c>
      <c r="E1882" s="26">
        <v>15534</v>
      </c>
    </row>
    <row r="1883" spans="1:5" x14ac:dyDescent="0.25">
      <c r="A1883" s="24" t="s">
        <v>7</v>
      </c>
      <c r="B1883" s="24" t="s">
        <v>5004</v>
      </c>
      <c r="C1883" s="25" t="s">
        <v>5005</v>
      </c>
      <c r="D1883" s="25" t="s">
        <v>5006</v>
      </c>
      <c r="E1883" s="26">
        <v>4954</v>
      </c>
    </row>
    <row r="1884" spans="1:5" x14ac:dyDescent="0.25">
      <c r="A1884" s="24" t="s">
        <v>7</v>
      </c>
      <c r="B1884" s="24" t="s">
        <v>5007</v>
      </c>
      <c r="C1884" s="25" t="s">
        <v>5008</v>
      </c>
      <c r="D1884" s="25" t="s">
        <v>5009</v>
      </c>
      <c r="E1884" s="26">
        <v>39457</v>
      </c>
    </row>
    <row r="1885" spans="1:5" x14ac:dyDescent="0.25">
      <c r="A1885" s="24" t="s">
        <v>7</v>
      </c>
      <c r="B1885" s="24" t="s">
        <v>5010</v>
      </c>
      <c r="C1885" s="25" t="s">
        <v>4912</v>
      </c>
      <c r="D1885" s="25" t="s">
        <v>4910</v>
      </c>
      <c r="E1885" s="26">
        <v>12911</v>
      </c>
    </row>
    <row r="1886" spans="1:5" x14ac:dyDescent="0.25">
      <c r="A1886" s="24" t="s">
        <v>7</v>
      </c>
      <c r="B1886" s="24" t="s">
        <v>5011</v>
      </c>
      <c r="C1886" s="25" t="s">
        <v>5012</v>
      </c>
      <c r="D1886" s="25" t="s">
        <v>5013</v>
      </c>
      <c r="E1886" s="26">
        <v>5383</v>
      </c>
    </row>
    <row r="1887" spans="1:5" x14ac:dyDescent="0.25">
      <c r="A1887" s="24" t="s">
        <v>7</v>
      </c>
      <c r="B1887" s="24" t="s">
        <v>5014</v>
      </c>
      <c r="C1887" s="25" t="s">
        <v>5015</v>
      </c>
      <c r="D1887" s="25" t="s">
        <v>5013</v>
      </c>
      <c r="E1887" s="26">
        <v>5126</v>
      </c>
    </row>
    <row r="1888" spans="1:5" x14ac:dyDescent="0.25">
      <c r="A1888" s="24" t="s">
        <v>7</v>
      </c>
      <c r="B1888" s="24" t="s">
        <v>5016</v>
      </c>
      <c r="C1888" s="25" t="s">
        <v>5017</v>
      </c>
      <c r="D1888" s="25" t="s">
        <v>5018</v>
      </c>
      <c r="E1888" s="26">
        <v>6589</v>
      </c>
    </row>
    <row r="1889" spans="1:5" x14ac:dyDescent="0.25">
      <c r="A1889" s="24" t="s">
        <v>7</v>
      </c>
      <c r="B1889" s="24" t="s">
        <v>5019</v>
      </c>
      <c r="C1889" s="25" t="s">
        <v>5020</v>
      </c>
      <c r="D1889" s="25" t="s">
        <v>5021</v>
      </c>
      <c r="E1889" s="26">
        <v>2646</v>
      </c>
    </row>
    <row r="1890" spans="1:5" x14ac:dyDescent="0.25">
      <c r="A1890" s="24" t="s">
        <v>7</v>
      </c>
      <c r="B1890" s="24" t="s">
        <v>5022</v>
      </c>
      <c r="C1890" s="25" t="s">
        <v>5023</v>
      </c>
      <c r="D1890" s="25" t="s">
        <v>5018</v>
      </c>
      <c r="E1890" s="26">
        <v>32170</v>
      </c>
    </row>
    <row r="1891" spans="1:5" x14ac:dyDescent="0.25">
      <c r="A1891" s="24" t="s">
        <v>7</v>
      </c>
      <c r="B1891" s="24" t="s">
        <v>5024</v>
      </c>
      <c r="C1891" s="25" t="s">
        <v>5025</v>
      </c>
      <c r="D1891" s="25" t="s">
        <v>5026</v>
      </c>
      <c r="E1891" s="26">
        <v>3360</v>
      </c>
    </row>
    <row r="1892" spans="1:5" x14ac:dyDescent="0.25">
      <c r="A1892" s="24" t="s">
        <v>7</v>
      </c>
      <c r="B1892" s="24" t="s">
        <v>5027</v>
      </c>
      <c r="C1892" s="25" t="s">
        <v>5028</v>
      </c>
      <c r="D1892" s="25" t="s">
        <v>5029</v>
      </c>
      <c r="E1892" s="26">
        <v>9018</v>
      </c>
    </row>
    <row r="1893" spans="1:5" x14ac:dyDescent="0.25">
      <c r="A1893" s="24" t="s">
        <v>7</v>
      </c>
      <c r="B1893" s="24" t="s">
        <v>5030</v>
      </c>
      <c r="C1893" s="25" t="s">
        <v>5031</v>
      </c>
      <c r="D1893" s="25" t="s">
        <v>5029</v>
      </c>
      <c r="E1893" s="26">
        <v>5654</v>
      </c>
    </row>
    <row r="1894" spans="1:5" x14ac:dyDescent="0.25">
      <c r="A1894" s="24" t="s">
        <v>7</v>
      </c>
      <c r="B1894" s="24" t="s">
        <v>5032</v>
      </c>
      <c r="C1894" s="25" t="s">
        <v>5033</v>
      </c>
      <c r="D1894" s="25" t="s">
        <v>5034</v>
      </c>
      <c r="E1894" s="26">
        <v>26797</v>
      </c>
    </row>
    <row r="1895" spans="1:5" x14ac:dyDescent="0.25">
      <c r="A1895" s="24" t="s">
        <v>7</v>
      </c>
      <c r="B1895" s="24" t="s">
        <v>5035</v>
      </c>
      <c r="C1895" s="25" t="s">
        <v>5036</v>
      </c>
      <c r="D1895" s="25" t="s">
        <v>5037</v>
      </c>
      <c r="E1895" s="26">
        <v>1018</v>
      </c>
    </row>
    <row r="1896" spans="1:5" x14ac:dyDescent="0.25">
      <c r="A1896" s="24" t="s">
        <v>7</v>
      </c>
      <c r="B1896" s="24" t="s">
        <v>5038</v>
      </c>
      <c r="C1896" s="25" t="s">
        <v>5039</v>
      </c>
      <c r="D1896" s="25" t="s">
        <v>5040</v>
      </c>
      <c r="E1896" s="26">
        <v>2646</v>
      </c>
    </row>
    <row r="1897" spans="1:5" x14ac:dyDescent="0.25">
      <c r="A1897" s="24" t="s">
        <v>7</v>
      </c>
      <c r="B1897" s="24" t="s">
        <v>5041</v>
      </c>
      <c r="C1897" s="25" t="s">
        <v>5042</v>
      </c>
      <c r="D1897" s="25" t="s">
        <v>5043</v>
      </c>
      <c r="E1897" s="26">
        <v>2338</v>
      </c>
    </row>
    <row r="1898" spans="1:5" x14ac:dyDescent="0.25">
      <c r="A1898" s="24" t="s">
        <v>7</v>
      </c>
      <c r="B1898" s="24" t="s">
        <v>5044</v>
      </c>
      <c r="C1898" s="25" t="s">
        <v>5045</v>
      </c>
      <c r="D1898" s="25" t="s">
        <v>5046</v>
      </c>
      <c r="E1898" s="26">
        <v>2411</v>
      </c>
    </row>
    <row r="1899" spans="1:5" x14ac:dyDescent="0.25">
      <c r="A1899" s="24" t="s">
        <v>7</v>
      </c>
      <c r="B1899" s="24" t="s">
        <v>5047</v>
      </c>
      <c r="C1899" s="25" t="s">
        <v>5048</v>
      </c>
      <c r="D1899" s="25" t="s">
        <v>5049</v>
      </c>
      <c r="E1899" s="26">
        <v>1831</v>
      </c>
    </row>
    <row r="1900" spans="1:5" x14ac:dyDescent="0.25">
      <c r="A1900" s="24" t="s">
        <v>7</v>
      </c>
      <c r="B1900" s="24" t="s">
        <v>5050</v>
      </c>
      <c r="C1900" s="25" t="s">
        <v>5051</v>
      </c>
      <c r="D1900" s="25" t="s">
        <v>5052</v>
      </c>
      <c r="E1900" s="26">
        <v>4419</v>
      </c>
    </row>
    <row r="1901" spans="1:5" x14ac:dyDescent="0.25">
      <c r="A1901" s="24" t="s">
        <v>7</v>
      </c>
      <c r="B1901" s="24" t="s">
        <v>5053</v>
      </c>
      <c r="C1901" s="25" t="s">
        <v>5054</v>
      </c>
      <c r="D1901" s="25" t="s">
        <v>5055</v>
      </c>
      <c r="E1901" s="26">
        <v>86453</v>
      </c>
    </row>
    <row r="1902" spans="1:5" x14ac:dyDescent="0.25">
      <c r="A1902" s="24" t="s">
        <v>7</v>
      </c>
      <c r="B1902" s="24" t="s">
        <v>5056</v>
      </c>
      <c r="C1902" s="25" t="s">
        <v>5057</v>
      </c>
      <c r="D1902" s="25" t="s">
        <v>5058</v>
      </c>
      <c r="E1902" s="26">
        <v>42774</v>
      </c>
    </row>
    <row r="1903" spans="1:5" x14ac:dyDescent="0.25">
      <c r="A1903" s="24" t="s">
        <v>7</v>
      </c>
      <c r="B1903" s="24" t="s">
        <v>5059</v>
      </c>
      <c r="C1903" s="25" t="s">
        <v>5060</v>
      </c>
      <c r="D1903" s="25" t="s">
        <v>5061</v>
      </c>
      <c r="E1903" s="26">
        <v>9439</v>
      </c>
    </row>
    <row r="1904" spans="1:5" x14ac:dyDescent="0.25">
      <c r="A1904" s="24" t="s">
        <v>7</v>
      </c>
      <c r="B1904" s="24" t="s">
        <v>5062</v>
      </c>
      <c r="C1904" s="25" t="s">
        <v>5063</v>
      </c>
      <c r="D1904" s="25" t="s">
        <v>5064</v>
      </c>
      <c r="E1904" s="26">
        <v>14306</v>
      </c>
    </row>
    <row r="1905" spans="1:5" x14ac:dyDescent="0.25">
      <c r="A1905" s="24" t="s">
        <v>7</v>
      </c>
      <c r="B1905" s="24" t="s">
        <v>5065</v>
      </c>
      <c r="C1905" s="25" t="s">
        <v>5066</v>
      </c>
      <c r="D1905" s="25" t="s">
        <v>5067</v>
      </c>
      <c r="E1905" s="26">
        <v>2538</v>
      </c>
    </row>
    <row r="1906" spans="1:5" x14ac:dyDescent="0.25">
      <c r="A1906" s="24" t="s">
        <v>7</v>
      </c>
      <c r="B1906" s="24" t="s">
        <v>5068</v>
      </c>
      <c r="C1906" s="25" t="s">
        <v>5069</v>
      </c>
      <c r="D1906" s="25" t="s">
        <v>5070</v>
      </c>
      <c r="E1906" s="26">
        <v>18885</v>
      </c>
    </row>
    <row r="1907" spans="1:5" x14ac:dyDescent="0.25">
      <c r="A1907" s="24" t="s">
        <v>7</v>
      </c>
      <c r="B1907" s="24" t="s">
        <v>5071</v>
      </c>
      <c r="C1907" s="25" t="s">
        <v>5072</v>
      </c>
      <c r="D1907" s="25" t="s">
        <v>5073</v>
      </c>
      <c r="E1907" s="26">
        <v>754</v>
      </c>
    </row>
    <row r="1908" spans="1:5" x14ac:dyDescent="0.25">
      <c r="A1908" s="24" t="s">
        <v>7</v>
      </c>
      <c r="B1908" s="24" t="s">
        <v>5074</v>
      </c>
      <c r="C1908" s="25" t="s">
        <v>5075</v>
      </c>
      <c r="D1908" s="25" t="s">
        <v>5076</v>
      </c>
      <c r="E1908" s="26">
        <v>2907</v>
      </c>
    </row>
    <row r="1909" spans="1:5" x14ac:dyDescent="0.25">
      <c r="A1909" s="24" t="s">
        <v>7</v>
      </c>
      <c r="B1909" s="24" t="s">
        <v>5077</v>
      </c>
      <c r="C1909" s="25" t="s">
        <v>5078</v>
      </c>
      <c r="D1909" s="25" t="s">
        <v>5079</v>
      </c>
      <c r="E1909" s="26">
        <v>2810</v>
      </c>
    </row>
    <row r="1910" spans="1:5" x14ac:dyDescent="0.25">
      <c r="A1910" s="24" t="s">
        <v>7</v>
      </c>
      <c r="B1910" s="24" t="s">
        <v>5080</v>
      </c>
      <c r="C1910" s="25" t="s">
        <v>5081</v>
      </c>
      <c r="D1910" s="25" t="s">
        <v>5082</v>
      </c>
      <c r="E1910" s="26">
        <v>1220</v>
      </c>
    </row>
    <row r="1911" spans="1:5" x14ac:dyDescent="0.25">
      <c r="A1911" s="24" t="s">
        <v>7</v>
      </c>
      <c r="B1911" s="24" t="s">
        <v>5083</v>
      </c>
      <c r="C1911" s="25" t="s">
        <v>5084</v>
      </c>
      <c r="D1911" s="25" t="s">
        <v>5085</v>
      </c>
      <c r="E1911" s="26">
        <v>23406</v>
      </c>
    </row>
    <row r="1912" spans="1:5" x14ac:dyDescent="0.25">
      <c r="A1912" s="24" t="s">
        <v>7</v>
      </c>
      <c r="B1912" s="24" t="s">
        <v>5086</v>
      </c>
      <c r="C1912" s="25" t="s">
        <v>5087</v>
      </c>
      <c r="D1912" s="25" t="s">
        <v>5088</v>
      </c>
      <c r="E1912" s="26">
        <v>34592.5</v>
      </c>
    </row>
    <row r="1913" spans="1:5" x14ac:dyDescent="0.25">
      <c r="A1913" s="24" t="s">
        <v>7</v>
      </c>
      <c r="B1913" s="24" t="s">
        <v>5089</v>
      </c>
      <c r="C1913" s="25" t="s">
        <v>5090</v>
      </c>
      <c r="D1913" s="25" t="s">
        <v>5091</v>
      </c>
      <c r="E1913" s="26">
        <v>11629</v>
      </c>
    </row>
    <row r="1914" spans="1:5" x14ac:dyDescent="0.25">
      <c r="A1914" s="24" t="s">
        <v>7</v>
      </c>
      <c r="B1914" s="24" t="s">
        <v>5092</v>
      </c>
      <c r="C1914" s="25" t="s">
        <v>5093</v>
      </c>
      <c r="D1914" s="25" t="s">
        <v>5094</v>
      </c>
      <c r="E1914" s="26">
        <v>5256</v>
      </c>
    </row>
    <row r="1915" spans="1:5" x14ac:dyDescent="0.25">
      <c r="A1915" s="24" t="s">
        <v>7</v>
      </c>
      <c r="B1915" s="24" t="s">
        <v>5095</v>
      </c>
      <c r="C1915" s="25" t="s">
        <v>5096</v>
      </c>
      <c r="D1915" s="25" t="s">
        <v>5097</v>
      </c>
      <c r="E1915" s="26">
        <v>3295</v>
      </c>
    </row>
    <row r="1916" spans="1:5" x14ac:dyDescent="0.25">
      <c r="A1916" s="24" t="s">
        <v>7</v>
      </c>
      <c r="B1916" s="24" t="s">
        <v>5098</v>
      </c>
      <c r="C1916" s="25" t="s">
        <v>5099</v>
      </c>
      <c r="D1916" s="25" t="s">
        <v>5100</v>
      </c>
      <c r="E1916" s="26">
        <v>8991</v>
      </c>
    </row>
    <row r="1917" spans="1:5" x14ac:dyDescent="0.25">
      <c r="A1917" s="24" t="s">
        <v>7</v>
      </c>
      <c r="B1917" s="24" t="s">
        <v>5101</v>
      </c>
      <c r="C1917" s="25" t="s">
        <v>5102</v>
      </c>
      <c r="D1917" s="25" t="s">
        <v>5103</v>
      </c>
      <c r="E1917" s="26">
        <v>38594</v>
      </c>
    </row>
    <row r="1918" spans="1:5" x14ac:dyDescent="0.25">
      <c r="A1918" s="24" t="s">
        <v>7</v>
      </c>
      <c r="B1918" s="24" t="s">
        <v>5104</v>
      </c>
      <c r="C1918" s="25" t="s">
        <v>5105</v>
      </c>
      <c r="D1918" s="25" t="s">
        <v>5106</v>
      </c>
      <c r="E1918" s="26">
        <v>7483</v>
      </c>
    </row>
    <row r="1919" spans="1:5" x14ac:dyDescent="0.25">
      <c r="A1919" s="24" t="s">
        <v>7</v>
      </c>
      <c r="B1919" s="24" t="s">
        <v>5107</v>
      </c>
      <c r="C1919" s="25" t="s">
        <v>5108</v>
      </c>
      <c r="D1919" s="25" t="s">
        <v>5109</v>
      </c>
      <c r="E1919" s="26">
        <v>7975</v>
      </c>
    </row>
    <row r="1920" spans="1:5" x14ac:dyDescent="0.25">
      <c r="A1920" s="24" t="s">
        <v>7</v>
      </c>
      <c r="B1920" s="24" t="s">
        <v>5110</v>
      </c>
      <c r="C1920" s="25" t="s">
        <v>5111</v>
      </c>
      <c r="D1920" s="25" t="s">
        <v>5112</v>
      </c>
      <c r="E1920" s="26">
        <v>4356</v>
      </c>
    </row>
    <row r="1921" spans="1:5" x14ac:dyDescent="0.25">
      <c r="A1921" s="24" t="s">
        <v>7</v>
      </c>
      <c r="B1921" s="24" t="s">
        <v>5113</v>
      </c>
      <c r="C1921" s="25" t="s">
        <v>5114</v>
      </c>
      <c r="D1921" s="25" t="s">
        <v>4921</v>
      </c>
      <c r="E1921" s="26">
        <v>23228</v>
      </c>
    </row>
    <row r="1922" spans="1:5" x14ac:dyDescent="0.25">
      <c r="A1922" s="24" t="s">
        <v>7</v>
      </c>
      <c r="B1922" s="24" t="s">
        <v>5115</v>
      </c>
      <c r="C1922" s="25" t="s">
        <v>5116</v>
      </c>
      <c r="D1922" s="25" t="s">
        <v>5117</v>
      </c>
      <c r="E1922" s="26">
        <v>2789</v>
      </c>
    </row>
    <row r="1923" spans="1:5" x14ac:dyDescent="0.25">
      <c r="A1923" s="24" t="s">
        <v>7</v>
      </c>
      <c r="B1923" s="24" t="s">
        <v>5118</v>
      </c>
      <c r="C1923" s="25" t="s">
        <v>5119</v>
      </c>
      <c r="D1923" s="25" t="s">
        <v>5117</v>
      </c>
      <c r="E1923" s="26">
        <v>20061</v>
      </c>
    </row>
    <row r="1924" spans="1:5" x14ac:dyDescent="0.25">
      <c r="A1924" s="24" t="s">
        <v>7</v>
      </c>
      <c r="B1924" s="24" t="s">
        <v>5120</v>
      </c>
      <c r="C1924" s="25" t="s">
        <v>5121</v>
      </c>
      <c r="D1924" s="25" t="s">
        <v>5117</v>
      </c>
      <c r="E1924" s="26">
        <v>7093</v>
      </c>
    </row>
    <row r="1925" spans="1:5" x14ac:dyDescent="0.25">
      <c r="A1925" s="24" t="s">
        <v>7</v>
      </c>
      <c r="B1925" s="24" t="s">
        <v>5122</v>
      </c>
      <c r="C1925" s="25" t="s">
        <v>5123</v>
      </c>
      <c r="D1925" s="25" t="s">
        <v>5124</v>
      </c>
      <c r="E1925" s="26">
        <v>5466</v>
      </c>
    </row>
    <row r="1926" spans="1:5" x14ac:dyDescent="0.25">
      <c r="A1926" s="24" t="s">
        <v>7</v>
      </c>
      <c r="B1926" s="24" t="s">
        <v>5125</v>
      </c>
      <c r="C1926" s="25" t="s">
        <v>5126</v>
      </c>
      <c r="D1926" s="25" t="s">
        <v>5127</v>
      </c>
      <c r="E1926" s="26">
        <v>37215</v>
      </c>
    </row>
    <row r="1927" spans="1:5" x14ac:dyDescent="0.25">
      <c r="A1927" s="24" t="s">
        <v>7</v>
      </c>
      <c r="B1927" s="24" t="s">
        <v>5128</v>
      </c>
      <c r="C1927" s="25" t="s">
        <v>5129</v>
      </c>
      <c r="D1927" s="25" t="s">
        <v>5127</v>
      </c>
      <c r="E1927" s="26">
        <v>49553</v>
      </c>
    </row>
    <row r="1928" spans="1:5" x14ac:dyDescent="0.25">
      <c r="A1928" s="24" t="s">
        <v>7</v>
      </c>
      <c r="B1928" s="24" t="s">
        <v>5130</v>
      </c>
      <c r="C1928" s="25" t="s">
        <v>5131</v>
      </c>
      <c r="D1928" s="25" t="s">
        <v>5132</v>
      </c>
      <c r="E1928" s="26">
        <v>20268</v>
      </c>
    </row>
    <row r="1929" spans="1:5" x14ac:dyDescent="0.25">
      <c r="A1929" s="24" t="s">
        <v>7</v>
      </c>
      <c r="B1929" s="24" t="s">
        <v>5133</v>
      </c>
      <c r="C1929" s="25" t="s">
        <v>5134</v>
      </c>
      <c r="D1929" s="25" t="s">
        <v>5135</v>
      </c>
      <c r="E1929" s="26">
        <v>9372</v>
      </c>
    </row>
    <row r="1930" spans="1:5" x14ac:dyDescent="0.25">
      <c r="A1930" s="24" t="s">
        <v>7</v>
      </c>
      <c r="B1930" s="24" t="s">
        <v>5136</v>
      </c>
      <c r="C1930" s="25" t="s">
        <v>5137</v>
      </c>
      <c r="D1930" s="25" t="s">
        <v>5138</v>
      </c>
      <c r="E1930" s="26">
        <v>21483</v>
      </c>
    </row>
    <row r="1931" spans="1:5" x14ac:dyDescent="0.25">
      <c r="A1931" s="24" t="s">
        <v>7</v>
      </c>
      <c r="B1931" s="24" t="s">
        <v>5139</v>
      </c>
      <c r="C1931" s="25" t="s">
        <v>5140</v>
      </c>
      <c r="D1931" s="25" t="s">
        <v>5141</v>
      </c>
      <c r="E1931" s="26">
        <v>20197</v>
      </c>
    </row>
    <row r="1932" spans="1:5" x14ac:dyDescent="0.25">
      <c r="A1932" s="24" t="s">
        <v>7</v>
      </c>
      <c r="B1932" s="24" t="s">
        <v>5142</v>
      </c>
      <c r="C1932" s="25" t="s">
        <v>5143</v>
      </c>
      <c r="D1932" s="25" t="s">
        <v>5144</v>
      </c>
      <c r="E1932" s="26">
        <v>18731</v>
      </c>
    </row>
    <row r="1933" spans="1:5" x14ac:dyDescent="0.25">
      <c r="A1933" s="24" t="s">
        <v>7</v>
      </c>
      <c r="B1933" s="24" t="s">
        <v>5145</v>
      </c>
      <c r="C1933" s="25" t="s">
        <v>5146</v>
      </c>
      <c r="D1933" s="25" t="s">
        <v>5147</v>
      </c>
      <c r="E1933" s="26">
        <v>22315</v>
      </c>
    </row>
    <row r="1934" spans="1:5" x14ac:dyDescent="0.25">
      <c r="A1934" s="24" t="s">
        <v>7</v>
      </c>
      <c r="B1934" s="24" t="s">
        <v>5148</v>
      </c>
      <c r="C1934" s="25" t="s">
        <v>5149</v>
      </c>
      <c r="D1934" s="25" t="s">
        <v>5150</v>
      </c>
      <c r="E1934" s="26">
        <v>26045</v>
      </c>
    </row>
    <row r="1935" spans="1:5" x14ac:dyDescent="0.25">
      <c r="A1935" s="24" t="s">
        <v>7</v>
      </c>
      <c r="B1935" s="24" t="s">
        <v>5151</v>
      </c>
      <c r="C1935" s="25" t="s">
        <v>5152</v>
      </c>
      <c r="D1935" s="25" t="s">
        <v>5153</v>
      </c>
      <c r="E1935" s="26">
        <v>4419</v>
      </c>
    </row>
    <row r="1936" spans="1:5" x14ac:dyDescent="0.25">
      <c r="A1936" s="24" t="s">
        <v>7</v>
      </c>
      <c r="B1936" s="24" t="s">
        <v>5154</v>
      </c>
      <c r="C1936" s="25" t="s">
        <v>5155</v>
      </c>
      <c r="D1936" s="25" t="s">
        <v>5156</v>
      </c>
      <c r="E1936" s="26">
        <v>16535</v>
      </c>
    </row>
    <row r="1937" spans="1:5" x14ac:dyDescent="0.25">
      <c r="A1937" s="24" t="s">
        <v>7</v>
      </c>
      <c r="B1937" s="24" t="s">
        <v>5157</v>
      </c>
      <c r="C1937" s="25" t="s">
        <v>5158</v>
      </c>
      <c r="D1937" s="25" t="s">
        <v>5159</v>
      </c>
      <c r="E1937" s="26">
        <v>4419</v>
      </c>
    </row>
    <row r="1938" spans="1:5" x14ac:dyDescent="0.25">
      <c r="A1938" s="24" t="s">
        <v>7</v>
      </c>
      <c r="B1938" s="24" t="s">
        <v>5160</v>
      </c>
      <c r="C1938" s="25" t="s">
        <v>5161</v>
      </c>
      <c r="D1938" s="25" t="s">
        <v>5159</v>
      </c>
      <c r="E1938" s="26">
        <v>2168</v>
      </c>
    </row>
    <row r="1939" spans="1:5" x14ac:dyDescent="0.25">
      <c r="A1939" s="24" t="s">
        <v>7</v>
      </c>
      <c r="B1939" s="24" t="s">
        <v>5162</v>
      </c>
      <c r="C1939" s="25" t="s">
        <v>5163</v>
      </c>
      <c r="D1939" s="25" t="s">
        <v>5164</v>
      </c>
      <c r="E1939" s="26">
        <v>4430</v>
      </c>
    </row>
    <row r="1940" spans="1:5" x14ac:dyDescent="0.25">
      <c r="A1940" s="24" t="s">
        <v>7</v>
      </c>
      <c r="B1940" s="24" t="s">
        <v>5165</v>
      </c>
      <c r="C1940" s="25" t="s">
        <v>5166</v>
      </c>
      <c r="D1940" s="25" t="s">
        <v>5167</v>
      </c>
      <c r="E1940" s="26">
        <v>3138</v>
      </c>
    </row>
    <row r="1941" spans="1:5" x14ac:dyDescent="0.25">
      <c r="A1941" s="24" t="s">
        <v>7</v>
      </c>
      <c r="B1941" s="24" t="s">
        <v>5168</v>
      </c>
      <c r="C1941" s="25" t="s">
        <v>5169</v>
      </c>
      <c r="D1941" s="25" t="s">
        <v>5170</v>
      </c>
      <c r="E1941" s="26">
        <v>4191</v>
      </c>
    </row>
    <row r="1942" spans="1:5" x14ac:dyDescent="0.25">
      <c r="A1942" s="24" t="s">
        <v>7</v>
      </c>
      <c r="B1942" s="24" t="s">
        <v>5171</v>
      </c>
      <c r="C1942" s="25" t="s">
        <v>5172</v>
      </c>
      <c r="D1942" s="25" t="s">
        <v>5173</v>
      </c>
      <c r="E1942" s="26">
        <v>4436</v>
      </c>
    </row>
    <row r="1943" spans="1:5" x14ac:dyDescent="0.25">
      <c r="A1943" s="24" t="s">
        <v>7</v>
      </c>
      <c r="B1943" s="24" t="s">
        <v>5174</v>
      </c>
      <c r="C1943" s="25" t="s">
        <v>5175</v>
      </c>
      <c r="D1943" s="25" t="s">
        <v>5176</v>
      </c>
      <c r="E1943" s="26">
        <v>4454</v>
      </c>
    </row>
    <row r="1944" spans="1:5" x14ac:dyDescent="0.25">
      <c r="A1944" s="24" t="s">
        <v>7</v>
      </c>
      <c r="B1944" s="24" t="s">
        <v>5177</v>
      </c>
      <c r="C1944" s="25" t="s">
        <v>5178</v>
      </c>
      <c r="D1944" s="25" t="s">
        <v>5179</v>
      </c>
      <c r="E1944" s="26">
        <v>21313</v>
      </c>
    </row>
    <row r="1945" spans="1:5" x14ac:dyDescent="0.25">
      <c r="A1945" s="24" t="s">
        <v>7</v>
      </c>
      <c r="B1945" s="24" t="s">
        <v>5180</v>
      </c>
      <c r="C1945" s="25" t="s">
        <v>5181</v>
      </c>
      <c r="D1945" s="25" t="s">
        <v>5182</v>
      </c>
      <c r="E1945" s="26">
        <v>6356</v>
      </c>
    </row>
    <row r="1946" spans="1:5" x14ac:dyDescent="0.25">
      <c r="A1946" s="24" t="s">
        <v>7</v>
      </c>
      <c r="B1946" s="24" t="s">
        <v>5183</v>
      </c>
      <c r="C1946" s="25" t="s">
        <v>5184</v>
      </c>
      <c r="D1946" s="25" t="s">
        <v>5185</v>
      </c>
      <c r="E1946" s="26">
        <v>5382</v>
      </c>
    </row>
    <row r="1947" spans="1:5" x14ac:dyDescent="0.25">
      <c r="A1947" s="24" t="s">
        <v>7</v>
      </c>
      <c r="B1947" s="24" t="s">
        <v>5186</v>
      </c>
      <c r="C1947" s="25" t="s">
        <v>5187</v>
      </c>
      <c r="D1947" s="25" t="s">
        <v>5188</v>
      </c>
      <c r="E1947" s="26">
        <v>36986</v>
      </c>
    </row>
    <row r="1948" spans="1:5" x14ac:dyDescent="0.25">
      <c r="A1948" s="24" t="s">
        <v>7</v>
      </c>
      <c r="B1948" s="24" t="s">
        <v>5189</v>
      </c>
      <c r="C1948" s="25" t="s">
        <v>5190</v>
      </c>
      <c r="D1948" s="25" t="s">
        <v>5191</v>
      </c>
      <c r="E1948" s="26">
        <v>48652</v>
      </c>
    </row>
    <row r="1949" spans="1:5" x14ac:dyDescent="0.25">
      <c r="A1949" s="24" t="s">
        <v>7</v>
      </c>
      <c r="B1949" s="24" t="s">
        <v>5192</v>
      </c>
      <c r="C1949" s="25" t="s">
        <v>5193</v>
      </c>
      <c r="D1949" s="25" t="s">
        <v>5194</v>
      </c>
      <c r="E1949" s="26">
        <v>10601</v>
      </c>
    </row>
    <row r="1950" spans="1:5" x14ac:dyDescent="0.25">
      <c r="A1950" s="24" t="s">
        <v>7</v>
      </c>
      <c r="B1950" s="24" t="s">
        <v>5195</v>
      </c>
      <c r="C1950" s="25" t="s">
        <v>5196</v>
      </c>
      <c r="D1950" s="25" t="s">
        <v>5197</v>
      </c>
      <c r="E1950" s="26">
        <v>25514</v>
      </c>
    </row>
    <row r="1951" spans="1:5" x14ac:dyDescent="0.25">
      <c r="A1951" s="24" t="s">
        <v>7</v>
      </c>
      <c r="B1951" s="24" t="s">
        <v>5198</v>
      </c>
      <c r="C1951" s="25" t="s">
        <v>5199</v>
      </c>
      <c r="D1951" s="25" t="s">
        <v>5200</v>
      </c>
      <c r="E1951" s="26">
        <v>4732</v>
      </c>
    </row>
    <row r="1952" spans="1:5" x14ac:dyDescent="0.25">
      <c r="A1952" s="24" t="s">
        <v>7</v>
      </c>
      <c r="B1952" s="24" t="s">
        <v>5201</v>
      </c>
      <c r="C1952" s="25" t="s">
        <v>5202</v>
      </c>
      <c r="D1952" s="25" t="s">
        <v>5203</v>
      </c>
      <c r="E1952" s="26">
        <v>4821</v>
      </c>
    </row>
    <row r="1953" spans="1:5" x14ac:dyDescent="0.25">
      <c r="A1953" s="24" t="s">
        <v>7</v>
      </c>
      <c r="B1953" s="24" t="s">
        <v>5204</v>
      </c>
      <c r="C1953" s="25" t="s">
        <v>5205</v>
      </c>
      <c r="D1953" s="25" t="s">
        <v>5206</v>
      </c>
      <c r="E1953" s="26">
        <v>651</v>
      </c>
    </row>
    <row r="1954" spans="1:5" x14ac:dyDescent="0.25">
      <c r="A1954" s="24" t="s">
        <v>7</v>
      </c>
      <c r="B1954" s="24" t="s">
        <v>5207</v>
      </c>
      <c r="C1954" s="25" t="s">
        <v>5208</v>
      </c>
      <c r="D1954" s="25" t="s">
        <v>4388</v>
      </c>
      <c r="E1954" s="26">
        <v>1655</v>
      </c>
    </row>
    <row r="1955" spans="1:5" x14ac:dyDescent="0.25">
      <c r="A1955" s="24" t="s">
        <v>7</v>
      </c>
      <c r="B1955" s="24" t="s">
        <v>5209</v>
      </c>
      <c r="C1955" s="25" t="s">
        <v>5210</v>
      </c>
      <c r="D1955" s="25" t="s">
        <v>5211</v>
      </c>
      <c r="E1955" s="26">
        <v>5282</v>
      </c>
    </row>
    <row r="1956" spans="1:5" x14ac:dyDescent="0.25">
      <c r="A1956" s="24" t="s">
        <v>7</v>
      </c>
      <c r="B1956" s="24" t="s">
        <v>5212</v>
      </c>
      <c r="C1956" s="25" t="s">
        <v>5213</v>
      </c>
      <c r="D1956" s="25" t="s">
        <v>5214</v>
      </c>
      <c r="E1956" s="26">
        <v>1839</v>
      </c>
    </row>
    <row r="1957" spans="1:5" x14ac:dyDescent="0.25">
      <c r="A1957" s="24" t="s">
        <v>7</v>
      </c>
      <c r="B1957" s="24" t="s">
        <v>5215</v>
      </c>
      <c r="C1957" s="25" t="s">
        <v>5216</v>
      </c>
      <c r="D1957" s="25" t="s">
        <v>5217</v>
      </c>
      <c r="E1957" s="26">
        <v>2333</v>
      </c>
    </row>
    <row r="1958" spans="1:5" x14ac:dyDescent="0.25">
      <c r="A1958" s="24" t="s">
        <v>7</v>
      </c>
      <c r="B1958" s="24" t="s">
        <v>5218</v>
      </c>
      <c r="C1958" s="25" t="s">
        <v>5219</v>
      </c>
      <c r="D1958" s="25" t="s">
        <v>5220</v>
      </c>
      <c r="E1958" s="26">
        <v>1445</v>
      </c>
    </row>
    <row r="1959" spans="1:5" x14ac:dyDescent="0.25">
      <c r="A1959" s="24" t="s">
        <v>7</v>
      </c>
      <c r="B1959" s="24" t="s">
        <v>5221</v>
      </c>
      <c r="C1959" s="25" t="s">
        <v>5222</v>
      </c>
      <c r="D1959" s="25" t="s">
        <v>5223</v>
      </c>
      <c r="E1959" s="26">
        <v>1611</v>
      </c>
    </row>
    <row r="1960" spans="1:5" x14ac:dyDescent="0.25">
      <c r="A1960" s="24" t="s">
        <v>7</v>
      </c>
      <c r="B1960" s="24" t="s">
        <v>5224</v>
      </c>
      <c r="C1960" s="25" t="s">
        <v>5225</v>
      </c>
      <c r="D1960" s="25" t="s">
        <v>5226</v>
      </c>
      <c r="E1960" s="26">
        <v>6054</v>
      </c>
    </row>
    <row r="1961" spans="1:5" x14ac:dyDescent="0.25">
      <c r="A1961" s="24" t="s">
        <v>7</v>
      </c>
      <c r="B1961" s="24" t="s">
        <v>5227</v>
      </c>
      <c r="C1961" s="25" t="s">
        <v>5228</v>
      </c>
      <c r="D1961" s="25" t="s">
        <v>5229</v>
      </c>
      <c r="E1961" s="26">
        <v>25613</v>
      </c>
    </row>
    <row r="1962" spans="1:5" x14ac:dyDescent="0.25">
      <c r="A1962" s="24" t="s">
        <v>7</v>
      </c>
      <c r="B1962" s="24" t="s">
        <v>5230</v>
      </c>
      <c r="C1962" s="25" t="s">
        <v>5231</v>
      </c>
      <c r="D1962" s="25" t="s">
        <v>5229</v>
      </c>
      <c r="E1962" s="26">
        <v>61624</v>
      </c>
    </row>
    <row r="1963" spans="1:5" x14ac:dyDescent="0.25">
      <c r="A1963" s="24" t="s">
        <v>7</v>
      </c>
      <c r="B1963" s="24" t="s">
        <v>5232</v>
      </c>
      <c r="C1963" s="25" t="s">
        <v>5233</v>
      </c>
      <c r="D1963" s="25" t="s">
        <v>5234</v>
      </c>
      <c r="E1963" s="26">
        <v>3101</v>
      </c>
    </row>
    <row r="1964" spans="1:5" x14ac:dyDescent="0.25">
      <c r="A1964" s="24" t="s">
        <v>7</v>
      </c>
      <c r="B1964" s="24" t="s">
        <v>5235</v>
      </c>
      <c r="C1964" s="25" t="s">
        <v>5236</v>
      </c>
      <c r="D1964" s="25" t="s">
        <v>5237</v>
      </c>
      <c r="E1964" s="26">
        <v>948</v>
      </c>
    </row>
    <row r="1965" spans="1:5" x14ac:dyDescent="0.25">
      <c r="A1965" s="24" t="s">
        <v>7</v>
      </c>
      <c r="B1965" s="24" t="s">
        <v>5238</v>
      </c>
      <c r="C1965" s="25" t="s">
        <v>5239</v>
      </c>
      <c r="D1965" s="25" t="s">
        <v>5237</v>
      </c>
      <c r="E1965" s="26">
        <v>1365</v>
      </c>
    </row>
    <row r="1966" spans="1:5" x14ac:dyDescent="0.25">
      <c r="A1966" s="24" t="s">
        <v>7</v>
      </c>
      <c r="B1966" s="24" t="s">
        <v>5240</v>
      </c>
      <c r="C1966" s="25" t="s">
        <v>5241</v>
      </c>
      <c r="D1966" s="25" t="s">
        <v>5237</v>
      </c>
      <c r="E1966" s="26">
        <v>2483</v>
      </c>
    </row>
    <row r="1967" spans="1:5" x14ac:dyDescent="0.25">
      <c r="A1967" s="24" t="s">
        <v>7</v>
      </c>
      <c r="B1967" s="24" t="s">
        <v>5242</v>
      </c>
      <c r="C1967" s="25" t="s">
        <v>5243</v>
      </c>
      <c r="D1967" s="25" t="s">
        <v>5237</v>
      </c>
      <c r="E1967" s="26">
        <v>2939</v>
      </c>
    </row>
    <row r="1968" spans="1:5" x14ac:dyDescent="0.25">
      <c r="A1968" s="24" t="s">
        <v>7</v>
      </c>
      <c r="B1968" s="24" t="s">
        <v>5244</v>
      </c>
      <c r="C1968" s="25" t="s">
        <v>5245</v>
      </c>
      <c r="D1968" s="25" t="s">
        <v>5237</v>
      </c>
      <c r="E1968" s="26">
        <v>12140</v>
      </c>
    </row>
    <row r="1969" spans="1:5" x14ac:dyDescent="0.25">
      <c r="A1969" s="24" t="s">
        <v>7</v>
      </c>
      <c r="B1969" s="24" t="s">
        <v>5246</v>
      </c>
      <c r="C1969" s="25" t="s">
        <v>5247</v>
      </c>
      <c r="D1969" s="25" t="s">
        <v>5237</v>
      </c>
      <c r="E1969" s="26">
        <v>8858</v>
      </c>
    </row>
    <row r="1970" spans="1:5" x14ac:dyDescent="0.25">
      <c r="A1970" s="24" t="s">
        <v>7</v>
      </c>
      <c r="B1970" s="24" t="s">
        <v>5248</v>
      </c>
      <c r="C1970" s="25" t="s">
        <v>5249</v>
      </c>
      <c r="D1970" s="25" t="s">
        <v>5237</v>
      </c>
      <c r="E1970" s="26">
        <v>12618</v>
      </c>
    </row>
    <row r="1971" spans="1:5" x14ac:dyDescent="0.25">
      <c r="A1971" s="24" t="s">
        <v>7</v>
      </c>
      <c r="B1971" s="24" t="s">
        <v>5250</v>
      </c>
      <c r="C1971" s="25" t="s">
        <v>5251</v>
      </c>
      <c r="D1971" s="25" t="s">
        <v>5237</v>
      </c>
      <c r="E1971" s="26">
        <v>4943</v>
      </c>
    </row>
    <row r="1972" spans="1:5" x14ac:dyDescent="0.25">
      <c r="A1972" s="24" t="s">
        <v>7</v>
      </c>
      <c r="B1972" s="24" t="s">
        <v>5252</v>
      </c>
      <c r="C1972" s="25" t="s">
        <v>5253</v>
      </c>
      <c r="D1972" s="25" t="s">
        <v>5237</v>
      </c>
      <c r="E1972" s="26">
        <v>10664</v>
      </c>
    </row>
    <row r="1973" spans="1:5" x14ac:dyDescent="0.25">
      <c r="A1973" s="24" t="s">
        <v>7</v>
      </c>
      <c r="B1973" s="24" t="s">
        <v>5254</v>
      </c>
      <c r="C1973" s="25" t="s">
        <v>5255</v>
      </c>
      <c r="D1973" s="25" t="s">
        <v>5256</v>
      </c>
      <c r="E1973" s="26">
        <v>1261</v>
      </c>
    </row>
    <row r="1974" spans="1:5" x14ac:dyDescent="0.25">
      <c r="A1974" s="24" t="s">
        <v>7</v>
      </c>
      <c r="B1974" s="24" t="s">
        <v>5257</v>
      </c>
      <c r="C1974" s="25" t="s">
        <v>5258</v>
      </c>
      <c r="D1974" s="25" t="s">
        <v>5259</v>
      </c>
      <c r="E1974" s="26">
        <v>25719</v>
      </c>
    </row>
    <row r="1975" spans="1:5" x14ac:dyDescent="0.25">
      <c r="A1975" s="24" t="s">
        <v>7</v>
      </c>
      <c r="B1975" s="24" t="s">
        <v>5260</v>
      </c>
      <c r="C1975" s="25" t="s">
        <v>5261</v>
      </c>
      <c r="D1975" s="25" t="s">
        <v>5262</v>
      </c>
      <c r="E1975" s="26">
        <v>23796</v>
      </c>
    </row>
    <row r="1976" spans="1:5" x14ac:dyDescent="0.25">
      <c r="A1976" s="24" t="s">
        <v>7</v>
      </c>
      <c r="B1976" s="24" t="s">
        <v>5263</v>
      </c>
      <c r="C1976" s="25" t="s">
        <v>5264</v>
      </c>
      <c r="D1976" s="25" t="s">
        <v>5265</v>
      </c>
      <c r="E1976" s="26">
        <v>24069</v>
      </c>
    </row>
    <row r="1977" spans="1:5" x14ac:dyDescent="0.25">
      <c r="A1977" s="24" t="s">
        <v>7</v>
      </c>
      <c r="B1977" s="24" t="s">
        <v>5266</v>
      </c>
      <c r="C1977" s="25" t="s">
        <v>5267</v>
      </c>
      <c r="D1977" s="25" t="s">
        <v>5268</v>
      </c>
      <c r="E1977" s="26">
        <v>50553</v>
      </c>
    </row>
    <row r="1978" spans="1:5" x14ac:dyDescent="0.25">
      <c r="A1978" s="24" t="s">
        <v>7</v>
      </c>
      <c r="B1978" s="24" t="s">
        <v>5269</v>
      </c>
      <c r="C1978" s="25" t="s">
        <v>5270</v>
      </c>
      <c r="D1978" s="25" t="s">
        <v>5237</v>
      </c>
      <c r="E1978" s="26">
        <v>2756</v>
      </c>
    </row>
    <row r="1979" spans="1:5" x14ac:dyDescent="0.25">
      <c r="A1979" s="24" t="s">
        <v>7</v>
      </c>
      <c r="B1979" s="24" t="s">
        <v>5271</v>
      </c>
      <c r="C1979" s="25" t="s">
        <v>5272</v>
      </c>
      <c r="D1979" s="25" t="s">
        <v>4486</v>
      </c>
      <c r="E1979" s="26">
        <v>2863</v>
      </c>
    </row>
    <row r="1980" spans="1:5" x14ac:dyDescent="0.25">
      <c r="A1980" s="24" t="s">
        <v>7</v>
      </c>
      <c r="B1980" s="24" t="s">
        <v>5273</v>
      </c>
      <c r="C1980" s="25" t="s">
        <v>5274</v>
      </c>
      <c r="D1980" s="25" t="s">
        <v>5275</v>
      </c>
      <c r="E1980" s="26">
        <v>4763</v>
      </c>
    </row>
    <row r="1981" spans="1:5" x14ac:dyDescent="0.25">
      <c r="A1981" s="24" t="s">
        <v>7</v>
      </c>
      <c r="B1981" s="24" t="s">
        <v>5276</v>
      </c>
      <c r="C1981" s="25" t="s">
        <v>5277</v>
      </c>
      <c r="D1981" s="25" t="s">
        <v>5278</v>
      </c>
      <c r="E1981" s="26">
        <v>2237</v>
      </c>
    </row>
    <row r="1982" spans="1:5" x14ac:dyDescent="0.25">
      <c r="A1982" s="24" t="s">
        <v>7</v>
      </c>
      <c r="B1982" s="24" t="s">
        <v>5279</v>
      </c>
      <c r="C1982" s="25" t="s">
        <v>5280</v>
      </c>
      <c r="D1982" s="25" t="s">
        <v>5280</v>
      </c>
      <c r="E1982" s="26">
        <v>659</v>
      </c>
    </row>
    <row r="1983" spans="1:5" x14ac:dyDescent="0.25">
      <c r="A1983" s="24" t="s">
        <v>7</v>
      </c>
      <c r="B1983" s="24" t="s">
        <v>5281</v>
      </c>
      <c r="C1983" s="25" t="s">
        <v>5282</v>
      </c>
      <c r="D1983" s="25" t="s">
        <v>5283</v>
      </c>
      <c r="E1983" s="26">
        <v>182</v>
      </c>
    </row>
    <row r="1984" spans="1:5" x14ac:dyDescent="0.25">
      <c r="A1984" s="24" t="s">
        <v>7</v>
      </c>
      <c r="B1984" s="24" t="s">
        <v>5284</v>
      </c>
      <c r="C1984" s="25" t="s">
        <v>5285</v>
      </c>
      <c r="D1984" s="25" t="s">
        <v>5286</v>
      </c>
      <c r="E1984" s="26">
        <v>157</v>
      </c>
    </row>
    <row r="1985" spans="1:5" x14ac:dyDescent="0.25">
      <c r="A1985" s="24" t="s">
        <v>7</v>
      </c>
      <c r="B1985" s="24" t="s">
        <v>5287</v>
      </c>
      <c r="C1985" s="25" t="s">
        <v>5288</v>
      </c>
      <c r="D1985" s="25" t="s">
        <v>5283</v>
      </c>
      <c r="E1985" s="26">
        <v>778</v>
      </c>
    </row>
    <row r="1986" spans="1:5" x14ac:dyDescent="0.25">
      <c r="A1986" s="24" t="s">
        <v>7</v>
      </c>
      <c r="B1986" s="24" t="s">
        <v>5289</v>
      </c>
      <c r="C1986" s="25" t="s">
        <v>5290</v>
      </c>
      <c r="D1986" s="25" t="s">
        <v>5286</v>
      </c>
      <c r="E1986" s="26">
        <v>778</v>
      </c>
    </row>
    <row r="1987" spans="1:5" x14ac:dyDescent="0.25">
      <c r="A1987" s="24" t="s">
        <v>7</v>
      </c>
      <c r="B1987" s="24" t="s">
        <v>5291</v>
      </c>
      <c r="C1987" s="25" t="s">
        <v>5292</v>
      </c>
      <c r="D1987" s="25" t="s">
        <v>5293</v>
      </c>
      <c r="E1987" s="26">
        <v>9023</v>
      </c>
    </row>
    <row r="1988" spans="1:5" x14ac:dyDescent="0.25">
      <c r="A1988" s="24" t="s">
        <v>7</v>
      </c>
      <c r="B1988" s="24" t="s">
        <v>5294</v>
      </c>
      <c r="C1988" s="25" t="s">
        <v>5295</v>
      </c>
      <c r="D1988" s="25" t="s">
        <v>5296</v>
      </c>
      <c r="E1988" s="26">
        <v>2496</v>
      </c>
    </row>
    <row r="1989" spans="1:5" x14ac:dyDescent="0.25">
      <c r="A1989" s="24" t="s">
        <v>7</v>
      </c>
      <c r="B1989" s="24" t="s">
        <v>5297</v>
      </c>
      <c r="C1989" s="25" t="s">
        <v>5298</v>
      </c>
      <c r="D1989" s="25" t="s">
        <v>5299</v>
      </c>
      <c r="E1989" s="26">
        <v>12971</v>
      </c>
    </row>
    <row r="1990" spans="1:5" x14ac:dyDescent="0.25">
      <c r="A1990" s="24" t="s">
        <v>7</v>
      </c>
      <c r="B1990" s="24" t="s">
        <v>5300</v>
      </c>
      <c r="C1990" s="25" t="s">
        <v>5301</v>
      </c>
      <c r="D1990" s="25" t="s">
        <v>5302</v>
      </c>
      <c r="E1990" s="26">
        <v>9904</v>
      </c>
    </row>
    <row r="1991" spans="1:5" x14ac:dyDescent="0.25">
      <c r="A1991" s="24" t="s">
        <v>7</v>
      </c>
      <c r="B1991" s="24" t="s">
        <v>5303</v>
      </c>
      <c r="C1991" s="25" t="s">
        <v>5304</v>
      </c>
      <c r="D1991" s="25" t="s">
        <v>5305</v>
      </c>
      <c r="E1991" s="26">
        <v>17308</v>
      </c>
    </row>
    <row r="1992" spans="1:5" x14ac:dyDescent="0.25">
      <c r="A1992" s="24" t="s">
        <v>7</v>
      </c>
      <c r="B1992" s="24" t="s">
        <v>5306</v>
      </c>
      <c r="C1992" s="25" t="s">
        <v>5307</v>
      </c>
      <c r="D1992" s="25" t="s">
        <v>5308</v>
      </c>
      <c r="E1992" s="26">
        <v>26632</v>
      </c>
    </row>
    <row r="1993" spans="1:5" x14ac:dyDescent="0.25">
      <c r="A1993" s="24" t="s">
        <v>7</v>
      </c>
      <c r="B1993" s="24" t="s">
        <v>5309</v>
      </c>
      <c r="C1993" s="25" t="s">
        <v>5310</v>
      </c>
      <c r="D1993" s="25" t="s">
        <v>5311</v>
      </c>
      <c r="E1993" s="26">
        <v>13084</v>
      </c>
    </row>
    <row r="1994" spans="1:5" x14ac:dyDescent="0.25">
      <c r="A1994" s="24" t="s">
        <v>7</v>
      </c>
      <c r="B1994" s="24" t="s">
        <v>5312</v>
      </c>
      <c r="C1994" s="25" t="s">
        <v>5313</v>
      </c>
      <c r="D1994" s="25" t="s">
        <v>5314</v>
      </c>
      <c r="E1994" s="26">
        <v>2440</v>
      </c>
    </row>
    <row r="1995" spans="1:5" x14ac:dyDescent="0.25">
      <c r="A1995" s="24" t="s">
        <v>7</v>
      </c>
      <c r="B1995" s="24" t="s">
        <v>5315</v>
      </c>
      <c r="C1995" s="25" t="s">
        <v>5316</v>
      </c>
      <c r="D1995" s="25" t="s">
        <v>5317</v>
      </c>
      <c r="E1995" s="26">
        <v>11057</v>
      </c>
    </row>
    <row r="1996" spans="1:5" x14ac:dyDescent="0.25">
      <c r="A1996" s="24" t="s">
        <v>7</v>
      </c>
      <c r="B1996" s="24" t="s">
        <v>5318</v>
      </c>
      <c r="C1996" s="25" t="s">
        <v>5319</v>
      </c>
      <c r="D1996" s="25" t="s">
        <v>5320</v>
      </c>
      <c r="E1996" s="26">
        <v>10752</v>
      </c>
    </row>
    <row r="1997" spans="1:5" x14ac:dyDescent="0.25">
      <c r="A1997" s="24" t="s">
        <v>7</v>
      </c>
      <c r="B1997" s="24" t="s">
        <v>5321</v>
      </c>
      <c r="C1997" s="25" t="s">
        <v>5322</v>
      </c>
      <c r="D1997" s="25" t="s">
        <v>5323</v>
      </c>
      <c r="E1997" s="26">
        <v>8864</v>
      </c>
    </row>
    <row r="1998" spans="1:5" x14ac:dyDescent="0.25">
      <c r="A1998" s="24" t="s">
        <v>7</v>
      </c>
      <c r="B1998" s="24" t="s">
        <v>5324</v>
      </c>
      <c r="C1998" s="25" t="s">
        <v>5325</v>
      </c>
      <c r="D1998" s="25" t="s">
        <v>5326</v>
      </c>
      <c r="E1998" s="26">
        <v>1889</v>
      </c>
    </row>
    <row r="1999" spans="1:5" x14ac:dyDescent="0.25">
      <c r="A1999" s="24" t="s">
        <v>7</v>
      </c>
      <c r="B1999" s="24" t="s">
        <v>5327</v>
      </c>
      <c r="C1999" s="25" t="s">
        <v>5328</v>
      </c>
      <c r="D1999" s="25" t="s">
        <v>5329</v>
      </c>
      <c r="E1999" s="26">
        <v>4649</v>
      </c>
    </row>
    <row r="2000" spans="1:5" x14ac:dyDescent="0.25">
      <c r="A2000" s="24" t="s">
        <v>7</v>
      </c>
      <c r="B2000" s="24" t="s">
        <v>5330</v>
      </c>
      <c r="C2000" s="25" t="s">
        <v>5331</v>
      </c>
      <c r="D2000" s="25" t="s">
        <v>5332</v>
      </c>
      <c r="E2000" s="26">
        <v>4474</v>
      </c>
    </row>
    <row r="2001" spans="1:5" x14ac:dyDescent="0.25">
      <c r="A2001" s="24" t="s">
        <v>7</v>
      </c>
      <c r="B2001" s="24" t="s">
        <v>5333</v>
      </c>
      <c r="C2001" s="25" t="s">
        <v>5334</v>
      </c>
      <c r="D2001" s="25" t="s">
        <v>5335</v>
      </c>
      <c r="E2001" s="26">
        <v>1757</v>
      </c>
    </row>
    <row r="2002" spans="1:5" x14ac:dyDescent="0.25">
      <c r="A2002" s="24" t="s">
        <v>7</v>
      </c>
      <c r="B2002" s="24" t="s">
        <v>5336</v>
      </c>
      <c r="C2002" s="25" t="s">
        <v>5337</v>
      </c>
      <c r="D2002" s="25" t="s">
        <v>5338</v>
      </c>
      <c r="E2002" s="26">
        <v>1336</v>
      </c>
    </row>
    <row r="2003" spans="1:5" x14ac:dyDescent="0.25">
      <c r="A2003" s="24" t="s">
        <v>7</v>
      </c>
      <c r="B2003" s="24" t="s">
        <v>5339</v>
      </c>
      <c r="C2003" s="25" t="s">
        <v>5340</v>
      </c>
      <c r="D2003" s="25" t="s">
        <v>5341</v>
      </c>
      <c r="E2003" s="26">
        <v>1658</v>
      </c>
    </row>
    <row r="2004" spans="1:5" x14ac:dyDescent="0.25">
      <c r="A2004" s="24" t="s">
        <v>7</v>
      </c>
      <c r="B2004" s="24" t="s">
        <v>5342</v>
      </c>
      <c r="C2004" s="25" t="s">
        <v>5343</v>
      </c>
      <c r="D2004" s="25" t="s">
        <v>5344</v>
      </c>
      <c r="E2004" s="26">
        <v>8379</v>
      </c>
    </row>
    <row r="2005" spans="1:5" x14ac:dyDescent="0.25">
      <c r="A2005" s="24" t="s">
        <v>7</v>
      </c>
      <c r="B2005" s="24" t="s">
        <v>5345</v>
      </c>
      <c r="C2005" s="25" t="s">
        <v>5346</v>
      </c>
      <c r="D2005" s="25" t="s">
        <v>5347</v>
      </c>
      <c r="E2005" s="26">
        <v>8379</v>
      </c>
    </row>
    <row r="2006" spans="1:5" x14ac:dyDescent="0.25">
      <c r="A2006" s="24" t="s">
        <v>7</v>
      </c>
      <c r="B2006" s="24" t="s">
        <v>5348</v>
      </c>
      <c r="C2006" s="25" t="s">
        <v>5349</v>
      </c>
      <c r="D2006" s="25" t="s">
        <v>5350</v>
      </c>
      <c r="E2006" s="26">
        <v>8379</v>
      </c>
    </row>
    <row r="2007" spans="1:5" x14ac:dyDescent="0.25">
      <c r="A2007" s="24" t="s">
        <v>7</v>
      </c>
      <c r="B2007" s="24" t="s">
        <v>5351</v>
      </c>
      <c r="C2007" s="25" t="s">
        <v>5352</v>
      </c>
      <c r="D2007" s="25" t="s">
        <v>5353</v>
      </c>
      <c r="E2007" s="26">
        <v>42553</v>
      </c>
    </row>
    <row r="2008" spans="1:5" x14ac:dyDescent="0.25">
      <c r="A2008" s="24" t="s">
        <v>7</v>
      </c>
      <c r="B2008" s="24" t="s">
        <v>5354</v>
      </c>
      <c r="C2008" s="25" t="s">
        <v>5355</v>
      </c>
      <c r="D2008" s="25" t="s">
        <v>5356</v>
      </c>
      <c r="E2008" s="26">
        <v>8379</v>
      </c>
    </row>
    <row r="2009" spans="1:5" x14ac:dyDescent="0.25">
      <c r="A2009" s="24" t="s">
        <v>7</v>
      </c>
      <c r="B2009" s="24" t="s">
        <v>5357</v>
      </c>
      <c r="C2009" s="25" t="s">
        <v>5358</v>
      </c>
      <c r="D2009" s="25" t="s">
        <v>5359</v>
      </c>
      <c r="E2009" s="26">
        <v>43191</v>
      </c>
    </row>
    <row r="2010" spans="1:5" x14ac:dyDescent="0.25">
      <c r="A2010" s="24" t="s">
        <v>7</v>
      </c>
      <c r="B2010" s="24" t="s">
        <v>5360</v>
      </c>
      <c r="C2010" s="25" t="s">
        <v>5361</v>
      </c>
      <c r="D2010" s="25" t="s">
        <v>5362</v>
      </c>
      <c r="E2010" s="26">
        <v>8379</v>
      </c>
    </row>
    <row r="2011" spans="1:5" x14ac:dyDescent="0.25">
      <c r="A2011" s="24" t="s">
        <v>7</v>
      </c>
      <c r="B2011" s="24" t="s">
        <v>5363</v>
      </c>
      <c r="C2011" s="25" t="s">
        <v>5364</v>
      </c>
      <c r="D2011" s="25" t="s">
        <v>5365</v>
      </c>
      <c r="E2011" s="26">
        <v>8379</v>
      </c>
    </row>
    <row r="2012" spans="1:5" x14ac:dyDescent="0.25">
      <c r="A2012" s="24" t="s">
        <v>7</v>
      </c>
      <c r="B2012" s="24" t="s">
        <v>5366</v>
      </c>
      <c r="C2012" s="25" t="s">
        <v>5367</v>
      </c>
      <c r="D2012" s="25" t="s">
        <v>5368</v>
      </c>
      <c r="E2012" s="26">
        <v>11034</v>
      </c>
    </row>
    <row r="2013" spans="1:5" x14ac:dyDescent="0.25">
      <c r="A2013" s="24" t="s">
        <v>7</v>
      </c>
      <c r="B2013" s="24" t="s">
        <v>5369</v>
      </c>
      <c r="C2013" s="25" t="s">
        <v>5370</v>
      </c>
      <c r="D2013" s="25" t="s">
        <v>5371</v>
      </c>
      <c r="E2013" s="26">
        <v>11034</v>
      </c>
    </row>
    <row r="2014" spans="1:5" x14ac:dyDescent="0.25">
      <c r="A2014" s="24" t="s">
        <v>7</v>
      </c>
      <c r="B2014" s="24" t="s">
        <v>5372</v>
      </c>
      <c r="C2014" s="25" t="s">
        <v>5373</v>
      </c>
      <c r="D2014" s="25" t="s">
        <v>5374</v>
      </c>
      <c r="E2014" s="26">
        <v>68726.100000000006</v>
      </c>
    </row>
    <row r="2015" spans="1:5" x14ac:dyDescent="0.25">
      <c r="A2015" s="24" t="s">
        <v>7</v>
      </c>
      <c r="B2015" s="24" t="s">
        <v>5375</v>
      </c>
      <c r="C2015" s="25" t="s">
        <v>5376</v>
      </c>
      <c r="D2015" s="25" t="s">
        <v>5377</v>
      </c>
      <c r="E2015" s="26">
        <v>109544.8</v>
      </c>
    </row>
    <row r="2016" spans="1:5" x14ac:dyDescent="0.25">
      <c r="A2016" s="24" t="s">
        <v>7</v>
      </c>
      <c r="B2016" s="24" t="s">
        <v>5378</v>
      </c>
      <c r="C2016" s="25" t="s">
        <v>5379</v>
      </c>
      <c r="D2016" s="25" t="s">
        <v>5377</v>
      </c>
      <c r="E2016" s="26">
        <v>109544.8</v>
      </c>
    </row>
    <row r="2017" spans="1:5" x14ac:dyDescent="0.25">
      <c r="A2017" s="24" t="s">
        <v>7</v>
      </c>
      <c r="B2017" s="24" t="s">
        <v>5380</v>
      </c>
      <c r="C2017" s="25" t="s">
        <v>5381</v>
      </c>
      <c r="D2017" s="25" t="s">
        <v>5382</v>
      </c>
      <c r="E2017" s="26">
        <v>109544.8</v>
      </c>
    </row>
    <row r="2018" spans="1:5" x14ac:dyDescent="0.25">
      <c r="A2018" s="24" t="s">
        <v>7</v>
      </c>
      <c r="B2018" s="24" t="s">
        <v>5383</v>
      </c>
      <c r="C2018" s="25" t="s">
        <v>5384</v>
      </c>
      <c r="D2018" s="25" t="s">
        <v>5385</v>
      </c>
      <c r="E2018" s="26">
        <v>68726.100000000006</v>
      </c>
    </row>
    <row r="2019" spans="1:5" x14ac:dyDescent="0.25">
      <c r="A2019" s="24" t="s">
        <v>7</v>
      </c>
      <c r="B2019" s="24" t="s">
        <v>5386</v>
      </c>
      <c r="C2019" s="25" t="s">
        <v>5387</v>
      </c>
      <c r="D2019" s="25" t="s">
        <v>5382</v>
      </c>
      <c r="E2019" s="26">
        <v>109544.8</v>
      </c>
    </row>
    <row r="2020" spans="1:5" x14ac:dyDescent="0.25">
      <c r="A2020" s="24" t="s">
        <v>7</v>
      </c>
      <c r="B2020" s="24" t="s">
        <v>5388</v>
      </c>
      <c r="C2020" s="25" t="s">
        <v>5379</v>
      </c>
      <c r="D2020" s="25" t="s">
        <v>5389</v>
      </c>
      <c r="E2020" s="26">
        <v>109544.8</v>
      </c>
    </row>
    <row r="2021" spans="1:5" x14ac:dyDescent="0.25">
      <c r="A2021" s="24" t="s">
        <v>7</v>
      </c>
      <c r="B2021" s="24" t="s">
        <v>5390</v>
      </c>
      <c r="C2021" s="25" t="s">
        <v>5381</v>
      </c>
      <c r="D2021" s="25" t="s">
        <v>5391</v>
      </c>
      <c r="E2021" s="26">
        <v>109544.8</v>
      </c>
    </row>
    <row r="2022" spans="1:5" x14ac:dyDescent="0.25">
      <c r="A2022" s="24" t="s">
        <v>7</v>
      </c>
      <c r="B2022" s="24" t="s">
        <v>5392</v>
      </c>
      <c r="C2022" s="25" t="s">
        <v>5393</v>
      </c>
      <c r="D2022" s="25" t="s">
        <v>5394</v>
      </c>
      <c r="E2022" s="26">
        <v>2017</v>
      </c>
    </row>
    <row r="2023" spans="1:5" x14ac:dyDescent="0.25">
      <c r="A2023" s="24" t="s">
        <v>7</v>
      </c>
      <c r="B2023" s="24" t="s">
        <v>5395</v>
      </c>
      <c r="C2023" s="25" t="s">
        <v>5272</v>
      </c>
      <c r="D2023" s="25" t="s">
        <v>4486</v>
      </c>
      <c r="E2023" s="26">
        <v>3624</v>
      </c>
    </row>
    <row r="2024" spans="1:5" x14ac:dyDescent="0.25">
      <c r="A2024" s="24" t="s">
        <v>7</v>
      </c>
      <c r="B2024" s="24" t="s">
        <v>5396</v>
      </c>
      <c r="C2024" s="25" t="s">
        <v>4485</v>
      </c>
      <c r="D2024" s="25" t="s">
        <v>4486</v>
      </c>
      <c r="E2024" s="26">
        <v>3837</v>
      </c>
    </row>
    <row r="2025" spans="1:5" x14ac:dyDescent="0.25">
      <c r="A2025" s="24" t="s">
        <v>7</v>
      </c>
      <c r="B2025" s="24" t="s">
        <v>5397</v>
      </c>
      <c r="C2025" s="25" t="s">
        <v>4291</v>
      </c>
      <c r="D2025" s="25" t="s">
        <v>4292</v>
      </c>
      <c r="E2025" s="26">
        <v>6950</v>
      </c>
    </row>
    <row r="2026" spans="1:5" x14ac:dyDescent="0.25">
      <c r="A2026" s="24" t="s">
        <v>7</v>
      </c>
      <c r="B2026" s="24" t="s">
        <v>5398</v>
      </c>
      <c r="C2026" s="25" t="s">
        <v>5210</v>
      </c>
      <c r="D2026" s="25" t="s">
        <v>5211</v>
      </c>
      <c r="E2026" s="26">
        <v>6950</v>
      </c>
    </row>
    <row r="2027" spans="1:5" x14ac:dyDescent="0.25">
      <c r="A2027" s="24" t="s">
        <v>7</v>
      </c>
      <c r="B2027" s="24" t="s">
        <v>5399</v>
      </c>
      <c r="C2027" s="25" t="s">
        <v>5213</v>
      </c>
      <c r="D2027" s="25" t="s">
        <v>5214</v>
      </c>
      <c r="E2027" s="26">
        <v>6950</v>
      </c>
    </row>
    <row r="2028" spans="1:5" x14ac:dyDescent="0.25">
      <c r="A2028" s="24" t="s">
        <v>7</v>
      </c>
      <c r="B2028" s="24" t="s">
        <v>5400</v>
      </c>
      <c r="C2028" s="25" t="s">
        <v>5401</v>
      </c>
      <c r="D2028" s="25" t="s">
        <v>5402</v>
      </c>
      <c r="E2028" s="26">
        <v>3374</v>
      </c>
    </row>
    <row r="2029" spans="1:5" x14ac:dyDescent="0.25">
      <c r="A2029" s="24" t="s">
        <v>7</v>
      </c>
      <c r="B2029" s="24" t="s">
        <v>5403</v>
      </c>
      <c r="C2029" s="25" t="s">
        <v>5404</v>
      </c>
      <c r="D2029" s="25" t="s">
        <v>5405</v>
      </c>
      <c r="E2029" s="26">
        <v>3292</v>
      </c>
    </row>
    <row r="2030" spans="1:5" x14ac:dyDescent="0.25">
      <c r="A2030" s="24" t="s">
        <v>7</v>
      </c>
      <c r="B2030" s="24" t="s">
        <v>5406</v>
      </c>
      <c r="C2030" s="25" t="s">
        <v>5407</v>
      </c>
      <c r="D2030" s="25" t="s">
        <v>5408</v>
      </c>
      <c r="E2030" s="26">
        <v>5154</v>
      </c>
    </row>
    <row r="2031" spans="1:5" x14ac:dyDescent="0.25">
      <c r="A2031" s="24" t="s">
        <v>7</v>
      </c>
      <c r="B2031" s="24" t="s">
        <v>5409</v>
      </c>
      <c r="C2031" s="25" t="s">
        <v>5410</v>
      </c>
      <c r="D2031" s="25" t="s">
        <v>5411</v>
      </c>
      <c r="E2031" s="26">
        <v>3670</v>
      </c>
    </row>
    <row r="2032" spans="1:5" x14ac:dyDescent="0.25">
      <c r="A2032" s="24" t="s">
        <v>7</v>
      </c>
      <c r="B2032" s="24" t="s">
        <v>5412</v>
      </c>
      <c r="C2032" s="25" t="s">
        <v>5202</v>
      </c>
      <c r="D2032" s="25" t="s">
        <v>5203</v>
      </c>
      <c r="E2032" s="26">
        <v>7118</v>
      </c>
    </row>
    <row r="2033" spans="1:5" x14ac:dyDescent="0.25">
      <c r="A2033" s="24" t="s">
        <v>7</v>
      </c>
      <c r="B2033" s="24" t="s">
        <v>5413</v>
      </c>
      <c r="C2033" s="25" t="s">
        <v>5205</v>
      </c>
      <c r="D2033" s="25" t="s">
        <v>5206</v>
      </c>
      <c r="E2033" s="26">
        <v>3495</v>
      </c>
    </row>
    <row r="2034" spans="1:5" x14ac:dyDescent="0.25">
      <c r="A2034" s="24" t="s">
        <v>7</v>
      </c>
      <c r="B2034" s="24" t="s">
        <v>5414</v>
      </c>
      <c r="C2034" s="25" t="s">
        <v>5415</v>
      </c>
      <c r="D2034" s="25" t="s">
        <v>5416</v>
      </c>
      <c r="E2034" s="26">
        <v>5279</v>
      </c>
    </row>
    <row r="2035" spans="1:5" x14ac:dyDescent="0.25">
      <c r="A2035" s="24" t="s">
        <v>7</v>
      </c>
      <c r="B2035" s="24" t="s">
        <v>5417</v>
      </c>
      <c r="C2035" s="25" t="s">
        <v>5418</v>
      </c>
      <c r="D2035" s="25" t="s">
        <v>5419</v>
      </c>
      <c r="E2035" s="26">
        <v>1123</v>
      </c>
    </row>
    <row r="2036" spans="1:5" x14ac:dyDescent="0.25">
      <c r="A2036" s="24" t="s">
        <v>7</v>
      </c>
      <c r="B2036" s="24" t="s">
        <v>5420</v>
      </c>
      <c r="C2036" s="25" t="s">
        <v>4769</v>
      </c>
      <c r="D2036" s="25" t="s">
        <v>4770</v>
      </c>
      <c r="E2036" s="26">
        <v>7118</v>
      </c>
    </row>
    <row r="2037" spans="1:5" x14ac:dyDescent="0.25">
      <c r="A2037" s="24" t="s">
        <v>7</v>
      </c>
      <c r="B2037" s="24" t="s">
        <v>5421</v>
      </c>
      <c r="C2037" s="25" t="s">
        <v>5422</v>
      </c>
      <c r="D2037" s="25" t="s">
        <v>5423</v>
      </c>
      <c r="E2037" s="26">
        <v>6469</v>
      </c>
    </row>
    <row r="2038" spans="1:5" x14ac:dyDescent="0.25">
      <c r="A2038" s="24" t="s">
        <v>7</v>
      </c>
      <c r="B2038" s="24" t="s">
        <v>5424</v>
      </c>
      <c r="C2038" s="25" t="s">
        <v>5425</v>
      </c>
      <c r="D2038" s="25" t="s">
        <v>5426</v>
      </c>
      <c r="E2038" s="26">
        <v>6251</v>
      </c>
    </row>
    <row r="2039" spans="1:5" x14ac:dyDescent="0.25">
      <c r="A2039" s="24" t="s">
        <v>7</v>
      </c>
      <c r="B2039" s="24" t="s">
        <v>5427</v>
      </c>
      <c r="C2039" s="25" t="s">
        <v>5428</v>
      </c>
      <c r="D2039" s="25" t="s">
        <v>5429</v>
      </c>
      <c r="E2039" s="26">
        <v>10520</v>
      </c>
    </row>
    <row r="2040" spans="1:5" x14ac:dyDescent="0.25">
      <c r="A2040" s="24" t="s">
        <v>7</v>
      </c>
      <c r="B2040" s="24" t="s">
        <v>5430</v>
      </c>
      <c r="C2040" s="25" t="s">
        <v>4772</v>
      </c>
      <c r="D2040" s="25" t="s">
        <v>5431</v>
      </c>
      <c r="E2040" s="26">
        <v>5754</v>
      </c>
    </row>
    <row r="2041" spans="1:5" x14ac:dyDescent="0.25">
      <c r="A2041" s="24" t="s">
        <v>7</v>
      </c>
      <c r="B2041" s="24" t="s">
        <v>5432</v>
      </c>
      <c r="C2041" s="25" t="s">
        <v>4976</v>
      </c>
      <c r="D2041" s="25" t="s">
        <v>4977</v>
      </c>
      <c r="E2041" s="26">
        <v>32023</v>
      </c>
    </row>
    <row r="2042" spans="1:5" x14ac:dyDescent="0.25">
      <c r="A2042" s="24" t="s">
        <v>7</v>
      </c>
      <c r="B2042" s="24" t="s">
        <v>5433</v>
      </c>
      <c r="C2042" s="25" t="s">
        <v>5434</v>
      </c>
      <c r="D2042" s="25" t="s">
        <v>5435</v>
      </c>
      <c r="E2042" s="26">
        <v>6026</v>
      </c>
    </row>
    <row r="2043" spans="1:5" x14ac:dyDescent="0.25">
      <c r="A2043" s="24" t="s">
        <v>7</v>
      </c>
      <c r="B2043" s="24" t="s">
        <v>5436</v>
      </c>
      <c r="C2043" s="25" t="s">
        <v>4944</v>
      </c>
      <c r="D2043" s="25" t="s">
        <v>4945</v>
      </c>
      <c r="E2043" s="26">
        <v>1599</v>
      </c>
    </row>
    <row r="2044" spans="1:5" x14ac:dyDescent="0.25">
      <c r="A2044" s="24" t="s">
        <v>7</v>
      </c>
      <c r="B2044" s="24" t="s">
        <v>5437</v>
      </c>
      <c r="C2044" s="25" t="s">
        <v>5438</v>
      </c>
      <c r="D2044" s="25" t="s">
        <v>5439</v>
      </c>
      <c r="E2044" s="26">
        <v>6378</v>
      </c>
    </row>
    <row r="2045" spans="1:5" x14ac:dyDescent="0.25">
      <c r="A2045" s="24" t="s">
        <v>7</v>
      </c>
      <c r="B2045" s="24" t="s">
        <v>5440</v>
      </c>
      <c r="C2045" s="25" t="s">
        <v>4180</v>
      </c>
      <c r="D2045" s="25" t="s">
        <v>5441</v>
      </c>
      <c r="E2045" s="26">
        <v>3015</v>
      </c>
    </row>
    <row r="2046" spans="1:5" x14ac:dyDescent="0.25">
      <c r="A2046" s="24" t="s">
        <v>7</v>
      </c>
      <c r="B2046" s="24" t="s">
        <v>5442</v>
      </c>
      <c r="C2046" s="25" t="s">
        <v>4198</v>
      </c>
      <c r="D2046" s="25" t="s">
        <v>4199</v>
      </c>
      <c r="E2046" s="26">
        <v>252</v>
      </c>
    </row>
    <row r="2047" spans="1:5" x14ac:dyDescent="0.25">
      <c r="A2047" s="24" t="s">
        <v>7</v>
      </c>
      <c r="B2047" s="24" t="s">
        <v>5443</v>
      </c>
      <c r="C2047" s="25" t="s">
        <v>4252</v>
      </c>
      <c r="D2047" s="25" t="s">
        <v>4253</v>
      </c>
      <c r="E2047" s="26">
        <v>1270</v>
      </c>
    </row>
    <row r="2048" spans="1:5" x14ac:dyDescent="0.25">
      <c r="A2048" s="24" t="s">
        <v>7</v>
      </c>
      <c r="B2048" s="24" t="s">
        <v>5444</v>
      </c>
      <c r="C2048" s="25" t="s">
        <v>5445</v>
      </c>
      <c r="D2048" s="25" t="s">
        <v>5446</v>
      </c>
      <c r="E2048" s="26">
        <v>1533</v>
      </c>
    </row>
    <row r="2049" spans="1:5" x14ac:dyDescent="0.25">
      <c r="A2049" s="24" t="s">
        <v>7</v>
      </c>
      <c r="B2049" s="24" t="s">
        <v>5447</v>
      </c>
      <c r="C2049" s="25" t="s">
        <v>5448</v>
      </c>
      <c r="D2049" s="25" t="s">
        <v>5449</v>
      </c>
      <c r="E2049" s="26">
        <v>4571</v>
      </c>
    </row>
    <row r="2050" spans="1:5" x14ac:dyDescent="0.25">
      <c r="A2050" s="24" t="s">
        <v>7</v>
      </c>
      <c r="B2050" s="24" t="s">
        <v>5450</v>
      </c>
      <c r="C2050" s="25" t="s">
        <v>4222</v>
      </c>
      <c r="D2050" s="25" t="s">
        <v>4223</v>
      </c>
      <c r="E2050" s="26">
        <v>3229</v>
      </c>
    </row>
    <row r="2051" spans="1:5" x14ac:dyDescent="0.25">
      <c r="A2051" s="24" t="s">
        <v>7</v>
      </c>
      <c r="B2051" s="24" t="s">
        <v>5451</v>
      </c>
      <c r="C2051" s="25" t="s">
        <v>4228</v>
      </c>
      <c r="D2051" s="25" t="s">
        <v>4229</v>
      </c>
      <c r="E2051" s="26">
        <v>3228</v>
      </c>
    </row>
    <row r="2052" spans="1:5" x14ac:dyDescent="0.25">
      <c r="A2052" s="24" t="s">
        <v>7</v>
      </c>
      <c r="B2052" s="24" t="s">
        <v>5452</v>
      </c>
      <c r="C2052" s="25" t="s">
        <v>4231</v>
      </c>
      <c r="D2052" s="25" t="s">
        <v>4232</v>
      </c>
      <c r="E2052" s="26">
        <v>1410</v>
      </c>
    </row>
    <row r="2053" spans="1:5" x14ac:dyDescent="0.25">
      <c r="A2053" s="24" t="s">
        <v>7</v>
      </c>
      <c r="B2053" s="24" t="s">
        <v>5453</v>
      </c>
      <c r="C2053" s="25" t="s">
        <v>4234</v>
      </c>
      <c r="D2053" s="25" t="s">
        <v>4235</v>
      </c>
      <c r="E2053" s="26">
        <v>5675</v>
      </c>
    </row>
    <row r="2054" spans="1:5" x14ac:dyDescent="0.25">
      <c r="A2054" s="24" t="s">
        <v>7</v>
      </c>
      <c r="B2054" s="24" t="s">
        <v>5454</v>
      </c>
      <c r="C2054" s="25" t="s">
        <v>5455</v>
      </c>
      <c r="D2054" s="25" t="s">
        <v>4238</v>
      </c>
      <c r="E2054" s="26">
        <v>4032</v>
      </c>
    </row>
    <row r="2055" spans="1:5" x14ac:dyDescent="0.25">
      <c r="A2055" s="24" t="s">
        <v>7</v>
      </c>
      <c r="B2055" s="24" t="s">
        <v>5456</v>
      </c>
      <c r="C2055" s="25" t="s">
        <v>4267</v>
      </c>
      <c r="D2055" s="25" t="s">
        <v>5457</v>
      </c>
      <c r="E2055" s="26">
        <v>2291</v>
      </c>
    </row>
    <row r="2056" spans="1:5" x14ac:dyDescent="0.25">
      <c r="A2056" s="24" t="s">
        <v>7</v>
      </c>
      <c r="B2056" s="24" t="s">
        <v>5458</v>
      </c>
      <c r="C2056" s="25" t="s">
        <v>4246</v>
      </c>
      <c r="D2056" s="25" t="s">
        <v>4247</v>
      </c>
      <c r="E2056" s="26">
        <v>3401</v>
      </c>
    </row>
    <row r="2057" spans="1:5" x14ac:dyDescent="0.25">
      <c r="A2057" s="24" t="s">
        <v>7</v>
      </c>
      <c r="B2057" s="24" t="s">
        <v>5459</v>
      </c>
      <c r="C2057" s="25" t="s">
        <v>4261</v>
      </c>
      <c r="D2057" s="25" t="s">
        <v>5460</v>
      </c>
      <c r="E2057" s="26">
        <v>2047</v>
      </c>
    </row>
    <row r="2058" spans="1:5" x14ac:dyDescent="0.25">
      <c r="A2058" s="24" t="s">
        <v>7</v>
      </c>
      <c r="B2058" s="24" t="s">
        <v>5461</v>
      </c>
      <c r="C2058" s="25" t="s">
        <v>4240</v>
      </c>
      <c r="D2058" s="25" t="s">
        <v>5462</v>
      </c>
      <c r="E2058" s="26">
        <v>4131</v>
      </c>
    </row>
    <row r="2059" spans="1:5" x14ac:dyDescent="0.25">
      <c r="A2059" s="24" t="s">
        <v>7</v>
      </c>
      <c r="B2059" s="24" t="s">
        <v>5463</v>
      </c>
      <c r="C2059" s="25" t="s">
        <v>4243</v>
      </c>
      <c r="D2059" s="25" t="s">
        <v>5464</v>
      </c>
      <c r="E2059" s="26">
        <v>3011</v>
      </c>
    </row>
    <row r="2060" spans="1:5" x14ac:dyDescent="0.25">
      <c r="A2060" s="24" t="s">
        <v>7</v>
      </c>
      <c r="B2060" s="24" t="s">
        <v>5465</v>
      </c>
      <c r="C2060" s="25" t="s">
        <v>4255</v>
      </c>
      <c r="D2060" s="25" t="s">
        <v>5466</v>
      </c>
      <c r="E2060" s="26">
        <v>4315</v>
      </c>
    </row>
    <row r="2061" spans="1:5" x14ac:dyDescent="0.25">
      <c r="A2061" s="24" t="s">
        <v>7</v>
      </c>
      <c r="B2061" s="24" t="s">
        <v>5467</v>
      </c>
      <c r="C2061" s="25" t="s">
        <v>4258</v>
      </c>
      <c r="D2061" s="25" t="s">
        <v>5466</v>
      </c>
      <c r="E2061" s="26">
        <v>3951</v>
      </c>
    </row>
    <row r="2062" spans="1:5" x14ac:dyDescent="0.25">
      <c r="A2062" s="24" t="s">
        <v>7</v>
      </c>
      <c r="B2062" s="24" t="s">
        <v>5468</v>
      </c>
      <c r="C2062" s="25" t="s">
        <v>4264</v>
      </c>
      <c r="D2062" s="25" t="s">
        <v>5469</v>
      </c>
      <c r="E2062" s="26">
        <v>520</v>
      </c>
    </row>
    <row r="2063" spans="1:5" x14ac:dyDescent="0.25">
      <c r="A2063" s="24" t="s">
        <v>7</v>
      </c>
      <c r="B2063" s="24" t="s">
        <v>5470</v>
      </c>
      <c r="C2063" s="25" t="s">
        <v>4272</v>
      </c>
      <c r="D2063" s="25" t="s">
        <v>4270</v>
      </c>
      <c r="E2063" s="26">
        <v>2372</v>
      </c>
    </row>
    <row r="2064" spans="1:5" x14ac:dyDescent="0.25">
      <c r="A2064" s="24" t="s">
        <v>7</v>
      </c>
      <c r="B2064" s="24" t="s">
        <v>5471</v>
      </c>
      <c r="C2064" s="25" t="s">
        <v>5472</v>
      </c>
      <c r="D2064" s="25" t="s">
        <v>5473</v>
      </c>
      <c r="E2064" s="26">
        <v>1715</v>
      </c>
    </row>
    <row r="2065" spans="1:5" x14ac:dyDescent="0.25">
      <c r="A2065" s="24" t="s">
        <v>7</v>
      </c>
      <c r="B2065" s="24" t="s">
        <v>5474</v>
      </c>
      <c r="C2065" s="25" t="s">
        <v>4249</v>
      </c>
      <c r="D2065" s="25" t="s">
        <v>5475</v>
      </c>
      <c r="E2065" s="26">
        <v>1907</v>
      </c>
    </row>
    <row r="2066" spans="1:5" x14ac:dyDescent="0.25">
      <c r="A2066" s="24" t="s">
        <v>7</v>
      </c>
      <c r="B2066" s="24" t="s">
        <v>5476</v>
      </c>
      <c r="C2066" s="25" t="s">
        <v>4274</v>
      </c>
      <c r="D2066" s="25" t="s">
        <v>4275</v>
      </c>
      <c r="E2066" s="26">
        <v>4856</v>
      </c>
    </row>
    <row r="2067" spans="1:5" x14ac:dyDescent="0.25">
      <c r="A2067" s="24" t="s">
        <v>7</v>
      </c>
      <c r="B2067" s="24" t="s">
        <v>5477</v>
      </c>
      <c r="C2067" s="25" t="s">
        <v>4277</v>
      </c>
      <c r="D2067" s="25" t="s">
        <v>4278</v>
      </c>
      <c r="E2067" s="26">
        <v>4571</v>
      </c>
    </row>
    <row r="2068" spans="1:5" x14ac:dyDescent="0.25">
      <c r="A2068" s="24" t="s">
        <v>7</v>
      </c>
      <c r="B2068" s="24" t="s">
        <v>5478</v>
      </c>
      <c r="C2068" s="25" t="s">
        <v>4280</v>
      </c>
      <c r="D2068" s="25" t="s">
        <v>5479</v>
      </c>
      <c r="E2068" s="26">
        <v>9488</v>
      </c>
    </row>
    <row r="2069" spans="1:5" x14ac:dyDescent="0.25">
      <c r="A2069" s="24" t="s">
        <v>7</v>
      </c>
      <c r="B2069" s="24" t="s">
        <v>5480</v>
      </c>
      <c r="C2069" s="25" t="s">
        <v>4192</v>
      </c>
      <c r="D2069" s="25" t="s">
        <v>4193</v>
      </c>
      <c r="E2069" s="26">
        <v>1326</v>
      </c>
    </row>
    <row r="2070" spans="1:5" x14ac:dyDescent="0.25">
      <c r="A2070" s="24" t="s">
        <v>7</v>
      </c>
      <c r="B2070" s="24" t="s">
        <v>5481</v>
      </c>
      <c r="C2070" s="25" t="s">
        <v>4216</v>
      </c>
      <c r="D2070" s="25" t="s">
        <v>4217</v>
      </c>
      <c r="E2070" s="26">
        <v>2527</v>
      </c>
    </row>
    <row r="2071" spans="1:5" x14ac:dyDescent="0.25">
      <c r="A2071" s="24" t="s">
        <v>7</v>
      </c>
      <c r="B2071" s="24" t="s">
        <v>5482</v>
      </c>
      <c r="C2071" s="25" t="s">
        <v>4219</v>
      </c>
      <c r="D2071" s="25" t="s">
        <v>4220</v>
      </c>
      <c r="E2071" s="26">
        <v>4577</v>
      </c>
    </row>
    <row r="2072" spans="1:5" x14ac:dyDescent="0.25">
      <c r="A2072" s="24" t="s">
        <v>7</v>
      </c>
      <c r="B2072" s="24" t="s">
        <v>5483</v>
      </c>
      <c r="C2072" s="25" t="s">
        <v>5484</v>
      </c>
      <c r="D2072" s="25" t="s">
        <v>5485</v>
      </c>
      <c r="E2072" s="26">
        <v>1994</v>
      </c>
    </row>
    <row r="2073" spans="1:5" x14ac:dyDescent="0.25">
      <c r="A2073" s="24" t="s">
        <v>7</v>
      </c>
      <c r="B2073" s="24" t="s">
        <v>5486</v>
      </c>
      <c r="C2073" s="25" t="s">
        <v>5487</v>
      </c>
      <c r="D2073" s="25" t="s">
        <v>5487</v>
      </c>
      <c r="E2073" s="26">
        <v>3344</v>
      </c>
    </row>
    <row r="2074" spans="1:5" x14ac:dyDescent="0.25">
      <c r="A2074" s="24" t="s">
        <v>7</v>
      </c>
      <c r="B2074" s="24" t="s">
        <v>5488</v>
      </c>
      <c r="C2074" s="25" t="s">
        <v>5489</v>
      </c>
      <c r="D2074" s="25" t="s">
        <v>5490</v>
      </c>
      <c r="E2074" s="26">
        <v>4713</v>
      </c>
    </row>
    <row r="2075" spans="1:5" x14ac:dyDescent="0.25">
      <c r="A2075" s="24" t="s">
        <v>7</v>
      </c>
      <c r="B2075" s="24" t="s">
        <v>5491</v>
      </c>
      <c r="C2075" s="25" t="s">
        <v>5492</v>
      </c>
      <c r="D2075" s="25" t="s">
        <v>5493</v>
      </c>
      <c r="E2075" s="26">
        <v>896</v>
      </c>
    </row>
    <row r="2076" spans="1:5" x14ac:dyDescent="0.25">
      <c r="A2076" s="24" t="s">
        <v>7</v>
      </c>
      <c r="B2076" s="24" t="s">
        <v>5494</v>
      </c>
      <c r="C2076" s="25" t="s">
        <v>5495</v>
      </c>
      <c r="D2076" s="25" t="s">
        <v>5496</v>
      </c>
      <c r="E2076" s="26">
        <v>1628</v>
      </c>
    </row>
    <row r="2077" spans="1:5" x14ac:dyDescent="0.25">
      <c r="A2077" s="24" t="s">
        <v>7</v>
      </c>
      <c r="B2077" s="24" t="s">
        <v>5497</v>
      </c>
      <c r="C2077" s="25" t="s">
        <v>5498</v>
      </c>
      <c r="D2077" s="25" t="s">
        <v>5499</v>
      </c>
      <c r="E2077" s="26">
        <v>3122</v>
      </c>
    </row>
    <row r="2078" spans="1:5" x14ac:dyDescent="0.25">
      <c r="A2078" s="24" t="s">
        <v>7</v>
      </c>
      <c r="B2078" s="24" t="s">
        <v>5500</v>
      </c>
      <c r="C2078" s="25" t="s">
        <v>5501</v>
      </c>
      <c r="D2078" s="25" t="s">
        <v>5502</v>
      </c>
      <c r="E2078" s="26">
        <v>3366</v>
      </c>
    </row>
    <row r="2079" spans="1:5" x14ac:dyDescent="0.25">
      <c r="A2079" s="24" t="s">
        <v>7</v>
      </c>
      <c r="B2079" s="24" t="s">
        <v>5503</v>
      </c>
      <c r="C2079" s="25" t="s">
        <v>5504</v>
      </c>
      <c r="D2079" s="25" t="s">
        <v>5505</v>
      </c>
      <c r="E2079" s="26">
        <v>843</v>
      </c>
    </row>
    <row r="2080" spans="1:5" x14ac:dyDescent="0.25">
      <c r="A2080" s="24" t="s">
        <v>7</v>
      </c>
      <c r="B2080" s="24" t="s">
        <v>5506</v>
      </c>
      <c r="C2080" s="25" t="s">
        <v>5507</v>
      </c>
      <c r="D2080" s="25" t="s">
        <v>5508</v>
      </c>
      <c r="E2080" s="26">
        <v>1448</v>
      </c>
    </row>
    <row r="2081" spans="1:5" x14ac:dyDescent="0.25">
      <c r="A2081" s="24" t="s">
        <v>7</v>
      </c>
      <c r="B2081" s="24" t="s">
        <v>5509</v>
      </c>
      <c r="C2081" s="25" t="s">
        <v>5510</v>
      </c>
      <c r="D2081" s="25" t="s">
        <v>5511</v>
      </c>
      <c r="E2081" s="26">
        <v>984</v>
      </c>
    </row>
    <row r="2082" spans="1:5" x14ac:dyDescent="0.25">
      <c r="A2082" s="24" t="s">
        <v>7</v>
      </c>
      <c r="B2082" s="24" t="s">
        <v>5512</v>
      </c>
      <c r="C2082" s="25" t="s">
        <v>5513</v>
      </c>
      <c r="D2082" s="25" t="s">
        <v>5514</v>
      </c>
      <c r="E2082" s="26">
        <v>1533</v>
      </c>
    </row>
    <row r="2083" spans="1:5" x14ac:dyDescent="0.25">
      <c r="A2083" s="24" t="s">
        <v>7</v>
      </c>
      <c r="B2083" s="24" t="s">
        <v>5515</v>
      </c>
      <c r="C2083" s="25" t="s">
        <v>5516</v>
      </c>
      <c r="D2083" s="25" t="s">
        <v>5517</v>
      </c>
      <c r="E2083" s="26">
        <v>1533</v>
      </c>
    </row>
    <row r="2084" spans="1:5" x14ac:dyDescent="0.25">
      <c r="A2084" s="24" t="s">
        <v>7</v>
      </c>
      <c r="B2084" s="24" t="s">
        <v>5518</v>
      </c>
      <c r="C2084" s="25" t="s">
        <v>5519</v>
      </c>
      <c r="D2084" s="25" t="s">
        <v>5520</v>
      </c>
      <c r="E2084" s="26">
        <v>3514</v>
      </c>
    </row>
    <row r="2085" spans="1:5" x14ac:dyDescent="0.25">
      <c r="A2085" s="24" t="s">
        <v>7</v>
      </c>
      <c r="B2085" s="24" t="s">
        <v>5521</v>
      </c>
      <c r="C2085" s="25" t="s">
        <v>5522</v>
      </c>
      <c r="D2085" s="25" t="s">
        <v>5523</v>
      </c>
      <c r="E2085" s="26">
        <v>704</v>
      </c>
    </row>
    <row r="2086" spans="1:5" x14ac:dyDescent="0.25">
      <c r="A2086" s="24" t="s">
        <v>7</v>
      </c>
      <c r="B2086" s="24" t="s">
        <v>5524</v>
      </c>
      <c r="C2086" s="25" t="s">
        <v>5525</v>
      </c>
      <c r="D2086" s="25" t="s">
        <v>5526</v>
      </c>
      <c r="E2086" s="26">
        <v>1077</v>
      </c>
    </row>
    <row r="2087" spans="1:5" x14ac:dyDescent="0.25">
      <c r="A2087" s="24" t="s">
        <v>7</v>
      </c>
      <c r="B2087" s="24" t="s">
        <v>5527</v>
      </c>
      <c r="C2087" s="25" t="s">
        <v>5528</v>
      </c>
      <c r="D2087" s="25" t="s">
        <v>5529</v>
      </c>
      <c r="E2087" s="26">
        <v>3514</v>
      </c>
    </row>
    <row r="2088" spans="1:5" x14ac:dyDescent="0.25">
      <c r="A2088" s="24" t="s">
        <v>7</v>
      </c>
      <c r="B2088" s="24" t="s">
        <v>5530</v>
      </c>
      <c r="C2088" s="25" t="s">
        <v>5531</v>
      </c>
      <c r="D2088" s="25" t="s">
        <v>5532</v>
      </c>
      <c r="E2088" s="26">
        <v>3002</v>
      </c>
    </row>
    <row r="2089" spans="1:5" x14ac:dyDescent="0.25">
      <c r="A2089" s="24" t="s">
        <v>7</v>
      </c>
      <c r="B2089" s="24" t="s">
        <v>5533</v>
      </c>
      <c r="C2089" s="25" t="s">
        <v>5534</v>
      </c>
      <c r="D2089" s="25" t="s">
        <v>5535</v>
      </c>
      <c r="E2089" s="26">
        <v>980</v>
      </c>
    </row>
    <row r="2090" spans="1:5" x14ac:dyDescent="0.25">
      <c r="A2090" s="24" t="s">
        <v>7</v>
      </c>
      <c r="B2090" s="24" t="s">
        <v>5536</v>
      </c>
      <c r="C2090" s="25" t="s">
        <v>5537</v>
      </c>
      <c r="D2090" s="25" t="s">
        <v>5538</v>
      </c>
      <c r="E2090" s="26">
        <v>1137</v>
      </c>
    </row>
    <row r="2091" spans="1:5" x14ac:dyDescent="0.25">
      <c r="A2091" s="24" t="s">
        <v>7</v>
      </c>
      <c r="B2091" s="24" t="s">
        <v>5539</v>
      </c>
      <c r="C2091" s="25" t="s">
        <v>5540</v>
      </c>
      <c r="D2091" s="25" t="s">
        <v>5541</v>
      </c>
      <c r="E2091" s="26">
        <v>1050</v>
      </c>
    </row>
    <row r="2092" spans="1:5" x14ac:dyDescent="0.25">
      <c r="A2092" s="24" t="s">
        <v>7</v>
      </c>
      <c r="B2092" s="24" t="s">
        <v>5542</v>
      </c>
      <c r="C2092" s="25" t="s">
        <v>5543</v>
      </c>
      <c r="D2092" s="25" t="s">
        <v>5544</v>
      </c>
      <c r="E2092" s="26">
        <v>3474</v>
      </c>
    </row>
    <row r="2093" spans="1:5" x14ac:dyDescent="0.25">
      <c r="A2093" s="24" t="s">
        <v>7</v>
      </c>
      <c r="B2093" s="24" t="s">
        <v>5545</v>
      </c>
      <c r="C2093" s="25" t="s">
        <v>5546</v>
      </c>
      <c r="D2093" s="25" t="s">
        <v>5547</v>
      </c>
      <c r="E2093" s="26">
        <v>1360</v>
      </c>
    </row>
    <row r="2094" spans="1:5" x14ac:dyDescent="0.25">
      <c r="A2094" s="24" t="s">
        <v>7</v>
      </c>
      <c r="B2094" s="24" t="s">
        <v>5548</v>
      </c>
      <c r="C2094" s="25" t="s">
        <v>5549</v>
      </c>
      <c r="D2094" s="25" t="s">
        <v>5550</v>
      </c>
      <c r="E2094" s="26">
        <v>2038</v>
      </c>
    </row>
    <row r="2095" spans="1:5" x14ac:dyDescent="0.25">
      <c r="A2095" s="24" t="s">
        <v>7</v>
      </c>
      <c r="B2095" s="24" t="s">
        <v>5551</v>
      </c>
      <c r="C2095" s="25" t="s">
        <v>5552</v>
      </c>
      <c r="D2095" s="25" t="s">
        <v>5553</v>
      </c>
      <c r="E2095" s="26">
        <v>1980</v>
      </c>
    </row>
    <row r="2096" spans="1:5" x14ac:dyDescent="0.25">
      <c r="A2096" s="24" t="s">
        <v>7</v>
      </c>
      <c r="B2096" s="24" t="s">
        <v>5554</v>
      </c>
      <c r="C2096" s="25" t="s">
        <v>5555</v>
      </c>
      <c r="D2096" s="25" t="s">
        <v>5556</v>
      </c>
      <c r="E2096" s="26">
        <v>902</v>
      </c>
    </row>
    <row r="2097" spans="1:5" x14ac:dyDescent="0.25">
      <c r="A2097" s="24" t="s">
        <v>7</v>
      </c>
      <c r="B2097" s="24" t="s">
        <v>5557</v>
      </c>
      <c r="C2097" s="25" t="s">
        <v>5558</v>
      </c>
      <c r="D2097" s="25" t="s">
        <v>5559</v>
      </c>
      <c r="E2097" s="26">
        <v>1051</v>
      </c>
    </row>
    <row r="2098" spans="1:5" x14ac:dyDescent="0.25">
      <c r="A2098" s="24" t="s">
        <v>7</v>
      </c>
      <c r="B2098" s="24" t="s">
        <v>5560</v>
      </c>
      <c r="C2098" s="25" t="s">
        <v>5561</v>
      </c>
      <c r="D2098" s="25" t="s">
        <v>5562</v>
      </c>
      <c r="E2098" s="26">
        <v>506</v>
      </c>
    </row>
    <row r="2099" spans="1:5" x14ac:dyDescent="0.25">
      <c r="A2099" s="24" t="s">
        <v>7</v>
      </c>
      <c r="B2099" s="24" t="s">
        <v>5563</v>
      </c>
      <c r="C2099" s="25" t="s">
        <v>5564</v>
      </c>
      <c r="D2099" s="25" t="s">
        <v>5564</v>
      </c>
      <c r="E2099" s="26">
        <v>1408</v>
      </c>
    </row>
    <row r="2100" spans="1:5" x14ac:dyDescent="0.25">
      <c r="A2100" s="24" t="s">
        <v>7</v>
      </c>
      <c r="B2100" s="24" t="s">
        <v>5565</v>
      </c>
      <c r="C2100" s="25" t="s">
        <v>5566</v>
      </c>
      <c r="D2100" s="25" t="s">
        <v>5567</v>
      </c>
      <c r="E2100" s="26">
        <v>2223</v>
      </c>
    </row>
    <row r="2101" spans="1:5" x14ac:dyDescent="0.25">
      <c r="A2101" s="24" t="s">
        <v>7</v>
      </c>
      <c r="B2101" s="24" t="s">
        <v>5568</v>
      </c>
      <c r="C2101" s="25" t="s">
        <v>5569</v>
      </c>
      <c r="D2101" s="25" t="s">
        <v>5570</v>
      </c>
      <c r="E2101" s="26">
        <v>1496</v>
      </c>
    </row>
    <row r="2102" spans="1:5" x14ac:dyDescent="0.25">
      <c r="A2102" s="24" t="s">
        <v>7</v>
      </c>
      <c r="B2102" s="24" t="s">
        <v>5571</v>
      </c>
      <c r="C2102" s="25" t="s">
        <v>5572</v>
      </c>
      <c r="D2102" s="25" t="s">
        <v>5573</v>
      </c>
      <c r="E2102" s="26">
        <v>1516</v>
      </c>
    </row>
    <row r="2103" spans="1:5" x14ac:dyDescent="0.25">
      <c r="A2103" s="24" t="s">
        <v>7</v>
      </c>
      <c r="B2103" s="24" t="s">
        <v>5574</v>
      </c>
      <c r="C2103" s="25" t="s">
        <v>5213</v>
      </c>
      <c r="D2103" s="25" t="s">
        <v>5214</v>
      </c>
      <c r="E2103" s="26">
        <v>5543</v>
      </c>
    </row>
    <row r="2104" spans="1:5" x14ac:dyDescent="0.25">
      <c r="A2104" s="24" t="s">
        <v>7</v>
      </c>
      <c r="B2104" s="24" t="s">
        <v>5575</v>
      </c>
      <c r="C2104" s="25" t="s">
        <v>5576</v>
      </c>
      <c r="D2104" s="25" t="s">
        <v>5577</v>
      </c>
      <c r="E2104" s="26">
        <v>2037</v>
      </c>
    </row>
    <row r="2105" spans="1:5" x14ac:dyDescent="0.25">
      <c r="A2105" s="24" t="s">
        <v>7</v>
      </c>
      <c r="B2105" s="24" t="s">
        <v>5578</v>
      </c>
      <c r="C2105" s="25" t="s">
        <v>4402</v>
      </c>
      <c r="D2105" s="25" t="s">
        <v>5579</v>
      </c>
      <c r="E2105" s="26">
        <v>852</v>
      </c>
    </row>
    <row r="2106" spans="1:5" x14ac:dyDescent="0.25">
      <c r="A2106" s="24" t="s">
        <v>7</v>
      </c>
      <c r="B2106" s="24" t="s">
        <v>5580</v>
      </c>
      <c r="C2106" s="25" t="s">
        <v>5581</v>
      </c>
      <c r="D2106" s="25" t="s">
        <v>5581</v>
      </c>
      <c r="E2106" s="26">
        <v>1063</v>
      </c>
    </row>
    <row r="2107" spans="1:5" x14ac:dyDescent="0.25">
      <c r="A2107" s="24" t="s">
        <v>7</v>
      </c>
      <c r="B2107" s="24" t="s">
        <v>5582</v>
      </c>
      <c r="C2107" s="25" t="s">
        <v>5583</v>
      </c>
      <c r="D2107" s="25" t="s">
        <v>5584</v>
      </c>
      <c r="E2107" s="26">
        <v>788</v>
      </c>
    </row>
    <row r="2108" spans="1:5" x14ac:dyDescent="0.25">
      <c r="A2108" s="24" t="s">
        <v>7</v>
      </c>
      <c r="B2108" s="24" t="s">
        <v>5585</v>
      </c>
      <c r="C2108" s="25" t="s">
        <v>5586</v>
      </c>
      <c r="D2108" s="25" t="s">
        <v>5586</v>
      </c>
      <c r="E2108" s="26">
        <v>536</v>
      </c>
    </row>
    <row r="2109" spans="1:5" x14ac:dyDescent="0.25">
      <c r="A2109" s="24" t="s">
        <v>7</v>
      </c>
      <c r="B2109" s="24" t="s">
        <v>5587</v>
      </c>
      <c r="C2109" s="25" t="s">
        <v>5588</v>
      </c>
      <c r="D2109" s="25" t="s">
        <v>5588</v>
      </c>
      <c r="E2109" s="26">
        <v>670</v>
      </c>
    </row>
    <row r="2110" spans="1:5" x14ac:dyDescent="0.25">
      <c r="A2110" s="24" t="s">
        <v>7</v>
      </c>
      <c r="B2110" s="24" t="s">
        <v>5589</v>
      </c>
      <c r="C2110" s="25" t="s">
        <v>5590</v>
      </c>
      <c r="D2110" s="25" t="s">
        <v>5590</v>
      </c>
      <c r="E2110" s="26">
        <v>527</v>
      </c>
    </row>
    <row r="2111" spans="1:5" x14ac:dyDescent="0.25">
      <c r="A2111" s="24" t="s">
        <v>7</v>
      </c>
      <c r="B2111" s="24" t="s">
        <v>5591</v>
      </c>
      <c r="C2111" s="25" t="s">
        <v>5592</v>
      </c>
      <c r="D2111" s="25" t="s">
        <v>5593</v>
      </c>
      <c r="E2111" s="26">
        <v>1482</v>
      </c>
    </row>
    <row r="2112" spans="1:5" x14ac:dyDescent="0.25">
      <c r="A2112" s="24" t="s">
        <v>7</v>
      </c>
      <c r="B2112" s="24" t="s">
        <v>5594</v>
      </c>
      <c r="C2112" s="25" t="s">
        <v>5595</v>
      </c>
      <c r="D2112" s="25" t="s">
        <v>5596</v>
      </c>
      <c r="E2112" s="26">
        <v>1801</v>
      </c>
    </row>
    <row r="2113" spans="1:5" x14ac:dyDescent="0.25">
      <c r="A2113" s="24" t="s">
        <v>7</v>
      </c>
      <c r="B2113" s="24" t="s">
        <v>5597</v>
      </c>
      <c r="C2113" s="25" t="s">
        <v>5598</v>
      </c>
      <c r="D2113" s="25" t="s">
        <v>5599</v>
      </c>
      <c r="E2113" s="26">
        <v>2293</v>
      </c>
    </row>
    <row r="2114" spans="1:5" x14ac:dyDescent="0.25">
      <c r="A2114" s="24" t="s">
        <v>7</v>
      </c>
      <c r="B2114" s="24" t="s">
        <v>5600</v>
      </c>
      <c r="C2114" s="25" t="s">
        <v>5601</v>
      </c>
      <c r="D2114" s="25" t="s">
        <v>5602</v>
      </c>
      <c r="E2114" s="26">
        <v>763</v>
      </c>
    </row>
    <row r="2115" spans="1:5" x14ac:dyDescent="0.25">
      <c r="A2115" s="24" t="s">
        <v>7</v>
      </c>
      <c r="B2115" s="24" t="s">
        <v>5603</v>
      </c>
      <c r="C2115" s="25" t="s">
        <v>5604</v>
      </c>
      <c r="D2115" s="25" t="s">
        <v>5605</v>
      </c>
      <c r="E2115" s="26">
        <v>1010</v>
      </c>
    </row>
    <row r="2116" spans="1:5" x14ac:dyDescent="0.25">
      <c r="A2116" s="24" t="s">
        <v>7</v>
      </c>
      <c r="B2116" s="24" t="s">
        <v>5606</v>
      </c>
      <c r="C2116" s="25" t="s">
        <v>4467</v>
      </c>
      <c r="D2116" s="25" t="s">
        <v>4468</v>
      </c>
      <c r="E2116" s="26">
        <v>2399</v>
      </c>
    </row>
    <row r="2117" spans="1:5" x14ac:dyDescent="0.25">
      <c r="A2117" s="24" t="s">
        <v>7</v>
      </c>
      <c r="B2117" s="24" t="s">
        <v>5607</v>
      </c>
      <c r="C2117" s="25" t="s">
        <v>5608</v>
      </c>
      <c r="D2117" s="25" t="s">
        <v>5609</v>
      </c>
      <c r="E2117" s="26">
        <v>728</v>
      </c>
    </row>
    <row r="2118" spans="1:5" x14ac:dyDescent="0.25">
      <c r="A2118" s="24" t="s">
        <v>7</v>
      </c>
      <c r="B2118" s="24" t="s">
        <v>5610</v>
      </c>
      <c r="C2118" s="25" t="s">
        <v>5611</v>
      </c>
      <c r="D2118" s="25" t="s">
        <v>5612</v>
      </c>
      <c r="E2118" s="26">
        <v>916</v>
      </c>
    </row>
    <row r="2119" spans="1:5" x14ac:dyDescent="0.25">
      <c r="A2119" s="24" t="s">
        <v>7</v>
      </c>
      <c r="B2119" s="24" t="s">
        <v>5613</v>
      </c>
      <c r="C2119" s="25" t="s">
        <v>5614</v>
      </c>
      <c r="D2119" s="25" t="s">
        <v>5615</v>
      </c>
      <c r="E2119" s="26">
        <v>1233</v>
      </c>
    </row>
    <row r="2120" spans="1:5" x14ac:dyDescent="0.25">
      <c r="A2120" s="24" t="s">
        <v>7</v>
      </c>
      <c r="B2120" s="24" t="s">
        <v>5616</v>
      </c>
      <c r="C2120" s="25" t="s">
        <v>5617</v>
      </c>
      <c r="D2120" s="25" t="s">
        <v>5618</v>
      </c>
      <c r="E2120" s="26">
        <v>1578</v>
      </c>
    </row>
    <row r="2121" spans="1:5" x14ac:dyDescent="0.25">
      <c r="A2121" s="24" t="s">
        <v>7</v>
      </c>
      <c r="B2121" s="24" t="s">
        <v>5619</v>
      </c>
      <c r="C2121" s="25" t="s">
        <v>5620</v>
      </c>
      <c r="D2121" s="25" t="s">
        <v>5621</v>
      </c>
      <c r="E2121" s="26">
        <v>650</v>
      </c>
    </row>
    <row r="2122" spans="1:5" x14ac:dyDescent="0.25">
      <c r="A2122" s="24" t="s">
        <v>7</v>
      </c>
      <c r="B2122" s="24" t="s">
        <v>5622</v>
      </c>
      <c r="C2122" s="25" t="s">
        <v>5623</v>
      </c>
      <c r="D2122" s="25" t="s">
        <v>5624</v>
      </c>
      <c r="E2122" s="26">
        <v>1022</v>
      </c>
    </row>
    <row r="2123" spans="1:5" x14ac:dyDescent="0.25">
      <c r="A2123" s="24" t="s">
        <v>7</v>
      </c>
      <c r="B2123" s="24" t="s">
        <v>5625</v>
      </c>
      <c r="C2123" s="25" t="s">
        <v>5626</v>
      </c>
      <c r="D2123" s="25" t="s">
        <v>5627</v>
      </c>
      <c r="E2123" s="26">
        <v>2152</v>
      </c>
    </row>
    <row r="2124" spans="1:5" x14ac:dyDescent="0.25">
      <c r="A2124" s="24" t="s">
        <v>7</v>
      </c>
      <c r="B2124" s="24" t="s">
        <v>5628</v>
      </c>
      <c r="C2124" s="25" t="s">
        <v>5629</v>
      </c>
      <c r="D2124" s="25" t="s">
        <v>5630</v>
      </c>
      <c r="E2124" s="26">
        <v>858</v>
      </c>
    </row>
    <row r="2125" spans="1:5" x14ac:dyDescent="0.25">
      <c r="A2125" s="24" t="s">
        <v>7</v>
      </c>
      <c r="B2125" s="24" t="s">
        <v>5631</v>
      </c>
      <c r="C2125" s="25" t="s">
        <v>5632</v>
      </c>
      <c r="D2125" s="25" t="s">
        <v>5633</v>
      </c>
      <c r="E2125" s="26">
        <v>958</v>
      </c>
    </row>
    <row r="2126" spans="1:5" x14ac:dyDescent="0.25">
      <c r="A2126" s="24" t="s">
        <v>7</v>
      </c>
      <c r="B2126" s="24" t="s">
        <v>5634</v>
      </c>
      <c r="C2126" s="25" t="s">
        <v>5635</v>
      </c>
      <c r="D2126" s="25" t="s">
        <v>5636</v>
      </c>
      <c r="E2126" s="26">
        <v>1734</v>
      </c>
    </row>
    <row r="2127" spans="1:5" x14ac:dyDescent="0.25">
      <c r="A2127" s="24" t="s">
        <v>7</v>
      </c>
      <c r="B2127" s="24" t="s">
        <v>5637</v>
      </c>
      <c r="C2127" s="25" t="s">
        <v>5638</v>
      </c>
      <c r="D2127" s="25" t="s">
        <v>5639</v>
      </c>
      <c r="E2127" s="26">
        <v>861</v>
      </c>
    </row>
    <row r="2128" spans="1:5" x14ac:dyDescent="0.25">
      <c r="A2128" s="24" t="s">
        <v>7</v>
      </c>
      <c r="B2128" s="24" t="s">
        <v>5640</v>
      </c>
      <c r="C2128" s="25" t="s">
        <v>5641</v>
      </c>
      <c r="D2128" s="25" t="s">
        <v>5642</v>
      </c>
      <c r="E2128" s="26">
        <v>1180</v>
      </c>
    </row>
    <row r="2129" spans="1:5" x14ac:dyDescent="0.25">
      <c r="A2129" s="24" t="s">
        <v>7</v>
      </c>
      <c r="B2129" s="24" t="s">
        <v>5643</v>
      </c>
      <c r="C2129" s="25" t="s">
        <v>5644</v>
      </c>
      <c r="D2129" s="25" t="s">
        <v>5645</v>
      </c>
      <c r="E2129" s="26">
        <v>3385</v>
      </c>
    </row>
    <row r="2130" spans="1:5" x14ac:dyDescent="0.25">
      <c r="A2130" s="24" t="s">
        <v>7</v>
      </c>
      <c r="B2130" s="24" t="s">
        <v>5646</v>
      </c>
      <c r="C2130" s="25" t="s">
        <v>5647</v>
      </c>
      <c r="D2130" s="25" t="s">
        <v>5648</v>
      </c>
      <c r="E2130" s="26">
        <v>2951</v>
      </c>
    </row>
    <row r="2131" spans="1:5" x14ac:dyDescent="0.25">
      <c r="A2131" s="24" t="s">
        <v>7</v>
      </c>
      <c r="B2131" s="24" t="s">
        <v>5649</v>
      </c>
      <c r="C2131" s="25" t="s">
        <v>5650</v>
      </c>
      <c r="D2131" s="25" t="s">
        <v>5650</v>
      </c>
      <c r="E2131" s="26">
        <v>990</v>
      </c>
    </row>
    <row r="2132" spans="1:5" x14ac:dyDescent="0.25">
      <c r="A2132" s="24" t="s">
        <v>7</v>
      </c>
      <c r="B2132" s="24" t="s">
        <v>5651</v>
      </c>
      <c r="C2132" s="25" t="s">
        <v>5652</v>
      </c>
      <c r="D2132" s="25" t="s">
        <v>5652</v>
      </c>
      <c r="E2132" s="26">
        <v>990</v>
      </c>
    </row>
    <row r="2133" spans="1:5" x14ac:dyDescent="0.25">
      <c r="A2133" s="24" t="s">
        <v>7</v>
      </c>
      <c r="B2133" s="24" t="s">
        <v>5653</v>
      </c>
      <c r="C2133" s="25" t="s">
        <v>5654</v>
      </c>
      <c r="D2133" s="25" t="s">
        <v>5655</v>
      </c>
      <c r="E2133" s="26">
        <v>1462</v>
      </c>
    </row>
    <row r="2134" spans="1:5" x14ac:dyDescent="0.25">
      <c r="A2134" s="24" t="s">
        <v>7</v>
      </c>
      <c r="B2134" s="24" t="s">
        <v>5656</v>
      </c>
      <c r="C2134" s="25" t="s">
        <v>5657</v>
      </c>
      <c r="D2134" s="25" t="s">
        <v>5658</v>
      </c>
      <c r="E2134" s="26">
        <v>1517</v>
      </c>
    </row>
    <row r="2135" spans="1:5" x14ac:dyDescent="0.25">
      <c r="A2135" s="24" t="s">
        <v>7</v>
      </c>
      <c r="B2135" s="24" t="s">
        <v>5659</v>
      </c>
      <c r="C2135" s="25" t="s">
        <v>5660</v>
      </c>
      <c r="D2135" s="25" t="s">
        <v>5661</v>
      </c>
      <c r="E2135" s="26">
        <v>1693</v>
      </c>
    </row>
    <row r="2136" spans="1:5" x14ac:dyDescent="0.25">
      <c r="A2136" s="24" t="s">
        <v>7</v>
      </c>
      <c r="B2136" s="24" t="s">
        <v>5662</v>
      </c>
      <c r="C2136" s="25" t="s">
        <v>4479</v>
      </c>
      <c r="D2136" s="25" t="s">
        <v>4480</v>
      </c>
      <c r="E2136" s="26">
        <v>5507</v>
      </c>
    </row>
    <row r="2137" spans="1:5" x14ac:dyDescent="0.25">
      <c r="A2137" s="24" t="s">
        <v>7</v>
      </c>
      <c r="B2137" s="24" t="s">
        <v>5663</v>
      </c>
      <c r="C2137" s="25" t="s">
        <v>4482</v>
      </c>
      <c r="D2137" s="25" t="s">
        <v>4483</v>
      </c>
      <c r="E2137" s="26">
        <v>1384</v>
      </c>
    </row>
    <row r="2138" spans="1:5" x14ac:dyDescent="0.25">
      <c r="A2138" s="24" t="s">
        <v>7</v>
      </c>
      <c r="B2138" s="24" t="s">
        <v>5664</v>
      </c>
      <c r="C2138" s="25" t="s">
        <v>5665</v>
      </c>
      <c r="D2138" s="25" t="s">
        <v>5666</v>
      </c>
      <c r="E2138" s="26">
        <v>6110</v>
      </c>
    </row>
    <row r="2139" spans="1:5" x14ac:dyDescent="0.25">
      <c r="A2139" s="24" t="s">
        <v>7</v>
      </c>
      <c r="B2139" s="24" t="s">
        <v>5667</v>
      </c>
      <c r="C2139" s="25" t="s">
        <v>4488</v>
      </c>
      <c r="D2139" s="25" t="s">
        <v>5668</v>
      </c>
      <c r="E2139" s="26">
        <v>5774</v>
      </c>
    </row>
    <row r="2140" spans="1:5" x14ac:dyDescent="0.25">
      <c r="A2140" s="24" t="s">
        <v>7</v>
      </c>
      <c r="B2140" s="24" t="s">
        <v>5669</v>
      </c>
      <c r="C2140" s="25" t="s">
        <v>4494</v>
      </c>
      <c r="D2140" s="25" t="s">
        <v>4495</v>
      </c>
      <c r="E2140" s="26">
        <v>3306</v>
      </c>
    </row>
    <row r="2141" spans="1:5" x14ac:dyDescent="0.25">
      <c r="A2141" s="24" t="s">
        <v>7</v>
      </c>
      <c r="B2141" s="24" t="s">
        <v>5670</v>
      </c>
      <c r="C2141" s="25" t="s">
        <v>5671</v>
      </c>
      <c r="D2141" s="25" t="s">
        <v>5672</v>
      </c>
      <c r="E2141" s="26">
        <v>4282</v>
      </c>
    </row>
    <row r="2142" spans="1:5" x14ac:dyDescent="0.25">
      <c r="A2142" s="24" t="s">
        <v>7</v>
      </c>
      <c r="B2142" s="24" t="s">
        <v>5673</v>
      </c>
      <c r="C2142" s="25" t="s">
        <v>5674</v>
      </c>
      <c r="D2142" s="25" t="s">
        <v>5674</v>
      </c>
      <c r="E2142" s="26">
        <v>4282</v>
      </c>
    </row>
    <row r="2143" spans="1:5" x14ac:dyDescent="0.25">
      <c r="A2143" s="24" t="s">
        <v>7</v>
      </c>
      <c r="B2143" s="24" t="s">
        <v>5675</v>
      </c>
      <c r="C2143" s="25" t="s">
        <v>5676</v>
      </c>
      <c r="D2143" s="25" t="s">
        <v>5677</v>
      </c>
      <c r="E2143" s="26">
        <v>4595</v>
      </c>
    </row>
    <row r="2144" spans="1:5" x14ac:dyDescent="0.25">
      <c r="A2144" s="24" t="s">
        <v>7</v>
      </c>
      <c r="B2144" s="24" t="s">
        <v>5678</v>
      </c>
      <c r="C2144" s="25" t="s">
        <v>4497</v>
      </c>
      <c r="D2144" s="25" t="s">
        <v>4498</v>
      </c>
      <c r="E2144" s="26">
        <v>1289</v>
      </c>
    </row>
    <row r="2145" spans="1:5" x14ac:dyDescent="0.25">
      <c r="A2145" s="24" t="s">
        <v>7</v>
      </c>
      <c r="B2145" s="24" t="s">
        <v>5679</v>
      </c>
      <c r="C2145" s="25" t="s">
        <v>5680</v>
      </c>
      <c r="D2145" s="25" t="s">
        <v>5681</v>
      </c>
      <c r="E2145" s="26">
        <v>1289</v>
      </c>
    </row>
    <row r="2146" spans="1:5" x14ac:dyDescent="0.25">
      <c r="A2146" s="24" t="s">
        <v>7</v>
      </c>
      <c r="B2146" s="24" t="s">
        <v>5682</v>
      </c>
      <c r="C2146" s="25" t="s">
        <v>5683</v>
      </c>
      <c r="D2146" s="25" t="s">
        <v>5684</v>
      </c>
      <c r="E2146" s="26">
        <v>1259</v>
      </c>
    </row>
    <row r="2147" spans="1:5" x14ac:dyDescent="0.25">
      <c r="A2147" s="24" t="s">
        <v>7</v>
      </c>
      <c r="B2147" s="24" t="s">
        <v>5685</v>
      </c>
      <c r="C2147" s="25" t="s">
        <v>5686</v>
      </c>
      <c r="D2147" s="25" t="s">
        <v>5687</v>
      </c>
      <c r="E2147" s="26">
        <v>1006</v>
      </c>
    </row>
    <row r="2148" spans="1:5" x14ac:dyDescent="0.25">
      <c r="A2148" s="24" t="s">
        <v>7</v>
      </c>
      <c r="B2148" s="24" t="s">
        <v>5688</v>
      </c>
      <c r="C2148" s="25" t="s">
        <v>5689</v>
      </c>
      <c r="D2148" s="25" t="s">
        <v>5690</v>
      </c>
      <c r="E2148" s="26">
        <v>1233</v>
      </c>
    </row>
    <row r="2149" spans="1:5" x14ac:dyDescent="0.25">
      <c r="A2149" s="24" t="s">
        <v>7</v>
      </c>
      <c r="B2149" s="24" t="s">
        <v>5691</v>
      </c>
      <c r="C2149" s="25" t="s">
        <v>5692</v>
      </c>
      <c r="D2149" s="25" t="s">
        <v>5693</v>
      </c>
      <c r="E2149" s="26">
        <v>1584</v>
      </c>
    </row>
    <row r="2150" spans="1:5" x14ac:dyDescent="0.25">
      <c r="A2150" s="24" t="s">
        <v>7</v>
      </c>
      <c r="B2150" s="24" t="s">
        <v>5694</v>
      </c>
      <c r="C2150" s="25" t="s">
        <v>4584</v>
      </c>
      <c r="D2150" s="25" t="s">
        <v>4585</v>
      </c>
      <c r="E2150" s="26">
        <v>2092</v>
      </c>
    </row>
    <row r="2151" spans="1:5" x14ac:dyDescent="0.25">
      <c r="A2151" s="24" t="s">
        <v>7</v>
      </c>
      <c r="B2151" s="24" t="s">
        <v>5695</v>
      </c>
      <c r="C2151" s="25" t="s">
        <v>5696</v>
      </c>
      <c r="D2151" s="25" t="s">
        <v>5697</v>
      </c>
      <c r="E2151" s="26">
        <v>1415</v>
      </c>
    </row>
    <row r="2152" spans="1:5" x14ac:dyDescent="0.25">
      <c r="A2152" s="24" t="s">
        <v>7</v>
      </c>
      <c r="B2152" s="24" t="s">
        <v>5698</v>
      </c>
      <c r="C2152" s="25" t="s">
        <v>5699</v>
      </c>
      <c r="D2152" s="25" t="s">
        <v>5700</v>
      </c>
      <c r="E2152" s="26">
        <v>1071</v>
      </c>
    </row>
    <row r="2153" spans="1:5" x14ac:dyDescent="0.25">
      <c r="A2153" s="24" t="s">
        <v>7</v>
      </c>
      <c r="B2153" s="24" t="s">
        <v>5701</v>
      </c>
      <c r="C2153" s="25" t="s">
        <v>5702</v>
      </c>
      <c r="D2153" s="25" t="s">
        <v>5702</v>
      </c>
      <c r="E2153" s="26">
        <v>538</v>
      </c>
    </row>
    <row r="2154" spans="1:5" x14ac:dyDescent="0.25">
      <c r="A2154" s="24" t="s">
        <v>7</v>
      </c>
      <c r="B2154" s="24" t="s">
        <v>5703</v>
      </c>
      <c r="C2154" s="25" t="s">
        <v>5704</v>
      </c>
      <c r="D2154" s="25" t="s">
        <v>5705</v>
      </c>
      <c r="E2154" s="26">
        <v>838</v>
      </c>
    </row>
    <row r="2155" spans="1:5" x14ac:dyDescent="0.25">
      <c r="A2155" s="24" t="s">
        <v>7</v>
      </c>
      <c r="B2155" s="24" t="s">
        <v>5706</v>
      </c>
      <c r="C2155" s="25" t="s">
        <v>5707</v>
      </c>
      <c r="D2155" s="25" t="s">
        <v>5708</v>
      </c>
      <c r="E2155" s="26">
        <v>810</v>
      </c>
    </row>
    <row r="2156" spans="1:5" x14ac:dyDescent="0.25">
      <c r="A2156" s="24" t="s">
        <v>7</v>
      </c>
      <c r="B2156" s="24" t="s">
        <v>5709</v>
      </c>
      <c r="C2156" s="25" t="s">
        <v>5710</v>
      </c>
      <c r="D2156" s="25" t="s">
        <v>5711</v>
      </c>
      <c r="E2156" s="26">
        <v>793</v>
      </c>
    </row>
    <row r="2157" spans="1:5" x14ac:dyDescent="0.25">
      <c r="A2157" s="24" t="s">
        <v>7</v>
      </c>
      <c r="B2157" s="24" t="s">
        <v>5712</v>
      </c>
      <c r="C2157" s="25" t="s">
        <v>5713</v>
      </c>
      <c r="D2157" s="25" t="s">
        <v>5714</v>
      </c>
      <c r="E2157" s="26">
        <v>569</v>
      </c>
    </row>
    <row r="2158" spans="1:5" x14ac:dyDescent="0.25">
      <c r="A2158" s="24" t="s">
        <v>7</v>
      </c>
      <c r="B2158" s="24" t="s">
        <v>5715</v>
      </c>
      <c r="C2158" s="25" t="s">
        <v>5716</v>
      </c>
      <c r="D2158" s="25" t="s">
        <v>5717</v>
      </c>
      <c r="E2158" s="26">
        <v>711</v>
      </c>
    </row>
    <row r="2159" spans="1:5" x14ac:dyDescent="0.25">
      <c r="A2159" s="24" t="s">
        <v>7</v>
      </c>
      <c r="B2159" s="24" t="s">
        <v>5718</v>
      </c>
      <c r="C2159" s="25" t="s">
        <v>5719</v>
      </c>
      <c r="D2159" s="25" t="s">
        <v>5720</v>
      </c>
      <c r="E2159" s="26">
        <v>2190</v>
      </c>
    </row>
    <row r="2160" spans="1:5" x14ac:dyDescent="0.25">
      <c r="A2160" s="24" t="s">
        <v>7</v>
      </c>
      <c r="B2160" s="24" t="s">
        <v>5721</v>
      </c>
      <c r="C2160" s="25" t="s">
        <v>5722</v>
      </c>
      <c r="D2160" s="25" t="s">
        <v>5723</v>
      </c>
      <c r="E2160" s="26">
        <v>588</v>
      </c>
    </row>
    <row r="2161" spans="1:5" x14ac:dyDescent="0.25">
      <c r="A2161" s="24" t="s">
        <v>7</v>
      </c>
      <c r="B2161" s="24" t="s">
        <v>5724</v>
      </c>
      <c r="C2161" s="25" t="s">
        <v>5725</v>
      </c>
      <c r="D2161" s="25" t="s">
        <v>5726</v>
      </c>
      <c r="E2161" s="26">
        <v>711</v>
      </c>
    </row>
    <row r="2162" spans="1:5" x14ac:dyDescent="0.25">
      <c r="A2162" s="24" t="s">
        <v>7</v>
      </c>
      <c r="B2162" s="24" t="s">
        <v>5727</v>
      </c>
      <c r="C2162" s="25" t="s">
        <v>5728</v>
      </c>
      <c r="D2162" s="25" t="s">
        <v>5729</v>
      </c>
      <c r="E2162" s="26">
        <v>538</v>
      </c>
    </row>
    <row r="2163" spans="1:5" x14ac:dyDescent="0.25">
      <c r="A2163" s="24" t="s">
        <v>7</v>
      </c>
      <c r="B2163" s="24" t="s">
        <v>5730</v>
      </c>
      <c r="C2163" s="25" t="s">
        <v>5731</v>
      </c>
      <c r="D2163" s="25" t="s">
        <v>5732</v>
      </c>
      <c r="E2163" s="26">
        <v>1456</v>
      </c>
    </row>
    <row r="2164" spans="1:5" x14ac:dyDescent="0.25">
      <c r="A2164" s="24" t="s">
        <v>7</v>
      </c>
      <c r="B2164" s="24" t="s">
        <v>5733</v>
      </c>
      <c r="C2164" s="25" t="s">
        <v>5734</v>
      </c>
      <c r="D2164" s="25" t="s">
        <v>5735</v>
      </c>
      <c r="E2164" s="26">
        <v>1456</v>
      </c>
    </row>
    <row r="2165" spans="1:5" x14ac:dyDescent="0.25">
      <c r="A2165" s="24" t="s">
        <v>7</v>
      </c>
      <c r="B2165" s="24" t="s">
        <v>5736</v>
      </c>
      <c r="C2165" s="25" t="s">
        <v>5737</v>
      </c>
      <c r="D2165" s="25" t="s">
        <v>5738</v>
      </c>
      <c r="E2165" s="26">
        <v>2659</v>
      </c>
    </row>
    <row r="2166" spans="1:5" x14ac:dyDescent="0.25">
      <c r="A2166" s="24" t="s">
        <v>7</v>
      </c>
      <c r="B2166" s="24" t="s">
        <v>5739</v>
      </c>
      <c r="C2166" s="25" t="s">
        <v>5740</v>
      </c>
      <c r="D2166" s="25" t="s">
        <v>5741</v>
      </c>
      <c r="E2166" s="26">
        <v>2147</v>
      </c>
    </row>
    <row r="2167" spans="1:5" x14ac:dyDescent="0.25">
      <c r="A2167" s="24" t="s">
        <v>7</v>
      </c>
      <c r="B2167" s="24" t="s">
        <v>5742</v>
      </c>
      <c r="C2167" s="25" t="s">
        <v>5743</v>
      </c>
      <c r="D2167" s="25" t="s">
        <v>5744</v>
      </c>
      <c r="E2167" s="26">
        <v>2147</v>
      </c>
    </row>
    <row r="2168" spans="1:5" x14ac:dyDescent="0.25">
      <c r="A2168" s="24" t="s">
        <v>7</v>
      </c>
      <c r="B2168" s="24" t="s">
        <v>5745</v>
      </c>
      <c r="C2168" s="25" t="s">
        <v>5746</v>
      </c>
      <c r="D2168" s="25" t="s">
        <v>5747</v>
      </c>
      <c r="E2168" s="26">
        <v>1729</v>
      </c>
    </row>
    <row r="2169" spans="1:5" x14ac:dyDescent="0.25">
      <c r="A2169" s="24" t="s">
        <v>7</v>
      </c>
      <c r="B2169" s="24" t="s">
        <v>5748</v>
      </c>
      <c r="C2169" s="25" t="s">
        <v>5749</v>
      </c>
      <c r="D2169" s="25" t="s">
        <v>5750</v>
      </c>
      <c r="E2169" s="26">
        <v>2212</v>
      </c>
    </row>
    <row r="2170" spans="1:5" x14ac:dyDescent="0.25">
      <c r="A2170" s="24" t="s">
        <v>7</v>
      </c>
      <c r="B2170" s="24" t="s">
        <v>5751</v>
      </c>
      <c r="C2170" s="25" t="s">
        <v>5752</v>
      </c>
      <c r="D2170" s="25" t="s">
        <v>5753</v>
      </c>
      <c r="E2170" s="26">
        <v>1932</v>
      </c>
    </row>
    <row r="2171" spans="1:5" x14ac:dyDescent="0.25">
      <c r="A2171" s="24" t="s">
        <v>7</v>
      </c>
      <c r="B2171" s="24" t="s">
        <v>5754</v>
      </c>
      <c r="C2171" s="25" t="s">
        <v>5755</v>
      </c>
      <c r="D2171" s="25" t="s">
        <v>5756</v>
      </c>
      <c r="E2171" s="26">
        <v>3180</v>
      </c>
    </row>
    <row r="2172" spans="1:5" x14ac:dyDescent="0.25">
      <c r="A2172" s="24" t="s">
        <v>7</v>
      </c>
      <c r="B2172" s="24" t="s">
        <v>5757</v>
      </c>
      <c r="C2172" s="25" t="s">
        <v>5758</v>
      </c>
      <c r="D2172" s="25" t="s">
        <v>5759</v>
      </c>
      <c r="E2172" s="26">
        <v>1706</v>
      </c>
    </row>
    <row r="2173" spans="1:5" x14ac:dyDescent="0.25">
      <c r="A2173" s="24" t="s">
        <v>7</v>
      </c>
      <c r="B2173" s="24" t="s">
        <v>5760</v>
      </c>
      <c r="C2173" s="25" t="s">
        <v>5761</v>
      </c>
      <c r="D2173" s="25" t="s">
        <v>5761</v>
      </c>
      <c r="E2173" s="26">
        <v>1023</v>
      </c>
    </row>
    <row r="2174" spans="1:5" x14ac:dyDescent="0.25">
      <c r="A2174" s="24" t="s">
        <v>7</v>
      </c>
      <c r="B2174" s="24" t="s">
        <v>5762</v>
      </c>
      <c r="C2174" s="25" t="s">
        <v>5763</v>
      </c>
      <c r="D2174" s="25" t="s">
        <v>5764</v>
      </c>
      <c r="E2174" s="26">
        <v>538</v>
      </c>
    </row>
    <row r="2175" spans="1:5" x14ac:dyDescent="0.25">
      <c r="A2175" s="24" t="s">
        <v>7</v>
      </c>
      <c r="B2175" s="24" t="s">
        <v>5765</v>
      </c>
      <c r="C2175" s="25" t="s">
        <v>5766</v>
      </c>
      <c r="D2175" s="25" t="s">
        <v>5767</v>
      </c>
      <c r="E2175" s="26">
        <v>1270</v>
      </c>
    </row>
    <row r="2176" spans="1:5" x14ac:dyDescent="0.25">
      <c r="A2176" s="24" t="s">
        <v>7</v>
      </c>
      <c r="B2176" s="24" t="s">
        <v>5768</v>
      </c>
      <c r="C2176" s="25" t="s">
        <v>5769</v>
      </c>
      <c r="D2176" s="25" t="s">
        <v>5770</v>
      </c>
      <c r="E2176" s="26">
        <v>711</v>
      </c>
    </row>
    <row r="2177" spans="1:5" x14ac:dyDescent="0.25">
      <c r="A2177" s="24" t="s">
        <v>7</v>
      </c>
      <c r="B2177" s="24" t="s">
        <v>5771</v>
      </c>
      <c r="C2177" s="25" t="s">
        <v>5772</v>
      </c>
      <c r="D2177" s="25" t="s">
        <v>5773</v>
      </c>
      <c r="E2177" s="26">
        <v>2067</v>
      </c>
    </row>
    <row r="2178" spans="1:5" x14ac:dyDescent="0.25">
      <c r="A2178" s="24" t="s">
        <v>7</v>
      </c>
      <c r="B2178" s="24" t="s">
        <v>5774</v>
      </c>
      <c r="C2178" s="25" t="s">
        <v>5775</v>
      </c>
      <c r="D2178" s="25" t="s">
        <v>5776</v>
      </c>
      <c r="E2178" s="26">
        <v>2679</v>
      </c>
    </row>
    <row r="2179" spans="1:5" x14ac:dyDescent="0.25">
      <c r="A2179" s="24" t="s">
        <v>7</v>
      </c>
      <c r="B2179" s="24" t="s">
        <v>5777</v>
      </c>
      <c r="C2179" s="25" t="s">
        <v>5778</v>
      </c>
      <c r="D2179" s="25" t="s">
        <v>5779</v>
      </c>
      <c r="E2179" s="26">
        <v>995</v>
      </c>
    </row>
    <row r="2180" spans="1:5" x14ac:dyDescent="0.25">
      <c r="A2180" s="24" t="s">
        <v>7</v>
      </c>
      <c r="B2180" s="24" t="s">
        <v>5780</v>
      </c>
      <c r="C2180" s="25" t="s">
        <v>5781</v>
      </c>
      <c r="D2180" s="25" t="s">
        <v>5782</v>
      </c>
      <c r="E2180" s="26">
        <v>1044</v>
      </c>
    </row>
    <row r="2181" spans="1:5" x14ac:dyDescent="0.25">
      <c r="A2181" s="24" t="s">
        <v>7</v>
      </c>
      <c r="B2181" s="24" t="s">
        <v>5783</v>
      </c>
      <c r="C2181" s="25" t="s">
        <v>5784</v>
      </c>
      <c r="D2181" s="25" t="s">
        <v>5785</v>
      </c>
      <c r="E2181" s="26">
        <v>704</v>
      </c>
    </row>
    <row r="2182" spans="1:5" x14ac:dyDescent="0.25">
      <c r="A2182" s="24" t="s">
        <v>7</v>
      </c>
      <c r="B2182" s="24" t="s">
        <v>5786</v>
      </c>
      <c r="C2182" s="25" t="s">
        <v>5787</v>
      </c>
      <c r="D2182" s="25" t="s">
        <v>5788</v>
      </c>
      <c r="E2182" s="26">
        <v>1066</v>
      </c>
    </row>
    <row r="2183" spans="1:5" x14ac:dyDescent="0.25">
      <c r="A2183" s="24" t="s">
        <v>7</v>
      </c>
      <c r="B2183" s="24" t="s">
        <v>5789</v>
      </c>
      <c r="C2183" s="25" t="s">
        <v>5790</v>
      </c>
      <c r="D2183" s="25" t="s">
        <v>5791</v>
      </c>
      <c r="E2183" s="26">
        <v>4402</v>
      </c>
    </row>
    <row r="2184" spans="1:5" x14ac:dyDescent="0.25">
      <c r="A2184" s="24" t="s">
        <v>7</v>
      </c>
      <c r="B2184" s="24" t="s">
        <v>5792</v>
      </c>
      <c r="C2184" s="25" t="s">
        <v>5793</v>
      </c>
      <c r="D2184" s="25" t="s">
        <v>5794</v>
      </c>
      <c r="E2184" s="26">
        <v>603</v>
      </c>
    </row>
    <row r="2185" spans="1:5" x14ac:dyDescent="0.25">
      <c r="A2185" s="24" t="s">
        <v>7</v>
      </c>
      <c r="B2185" s="24" t="s">
        <v>5795</v>
      </c>
      <c r="C2185" s="25" t="s">
        <v>5796</v>
      </c>
      <c r="D2185" s="25" t="s">
        <v>5797</v>
      </c>
      <c r="E2185" s="26">
        <v>711</v>
      </c>
    </row>
    <row r="2186" spans="1:5" x14ac:dyDescent="0.25">
      <c r="A2186" s="24" t="s">
        <v>7</v>
      </c>
      <c r="B2186" s="24" t="s">
        <v>5798</v>
      </c>
      <c r="C2186" s="25" t="s">
        <v>5799</v>
      </c>
      <c r="D2186" s="25" t="s">
        <v>5800</v>
      </c>
      <c r="E2186" s="26">
        <v>526</v>
      </c>
    </row>
    <row r="2187" spans="1:5" x14ac:dyDescent="0.25">
      <c r="A2187" s="24" t="s">
        <v>7</v>
      </c>
      <c r="B2187" s="24" t="s">
        <v>5801</v>
      </c>
      <c r="C2187" s="25" t="s">
        <v>5802</v>
      </c>
      <c r="D2187" s="25" t="s">
        <v>5803</v>
      </c>
      <c r="E2187" s="26">
        <v>1158</v>
      </c>
    </row>
    <row r="2188" spans="1:5" x14ac:dyDescent="0.25">
      <c r="A2188" s="24" t="s">
        <v>7</v>
      </c>
      <c r="B2188" s="24" t="s">
        <v>5804</v>
      </c>
      <c r="C2188" s="25" t="s">
        <v>5805</v>
      </c>
      <c r="D2188" s="25" t="s">
        <v>5805</v>
      </c>
      <c r="E2188" s="26">
        <v>410</v>
      </c>
    </row>
    <row r="2189" spans="1:5" x14ac:dyDescent="0.25">
      <c r="A2189" s="24" t="s">
        <v>7</v>
      </c>
      <c r="B2189" s="24" t="s">
        <v>5806</v>
      </c>
      <c r="C2189" s="25" t="s">
        <v>5807</v>
      </c>
      <c r="D2189" s="25" t="s">
        <v>5807</v>
      </c>
      <c r="E2189" s="26">
        <v>701</v>
      </c>
    </row>
    <row r="2190" spans="1:5" x14ac:dyDescent="0.25">
      <c r="A2190" s="24" t="s">
        <v>7</v>
      </c>
      <c r="B2190" s="24" t="s">
        <v>5808</v>
      </c>
      <c r="C2190" s="25" t="s">
        <v>5809</v>
      </c>
      <c r="D2190" s="25" t="s">
        <v>5810</v>
      </c>
      <c r="E2190" s="26">
        <v>1009</v>
      </c>
    </row>
    <row r="2191" spans="1:5" x14ac:dyDescent="0.25">
      <c r="A2191" s="24" t="s">
        <v>7</v>
      </c>
      <c r="B2191" s="24" t="s">
        <v>5811</v>
      </c>
      <c r="C2191" s="25" t="s">
        <v>5812</v>
      </c>
      <c r="D2191" s="25" t="s">
        <v>5813</v>
      </c>
      <c r="E2191" s="26">
        <v>928</v>
      </c>
    </row>
    <row r="2192" spans="1:5" x14ac:dyDescent="0.25">
      <c r="A2192" s="24" t="s">
        <v>7</v>
      </c>
      <c r="B2192" s="24" t="s">
        <v>5814</v>
      </c>
      <c r="C2192" s="25" t="s">
        <v>5815</v>
      </c>
      <c r="D2192" s="25" t="s">
        <v>5816</v>
      </c>
      <c r="E2192" s="26">
        <v>400</v>
      </c>
    </row>
    <row r="2193" spans="1:5" x14ac:dyDescent="0.25">
      <c r="A2193" s="24" t="s">
        <v>7</v>
      </c>
      <c r="B2193" s="24" t="s">
        <v>5817</v>
      </c>
      <c r="C2193" s="25" t="s">
        <v>5818</v>
      </c>
      <c r="D2193" s="25" t="s">
        <v>5819</v>
      </c>
      <c r="E2193" s="26">
        <v>1855</v>
      </c>
    </row>
    <row r="2194" spans="1:5" x14ac:dyDescent="0.25">
      <c r="A2194" s="24" t="s">
        <v>7</v>
      </c>
      <c r="B2194" s="24" t="s">
        <v>5820</v>
      </c>
      <c r="C2194" s="25" t="s">
        <v>5821</v>
      </c>
      <c r="D2194" s="25" t="s">
        <v>5822</v>
      </c>
      <c r="E2194" s="26">
        <v>1221</v>
      </c>
    </row>
    <row r="2195" spans="1:5" x14ac:dyDescent="0.25">
      <c r="A2195" s="24" t="s">
        <v>7</v>
      </c>
      <c r="B2195" s="24" t="s">
        <v>5823</v>
      </c>
      <c r="C2195" s="25" t="s">
        <v>5824</v>
      </c>
      <c r="D2195" s="25" t="s">
        <v>5825</v>
      </c>
      <c r="E2195" s="26">
        <v>1418</v>
      </c>
    </row>
    <row r="2196" spans="1:5" x14ac:dyDescent="0.25">
      <c r="A2196" s="24" t="s">
        <v>7</v>
      </c>
      <c r="B2196" s="24" t="s">
        <v>5826</v>
      </c>
      <c r="C2196" s="25" t="s">
        <v>5827</v>
      </c>
      <c r="D2196" s="25" t="s">
        <v>5828</v>
      </c>
      <c r="E2196" s="26">
        <v>1184</v>
      </c>
    </row>
    <row r="2197" spans="1:5" x14ac:dyDescent="0.25">
      <c r="A2197" s="24" t="s">
        <v>7</v>
      </c>
      <c r="B2197" s="24" t="s">
        <v>5829</v>
      </c>
      <c r="C2197" s="25" t="s">
        <v>5830</v>
      </c>
      <c r="D2197" s="25" t="s">
        <v>5831</v>
      </c>
      <c r="E2197" s="26">
        <v>882</v>
      </c>
    </row>
    <row r="2198" spans="1:5" x14ac:dyDescent="0.25">
      <c r="A2198" s="24" t="s">
        <v>7</v>
      </c>
      <c r="B2198" s="24" t="s">
        <v>5832</v>
      </c>
      <c r="C2198" s="25" t="s">
        <v>5833</v>
      </c>
      <c r="D2198" s="25" t="s">
        <v>5834</v>
      </c>
      <c r="E2198" s="26">
        <v>865</v>
      </c>
    </row>
    <row r="2199" spans="1:5" x14ac:dyDescent="0.25">
      <c r="A2199" s="24" t="s">
        <v>7</v>
      </c>
      <c r="B2199" s="24" t="s">
        <v>5835</v>
      </c>
      <c r="C2199" s="25" t="s">
        <v>5836</v>
      </c>
      <c r="D2199" s="25" t="s">
        <v>5837</v>
      </c>
      <c r="E2199" s="26">
        <v>1350</v>
      </c>
    </row>
    <row r="2200" spans="1:5" x14ac:dyDescent="0.25">
      <c r="A2200" s="24" t="s">
        <v>7</v>
      </c>
      <c r="B2200" s="24" t="s">
        <v>5838</v>
      </c>
      <c r="C2200" s="25" t="s">
        <v>5839</v>
      </c>
      <c r="D2200" s="25" t="s">
        <v>5840</v>
      </c>
      <c r="E2200" s="26">
        <v>593</v>
      </c>
    </row>
    <row r="2201" spans="1:5" x14ac:dyDescent="0.25">
      <c r="A2201" s="24" t="s">
        <v>7</v>
      </c>
      <c r="B2201" s="24" t="s">
        <v>5841</v>
      </c>
      <c r="C2201" s="25" t="s">
        <v>5842</v>
      </c>
      <c r="D2201" s="25" t="s">
        <v>5843</v>
      </c>
      <c r="E2201" s="26">
        <v>1199</v>
      </c>
    </row>
    <row r="2202" spans="1:5" x14ac:dyDescent="0.25">
      <c r="A2202" s="24" t="s">
        <v>7</v>
      </c>
      <c r="B2202" s="24" t="s">
        <v>5844</v>
      </c>
      <c r="C2202" s="25" t="s">
        <v>5845</v>
      </c>
      <c r="D2202" s="25" t="s">
        <v>5846</v>
      </c>
      <c r="E2202" s="26">
        <v>4320</v>
      </c>
    </row>
    <row r="2203" spans="1:5" x14ac:dyDescent="0.25">
      <c r="A2203" s="24" t="s">
        <v>7</v>
      </c>
      <c r="B2203" s="24" t="s">
        <v>5847</v>
      </c>
      <c r="C2203" s="25" t="s">
        <v>5848</v>
      </c>
      <c r="D2203" s="25" t="s">
        <v>5849</v>
      </c>
      <c r="E2203" s="26">
        <v>2587</v>
      </c>
    </row>
    <row r="2204" spans="1:5" x14ac:dyDescent="0.25">
      <c r="A2204" s="24" t="s">
        <v>7</v>
      </c>
      <c r="B2204" s="24" t="s">
        <v>5850</v>
      </c>
      <c r="C2204" s="25" t="s">
        <v>5851</v>
      </c>
      <c r="D2204" s="25" t="s">
        <v>5852</v>
      </c>
      <c r="E2204" s="26">
        <v>3956</v>
      </c>
    </row>
    <row r="2205" spans="1:5" x14ac:dyDescent="0.25">
      <c r="A2205" s="24" t="s">
        <v>7</v>
      </c>
      <c r="B2205" s="24" t="s">
        <v>5853</v>
      </c>
      <c r="C2205" s="25" t="s">
        <v>5854</v>
      </c>
      <c r="D2205" s="25" t="s">
        <v>5855</v>
      </c>
      <c r="E2205" s="26">
        <v>3629</v>
      </c>
    </row>
    <row r="2206" spans="1:5" x14ac:dyDescent="0.25">
      <c r="A2206" s="24" t="s">
        <v>7</v>
      </c>
      <c r="B2206" s="24" t="s">
        <v>5856</v>
      </c>
      <c r="C2206" s="25" t="s">
        <v>5857</v>
      </c>
      <c r="D2206" s="25" t="s">
        <v>5858</v>
      </c>
      <c r="E2206" s="26">
        <v>1243</v>
      </c>
    </row>
    <row r="2207" spans="1:5" x14ac:dyDescent="0.25">
      <c r="A2207" s="24" t="s">
        <v>7</v>
      </c>
      <c r="B2207" s="24" t="s">
        <v>5859</v>
      </c>
      <c r="C2207" s="25" t="s">
        <v>5860</v>
      </c>
      <c r="D2207" s="25" t="s">
        <v>5861</v>
      </c>
      <c r="E2207" s="26">
        <v>1605</v>
      </c>
    </row>
    <row r="2208" spans="1:5" x14ac:dyDescent="0.25">
      <c r="A2208" s="24" t="s">
        <v>7</v>
      </c>
      <c r="B2208" s="24" t="s">
        <v>5862</v>
      </c>
      <c r="C2208" s="25" t="s">
        <v>5863</v>
      </c>
      <c r="D2208" s="25" t="s">
        <v>5864</v>
      </c>
      <c r="E2208" s="26">
        <v>1631</v>
      </c>
    </row>
    <row r="2209" spans="1:5" x14ac:dyDescent="0.25">
      <c r="A2209" s="24" t="s">
        <v>7</v>
      </c>
      <c r="B2209" s="24" t="s">
        <v>5865</v>
      </c>
      <c r="C2209" s="25" t="s">
        <v>5866</v>
      </c>
      <c r="D2209" s="25" t="s">
        <v>5867</v>
      </c>
      <c r="E2209" s="26">
        <v>3046</v>
      </c>
    </row>
    <row r="2210" spans="1:5" x14ac:dyDescent="0.25">
      <c r="A2210" s="24" t="s">
        <v>7</v>
      </c>
      <c r="B2210" s="24" t="s">
        <v>5868</v>
      </c>
      <c r="C2210" s="25" t="s">
        <v>4763</v>
      </c>
      <c r="D2210" s="25" t="s">
        <v>4764</v>
      </c>
      <c r="E2210" s="26">
        <v>4595</v>
      </c>
    </row>
    <row r="2211" spans="1:5" x14ac:dyDescent="0.25">
      <c r="A2211" s="24" t="s">
        <v>7</v>
      </c>
      <c r="B2211" s="24" t="s">
        <v>5869</v>
      </c>
      <c r="C2211" s="25" t="s">
        <v>4766</v>
      </c>
      <c r="D2211" s="25" t="s">
        <v>4767</v>
      </c>
      <c r="E2211" s="26">
        <v>673</v>
      </c>
    </row>
    <row r="2212" spans="1:5" x14ac:dyDescent="0.25">
      <c r="A2212" s="24" t="s">
        <v>7</v>
      </c>
      <c r="B2212" s="24" t="s">
        <v>5870</v>
      </c>
      <c r="C2212" s="25" t="s">
        <v>5871</v>
      </c>
      <c r="D2212" s="25" t="s">
        <v>5872</v>
      </c>
      <c r="E2212" s="26">
        <v>1608</v>
      </c>
    </row>
    <row r="2213" spans="1:5" x14ac:dyDescent="0.25">
      <c r="A2213" s="24" t="s">
        <v>7</v>
      </c>
      <c r="B2213" s="24" t="s">
        <v>5873</v>
      </c>
      <c r="C2213" s="25" t="s">
        <v>5874</v>
      </c>
      <c r="D2213" s="25" t="s">
        <v>5875</v>
      </c>
      <c r="E2213" s="26">
        <v>593</v>
      </c>
    </row>
    <row r="2214" spans="1:5" x14ac:dyDescent="0.25">
      <c r="A2214" s="24" t="s">
        <v>7</v>
      </c>
      <c r="B2214" s="24" t="s">
        <v>5876</v>
      </c>
      <c r="C2214" s="25" t="s">
        <v>5877</v>
      </c>
      <c r="D2214" s="25" t="s">
        <v>5878</v>
      </c>
      <c r="E2214" s="26">
        <v>2138</v>
      </c>
    </row>
    <row r="2215" spans="1:5" x14ac:dyDescent="0.25">
      <c r="A2215" s="24" t="s">
        <v>7</v>
      </c>
      <c r="B2215" s="24" t="s">
        <v>5879</v>
      </c>
      <c r="C2215" s="25" t="s">
        <v>5880</v>
      </c>
      <c r="D2215" s="25" t="s">
        <v>5881</v>
      </c>
      <c r="E2215" s="26">
        <v>547</v>
      </c>
    </row>
    <row r="2216" spans="1:5" x14ac:dyDescent="0.25">
      <c r="A2216" s="24" t="s">
        <v>7</v>
      </c>
      <c r="B2216" s="24" t="s">
        <v>5882</v>
      </c>
      <c r="C2216" s="25" t="s">
        <v>4861</v>
      </c>
      <c r="D2216" s="25" t="s">
        <v>4862</v>
      </c>
      <c r="E2216" s="26">
        <v>5740</v>
      </c>
    </row>
    <row r="2217" spans="1:5" x14ac:dyDescent="0.25">
      <c r="A2217" s="24" t="s">
        <v>7</v>
      </c>
      <c r="B2217" s="24" t="s">
        <v>5883</v>
      </c>
      <c r="C2217" s="25" t="s">
        <v>4864</v>
      </c>
      <c r="D2217" s="25" t="s">
        <v>4865</v>
      </c>
      <c r="E2217" s="26">
        <v>3762</v>
      </c>
    </row>
    <row r="2218" spans="1:5" x14ac:dyDescent="0.25">
      <c r="A2218" s="24" t="s">
        <v>7</v>
      </c>
      <c r="B2218" s="24" t="s">
        <v>5884</v>
      </c>
      <c r="C2218" s="25" t="s">
        <v>4923</v>
      </c>
      <c r="D2218" s="25" t="s">
        <v>4924</v>
      </c>
      <c r="E2218" s="26">
        <v>3622</v>
      </c>
    </row>
    <row r="2219" spans="1:5" x14ac:dyDescent="0.25">
      <c r="A2219" s="24" t="s">
        <v>7</v>
      </c>
      <c r="B2219" s="24" t="s">
        <v>5885</v>
      </c>
      <c r="C2219" s="25" t="s">
        <v>4929</v>
      </c>
      <c r="D2219" s="25" t="s">
        <v>4930</v>
      </c>
      <c r="E2219" s="26">
        <v>2334</v>
      </c>
    </row>
    <row r="2220" spans="1:5" x14ac:dyDescent="0.25">
      <c r="A2220" s="24" t="s">
        <v>7</v>
      </c>
      <c r="B2220" s="24" t="s">
        <v>5886</v>
      </c>
      <c r="C2220" s="25" t="s">
        <v>4932</v>
      </c>
      <c r="D2220" s="25" t="s">
        <v>4933</v>
      </c>
      <c r="E2220" s="26">
        <v>2908</v>
      </c>
    </row>
    <row r="2221" spans="1:5" x14ac:dyDescent="0.25">
      <c r="A2221" s="24" t="s">
        <v>7</v>
      </c>
      <c r="B2221" s="24" t="s">
        <v>5887</v>
      </c>
      <c r="C2221" s="25" t="s">
        <v>5216</v>
      </c>
      <c r="D2221" s="25" t="s">
        <v>5217</v>
      </c>
      <c r="E2221" s="26">
        <v>2526</v>
      </c>
    </row>
    <row r="2222" spans="1:5" x14ac:dyDescent="0.25">
      <c r="A2222" s="24" t="s">
        <v>7</v>
      </c>
      <c r="B2222" s="24" t="s">
        <v>5888</v>
      </c>
      <c r="C2222" s="25" t="s">
        <v>4938</v>
      </c>
      <c r="D2222" s="25" t="s">
        <v>4939</v>
      </c>
      <c r="E2222" s="26">
        <v>1187</v>
      </c>
    </row>
    <row r="2223" spans="1:5" x14ac:dyDescent="0.25">
      <c r="A2223" s="24" t="s">
        <v>7</v>
      </c>
      <c r="B2223" s="24" t="s">
        <v>5889</v>
      </c>
      <c r="C2223" s="25" t="s">
        <v>4944</v>
      </c>
      <c r="D2223" s="25" t="s">
        <v>4945</v>
      </c>
      <c r="E2223" s="26">
        <v>759</v>
      </c>
    </row>
    <row r="2224" spans="1:5" x14ac:dyDescent="0.25">
      <c r="A2224" s="24" t="s">
        <v>7</v>
      </c>
      <c r="B2224" s="24" t="s">
        <v>5890</v>
      </c>
      <c r="C2224" s="25" t="s">
        <v>5891</v>
      </c>
      <c r="D2224" s="25" t="s">
        <v>5892</v>
      </c>
      <c r="E2224" s="26">
        <v>1025</v>
      </c>
    </row>
    <row r="2225" spans="1:5" x14ac:dyDescent="0.25">
      <c r="A2225" s="24" t="s">
        <v>7</v>
      </c>
      <c r="B2225" s="24" t="s">
        <v>5893</v>
      </c>
      <c r="C2225" s="25" t="s">
        <v>5894</v>
      </c>
      <c r="D2225" s="25" t="s">
        <v>5895</v>
      </c>
      <c r="E2225" s="26">
        <v>1411</v>
      </c>
    </row>
    <row r="2226" spans="1:5" x14ac:dyDescent="0.25">
      <c r="A2226" s="24" t="s">
        <v>7</v>
      </c>
      <c r="B2226" s="24" t="s">
        <v>5896</v>
      </c>
      <c r="C2226" s="25" t="s">
        <v>5897</v>
      </c>
      <c r="D2226" s="25" t="s">
        <v>5898</v>
      </c>
      <c r="E2226" s="26">
        <v>2579</v>
      </c>
    </row>
    <row r="2227" spans="1:5" x14ac:dyDescent="0.25">
      <c r="A2227" s="24" t="s">
        <v>7</v>
      </c>
      <c r="B2227" s="24" t="s">
        <v>5899</v>
      </c>
      <c r="C2227" s="25" t="s">
        <v>5900</v>
      </c>
      <c r="D2227" s="25" t="s">
        <v>5901</v>
      </c>
      <c r="E2227" s="26">
        <v>2016</v>
      </c>
    </row>
    <row r="2228" spans="1:5" x14ac:dyDescent="0.25">
      <c r="A2228" s="24" t="s">
        <v>7</v>
      </c>
      <c r="B2228" s="24" t="s">
        <v>5902</v>
      </c>
      <c r="C2228" s="25" t="s">
        <v>5903</v>
      </c>
      <c r="D2228" s="25" t="s">
        <v>5904</v>
      </c>
      <c r="E2228" s="26">
        <v>1905</v>
      </c>
    </row>
    <row r="2229" spans="1:5" x14ac:dyDescent="0.25">
      <c r="A2229" s="24" t="s">
        <v>7</v>
      </c>
      <c r="B2229" s="24" t="s">
        <v>5905</v>
      </c>
      <c r="C2229" s="25" t="s">
        <v>4952</v>
      </c>
      <c r="D2229" s="25" t="s">
        <v>4953</v>
      </c>
      <c r="E2229" s="26">
        <v>881</v>
      </c>
    </row>
    <row r="2230" spans="1:5" x14ac:dyDescent="0.25">
      <c r="A2230" s="24" t="s">
        <v>7</v>
      </c>
      <c r="B2230" s="24" t="s">
        <v>5906</v>
      </c>
      <c r="C2230" s="25" t="s">
        <v>4992</v>
      </c>
      <c r="D2230" s="25" t="s">
        <v>4992</v>
      </c>
      <c r="E2230" s="26">
        <v>793</v>
      </c>
    </row>
    <row r="2231" spans="1:5" x14ac:dyDescent="0.25">
      <c r="A2231" s="24" t="s">
        <v>7</v>
      </c>
      <c r="B2231" s="24" t="s">
        <v>5907</v>
      </c>
      <c r="C2231" s="25" t="s">
        <v>5045</v>
      </c>
      <c r="D2231" s="25" t="s">
        <v>5046</v>
      </c>
      <c r="E2231" s="26">
        <v>1709</v>
      </c>
    </row>
    <row r="2232" spans="1:5" x14ac:dyDescent="0.25">
      <c r="A2232" s="24" t="s">
        <v>7</v>
      </c>
      <c r="B2232" s="24" t="s">
        <v>5908</v>
      </c>
      <c r="C2232" s="25" t="s">
        <v>5172</v>
      </c>
      <c r="D2232" s="25" t="s">
        <v>5173</v>
      </c>
      <c r="E2232" s="26">
        <v>6917</v>
      </c>
    </row>
    <row r="2233" spans="1:5" x14ac:dyDescent="0.25">
      <c r="A2233" s="24" t="s">
        <v>7</v>
      </c>
      <c r="B2233" s="24" t="s">
        <v>5909</v>
      </c>
      <c r="C2233" s="25" t="s">
        <v>5175</v>
      </c>
      <c r="D2233" s="25" t="s">
        <v>5176</v>
      </c>
      <c r="E2233" s="26">
        <v>4454</v>
      </c>
    </row>
    <row r="2234" spans="1:5" x14ac:dyDescent="0.25">
      <c r="A2234" s="24" t="s">
        <v>7</v>
      </c>
      <c r="B2234" s="24" t="s">
        <v>5910</v>
      </c>
      <c r="C2234" s="25" t="s">
        <v>5911</v>
      </c>
      <c r="D2234" s="25" t="s">
        <v>5912</v>
      </c>
      <c r="E2234" s="26">
        <v>7932</v>
      </c>
    </row>
    <row r="2235" spans="1:5" x14ac:dyDescent="0.25">
      <c r="A2235" s="24" t="s">
        <v>7</v>
      </c>
      <c r="B2235" s="24" t="s">
        <v>5913</v>
      </c>
      <c r="C2235" s="25" t="s">
        <v>5914</v>
      </c>
      <c r="D2235" s="25" t="s">
        <v>5915</v>
      </c>
      <c r="E2235" s="26">
        <v>7233</v>
      </c>
    </row>
    <row r="2236" spans="1:5" x14ac:dyDescent="0.25">
      <c r="A2236" s="24" t="s">
        <v>7</v>
      </c>
      <c r="B2236" s="24" t="s">
        <v>5916</v>
      </c>
      <c r="C2236" s="25" t="s">
        <v>5917</v>
      </c>
      <c r="D2236" s="25" t="s">
        <v>5918</v>
      </c>
      <c r="E2236" s="26">
        <v>2350</v>
      </c>
    </row>
    <row r="2237" spans="1:5" x14ac:dyDescent="0.25">
      <c r="A2237" s="24" t="s">
        <v>7</v>
      </c>
      <c r="B2237" s="24" t="s">
        <v>5919</v>
      </c>
      <c r="C2237" s="25" t="s">
        <v>4452</v>
      </c>
      <c r="D2237" s="25" t="s">
        <v>5920</v>
      </c>
      <c r="E2237" s="26">
        <v>521</v>
      </c>
    </row>
    <row r="2238" spans="1:5" x14ac:dyDescent="0.25">
      <c r="A2238" s="24" t="s">
        <v>7</v>
      </c>
      <c r="B2238" s="24" t="s">
        <v>5921</v>
      </c>
      <c r="C2238" s="25" t="s">
        <v>5922</v>
      </c>
      <c r="D2238" s="25" t="s">
        <v>5923</v>
      </c>
      <c r="E2238" s="26">
        <v>2577</v>
      </c>
    </row>
    <row r="2239" spans="1:5" x14ac:dyDescent="0.25">
      <c r="A2239" s="24" t="s">
        <v>7</v>
      </c>
      <c r="B2239" s="24" t="s">
        <v>5924</v>
      </c>
      <c r="C2239" s="25" t="s">
        <v>5078</v>
      </c>
      <c r="D2239" s="25" t="s">
        <v>5925</v>
      </c>
      <c r="E2239" s="26">
        <v>571</v>
      </c>
    </row>
    <row r="2240" spans="1:5" x14ac:dyDescent="0.25">
      <c r="A2240" s="24" t="s">
        <v>7</v>
      </c>
      <c r="B2240" s="24" t="s">
        <v>5926</v>
      </c>
      <c r="C2240" s="25" t="s">
        <v>5163</v>
      </c>
      <c r="D2240" s="25" t="s">
        <v>5164</v>
      </c>
      <c r="E2240" s="26">
        <v>394</v>
      </c>
    </row>
    <row r="2241" spans="1:5" x14ac:dyDescent="0.25">
      <c r="A2241" s="24" t="s">
        <v>7</v>
      </c>
      <c r="B2241" s="24" t="s">
        <v>5927</v>
      </c>
      <c r="C2241" s="25" t="s">
        <v>4491</v>
      </c>
      <c r="D2241" s="25" t="s">
        <v>4492</v>
      </c>
      <c r="E2241" s="26">
        <v>675</v>
      </c>
    </row>
    <row r="2242" spans="1:5" x14ac:dyDescent="0.25">
      <c r="A2242" s="24" t="s">
        <v>7</v>
      </c>
      <c r="B2242" s="24" t="s">
        <v>5928</v>
      </c>
      <c r="C2242" s="25" t="s">
        <v>5219</v>
      </c>
      <c r="D2242" s="25" t="s">
        <v>5220</v>
      </c>
      <c r="E2242" s="26">
        <v>837</v>
      </c>
    </row>
    <row r="2243" spans="1:5" x14ac:dyDescent="0.25">
      <c r="A2243" s="24" t="s">
        <v>7</v>
      </c>
      <c r="B2243" s="24" t="s">
        <v>5929</v>
      </c>
      <c r="C2243" s="25" t="s">
        <v>5930</v>
      </c>
      <c r="D2243" s="25" t="s">
        <v>5931</v>
      </c>
      <c r="E2243" s="26">
        <v>2632</v>
      </c>
    </row>
    <row r="2244" spans="1:5" x14ac:dyDescent="0.25">
      <c r="A2244" s="24" t="s">
        <v>7</v>
      </c>
      <c r="B2244" s="24" t="s">
        <v>5932</v>
      </c>
      <c r="C2244" s="25" t="s">
        <v>5933</v>
      </c>
      <c r="D2244" s="25" t="s">
        <v>5931</v>
      </c>
      <c r="E2244" s="26">
        <v>2632</v>
      </c>
    </row>
    <row r="2245" spans="1:5" x14ac:dyDescent="0.25">
      <c r="A2245" s="24" t="s">
        <v>7</v>
      </c>
      <c r="B2245" s="24" t="s">
        <v>5934</v>
      </c>
      <c r="C2245" s="25" t="s">
        <v>5935</v>
      </c>
      <c r="D2245" s="25" t="s">
        <v>5936</v>
      </c>
      <c r="E2245" s="26">
        <v>1420</v>
      </c>
    </row>
    <row r="2246" spans="1:5" x14ac:dyDescent="0.25">
      <c r="A2246" s="24" t="s">
        <v>7</v>
      </c>
      <c r="B2246" s="24" t="s">
        <v>5937</v>
      </c>
      <c r="C2246" s="25" t="s">
        <v>5938</v>
      </c>
      <c r="D2246" s="25" t="s">
        <v>5939</v>
      </c>
      <c r="E2246" s="26">
        <v>567</v>
      </c>
    </row>
    <row r="2247" spans="1:5" x14ac:dyDescent="0.25">
      <c r="A2247" s="24" t="s">
        <v>7</v>
      </c>
      <c r="B2247" s="24" t="s">
        <v>5940</v>
      </c>
      <c r="C2247" s="25" t="s">
        <v>4587</v>
      </c>
      <c r="D2247" s="25" t="s">
        <v>4588</v>
      </c>
      <c r="E2247" s="26">
        <v>9501</v>
      </c>
    </row>
    <row r="2248" spans="1:5" x14ac:dyDescent="0.25">
      <c r="A2248" s="24" t="s">
        <v>7</v>
      </c>
      <c r="B2248" s="24" t="s">
        <v>5941</v>
      </c>
      <c r="C2248" s="25" t="s">
        <v>4384</v>
      </c>
      <c r="D2248" s="25" t="s">
        <v>4385</v>
      </c>
      <c r="E2248" s="26">
        <v>1340</v>
      </c>
    </row>
    <row r="2249" spans="1:5" x14ac:dyDescent="0.25">
      <c r="A2249" s="24" t="s">
        <v>7</v>
      </c>
      <c r="B2249" s="24" t="s">
        <v>5942</v>
      </c>
      <c r="C2249" s="25" t="s">
        <v>5272</v>
      </c>
      <c r="D2249" s="25" t="s">
        <v>4486</v>
      </c>
      <c r="E2249" s="26">
        <v>2129</v>
      </c>
    </row>
    <row r="2250" spans="1:5" x14ac:dyDescent="0.25">
      <c r="A2250" s="24" t="s">
        <v>7</v>
      </c>
      <c r="B2250" s="24" t="s">
        <v>5943</v>
      </c>
      <c r="C2250" s="25" t="s">
        <v>5944</v>
      </c>
      <c r="D2250" s="25" t="s">
        <v>5945</v>
      </c>
      <c r="E2250" s="26">
        <v>2031</v>
      </c>
    </row>
    <row r="2251" spans="1:5" x14ac:dyDescent="0.25">
      <c r="A2251" s="24" t="s">
        <v>7</v>
      </c>
      <c r="B2251" s="24" t="s">
        <v>5946</v>
      </c>
      <c r="C2251" s="25" t="s">
        <v>5334</v>
      </c>
      <c r="D2251" s="25" t="s">
        <v>5947</v>
      </c>
      <c r="E2251" s="26">
        <v>754</v>
      </c>
    </row>
    <row r="2252" spans="1:5" x14ac:dyDescent="0.25">
      <c r="A2252" s="24" t="s">
        <v>7</v>
      </c>
      <c r="B2252" s="24" t="s">
        <v>5948</v>
      </c>
      <c r="C2252" s="25" t="s">
        <v>4283</v>
      </c>
      <c r="D2252" s="25" t="s">
        <v>4283</v>
      </c>
      <c r="E2252" s="26">
        <v>6025</v>
      </c>
    </row>
    <row r="2253" spans="1:5" x14ac:dyDescent="0.25">
      <c r="A2253" s="24" t="s">
        <v>7</v>
      </c>
      <c r="B2253" s="24" t="s">
        <v>5949</v>
      </c>
      <c r="C2253" s="25" t="s">
        <v>4285</v>
      </c>
      <c r="D2253" s="25" t="s">
        <v>4286</v>
      </c>
      <c r="E2253" s="26">
        <v>3809</v>
      </c>
    </row>
    <row r="2254" spans="1:5" x14ac:dyDescent="0.25">
      <c r="A2254" s="24" t="s">
        <v>7</v>
      </c>
      <c r="B2254" s="24" t="s">
        <v>5950</v>
      </c>
      <c r="C2254" s="25" t="s">
        <v>5951</v>
      </c>
      <c r="D2254" s="25" t="s">
        <v>5952</v>
      </c>
      <c r="E2254" s="26">
        <v>11877</v>
      </c>
    </row>
    <row r="2255" spans="1:5" x14ac:dyDescent="0.25">
      <c r="A2255" s="24" t="s">
        <v>7</v>
      </c>
      <c r="B2255" s="24" t="s">
        <v>5953</v>
      </c>
      <c r="C2255" s="25" t="s">
        <v>145</v>
      </c>
      <c r="D2255" s="25" t="s">
        <v>146</v>
      </c>
      <c r="E2255" s="26">
        <v>3474</v>
      </c>
    </row>
    <row r="2256" spans="1:5" x14ac:dyDescent="0.25">
      <c r="A2256" s="24" t="s">
        <v>7</v>
      </c>
      <c r="B2256" s="24" t="s">
        <v>5954</v>
      </c>
      <c r="C2256" s="25" t="s">
        <v>5543</v>
      </c>
      <c r="D2256" s="25" t="s">
        <v>5544</v>
      </c>
      <c r="E2256" s="26">
        <v>3474</v>
      </c>
    </row>
    <row r="2257" spans="1:5" x14ac:dyDescent="0.25">
      <c r="A2257" s="24" t="s">
        <v>7</v>
      </c>
      <c r="B2257" s="24" t="s">
        <v>5955</v>
      </c>
      <c r="C2257" s="25" t="s">
        <v>5956</v>
      </c>
      <c r="D2257" s="25" t="s">
        <v>5957</v>
      </c>
      <c r="E2257" s="26">
        <v>44100</v>
      </c>
    </row>
    <row r="2258" spans="1:5" x14ac:dyDescent="0.25">
      <c r="A2258" s="24" t="s">
        <v>7</v>
      </c>
      <c r="B2258" s="24" t="s">
        <v>5958</v>
      </c>
      <c r="C2258" s="25" t="s">
        <v>4294</v>
      </c>
      <c r="D2258" s="25" t="s">
        <v>4295</v>
      </c>
      <c r="E2258" s="26">
        <v>9129</v>
      </c>
    </row>
    <row r="2259" spans="1:5" x14ac:dyDescent="0.25">
      <c r="A2259" s="24" t="s">
        <v>7</v>
      </c>
      <c r="B2259" s="24" t="s">
        <v>5959</v>
      </c>
      <c r="C2259" s="25" t="s">
        <v>4303</v>
      </c>
      <c r="D2259" s="25" t="s">
        <v>4304</v>
      </c>
      <c r="E2259" s="26">
        <v>651</v>
      </c>
    </row>
    <row r="2260" spans="1:5" x14ac:dyDescent="0.25">
      <c r="A2260" s="24" t="s">
        <v>7</v>
      </c>
      <c r="B2260" s="24" t="s">
        <v>5960</v>
      </c>
      <c r="C2260" s="25" t="s">
        <v>5005</v>
      </c>
      <c r="D2260" s="25" t="s">
        <v>5006</v>
      </c>
      <c r="E2260" s="26">
        <v>4954</v>
      </c>
    </row>
    <row r="2261" spans="1:5" x14ac:dyDescent="0.25">
      <c r="A2261" s="24" t="s">
        <v>7</v>
      </c>
      <c r="B2261" s="24" t="s">
        <v>5961</v>
      </c>
      <c r="C2261" s="25" t="s">
        <v>4354</v>
      </c>
      <c r="D2261" s="25" t="s">
        <v>5962</v>
      </c>
      <c r="E2261" s="26">
        <v>2381</v>
      </c>
    </row>
    <row r="2262" spans="1:5" x14ac:dyDescent="0.25">
      <c r="A2262" s="24" t="s">
        <v>7</v>
      </c>
      <c r="B2262" s="24" t="s">
        <v>5963</v>
      </c>
      <c r="C2262" s="25" t="s">
        <v>5964</v>
      </c>
      <c r="D2262" s="25" t="s">
        <v>5965</v>
      </c>
      <c r="E2262" s="26">
        <v>3420</v>
      </c>
    </row>
    <row r="2263" spans="1:5" x14ac:dyDescent="0.25">
      <c r="A2263" s="24" t="s">
        <v>7</v>
      </c>
      <c r="B2263" s="24" t="s">
        <v>5966</v>
      </c>
      <c r="C2263" s="25" t="s">
        <v>5213</v>
      </c>
      <c r="D2263" s="25" t="s">
        <v>5214</v>
      </c>
      <c r="E2263" s="26">
        <v>6557</v>
      </c>
    </row>
    <row r="2264" spans="1:5" x14ac:dyDescent="0.25">
      <c r="A2264" s="24" t="s">
        <v>7</v>
      </c>
      <c r="B2264" s="24" t="s">
        <v>5967</v>
      </c>
      <c r="C2264" s="25" t="s">
        <v>5393</v>
      </c>
      <c r="D2264" s="25" t="s">
        <v>5394</v>
      </c>
      <c r="E2264" s="26">
        <v>2108</v>
      </c>
    </row>
    <row r="2265" spans="1:5" x14ac:dyDescent="0.25">
      <c r="A2265" s="24" t="s">
        <v>7</v>
      </c>
      <c r="B2265" s="24" t="s">
        <v>5968</v>
      </c>
      <c r="C2265" s="25" t="s">
        <v>5969</v>
      </c>
      <c r="D2265" s="25" t="s">
        <v>5970</v>
      </c>
      <c r="E2265" s="26">
        <v>2262</v>
      </c>
    </row>
    <row r="2266" spans="1:5" x14ac:dyDescent="0.25">
      <c r="A2266" s="24" t="s">
        <v>7</v>
      </c>
      <c r="B2266" s="24" t="s">
        <v>5971</v>
      </c>
      <c r="C2266" s="25" t="s">
        <v>4402</v>
      </c>
      <c r="D2266" s="25" t="s">
        <v>4397</v>
      </c>
      <c r="E2266" s="26">
        <v>2258</v>
      </c>
    </row>
    <row r="2267" spans="1:5" x14ac:dyDescent="0.25">
      <c r="A2267" s="24" t="s">
        <v>7</v>
      </c>
      <c r="B2267" s="24" t="s">
        <v>5972</v>
      </c>
      <c r="C2267" s="25" t="s">
        <v>4443</v>
      </c>
      <c r="D2267" s="25" t="s">
        <v>4444</v>
      </c>
      <c r="E2267" s="26">
        <v>1986</v>
      </c>
    </row>
    <row r="2268" spans="1:5" x14ac:dyDescent="0.25">
      <c r="A2268" s="24" t="s">
        <v>7</v>
      </c>
      <c r="B2268" s="24" t="s">
        <v>5973</v>
      </c>
      <c r="C2268" s="25" t="s">
        <v>5974</v>
      </c>
      <c r="D2268" s="25" t="s">
        <v>5975</v>
      </c>
      <c r="E2268" s="26">
        <v>2987</v>
      </c>
    </row>
    <row r="2269" spans="1:5" x14ac:dyDescent="0.25">
      <c r="A2269" s="24" t="s">
        <v>7</v>
      </c>
      <c r="B2269" s="24" t="s">
        <v>5976</v>
      </c>
      <c r="C2269" s="25" t="s">
        <v>5977</v>
      </c>
      <c r="D2269" s="25" t="s">
        <v>5978</v>
      </c>
      <c r="E2269" s="26">
        <v>5200</v>
      </c>
    </row>
    <row r="2270" spans="1:5" x14ac:dyDescent="0.25">
      <c r="A2270" s="24" t="s">
        <v>7</v>
      </c>
      <c r="B2270" s="24" t="s">
        <v>5979</v>
      </c>
      <c r="C2270" s="25" t="s">
        <v>4470</v>
      </c>
      <c r="D2270" s="25" t="s">
        <v>4471</v>
      </c>
      <c r="E2270" s="26">
        <v>1772</v>
      </c>
    </row>
    <row r="2271" spans="1:5" x14ac:dyDescent="0.25">
      <c r="A2271" s="24" t="s">
        <v>7</v>
      </c>
      <c r="B2271" s="24" t="s">
        <v>5980</v>
      </c>
      <c r="C2271" s="25" t="s">
        <v>4473</v>
      </c>
      <c r="D2271" s="25" t="s">
        <v>4474</v>
      </c>
      <c r="E2271" s="26">
        <v>29333</v>
      </c>
    </row>
    <row r="2272" spans="1:5" x14ac:dyDescent="0.25">
      <c r="A2272" s="24" t="s">
        <v>7</v>
      </c>
      <c r="B2272" s="24" t="s">
        <v>5981</v>
      </c>
      <c r="C2272" s="25" t="s">
        <v>4476</v>
      </c>
      <c r="D2272" s="25" t="s">
        <v>4477</v>
      </c>
      <c r="E2272" s="26">
        <v>9679</v>
      </c>
    </row>
    <row r="2273" spans="1:5" x14ac:dyDescent="0.25">
      <c r="A2273" s="24" t="s">
        <v>7</v>
      </c>
      <c r="B2273" s="24" t="s">
        <v>5982</v>
      </c>
      <c r="C2273" s="25" t="s">
        <v>4479</v>
      </c>
      <c r="D2273" s="25" t="s">
        <v>5983</v>
      </c>
      <c r="E2273" s="26">
        <v>5931</v>
      </c>
    </row>
    <row r="2274" spans="1:5" x14ac:dyDescent="0.25">
      <c r="A2274" s="24" t="s">
        <v>7</v>
      </c>
      <c r="B2274" s="24" t="s">
        <v>5984</v>
      </c>
      <c r="C2274" s="25" t="s">
        <v>4482</v>
      </c>
      <c r="D2274" s="25" t="s">
        <v>5985</v>
      </c>
      <c r="E2274" s="26">
        <v>5635</v>
      </c>
    </row>
    <row r="2275" spans="1:5" x14ac:dyDescent="0.25">
      <c r="A2275" s="24" t="s">
        <v>7</v>
      </c>
      <c r="B2275" s="24" t="s">
        <v>5986</v>
      </c>
      <c r="C2275" s="25" t="s">
        <v>5665</v>
      </c>
      <c r="D2275" s="25" t="s">
        <v>5987</v>
      </c>
      <c r="E2275" s="26">
        <v>6110</v>
      </c>
    </row>
    <row r="2276" spans="1:5" x14ac:dyDescent="0.25">
      <c r="A2276" s="24" t="s">
        <v>7</v>
      </c>
      <c r="B2276" s="24" t="s">
        <v>5988</v>
      </c>
      <c r="C2276" s="25" t="s">
        <v>4488</v>
      </c>
      <c r="D2276" s="25" t="s">
        <v>5668</v>
      </c>
      <c r="E2276" s="26">
        <v>5485</v>
      </c>
    </row>
    <row r="2277" spans="1:5" x14ac:dyDescent="0.25">
      <c r="A2277" s="24" t="s">
        <v>7</v>
      </c>
      <c r="B2277" s="24" t="s">
        <v>5989</v>
      </c>
      <c r="C2277" s="25" t="s">
        <v>4485</v>
      </c>
      <c r="D2277" s="25" t="s">
        <v>4486</v>
      </c>
      <c r="E2277" s="26">
        <v>3837</v>
      </c>
    </row>
    <row r="2278" spans="1:5" x14ac:dyDescent="0.25">
      <c r="A2278" s="24" t="s">
        <v>7</v>
      </c>
      <c r="B2278" s="24" t="s">
        <v>5990</v>
      </c>
      <c r="C2278" s="25" t="s">
        <v>4291</v>
      </c>
      <c r="D2278" s="25" t="s">
        <v>4292</v>
      </c>
      <c r="E2278" s="26">
        <v>6557</v>
      </c>
    </row>
    <row r="2279" spans="1:5" x14ac:dyDescent="0.25">
      <c r="A2279" s="24" t="s">
        <v>7</v>
      </c>
      <c r="B2279" s="24" t="s">
        <v>5991</v>
      </c>
      <c r="C2279" s="25" t="s">
        <v>5992</v>
      </c>
      <c r="D2279" s="25" t="s">
        <v>5993</v>
      </c>
      <c r="E2279" s="26">
        <v>38391</v>
      </c>
    </row>
    <row r="2280" spans="1:5" x14ac:dyDescent="0.25">
      <c r="A2280" s="24" t="s">
        <v>7</v>
      </c>
      <c r="B2280" s="24" t="s">
        <v>5994</v>
      </c>
      <c r="C2280" s="25" t="s">
        <v>5210</v>
      </c>
      <c r="D2280" s="25" t="s">
        <v>5211</v>
      </c>
      <c r="E2280" s="26">
        <v>6557</v>
      </c>
    </row>
    <row r="2281" spans="1:5" x14ac:dyDescent="0.25">
      <c r="A2281" s="24" t="s">
        <v>7</v>
      </c>
      <c r="B2281" s="24" t="s">
        <v>5995</v>
      </c>
      <c r="C2281" s="25" t="s">
        <v>5404</v>
      </c>
      <c r="D2281" s="25" t="s">
        <v>5405</v>
      </c>
      <c r="E2281" s="26">
        <v>3972</v>
      </c>
    </row>
    <row r="2282" spans="1:5" x14ac:dyDescent="0.25">
      <c r="A2282" s="24" t="s">
        <v>7</v>
      </c>
      <c r="B2282" s="24" t="s">
        <v>5996</v>
      </c>
      <c r="C2282" s="25" t="s">
        <v>5671</v>
      </c>
      <c r="D2282" s="25" t="s">
        <v>5672</v>
      </c>
      <c r="E2282" s="26">
        <v>6944</v>
      </c>
    </row>
    <row r="2283" spans="1:5" x14ac:dyDescent="0.25">
      <c r="A2283" s="24" t="s">
        <v>7</v>
      </c>
      <c r="B2283" s="24" t="s">
        <v>5997</v>
      </c>
      <c r="C2283" s="25" t="s">
        <v>5998</v>
      </c>
      <c r="D2283" s="25" t="s">
        <v>5999</v>
      </c>
      <c r="E2283" s="26">
        <v>7360</v>
      </c>
    </row>
    <row r="2284" spans="1:5" x14ac:dyDescent="0.25">
      <c r="A2284" s="24" t="s">
        <v>7</v>
      </c>
      <c r="B2284" s="24" t="s">
        <v>6000</v>
      </c>
      <c r="C2284" s="25" t="s">
        <v>5676</v>
      </c>
      <c r="D2284" s="25" t="s">
        <v>5677</v>
      </c>
      <c r="E2284" s="26">
        <v>7360</v>
      </c>
    </row>
    <row r="2285" spans="1:5" x14ac:dyDescent="0.25">
      <c r="A2285" s="24" t="s">
        <v>7</v>
      </c>
      <c r="B2285" s="24" t="s">
        <v>6001</v>
      </c>
      <c r="C2285" s="25" t="s">
        <v>6002</v>
      </c>
      <c r="D2285" s="25" t="s">
        <v>5203</v>
      </c>
      <c r="E2285" s="26">
        <v>7118</v>
      </c>
    </row>
    <row r="2286" spans="1:5" x14ac:dyDescent="0.25">
      <c r="A2286" s="24" t="s">
        <v>7</v>
      </c>
      <c r="B2286" s="24" t="s">
        <v>6003</v>
      </c>
      <c r="C2286" s="25" t="s">
        <v>5202</v>
      </c>
      <c r="D2286" s="25" t="s">
        <v>5203</v>
      </c>
      <c r="E2286" s="26">
        <v>6714</v>
      </c>
    </row>
    <row r="2287" spans="1:5" x14ac:dyDescent="0.25">
      <c r="A2287" s="24" t="s">
        <v>7</v>
      </c>
      <c r="B2287" s="24" t="s">
        <v>6004</v>
      </c>
      <c r="C2287" s="25" t="s">
        <v>5205</v>
      </c>
      <c r="D2287" s="25" t="s">
        <v>5206</v>
      </c>
      <c r="E2287" s="26">
        <v>3298</v>
      </c>
    </row>
    <row r="2288" spans="1:5" x14ac:dyDescent="0.25">
      <c r="A2288" s="24" t="s">
        <v>7</v>
      </c>
      <c r="B2288" s="24" t="s">
        <v>6005</v>
      </c>
      <c r="C2288" s="25" t="s">
        <v>6006</v>
      </c>
      <c r="D2288" s="25" t="s">
        <v>6007</v>
      </c>
      <c r="E2288" s="26">
        <v>41526</v>
      </c>
    </row>
    <row r="2289" spans="1:5" x14ac:dyDescent="0.25">
      <c r="A2289" s="24" t="s">
        <v>7</v>
      </c>
      <c r="B2289" s="24" t="s">
        <v>6008</v>
      </c>
      <c r="C2289" s="25" t="s">
        <v>6009</v>
      </c>
      <c r="D2289" s="25" t="s">
        <v>6010</v>
      </c>
      <c r="E2289" s="26">
        <v>2504</v>
      </c>
    </row>
    <row r="2290" spans="1:5" x14ac:dyDescent="0.25">
      <c r="A2290" s="24" t="s">
        <v>7</v>
      </c>
      <c r="B2290" s="24" t="s">
        <v>6011</v>
      </c>
      <c r="C2290" s="25" t="s">
        <v>4521</v>
      </c>
      <c r="D2290" s="25" t="s">
        <v>4522</v>
      </c>
      <c r="E2290" s="26">
        <v>2584</v>
      </c>
    </row>
    <row r="2291" spans="1:5" x14ac:dyDescent="0.25">
      <c r="A2291" s="24" t="s">
        <v>7</v>
      </c>
      <c r="B2291" s="24" t="s">
        <v>6012</v>
      </c>
      <c r="C2291" s="25" t="s">
        <v>4527</v>
      </c>
      <c r="D2291" s="25" t="s">
        <v>4528</v>
      </c>
      <c r="E2291" s="26">
        <v>9995</v>
      </c>
    </row>
    <row r="2292" spans="1:5" x14ac:dyDescent="0.25">
      <c r="A2292" s="24" t="s">
        <v>7</v>
      </c>
      <c r="B2292" s="24" t="s">
        <v>6013</v>
      </c>
      <c r="C2292" s="25" t="s">
        <v>6014</v>
      </c>
      <c r="D2292" s="25" t="s">
        <v>6015</v>
      </c>
      <c r="E2292" s="26">
        <v>41527</v>
      </c>
    </row>
    <row r="2293" spans="1:5" x14ac:dyDescent="0.25">
      <c r="A2293" s="24" t="s">
        <v>7</v>
      </c>
      <c r="B2293" s="24" t="s">
        <v>6016</v>
      </c>
      <c r="C2293" s="25" t="s">
        <v>4584</v>
      </c>
      <c r="D2293" s="25" t="s">
        <v>4585</v>
      </c>
      <c r="E2293" s="26">
        <v>3308</v>
      </c>
    </row>
    <row r="2294" spans="1:5" x14ac:dyDescent="0.25">
      <c r="A2294" s="24" t="s">
        <v>7</v>
      </c>
      <c r="B2294" s="24" t="s">
        <v>6017</v>
      </c>
      <c r="C2294" s="25" t="s">
        <v>5719</v>
      </c>
      <c r="D2294" s="25" t="s">
        <v>5720</v>
      </c>
      <c r="E2294" s="26">
        <v>2387</v>
      </c>
    </row>
    <row r="2295" spans="1:5" x14ac:dyDescent="0.25">
      <c r="A2295" s="24" t="s">
        <v>7</v>
      </c>
      <c r="B2295" s="24" t="s">
        <v>6018</v>
      </c>
      <c r="C2295" s="25" t="s">
        <v>6019</v>
      </c>
      <c r="D2295" s="25" t="s">
        <v>6020</v>
      </c>
      <c r="E2295" s="26">
        <v>8538</v>
      </c>
    </row>
    <row r="2296" spans="1:5" x14ac:dyDescent="0.25">
      <c r="A2296" s="24" t="s">
        <v>7</v>
      </c>
      <c r="B2296" s="24" t="s">
        <v>6021</v>
      </c>
      <c r="C2296" s="25" t="s">
        <v>5755</v>
      </c>
      <c r="D2296" s="25" t="s">
        <v>5756</v>
      </c>
      <c r="E2296" s="26">
        <v>3180</v>
      </c>
    </row>
    <row r="2297" spans="1:5" x14ac:dyDescent="0.25">
      <c r="A2297" s="24" t="s">
        <v>7</v>
      </c>
      <c r="B2297" s="24" t="s">
        <v>6022</v>
      </c>
      <c r="C2297" s="25" t="s">
        <v>5775</v>
      </c>
      <c r="D2297" s="25" t="s">
        <v>5776</v>
      </c>
      <c r="E2297" s="26">
        <v>3180</v>
      </c>
    </row>
    <row r="2298" spans="1:5" x14ac:dyDescent="0.25">
      <c r="A2298" s="24" t="s">
        <v>7</v>
      </c>
      <c r="B2298" s="24" t="s">
        <v>6023</v>
      </c>
      <c r="C2298" s="25" t="s">
        <v>4730</v>
      </c>
      <c r="D2298" s="25" t="s">
        <v>4731</v>
      </c>
      <c r="E2298" s="26">
        <v>8901</v>
      </c>
    </row>
    <row r="2299" spans="1:5" x14ac:dyDescent="0.25">
      <c r="A2299" s="24" t="s">
        <v>7</v>
      </c>
      <c r="B2299" s="24" t="s">
        <v>6024</v>
      </c>
      <c r="C2299" s="25" t="s">
        <v>4384</v>
      </c>
      <c r="D2299" s="25" t="s">
        <v>4385</v>
      </c>
      <c r="E2299" s="26">
        <v>7308</v>
      </c>
    </row>
    <row r="2300" spans="1:5" x14ac:dyDescent="0.25">
      <c r="A2300" s="24" t="s">
        <v>7</v>
      </c>
      <c r="B2300" s="24" t="s">
        <v>6025</v>
      </c>
      <c r="C2300" s="25" t="s">
        <v>5090</v>
      </c>
      <c r="D2300" s="25" t="s">
        <v>5091</v>
      </c>
      <c r="E2300" s="26">
        <v>33927</v>
      </c>
    </row>
    <row r="2301" spans="1:5" x14ac:dyDescent="0.25">
      <c r="A2301" s="24" t="s">
        <v>7</v>
      </c>
      <c r="B2301" s="24" t="s">
        <v>6026</v>
      </c>
      <c r="C2301" s="25" t="s">
        <v>5093</v>
      </c>
      <c r="D2301" s="25" t="s">
        <v>5094</v>
      </c>
      <c r="E2301" s="26">
        <v>3295</v>
      </c>
    </row>
    <row r="2302" spans="1:5" x14ac:dyDescent="0.25">
      <c r="A2302" s="24" t="s">
        <v>7</v>
      </c>
      <c r="B2302" s="24" t="s">
        <v>6027</v>
      </c>
      <c r="C2302" s="25" t="s">
        <v>5096</v>
      </c>
      <c r="D2302" s="25" t="s">
        <v>5097</v>
      </c>
      <c r="E2302" s="26">
        <v>3295</v>
      </c>
    </row>
    <row r="2303" spans="1:5" x14ac:dyDescent="0.25">
      <c r="A2303" s="24" t="s">
        <v>7</v>
      </c>
      <c r="B2303" s="24" t="s">
        <v>6028</v>
      </c>
      <c r="C2303" s="25" t="s">
        <v>5099</v>
      </c>
      <c r="D2303" s="25" t="s">
        <v>5100</v>
      </c>
      <c r="E2303" s="26">
        <v>36399</v>
      </c>
    </row>
    <row r="2304" spans="1:5" x14ac:dyDescent="0.25">
      <c r="A2304" s="24" t="s">
        <v>7</v>
      </c>
      <c r="B2304" s="24" t="s">
        <v>6029</v>
      </c>
      <c r="C2304" s="25" t="s">
        <v>5818</v>
      </c>
      <c r="D2304" s="25" t="s">
        <v>5819</v>
      </c>
      <c r="E2304" s="26">
        <v>5769</v>
      </c>
    </row>
    <row r="2305" spans="1:5" x14ac:dyDescent="0.25">
      <c r="A2305" s="24" t="s">
        <v>7</v>
      </c>
      <c r="B2305" s="24" t="s">
        <v>6030</v>
      </c>
      <c r="C2305" s="25" t="s">
        <v>4378</v>
      </c>
      <c r="D2305" s="25" t="s">
        <v>4379</v>
      </c>
      <c r="E2305" s="26">
        <v>8166</v>
      </c>
    </row>
    <row r="2306" spans="1:5" x14ac:dyDescent="0.25">
      <c r="A2306" s="24" t="s">
        <v>7</v>
      </c>
      <c r="B2306" s="24" t="s">
        <v>6031</v>
      </c>
      <c r="C2306" s="25" t="s">
        <v>4754</v>
      </c>
      <c r="D2306" s="25" t="s">
        <v>4755</v>
      </c>
      <c r="E2306" s="26">
        <v>9712</v>
      </c>
    </row>
    <row r="2307" spans="1:5" x14ac:dyDescent="0.25">
      <c r="A2307" s="24" t="s">
        <v>7</v>
      </c>
      <c r="B2307" s="24" t="s">
        <v>6032</v>
      </c>
      <c r="C2307" s="25" t="s">
        <v>5196</v>
      </c>
      <c r="D2307" s="25" t="s">
        <v>5197</v>
      </c>
      <c r="E2307" s="26">
        <v>25514</v>
      </c>
    </row>
    <row r="2308" spans="1:5" x14ac:dyDescent="0.25">
      <c r="A2308" s="24" t="s">
        <v>7</v>
      </c>
      <c r="B2308" s="24" t="s">
        <v>6033</v>
      </c>
      <c r="C2308" s="25" t="s">
        <v>5860</v>
      </c>
      <c r="D2308" s="25" t="s">
        <v>6034</v>
      </c>
      <c r="E2308" s="26">
        <v>2292</v>
      </c>
    </row>
    <row r="2309" spans="1:5" x14ac:dyDescent="0.25">
      <c r="A2309" s="24" t="s">
        <v>7</v>
      </c>
      <c r="B2309" s="24" t="s">
        <v>6035</v>
      </c>
      <c r="C2309" s="25" t="s">
        <v>6036</v>
      </c>
      <c r="D2309" s="25" t="s">
        <v>6037</v>
      </c>
      <c r="E2309" s="26">
        <v>2332</v>
      </c>
    </row>
    <row r="2310" spans="1:5" x14ac:dyDescent="0.25">
      <c r="A2310" s="24" t="s">
        <v>7</v>
      </c>
      <c r="B2310" s="24" t="s">
        <v>6038</v>
      </c>
      <c r="C2310" s="25" t="s">
        <v>4760</v>
      </c>
      <c r="D2310" s="25" t="s">
        <v>4761</v>
      </c>
      <c r="E2310" s="26">
        <v>3940</v>
      </c>
    </row>
    <row r="2311" spans="1:5" x14ac:dyDescent="0.25">
      <c r="A2311" s="24" t="s">
        <v>7</v>
      </c>
      <c r="B2311" s="24" t="s">
        <v>6039</v>
      </c>
      <c r="C2311" s="25" t="s">
        <v>5401</v>
      </c>
      <c r="D2311" s="25" t="s">
        <v>5402</v>
      </c>
      <c r="E2311" s="26">
        <v>3374</v>
      </c>
    </row>
    <row r="2312" spans="1:5" x14ac:dyDescent="0.25">
      <c r="A2312" s="24" t="s">
        <v>7</v>
      </c>
      <c r="B2312" s="24" t="s">
        <v>6040</v>
      </c>
      <c r="C2312" s="25" t="s">
        <v>5866</v>
      </c>
      <c r="D2312" s="25" t="s">
        <v>5867</v>
      </c>
      <c r="E2312" s="26">
        <v>2636</v>
      </c>
    </row>
    <row r="2313" spans="1:5" x14ac:dyDescent="0.25">
      <c r="A2313" s="24" t="s">
        <v>7</v>
      </c>
      <c r="B2313" s="24" t="s">
        <v>6041</v>
      </c>
      <c r="C2313" s="25" t="s">
        <v>5407</v>
      </c>
      <c r="D2313" s="25" t="s">
        <v>5408</v>
      </c>
      <c r="E2313" s="26">
        <v>5618</v>
      </c>
    </row>
    <row r="2314" spans="1:5" x14ac:dyDescent="0.25">
      <c r="A2314" s="24" t="s">
        <v>7</v>
      </c>
      <c r="B2314" s="24" t="s">
        <v>6042</v>
      </c>
      <c r="C2314" s="25" t="s">
        <v>4763</v>
      </c>
      <c r="D2314" s="25" t="s">
        <v>4764</v>
      </c>
      <c r="E2314" s="26">
        <v>2838</v>
      </c>
    </row>
    <row r="2315" spans="1:5" x14ac:dyDescent="0.25">
      <c r="A2315" s="24" t="s">
        <v>7</v>
      </c>
      <c r="B2315" s="24" t="s">
        <v>6043</v>
      </c>
      <c r="C2315" s="25" t="s">
        <v>5410</v>
      </c>
      <c r="D2315" s="25" t="s">
        <v>6044</v>
      </c>
      <c r="E2315" s="26">
        <v>3670</v>
      </c>
    </row>
    <row r="2316" spans="1:5" x14ac:dyDescent="0.25">
      <c r="A2316" s="24" t="s">
        <v>7</v>
      </c>
      <c r="B2316" s="24" t="s">
        <v>6045</v>
      </c>
      <c r="C2316" s="25" t="s">
        <v>6046</v>
      </c>
      <c r="D2316" s="25" t="s">
        <v>6047</v>
      </c>
      <c r="E2316" s="26">
        <v>3370</v>
      </c>
    </row>
    <row r="2317" spans="1:5" x14ac:dyDescent="0.25">
      <c r="A2317" s="24" t="s">
        <v>7</v>
      </c>
      <c r="B2317" s="24" t="s">
        <v>6048</v>
      </c>
      <c r="C2317" s="25" t="s">
        <v>6049</v>
      </c>
      <c r="D2317" s="25" t="s">
        <v>6050</v>
      </c>
      <c r="E2317" s="26">
        <v>2878</v>
      </c>
    </row>
    <row r="2318" spans="1:5" x14ac:dyDescent="0.25">
      <c r="A2318" s="24" t="s">
        <v>7</v>
      </c>
      <c r="B2318" s="24" t="s">
        <v>6051</v>
      </c>
      <c r="C2318" s="25" t="s">
        <v>4769</v>
      </c>
      <c r="D2318" s="25" t="s">
        <v>4770</v>
      </c>
      <c r="E2318" s="26">
        <v>6714</v>
      </c>
    </row>
    <row r="2319" spans="1:5" x14ac:dyDescent="0.25">
      <c r="A2319" s="24" t="s">
        <v>7</v>
      </c>
      <c r="B2319" s="24" t="s">
        <v>6052</v>
      </c>
      <c r="C2319" s="25" t="s">
        <v>4772</v>
      </c>
      <c r="D2319" s="25" t="s">
        <v>4773</v>
      </c>
      <c r="E2319" s="26">
        <v>5428</v>
      </c>
    </row>
    <row r="2320" spans="1:5" x14ac:dyDescent="0.25">
      <c r="A2320" s="24" t="s">
        <v>7</v>
      </c>
      <c r="B2320" s="24" t="s">
        <v>6053</v>
      </c>
      <c r="C2320" s="25" t="s">
        <v>5422</v>
      </c>
      <c r="D2320" s="25" t="s">
        <v>6054</v>
      </c>
      <c r="E2320" s="26">
        <v>6469</v>
      </c>
    </row>
    <row r="2321" spans="1:5" x14ac:dyDescent="0.25">
      <c r="A2321" s="24" t="s">
        <v>7</v>
      </c>
      <c r="B2321" s="24" t="s">
        <v>6055</v>
      </c>
      <c r="C2321" s="25" t="s">
        <v>6056</v>
      </c>
      <c r="D2321" s="25" t="s">
        <v>6057</v>
      </c>
      <c r="E2321" s="26">
        <v>39610</v>
      </c>
    </row>
    <row r="2322" spans="1:5" x14ac:dyDescent="0.25">
      <c r="A2322" s="24" t="s">
        <v>7</v>
      </c>
      <c r="B2322" s="24" t="s">
        <v>6058</v>
      </c>
      <c r="C2322" s="25" t="s">
        <v>4819</v>
      </c>
      <c r="D2322" s="25" t="s">
        <v>4820</v>
      </c>
      <c r="E2322" s="26">
        <v>27930</v>
      </c>
    </row>
    <row r="2323" spans="1:5" x14ac:dyDescent="0.25">
      <c r="A2323" s="24" t="s">
        <v>7</v>
      </c>
      <c r="B2323" s="24" t="s">
        <v>6059</v>
      </c>
      <c r="C2323" s="25" t="s">
        <v>4822</v>
      </c>
      <c r="D2323" s="25" t="s">
        <v>4823</v>
      </c>
      <c r="E2323" s="26">
        <v>25793</v>
      </c>
    </row>
    <row r="2324" spans="1:5" x14ac:dyDescent="0.25">
      <c r="A2324" s="24" t="s">
        <v>7</v>
      </c>
      <c r="B2324" s="24" t="s">
        <v>6060</v>
      </c>
      <c r="C2324" s="25" t="s">
        <v>4825</v>
      </c>
      <c r="D2324" s="25" t="s">
        <v>4826</v>
      </c>
      <c r="E2324" s="26">
        <v>9536</v>
      </c>
    </row>
    <row r="2325" spans="1:5" x14ac:dyDescent="0.25">
      <c r="A2325" s="24" t="s">
        <v>7</v>
      </c>
      <c r="B2325" s="24" t="s">
        <v>6061</v>
      </c>
      <c r="C2325" s="25" t="s">
        <v>4828</v>
      </c>
      <c r="D2325" s="25" t="s">
        <v>4829</v>
      </c>
      <c r="E2325" s="26">
        <v>14688</v>
      </c>
    </row>
    <row r="2326" spans="1:5" x14ac:dyDescent="0.25">
      <c r="A2326" s="24" t="s">
        <v>7</v>
      </c>
      <c r="B2326" s="24" t="s">
        <v>6062</v>
      </c>
      <c r="C2326" s="25" t="s">
        <v>4831</v>
      </c>
      <c r="D2326" s="25" t="s">
        <v>6063</v>
      </c>
      <c r="E2326" s="26">
        <v>23664</v>
      </c>
    </row>
    <row r="2327" spans="1:5" x14ac:dyDescent="0.25">
      <c r="A2327" s="24" t="s">
        <v>7</v>
      </c>
      <c r="B2327" s="24" t="s">
        <v>6064</v>
      </c>
      <c r="C2327" s="25" t="s">
        <v>4834</v>
      </c>
      <c r="D2327" s="25" t="s">
        <v>4835</v>
      </c>
      <c r="E2327" s="26">
        <v>18262</v>
      </c>
    </row>
    <row r="2328" spans="1:5" x14ac:dyDescent="0.25">
      <c r="A2328" s="24" t="s">
        <v>7</v>
      </c>
      <c r="B2328" s="24" t="s">
        <v>6065</v>
      </c>
      <c r="C2328" s="25" t="s">
        <v>4837</v>
      </c>
      <c r="D2328" s="25" t="s">
        <v>4838</v>
      </c>
      <c r="E2328" s="26">
        <v>15508</v>
      </c>
    </row>
    <row r="2329" spans="1:5" x14ac:dyDescent="0.25">
      <c r="A2329" s="24" t="s">
        <v>7</v>
      </c>
      <c r="B2329" s="24" t="s">
        <v>6066</v>
      </c>
      <c r="C2329" s="25" t="s">
        <v>4840</v>
      </c>
      <c r="D2329" s="25" t="s">
        <v>4841</v>
      </c>
      <c r="E2329" s="26">
        <v>19775</v>
      </c>
    </row>
    <row r="2330" spans="1:5" x14ac:dyDescent="0.25">
      <c r="A2330" s="24" t="s">
        <v>7</v>
      </c>
      <c r="B2330" s="24" t="s">
        <v>6067</v>
      </c>
      <c r="C2330" s="25" t="s">
        <v>4846</v>
      </c>
      <c r="D2330" s="25" t="s">
        <v>4847</v>
      </c>
      <c r="E2330" s="26">
        <v>27930</v>
      </c>
    </row>
    <row r="2331" spans="1:5" x14ac:dyDescent="0.25">
      <c r="A2331" s="24" t="s">
        <v>7</v>
      </c>
      <c r="B2331" s="24" t="s">
        <v>6068</v>
      </c>
      <c r="C2331" s="25" t="s">
        <v>4849</v>
      </c>
      <c r="D2331" s="25" t="s">
        <v>4850</v>
      </c>
      <c r="E2331" s="26">
        <v>25793</v>
      </c>
    </row>
    <row r="2332" spans="1:5" x14ac:dyDescent="0.25">
      <c r="A2332" s="24" t="s">
        <v>7</v>
      </c>
      <c r="B2332" s="24" t="s">
        <v>6069</v>
      </c>
      <c r="C2332" s="25" t="s">
        <v>4852</v>
      </c>
      <c r="D2332" s="25" t="s">
        <v>6070</v>
      </c>
      <c r="E2332" s="26">
        <v>25793</v>
      </c>
    </row>
    <row r="2333" spans="1:5" x14ac:dyDescent="0.25">
      <c r="A2333" s="24" t="s">
        <v>7</v>
      </c>
      <c r="B2333" s="24" t="s">
        <v>6071</v>
      </c>
      <c r="C2333" s="25" t="s">
        <v>4855</v>
      </c>
      <c r="D2333" s="25" t="s">
        <v>4856</v>
      </c>
      <c r="E2333" s="26">
        <v>25793</v>
      </c>
    </row>
    <row r="2334" spans="1:5" x14ac:dyDescent="0.25">
      <c r="A2334" s="24" t="s">
        <v>7</v>
      </c>
      <c r="B2334" s="24" t="s">
        <v>6072</v>
      </c>
      <c r="C2334" s="25" t="s">
        <v>6073</v>
      </c>
      <c r="D2334" s="25" t="s">
        <v>6074</v>
      </c>
      <c r="E2334" s="26">
        <v>8153</v>
      </c>
    </row>
    <row r="2335" spans="1:5" x14ac:dyDescent="0.25">
      <c r="A2335" s="24" t="s">
        <v>7</v>
      </c>
      <c r="B2335" s="24" t="s">
        <v>6075</v>
      </c>
      <c r="C2335" s="25" t="s">
        <v>4858</v>
      </c>
      <c r="D2335" s="25" t="s">
        <v>4859</v>
      </c>
      <c r="E2335" s="26">
        <v>7618</v>
      </c>
    </row>
    <row r="2336" spans="1:5" x14ac:dyDescent="0.25">
      <c r="A2336" s="24" t="s">
        <v>7</v>
      </c>
      <c r="B2336" s="24" t="s">
        <v>6076</v>
      </c>
      <c r="C2336" s="25" t="s">
        <v>4689</v>
      </c>
      <c r="D2336" s="25" t="s">
        <v>4690</v>
      </c>
      <c r="E2336" s="26">
        <v>3406</v>
      </c>
    </row>
    <row r="2337" spans="1:5" x14ac:dyDescent="0.25">
      <c r="A2337" s="24" t="s">
        <v>7</v>
      </c>
      <c r="B2337" s="24" t="s">
        <v>6077</v>
      </c>
      <c r="C2337" s="25" t="s">
        <v>6078</v>
      </c>
      <c r="D2337" s="25" t="s">
        <v>6079</v>
      </c>
      <c r="E2337" s="26">
        <v>25793</v>
      </c>
    </row>
    <row r="2338" spans="1:5" x14ac:dyDescent="0.25">
      <c r="A2338" s="24" t="s">
        <v>7</v>
      </c>
      <c r="B2338" s="24" t="s">
        <v>6080</v>
      </c>
      <c r="C2338" s="25" t="s">
        <v>4861</v>
      </c>
      <c r="D2338" s="25" t="s">
        <v>4862</v>
      </c>
      <c r="E2338" s="26">
        <v>6297</v>
      </c>
    </row>
    <row r="2339" spans="1:5" x14ac:dyDescent="0.25">
      <c r="A2339" s="24" t="s">
        <v>7</v>
      </c>
      <c r="B2339" s="24" t="s">
        <v>6081</v>
      </c>
      <c r="C2339" s="25" t="s">
        <v>4864</v>
      </c>
      <c r="D2339" s="25" t="s">
        <v>4865</v>
      </c>
      <c r="E2339" s="26">
        <v>3762</v>
      </c>
    </row>
    <row r="2340" spans="1:5" x14ac:dyDescent="0.25">
      <c r="A2340" s="24" t="s">
        <v>7</v>
      </c>
      <c r="B2340" s="24" t="s">
        <v>6082</v>
      </c>
      <c r="C2340" s="25" t="s">
        <v>4867</v>
      </c>
      <c r="D2340" s="25" t="s">
        <v>4868</v>
      </c>
      <c r="E2340" s="26">
        <v>18324</v>
      </c>
    </row>
    <row r="2341" spans="1:5" x14ac:dyDescent="0.25">
      <c r="A2341" s="24" t="s">
        <v>7</v>
      </c>
      <c r="B2341" s="24" t="s">
        <v>6083</v>
      </c>
      <c r="C2341" s="25" t="s">
        <v>4870</v>
      </c>
      <c r="D2341" s="25" t="s">
        <v>4871</v>
      </c>
      <c r="E2341" s="26">
        <v>9400</v>
      </c>
    </row>
    <row r="2342" spans="1:5" x14ac:dyDescent="0.25">
      <c r="A2342" s="24" t="s">
        <v>7</v>
      </c>
      <c r="B2342" s="24" t="s">
        <v>6084</v>
      </c>
      <c r="C2342" s="25" t="s">
        <v>4873</v>
      </c>
      <c r="D2342" s="25" t="s">
        <v>4874</v>
      </c>
      <c r="E2342" s="26">
        <v>25793</v>
      </c>
    </row>
    <row r="2343" spans="1:5" x14ac:dyDescent="0.25">
      <c r="A2343" s="24" t="s">
        <v>7</v>
      </c>
      <c r="B2343" s="24" t="s">
        <v>6085</v>
      </c>
      <c r="C2343" s="25" t="s">
        <v>4876</v>
      </c>
      <c r="D2343" s="25" t="s">
        <v>4877</v>
      </c>
      <c r="E2343" s="26">
        <v>25793</v>
      </c>
    </row>
    <row r="2344" spans="1:5" x14ac:dyDescent="0.25">
      <c r="A2344" s="24" t="s">
        <v>7</v>
      </c>
      <c r="B2344" s="24" t="s">
        <v>6086</v>
      </c>
      <c r="C2344" s="25" t="s">
        <v>4888</v>
      </c>
      <c r="D2344" s="25" t="s">
        <v>4889</v>
      </c>
      <c r="E2344" s="26">
        <v>9475</v>
      </c>
    </row>
    <row r="2345" spans="1:5" x14ac:dyDescent="0.25">
      <c r="A2345" s="24" t="s">
        <v>7</v>
      </c>
      <c r="B2345" s="24" t="s">
        <v>6087</v>
      </c>
      <c r="C2345" s="25" t="s">
        <v>6088</v>
      </c>
      <c r="D2345" s="25" t="s">
        <v>6089</v>
      </c>
      <c r="E2345" s="26">
        <v>13180</v>
      </c>
    </row>
    <row r="2346" spans="1:5" x14ac:dyDescent="0.25">
      <c r="A2346" s="24" t="s">
        <v>7</v>
      </c>
      <c r="B2346" s="24" t="s">
        <v>6090</v>
      </c>
      <c r="C2346" s="25" t="s">
        <v>4891</v>
      </c>
      <c r="D2346" s="25" t="s">
        <v>4892</v>
      </c>
      <c r="E2346" s="26">
        <v>25793</v>
      </c>
    </row>
    <row r="2347" spans="1:5" x14ac:dyDescent="0.25">
      <c r="A2347" s="24" t="s">
        <v>7</v>
      </c>
      <c r="B2347" s="24" t="s">
        <v>6091</v>
      </c>
      <c r="C2347" s="25" t="s">
        <v>4894</v>
      </c>
      <c r="D2347" s="25" t="s">
        <v>4895</v>
      </c>
      <c r="E2347" s="26">
        <v>15112</v>
      </c>
    </row>
    <row r="2348" spans="1:5" x14ac:dyDescent="0.25">
      <c r="A2348" s="24" t="s">
        <v>7</v>
      </c>
      <c r="B2348" s="24" t="s">
        <v>6092</v>
      </c>
      <c r="C2348" s="25" t="s">
        <v>4897</v>
      </c>
      <c r="D2348" s="25" t="s">
        <v>4898</v>
      </c>
      <c r="E2348" s="26">
        <v>27930</v>
      </c>
    </row>
    <row r="2349" spans="1:5" x14ac:dyDescent="0.25">
      <c r="A2349" s="24" t="s">
        <v>7</v>
      </c>
      <c r="B2349" s="24" t="s">
        <v>6093</v>
      </c>
      <c r="C2349" s="25" t="s">
        <v>4900</v>
      </c>
      <c r="D2349" s="25" t="s">
        <v>4901</v>
      </c>
      <c r="E2349" s="26">
        <v>26592</v>
      </c>
    </row>
    <row r="2350" spans="1:5" x14ac:dyDescent="0.25">
      <c r="A2350" s="24" t="s">
        <v>7</v>
      </c>
      <c r="B2350" s="24" t="s">
        <v>6094</v>
      </c>
      <c r="C2350" s="25" t="s">
        <v>4941</v>
      </c>
      <c r="D2350" s="25" t="s">
        <v>4942</v>
      </c>
      <c r="E2350" s="26">
        <v>12889</v>
      </c>
    </row>
    <row r="2351" spans="1:5" x14ac:dyDescent="0.25">
      <c r="A2351" s="24" t="s">
        <v>7</v>
      </c>
      <c r="B2351" s="24" t="s">
        <v>6095</v>
      </c>
      <c r="C2351" s="25" t="s">
        <v>4906</v>
      </c>
      <c r="D2351" s="25" t="s">
        <v>4907</v>
      </c>
      <c r="E2351" s="26">
        <v>4443</v>
      </c>
    </row>
    <row r="2352" spans="1:5" x14ac:dyDescent="0.25">
      <c r="A2352" s="24" t="s">
        <v>7</v>
      </c>
      <c r="B2352" s="24" t="s">
        <v>6096</v>
      </c>
      <c r="C2352" s="25" t="s">
        <v>4909</v>
      </c>
      <c r="D2352" s="25" t="s">
        <v>4910</v>
      </c>
      <c r="E2352" s="26">
        <v>1968</v>
      </c>
    </row>
    <row r="2353" spans="1:5" x14ac:dyDescent="0.25">
      <c r="A2353" s="24" t="s">
        <v>7</v>
      </c>
      <c r="B2353" s="24" t="s">
        <v>6097</v>
      </c>
      <c r="C2353" s="25" t="s">
        <v>4912</v>
      </c>
      <c r="D2353" s="25" t="s">
        <v>4910</v>
      </c>
      <c r="E2353" s="26">
        <v>1968</v>
      </c>
    </row>
    <row r="2354" spans="1:5" x14ac:dyDescent="0.25">
      <c r="A2354" s="24" t="s">
        <v>7</v>
      </c>
      <c r="B2354" s="24" t="s">
        <v>6098</v>
      </c>
      <c r="C2354" s="25" t="s">
        <v>4914</v>
      </c>
      <c r="D2354" s="25" t="s">
        <v>4539</v>
      </c>
      <c r="E2354" s="26">
        <v>8819</v>
      </c>
    </row>
    <row r="2355" spans="1:5" x14ac:dyDescent="0.25">
      <c r="A2355" s="24" t="s">
        <v>7</v>
      </c>
      <c r="B2355" s="24" t="s">
        <v>6099</v>
      </c>
      <c r="C2355" s="25" t="s">
        <v>4701</v>
      </c>
      <c r="D2355" s="25" t="s">
        <v>4702</v>
      </c>
      <c r="E2355" s="26">
        <v>35494</v>
      </c>
    </row>
    <row r="2356" spans="1:5" x14ac:dyDescent="0.25">
      <c r="A2356" s="24" t="s">
        <v>7</v>
      </c>
      <c r="B2356" s="24" t="s">
        <v>6100</v>
      </c>
      <c r="C2356" s="25" t="s">
        <v>4920</v>
      </c>
      <c r="D2356" s="25" t="s">
        <v>6101</v>
      </c>
      <c r="E2356" s="26">
        <v>5816</v>
      </c>
    </row>
    <row r="2357" spans="1:5" x14ac:dyDescent="0.25">
      <c r="A2357" s="24" t="s">
        <v>7</v>
      </c>
      <c r="B2357" s="24" t="s">
        <v>6102</v>
      </c>
      <c r="C2357" s="25" t="s">
        <v>4923</v>
      </c>
      <c r="D2357" s="25" t="s">
        <v>4924</v>
      </c>
      <c r="E2357" s="26">
        <v>3622</v>
      </c>
    </row>
    <row r="2358" spans="1:5" x14ac:dyDescent="0.25">
      <c r="A2358" s="24" t="s">
        <v>7</v>
      </c>
      <c r="B2358" s="24" t="s">
        <v>6103</v>
      </c>
      <c r="C2358" s="25" t="s">
        <v>4926</v>
      </c>
      <c r="D2358" s="25" t="s">
        <v>4927</v>
      </c>
      <c r="E2358" s="26">
        <v>4910</v>
      </c>
    </row>
    <row r="2359" spans="1:5" x14ac:dyDescent="0.25">
      <c r="A2359" s="24" t="s">
        <v>7</v>
      </c>
      <c r="B2359" s="24" t="s">
        <v>6104</v>
      </c>
      <c r="C2359" s="25" t="s">
        <v>4929</v>
      </c>
      <c r="D2359" s="25" t="s">
        <v>4930</v>
      </c>
      <c r="E2359" s="26">
        <v>3216</v>
      </c>
    </row>
    <row r="2360" spans="1:5" x14ac:dyDescent="0.25">
      <c r="A2360" s="24" t="s">
        <v>7</v>
      </c>
      <c r="B2360" s="24" t="s">
        <v>6105</v>
      </c>
      <c r="C2360" s="25" t="s">
        <v>4935</v>
      </c>
      <c r="D2360" s="25" t="s">
        <v>4936</v>
      </c>
      <c r="E2360" s="26">
        <v>2312</v>
      </c>
    </row>
    <row r="2361" spans="1:5" x14ac:dyDescent="0.25">
      <c r="A2361" s="24" t="s">
        <v>7</v>
      </c>
      <c r="B2361" s="24" t="s">
        <v>6106</v>
      </c>
      <c r="C2361" s="25" t="s">
        <v>5216</v>
      </c>
      <c r="D2361" s="25" t="s">
        <v>5217</v>
      </c>
      <c r="E2361" s="26">
        <v>2860</v>
      </c>
    </row>
    <row r="2362" spans="1:5" x14ac:dyDescent="0.25">
      <c r="A2362" s="24" t="s">
        <v>7</v>
      </c>
      <c r="B2362" s="24" t="s">
        <v>6107</v>
      </c>
      <c r="C2362" s="25" t="s">
        <v>4932</v>
      </c>
      <c r="D2362" s="25" t="s">
        <v>4933</v>
      </c>
      <c r="E2362" s="26">
        <v>2928</v>
      </c>
    </row>
    <row r="2363" spans="1:5" x14ac:dyDescent="0.25">
      <c r="A2363" s="24" t="s">
        <v>7</v>
      </c>
      <c r="B2363" s="24" t="s">
        <v>6108</v>
      </c>
      <c r="C2363" s="25" t="s">
        <v>4938</v>
      </c>
      <c r="D2363" s="25" t="s">
        <v>4939</v>
      </c>
      <c r="E2363" s="26">
        <v>3963</v>
      </c>
    </row>
    <row r="2364" spans="1:5" x14ac:dyDescent="0.25">
      <c r="A2364" s="24" t="s">
        <v>7</v>
      </c>
      <c r="B2364" s="24" t="s">
        <v>6109</v>
      </c>
      <c r="C2364" s="25" t="s">
        <v>4944</v>
      </c>
      <c r="D2364" s="25" t="s">
        <v>4945</v>
      </c>
      <c r="E2364" s="26">
        <v>1326</v>
      </c>
    </row>
    <row r="2365" spans="1:5" x14ac:dyDescent="0.25">
      <c r="A2365" s="24" t="s">
        <v>7</v>
      </c>
      <c r="B2365" s="24" t="s">
        <v>6110</v>
      </c>
      <c r="C2365" s="25" t="s">
        <v>4952</v>
      </c>
      <c r="D2365" s="25" t="s">
        <v>4953</v>
      </c>
      <c r="E2365" s="26">
        <v>4152</v>
      </c>
    </row>
    <row r="2366" spans="1:5" x14ac:dyDescent="0.25">
      <c r="A2366" s="24" t="s">
        <v>7</v>
      </c>
      <c r="B2366" s="24" t="s">
        <v>6111</v>
      </c>
      <c r="C2366" s="25" t="s">
        <v>6112</v>
      </c>
      <c r="D2366" s="25" t="s">
        <v>6113</v>
      </c>
      <c r="E2366" s="26">
        <v>7118</v>
      </c>
    </row>
    <row r="2367" spans="1:5" x14ac:dyDescent="0.25">
      <c r="A2367" s="24" t="s">
        <v>7</v>
      </c>
      <c r="B2367" s="24" t="s">
        <v>6114</v>
      </c>
      <c r="C2367" s="25" t="s">
        <v>4958</v>
      </c>
      <c r="D2367" s="25" t="s">
        <v>4959</v>
      </c>
      <c r="E2367" s="26">
        <v>27930</v>
      </c>
    </row>
    <row r="2368" spans="1:5" x14ac:dyDescent="0.25">
      <c r="A2368" s="24" t="s">
        <v>7</v>
      </c>
      <c r="B2368" s="24" t="s">
        <v>6115</v>
      </c>
      <c r="C2368" s="25" t="s">
        <v>4961</v>
      </c>
      <c r="D2368" s="25" t="s">
        <v>4962</v>
      </c>
      <c r="E2368" s="26">
        <v>27930</v>
      </c>
    </row>
    <row r="2369" spans="1:5" x14ac:dyDescent="0.25">
      <c r="A2369" s="24" t="s">
        <v>7</v>
      </c>
      <c r="B2369" s="24" t="s">
        <v>6116</v>
      </c>
      <c r="C2369" s="25" t="s">
        <v>4964</v>
      </c>
      <c r="D2369" s="25" t="s">
        <v>4965</v>
      </c>
      <c r="E2369" s="26">
        <v>63661</v>
      </c>
    </row>
    <row r="2370" spans="1:5" x14ac:dyDescent="0.25">
      <c r="A2370" s="24" t="s">
        <v>7</v>
      </c>
      <c r="B2370" s="24" t="s">
        <v>6117</v>
      </c>
      <c r="C2370" s="25" t="s">
        <v>4967</v>
      </c>
      <c r="D2370" s="25" t="s">
        <v>4968</v>
      </c>
      <c r="E2370" s="26">
        <v>45675</v>
      </c>
    </row>
    <row r="2371" spans="1:5" x14ac:dyDescent="0.25">
      <c r="A2371" s="24" t="s">
        <v>7</v>
      </c>
      <c r="B2371" s="24" t="s">
        <v>6118</v>
      </c>
      <c r="C2371" s="25" t="s">
        <v>6119</v>
      </c>
      <c r="D2371" s="25" t="s">
        <v>6120</v>
      </c>
      <c r="E2371" s="26">
        <v>27930</v>
      </c>
    </row>
    <row r="2372" spans="1:5" x14ac:dyDescent="0.25">
      <c r="A2372" s="24" t="s">
        <v>7</v>
      </c>
      <c r="B2372" s="24" t="s">
        <v>6121</v>
      </c>
      <c r="C2372" s="25" t="s">
        <v>4970</v>
      </c>
      <c r="D2372" s="25" t="s">
        <v>4971</v>
      </c>
      <c r="E2372" s="26">
        <v>45675</v>
      </c>
    </row>
    <row r="2373" spans="1:5" x14ac:dyDescent="0.25">
      <c r="A2373" s="24" t="s">
        <v>7</v>
      </c>
      <c r="B2373" s="24" t="s">
        <v>6122</v>
      </c>
      <c r="C2373" s="25" t="s">
        <v>4973</v>
      </c>
      <c r="D2373" s="25" t="s">
        <v>4974</v>
      </c>
      <c r="E2373" s="26">
        <v>32022</v>
      </c>
    </row>
    <row r="2374" spans="1:5" x14ac:dyDescent="0.25">
      <c r="A2374" s="24" t="s">
        <v>7</v>
      </c>
      <c r="B2374" s="24" t="s">
        <v>6123</v>
      </c>
      <c r="C2374" s="25" t="s">
        <v>4976</v>
      </c>
      <c r="D2374" s="25" t="s">
        <v>4977</v>
      </c>
      <c r="E2374" s="26">
        <v>32022</v>
      </c>
    </row>
    <row r="2375" spans="1:5" x14ac:dyDescent="0.25">
      <c r="A2375" s="24" t="s">
        <v>7</v>
      </c>
      <c r="B2375" s="24" t="s">
        <v>6124</v>
      </c>
      <c r="C2375" s="25" t="s">
        <v>4979</v>
      </c>
      <c r="D2375" s="25" t="s">
        <v>4980</v>
      </c>
      <c r="E2375" s="26">
        <v>31290</v>
      </c>
    </row>
    <row r="2376" spans="1:5" x14ac:dyDescent="0.25">
      <c r="A2376" s="24" t="s">
        <v>7</v>
      </c>
      <c r="B2376" s="24" t="s">
        <v>6125</v>
      </c>
      <c r="C2376" s="25" t="s">
        <v>4982</v>
      </c>
      <c r="D2376" s="25" t="s">
        <v>4980</v>
      </c>
      <c r="E2376" s="26">
        <v>31290</v>
      </c>
    </row>
    <row r="2377" spans="1:5" x14ac:dyDescent="0.25">
      <c r="A2377" s="24" t="s">
        <v>7</v>
      </c>
      <c r="B2377" s="24" t="s">
        <v>6126</v>
      </c>
      <c r="C2377" s="25" t="s">
        <v>4984</v>
      </c>
      <c r="D2377" s="25" t="s">
        <v>4980</v>
      </c>
      <c r="E2377" s="26">
        <v>31290</v>
      </c>
    </row>
    <row r="2378" spans="1:5" x14ac:dyDescent="0.25">
      <c r="A2378" s="24" t="s">
        <v>7</v>
      </c>
      <c r="B2378" s="24" t="s">
        <v>6127</v>
      </c>
      <c r="C2378" s="25" t="s">
        <v>6128</v>
      </c>
      <c r="D2378" s="25" t="s">
        <v>4980</v>
      </c>
      <c r="E2378" s="26">
        <v>31290</v>
      </c>
    </row>
    <row r="2379" spans="1:5" x14ac:dyDescent="0.25">
      <c r="A2379" s="24" t="s">
        <v>7</v>
      </c>
      <c r="B2379" s="24" t="s">
        <v>6129</v>
      </c>
      <c r="C2379" s="25" t="s">
        <v>6130</v>
      </c>
      <c r="D2379" s="25" t="s">
        <v>6131</v>
      </c>
      <c r="E2379" s="26">
        <v>3370</v>
      </c>
    </row>
    <row r="2380" spans="1:5" x14ac:dyDescent="0.25">
      <c r="A2380" s="24" t="s">
        <v>7</v>
      </c>
      <c r="B2380" s="24" t="s">
        <v>6132</v>
      </c>
      <c r="C2380" s="25" t="s">
        <v>4992</v>
      </c>
      <c r="D2380" s="25" t="s">
        <v>4992</v>
      </c>
      <c r="E2380" s="26">
        <v>5494</v>
      </c>
    </row>
    <row r="2381" spans="1:5" x14ac:dyDescent="0.25">
      <c r="A2381" s="24" t="s">
        <v>7</v>
      </c>
      <c r="B2381" s="24" t="s">
        <v>6133</v>
      </c>
      <c r="C2381" s="25" t="s">
        <v>4999</v>
      </c>
      <c r="D2381" s="25" t="s">
        <v>5000</v>
      </c>
      <c r="E2381" s="26">
        <v>49155</v>
      </c>
    </row>
    <row r="2382" spans="1:5" x14ac:dyDescent="0.25">
      <c r="A2382" s="24" t="s">
        <v>7</v>
      </c>
      <c r="B2382" s="24" t="s">
        <v>6134</v>
      </c>
      <c r="C2382" s="25" t="s">
        <v>5002</v>
      </c>
      <c r="D2382" s="25" t="s">
        <v>5003</v>
      </c>
      <c r="E2382" s="26">
        <v>29873</v>
      </c>
    </row>
    <row r="2383" spans="1:5" x14ac:dyDescent="0.25">
      <c r="A2383" s="24" t="s">
        <v>7</v>
      </c>
      <c r="B2383" s="24" t="s">
        <v>6135</v>
      </c>
      <c r="C2383" s="25" t="s">
        <v>4909</v>
      </c>
      <c r="D2383" s="25" t="s">
        <v>4910</v>
      </c>
      <c r="E2383" s="26">
        <v>32078</v>
      </c>
    </row>
    <row r="2384" spans="1:5" x14ac:dyDescent="0.25">
      <c r="A2384" s="24" t="s">
        <v>7</v>
      </c>
      <c r="B2384" s="24" t="s">
        <v>6136</v>
      </c>
      <c r="C2384" s="25" t="s">
        <v>4912</v>
      </c>
      <c r="D2384" s="25" t="s">
        <v>4910</v>
      </c>
      <c r="E2384" s="26">
        <v>13278</v>
      </c>
    </row>
    <row r="2385" spans="1:5" x14ac:dyDescent="0.25">
      <c r="A2385" s="24" t="s">
        <v>7</v>
      </c>
      <c r="B2385" s="24" t="s">
        <v>6137</v>
      </c>
      <c r="C2385" s="25" t="s">
        <v>5012</v>
      </c>
      <c r="D2385" s="25" t="s">
        <v>5013</v>
      </c>
      <c r="E2385" s="26">
        <v>11663</v>
      </c>
    </row>
    <row r="2386" spans="1:5" x14ac:dyDescent="0.25">
      <c r="A2386" s="24" t="s">
        <v>7</v>
      </c>
      <c r="B2386" s="24" t="s">
        <v>6138</v>
      </c>
      <c r="C2386" s="25" t="s">
        <v>5015</v>
      </c>
      <c r="D2386" s="25" t="s">
        <v>5013</v>
      </c>
      <c r="E2386" s="26">
        <v>26586</v>
      </c>
    </row>
    <row r="2387" spans="1:5" x14ac:dyDescent="0.25">
      <c r="A2387" s="24" t="s">
        <v>7</v>
      </c>
      <c r="B2387" s="24" t="s">
        <v>6139</v>
      </c>
      <c r="C2387" s="25" t="s">
        <v>5017</v>
      </c>
      <c r="D2387" s="25" t="s">
        <v>6140</v>
      </c>
      <c r="E2387" s="26">
        <v>31929</v>
      </c>
    </row>
    <row r="2388" spans="1:5" x14ac:dyDescent="0.25">
      <c r="A2388" s="24" t="s">
        <v>7</v>
      </c>
      <c r="B2388" s="24" t="s">
        <v>6141</v>
      </c>
      <c r="C2388" s="25" t="s">
        <v>6142</v>
      </c>
      <c r="D2388" s="25" t="s">
        <v>6143</v>
      </c>
      <c r="E2388" s="26">
        <v>11663</v>
      </c>
    </row>
    <row r="2389" spans="1:5" x14ac:dyDescent="0.25">
      <c r="A2389" s="24" t="s">
        <v>7</v>
      </c>
      <c r="B2389" s="24" t="s">
        <v>6144</v>
      </c>
      <c r="C2389" s="25" t="s">
        <v>5020</v>
      </c>
      <c r="D2389" s="25" t="s">
        <v>5021</v>
      </c>
      <c r="E2389" s="26">
        <v>11663</v>
      </c>
    </row>
    <row r="2390" spans="1:5" x14ac:dyDescent="0.25">
      <c r="A2390" s="24" t="s">
        <v>7</v>
      </c>
      <c r="B2390" s="24" t="s">
        <v>6145</v>
      </c>
      <c r="C2390" s="25" t="s">
        <v>6146</v>
      </c>
      <c r="D2390" s="25" t="s">
        <v>5018</v>
      </c>
      <c r="E2390" s="26">
        <v>26586</v>
      </c>
    </row>
    <row r="2391" spans="1:5" x14ac:dyDescent="0.25">
      <c r="A2391" s="24" t="s">
        <v>7</v>
      </c>
      <c r="B2391" s="24" t="s">
        <v>6147</v>
      </c>
      <c r="C2391" s="25" t="s">
        <v>5434</v>
      </c>
      <c r="D2391" s="25" t="s">
        <v>5435</v>
      </c>
      <c r="E2391" s="26">
        <v>6026</v>
      </c>
    </row>
    <row r="2392" spans="1:5" x14ac:dyDescent="0.25">
      <c r="A2392" s="24" t="s">
        <v>7</v>
      </c>
      <c r="B2392" s="24" t="s">
        <v>6148</v>
      </c>
      <c r="C2392" s="25" t="s">
        <v>6149</v>
      </c>
      <c r="D2392" s="25" t="s">
        <v>6150</v>
      </c>
      <c r="E2392" s="26">
        <v>22145</v>
      </c>
    </row>
    <row r="2393" spans="1:5" x14ac:dyDescent="0.25">
      <c r="A2393" s="24" t="s">
        <v>7</v>
      </c>
      <c r="B2393" s="24" t="s">
        <v>6151</v>
      </c>
      <c r="C2393" s="25" t="s">
        <v>5028</v>
      </c>
      <c r="D2393" s="25" t="s">
        <v>5029</v>
      </c>
      <c r="E2393" s="26">
        <v>9712</v>
      </c>
    </row>
    <row r="2394" spans="1:5" x14ac:dyDescent="0.25">
      <c r="A2394" s="24" t="s">
        <v>7</v>
      </c>
      <c r="B2394" s="24" t="s">
        <v>6152</v>
      </c>
      <c r="C2394" s="25" t="s">
        <v>5031</v>
      </c>
      <c r="D2394" s="25" t="s">
        <v>5029</v>
      </c>
      <c r="E2394" s="26">
        <v>22145</v>
      </c>
    </row>
    <row r="2395" spans="1:5" x14ac:dyDescent="0.25">
      <c r="A2395" s="24" t="s">
        <v>7</v>
      </c>
      <c r="B2395" s="24" t="s">
        <v>6153</v>
      </c>
      <c r="C2395" s="25" t="s">
        <v>6154</v>
      </c>
      <c r="D2395" s="25" t="s">
        <v>6155</v>
      </c>
      <c r="E2395" s="26">
        <v>26596</v>
      </c>
    </row>
    <row r="2396" spans="1:5" x14ac:dyDescent="0.25">
      <c r="A2396" s="24" t="s">
        <v>7</v>
      </c>
      <c r="B2396" s="24" t="s">
        <v>6156</v>
      </c>
      <c r="C2396" s="25" t="s">
        <v>5033</v>
      </c>
      <c r="D2396" s="25" t="s">
        <v>5034</v>
      </c>
      <c r="E2396" s="26">
        <v>9712</v>
      </c>
    </row>
    <row r="2397" spans="1:5" x14ac:dyDescent="0.25">
      <c r="A2397" s="24" t="s">
        <v>7</v>
      </c>
      <c r="B2397" s="24" t="s">
        <v>6157</v>
      </c>
      <c r="C2397" s="25" t="s">
        <v>6158</v>
      </c>
      <c r="D2397" s="25" t="s">
        <v>6155</v>
      </c>
      <c r="E2397" s="26">
        <v>22145</v>
      </c>
    </row>
    <row r="2398" spans="1:5" x14ac:dyDescent="0.25">
      <c r="A2398" s="24" t="s">
        <v>7</v>
      </c>
      <c r="B2398" s="24" t="s">
        <v>6159</v>
      </c>
      <c r="C2398" s="25" t="s">
        <v>5036</v>
      </c>
      <c r="D2398" s="25" t="s">
        <v>5037</v>
      </c>
      <c r="E2398" s="26">
        <v>6534</v>
      </c>
    </row>
    <row r="2399" spans="1:5" x14ac:dyDescent="0.25">
      <c r="A2399" s="24" t="s">
        <v>7</v>
      </c>
      <c r="B2399" s="24" t="s">
        <v>6160</v>
      </c>
      <c r="C2399" s="25" t="s">
        <v>5039</v>
      </c>
      <c r="D2399" s="25" t="s">
        <v>5040</v>
      </c>
      <c r="E2399" s="26">
        <v>9712</v>
      </c>
    </row>
    <row r="2400" spans="1:5" x14ac:dyDescent="0.25">
      <c r="A2400" s="24" t="s">
        <v>7</v>
      </c>
      <c r="B2400" s="24" t="s">
        <v>6161</v>
      </c>
      <c r="C2400" s="25" t="s">
        <v>5042</v>
      </c>
      <c r="D2400" s="25" t="s">
        <v>5043</v>
      </c>
      <c r="E2400" s="26">
        <v>55443</v>
      </c>
    </row>
    <row r="2401" spans="1:5" x14ac:dyDescent="0.25">
      <c r="A2401" s="24" t="s">
        <v>7</v>
      </c>
      <c r="B2401" s="24" t="s">
        <v>6162</v>
      </c>
      <c r="C2401" s="25" t="s">
        <v>5045</v>
      </c>
      <c r="D2401" s="25" t="s">
        <v>5046</v>
      </c>
      <c r="E2401" s="26">
        <v>1994</v>
      </c>
    </row>
    <row r="2402" spans="1:5" x14ac:dyDescent="0.25">
      <c r="A2402" s="24" t="s">
        <v>7</v>
      </c>
      <c r="B2402" s="24" t="s">
        <v>6163</v>
      </c>
      <c r="C2402" s="25" t="s">
        <v>5072</v>
      </c>
      <c r="D2402" s="25" t="s">
        <v>5073</v>
      </c>
      <c r="E2402" s="26">
        <v>1165</v>
      </c>
    </row>
    <row r="2403" spans="1:5" x14ac:dyDescent="0.25">
      <c r="A2403" s="24" t="s">
        <v>7</v>
      </c>
      <c r="B2403" s="24" t="s">
        <v>6164</v>
      </c>
      <c r="C2403" s="25" t="s">
        <v>5075</v>
      </c>
      <c r="D2403" s="25" t="s">
        <v>5076</v>
      </c>
      <c r="E2403" s="26">
        <v>2907</v>
      </c>
    </row>
    <row r="2404" spans="1:5" x14ac:dyDescent="0.25">
      <c r="A2404" s="24" t="s">
        <v>7</v>
      </c>
      <c r="B2404" s="24" t="s">
        <v>6165</v>
      </c>
      <c r="C2404" s="25" t="s">
        <v>6166</v>
      </c>
      <c r="D2404" s="25" t="s">
        <v>6167</v>
      </c>
      <c r="E2404" s="26">
        <v>4630</v>
      </c>
    </row>
    <row r="2405" spans="1:5" x14ac:dyDescent="0.25">
      <c r="A2405" s="24" t="s">
        <v>7</v>
      </c>
      <c r="B2405" s="24" t="s">
        <v>6168</v>
      </c>
      <c r="C2405" s="25" t="s">
        <v>6169</v>
      </c>
      <c r="D2405" s="25" t="s">
        <v>6170</v>
      </c>
      <c r="E2405" s="26">
        <v>3807</v>
      </c>
    </row>
    <row r="2406" spans="1:5" x14ac:dyDescent="0.25">
      <c r="A2406" s="24" t="s">
        <v>7</v>
      </c>
      <c r="B2406" s="24" t="s">
        <v>6171</v>
      </c>
      <c r="C2406" s="25" t="s">
        <v>5081</v>
      </c>
      <c r="D2406" s="25" t="s">
        <v>5082</v>
      </c>
      <c r="E2406" s="26">
        <v>2159</v>
      </c>
    </row>
    <row r="2407" spans="1:5" x14ac:dyDescent="0.25">
      <c r="A2407" s="24" t="s">
        <v>7</v>
      </c>
      <c r="B2407" s="24" t="s">
        <v>6172</v>
      </c>
      <c r="C2407" s="25" t="s">
        <v>5084</v>
      </c>
      <c r="D2407" s="25" t="s">
        <v>5085</v>
      </c>
      <c r="E2407" s="26">
        <v>23406</v>
      </c>
    </row>
    <row r="2408" spans="1:5" x14ac:dyDescent="0.25">
      <c r="A2408" s="24" t="s">
        <v>7</v>
      </c>
      <c r="B2408" s="24" t="s">
        <v>6173</v>
      </c>
      <c r="C2408" s="25" t="s">
        <v>5087</v>
      </c>
      <c r="D2408" s="25" t="s">
        <v>5088</v>
      </c>
      <c r="E2408" s="26">
        <v>54390</v>
      </c>
    </row>
    <row r="2409" spans="1:5" x14ac:dyDescent="0.25">
      <c r="A2409" s="24" t="s">
        <v>7</v>
      </c>
      <c r="B2409" s="24" t="s">
        <v>6174</v>
      </c>
      <c r="C2409" s="25" t="s">
        <v>5108</v>
      </c>
      <c r="D2409" s="25" t="s">
        <v>5109</v>
      </c>
      <c r="E2409" s="26">
        <v>46562</v>
      </c>
    </row>
    <row r="2410" spans="1:5" x14ac:dyDescent="0.25">
      <c r="A2410" s="24" t="s">
        <v>7</v>
      </c>
      <c r="B2410" s="24" t="s">
        <v>6175</v>
      </c>
      <c r="C2410" s="25" t="s">
        <v>5111</v>
      </c>
      <c r="D2410" s="25" t="s">
        <v>5112</v>
      </c>
      <c r="E2410" s="26">
        <v>31953</v>
      </c>
    </row>
    <row r="2411" spans="1:5" x14ac:dyDescent="0.25">
      <c r="A2411" s="24" t="s">
        <v>7</v>
      </c>
      <c r="B2411" s="24" t="s">
        <v>6176</v>
      </c>
      <c r="C2411" s="25" t="s">
        <v>6177</v>
      </c>
      <c r="D2411" s="25" t="s">
        <v>6178</v>
      </c>
      <c r="E2411" s="26">
        <v>8474</v>
      </c>
    </row>
    <row r="2412" spans="1:5" x14ac:dyDescent="0.25">
      <c r="A2412" s="24" t="s">
        <v>7</v>
      </c>
      <c r="B2412" s="24" t="s">
        <v>6179</v>
      </c>
      <c r="C2412" s="25" t="s">
        <v>6180</v>
      </c>
      <c r="D2412" s="25" t="s">
        <v>6181</v>
      </c>
      <c r="E2412" s="26">
        <v>36861</v>
      </c>
    </row>
    <row r="2413" spans="1:5" x14ac:dyDescent="0.25">
      <c r="A2413" s="24" t="s">
        <v>7</v>
      </c>
      <c r="B2413" s="24" t="s">
        <v>6182</v>
      </c>
      <c r="C2413" s="25" t="s">
        <v>5116</v>
      </c>
      <c r="D2413" s="25" t="s">
        <v>5117</v>
      </c>
      <c r="E2413" s="26">
        <v>22388</v>
      </c>
    </row>
    <row r="2414" spans="1:5" x14ac:dyDescent="0.25">
      <c r="A2414" s="24" t="s">
        <v>7</v>
      </c>
      <c r="B2414" s="24" t="s">
        <v>6183</v>
      </c>
      <c r="C2414" s="25" t="s">
        <v>5119</v>
      </c>
      <c r="D2414" s="25" t="s">
        <v>5117</v>
      </c>
      <c r="E2414" s="26">
        <v>14377</v>
      </c>
    </row>
    <row r="2415" spans="1:5" x14ac:dyDescent="0.25">
      <c r="A2415" s="24" t="s">
        <v>7</v>
      </c>
      <c r="B2415" s="24" t="s">
        <v>6184</v>
      </c>
      <c r="C2415" s="25" t="s">
        <v>5121</v>
      </c>
      <c r="D2415" s="25" t="s">
        <v>5117</v>
      </c>
      <c r="E2415" s="26">
        <v>32089</v>
      </c>
    </row>
    <row r="2416" spans="1:5" x14ac:dyDescent="0.25">
      <c r="A2416" s="24" t="s">
        <v>7</v>
      </c>
      <c r="B2416" s="24" t="s">
        <v>6185</v>
      </c>
      <c r="C2416" s="25" t="s">
        <v>5123</v>
      </c>
      <c r="D2416" s="25" t="s">
        <v>5124</v>
      </c>
      <c r="E2416" s="26">
        <v>32089</v>
      </c>
    </row>
    <row r="2417" spans="1:5" x14ac:dyDescent="0.25">
      <c r="A2417" s="24" t="s">
        <v>7</v>
      </c>
      <c r="B2417" s="24" t="s">
        <v>6186</v>
      </c>
      <c r="C2417" s="25" t="s">
        <v>5126</v>
      </c>
      <c r="D2417" s="25" t="s">
        <v>5127</v>
      </c>
      <c r="E2417" s="26">
        <v>56418</v>
      </c>
    </row>
    <row r="2418" spans="1:5" x14ac:dyDescent="0.25">
      <c r="A2418" s="24" t="s">
        <v>7</v>
      </c>
      <c r="B2418" s="24" t="s">
        <v>6187</v>
      </c>
      <c r="C2418" s="25" t="s">
        <v>6188</v>
      </c>
      <c r="D2418" s="25" t="s">
        <v>6189</v>
      </c>
      <c r="E2418" s="26">
        <v>56418</v>
      </c>
    </row>
    <row r="2419" spans="1:5" x14ac:dyDescent="0.25">
      <c r="A2419" s="24" t="s">
        <v>7</v>
      </c>
      <c r="B2419" s="24" t="s">
        <v>6190</v>
      </c>
      <c r="C2419" s="25" t="s">
        <v>5131</v>
      </c>
      <c r="D2419" s="25" t="s">
        <v>5132</v>
      </c>
      <c r="E2419" s="26">
        <v>101308</v>
      </c>
    </row>
    <row r="2420" spans="1:5" x14ac:dyDescent="0.25">
      <c r="A2420" s="24" t="s">
        <v>7</v>
      </c>
      <c r="B2420" s="24" t="s">
        <v>6191</v>
      </c>
      <c r="C2420" s="25" t="s">
        <v>5134</v>
      </c>
      <c r="D2420" s="25" t="s">
        <v>5135</v>
      </c>
      <c r="E2420" s="26">
        <v>101308</v>
      </c>
    </row>
    <row r="2421" spans="1:5" x14ac:dyDescent="0.25">
      <c r="A2421" s="24" t="s">
        <v>7</v>
      </c>
      <c r="B2421" s="24" t="s">
        <v>6192</v>
      </c>
      <c r="C2421" s="25" t="s">
        <v>5143</v>
      </c>
      <c r="D2421" s="25" t="s">
        <v>5144</v>
      </c>
      <c r="E2421" s="26">
        <v>92162</v>
      </c>
    </row>
    <row r="2422" spans="1:5" x14ac:dyDescent="0.25">
      <c r="A2422" s="24" t="s">
        <v>7</v>
      </c>
      <c r="B2422" s="24" t="s">
        <v>6193</v>
      </c>
      <c r="C2422" s="25" t="s">
        <v>5146</v>
      </c>
      <c r="D2422" s="25" t="s">
        <v>5147</v>
      </c>
      <c r="E2422" s="26">
        <v>117507</v>
      </c>
    </row>
    <row r="2423" spans="1:5" x14ac:dyDescent="0.25">
      <c r="A2423" s="24" t="s">
        <v>7</v>
      </c>
      <c r="B2423" s="24" t="s">
        <v>6194</v>
      </c>
      <c r="C2423" s="25" t="s">
        <v>5149</v>
      </c>
      <c r="D2423" s="25" t="s">
        <v>5150</v>
      </c>
      <c r="E2423" s="26">
        <v>92162</v>
      </c>
    </row>
    <row r="2424" spans="1:5" x14ac:dyDescent="0.25">
      <c r="A2424" s="24" t="s">
        <v>7</v>
      </c>
      <c r="B2424" s="24" t="s">
        <v>6195</v>
      </c>
      <c r="C2424" s="25" t="s">
        <v>6196</v>
      </c>
      <c r="D2424" s="25" t="s">
        <v>6197</v>
      </c>
      <c r="E2424" s="26">
        <v>3929</v>
      </c>
    </row>
    <row r="2425" spans="1:5" x14ac:dyDescent="0.25">
      <c r="A2425" s="24" t="s">
        <v>7</v>
      </c>
      <c r="B2425" s="24" t="s">
        <v>6198</v>
      </c>
      <c r="C2425" s="25" t="s">
        <v>5166</v>
      </c>
      <c r="D2425" s="25" t="s">
        <v>5167</v>
      </c>
      <c r="E2425" s="26">
        <v>10812</v>
      </c>
    </row>
    <row r="2426" spans="1:5" x14ac:dyDescent="0.25">
      <c r="A2426" s="24" t="s">
        <v>7</v>
      </c>
      <c r="B2426" s="24" t="s">
        <v>6199</v>
      </c>
      <c r="C2426" s="25" t="s">
        <v>5292</v>
      </c>
      <c r="D2426" s="25" t="s">
        <v>5293</v>
      </c>
      <c r="E2426" s="26">
        <v>2413</v>
      </c>
    </row>
    <row r="2427" spans="1:5" x14ac:dyDescent="0.25">
      <c r="A2427" s="24" t="s">
        <v>7</v>
      </c>
      <c r="B2427" s="24" t="s">
        <v>6200</v>
      </c>
      <c r="C2427" s="25" t="s">
        <v>6201</v>
      </c>
      <c r="D2427" s="25" t="s">
        <v>6202</v>
      </c>
      <c r="E2427" s="26">
        <v>7427</v>
      </c>
    </row>
    <row r="2428" spans="1:5" x14ac:dyDescent="0.25">
      <c r="A2428" s="24" t="s">
        <v>7</v>
      </c>
      <c r="B2428" s="24" t="s">
        <v>6203</v>
      </c>
      <c r="C2428" s="25" t="s">
        <v>6204</v>
      </c>
      <c r="D2428" s="25" t="s">
        <v>6205</v>
      </c>
      <c r="E2428" s="26">
        <v>5275</v>
      </c>
    </row>
    <row r="2429" spans="1:5" x14ac:dyDescent="0.25">
      <c r="A2429" s="24" t="s">
        <v>7</v>
      </c>
      <c r="B2429" s="24" t="s">
        <v>6206</v>
      </c>
      <c r="C2429" s="25" t="s">
        <v>4500</v>
      </c>
      <c r="D2429" s="25" t="s">
        <v>4501</v>
      </c>
      <c r="E2429" s="26">
        <v>6378</v>
      </c>
    </row>
    <row r="2430" spans="1:5" x14ac:dyDescent="0.25">
      <c r="A2430" s="24" t="s">
        <v>7</v>
      </c>
      <c r="B2430" s="24" t="s">
        <v>6207</v>
      </c>
      <c r="C2430" s="25" t="s">
        <v>6208</v>
      </c>
      <c r="D2430" s="25" t="s">
        <v>6209</v>
      </c>
      <c r="E2430" s="26">
        <v>3305</v>
      </c>
    </row>
    <row r="2431" spans="1:5" x14ac:dyDescent="0.25">
      <c r="A2431" s="24" t="s">
        <v>7</v>
      </c>
      <c r="B2431" s="24" t="s">
        <v>6210</v>
      </c>
      <c r="C2431" s="25" t="s">
        <v>6211</v>
      </c>
      <c r="D2431" s="25" t="s">
        <v>6212</v>
      </c>
      <c r="E2431" s="26">
        <v>5827</v>
      </c>
    </row>
    <row r="2432" spans="1:5" x14ac:dyDescent="0.25">
      <c r="A2432" s="24" t="s">
        <v>7</v>
      </c>
      <c r="B2432" s="24" t="s">
        <v>6213</v>
      </c>
      <c r="C2432" s="25" t="s">
        <v>6214</v>
      </c>
      <c r="D2432" s="25" t="s">
        <v>6215</v>
      </c>
      <c r="E2432" s="26">
        <v>2414</v>
      </c>
    </row>
    <row r="2433" spans="1:5" x14ac:dyDescent="0.25">
      <c r="A2433" s="24" t="s">
        <v>7</v>
      </c>
      <c r="B2433" s="24" t="s">
        <v>6216</v>
      </c>
      <c r="C2433" s="25" t="s">
        <v>6217</v>
      </c>
      <c r="D2433" s="25" t="s">
        <v>6218</v>
      </c>
      <c r="E2433" s="26">
        <v>2542</v>
      </c>
    </row>
    <row r="2434" spans="1:5" x14ac:dyDescent="0.25">
      <c r="A2434" s="24" t="s">
        <v>7</v>
      </c>
      <c r="B2434" s="24" t="s">
        <v>6219</v>
      </c>
      <c r="C2434" s="25" t="s">
        <v>5438</v>
      </c>
      <c r="D2434" s="25" t="s">
        <v>5439</v>
      </c>
      <c r="E2434" s="26">
        <v>2826</v>
      </c>
    </row>
    <row r="2435" spans="1:5" x14ac:dyDescent="0.25">
      <c r="A2435" s="24" t="s">
        <v>7</v>
      </c>
      <c r="B2435" s="24" t="s">
        <v>6220</v>
      </c>
      <c r="C2435" s="25" t="s">
        <v>5169</v>
      </c>
      <c r="D2435" s="25" t="s">
        <v>5170</v>
      </c>
      <c r="E2435" s="26">
        <v>4191</v>
      </c>
    </row>
    <row r="2436" spans="1:5" x14ac:dyDescent="0.25">
      <c r="A2436" s="24" t="s">
        <v>7</v>
      </c>
      <c r="B2436" s="24" t="s">
        <v>6221</v>
      </c>
      <c r="C2436" s="25" t="s">
        <v>5172</v>
      </c>
      <c r="D2436" s="25" t="s">
        <v>5173</v>
      </c>
      <c r="E2436" s="26">
        <v>14056</v>
      </c>
    </row>
    <row r="2437" spans="1:5" x14ac:dyDescent="0.25">
      <c r="A2437" s="24" t="s">
        <v>7</v>
      </c>
      <c r="B2437" s="24" t="s">
        <v>6222</v>
      </c>
      <c r="C2437" s="25" t="s">
        <v>4366</v>
      </c>
      <c r="D2437" s="25" t="s">
        <v>4367</v>
      </c>
      <c r="E2437" s="26">
        <v>24016</v>
      </c>
    </row>
    <row r="2438" spans="1:5" x14ac:dyDescent="0.25">
      <c r="A2438" s="24" t="s">
        <v>7</v>
      </c>
      <c r="B2438" s="24" t="s">
        <v>6223</v>
      </c>
      <c r="C2438" s="25" t="s">
        <v>4369</v>
      </c>
      <c r="D2438" s="25" t="s">
        <v>4370</v>
      </c>
      <c r="E2438" s="26">
        <v>18617</v>
      </c>
    </row>
    <row r="2439" spans="1:5" x14ac:dyDescent="0.25">
      <c r="A2439" s="24" t="s">
        <v>7</v>
      </c>
      <c r="B2439" s="24" t="s">
        <v>6224</v>
      </c>
      <c r="C2439" s="25" t="s">
        <v>6225</v>
      </c>
      <c r="D2439" s="25" t="s">
        <v>6226</v>
      </c>
      <c r="E2439" s="26">
        <v>14414</v>
      </c>
    </row>
    <row r="2440" spans="1:5" x14ac:dyDescent="0.25">
      <c r="A2440" s="24" t="s">
        <v>7</v>
      </c>
      <c r="B2440" s="24" t="s">
        <v>6227</v>
      </c>
      <c r="C2440" s="25" t="s">
        <v>6228</v>
      </c>
      <c r="D2440" s="25" t="s">
        <v>6229</v>
      </c>
      <c r="E2440" s="26">
        <v>5296</v>
      </c>
    </row>
    <row r="2441" spans="1:5" x14ac:dyDescent="0.25">
      <c r="A2441" s="24" t="s">
        <v>7</v>
      </c>
      <c r="B2441" s="24" t="s">
        <v>6230</v>
      </c>
      <c r="C2441" s="25" t="s">
        <v>6231</v>
      </c>
      <c r="D2441" s="25" t="s">
        <v>6232</v>
      </c>
      <c r="E2441" s="26">
        <v>13273</v>
      </c>
    </row>
    <row r="2442" spans="1:5" x14ac:dyDescent="0.25">
      <c r="A2442" s="24" t="s">
        <v>7</v>
      </c>
      <c r="B2442" s="24" t="s">
        <v>6233</v>
      </c>
      <c r="C2442" s="25" t="s">
        <v>5914</v>
      </c>
      <c r="D2442" s="25" t="s">
        <v>5915</v>
      </c>
      <c r="E2442" s="26">
        <v>6357</v>
      </c>
    </row>
    <row r="2443" spans="1:5" x14ac:dyDescent="0.25">
      <c r="A2443" s="24" t="s">
        <v>7</v>
      </c>
      <c r="B2443" s="24" t="s">
        <v>6234</v>
      </c>
      <c r="C2443" s="25" t="s">
        <v>5199</v>
      </c>
      <c r="D2443" s="25" t="s">
        <v>5200</v>
      </c>
      <c r="E2443" s="26">
        <v>24396</v>
      </c>
    </row>
    <row r="2444" spans="1:5" x14ac:dyDescent="0.25">
      <c r="A2444" s="24" t="s">
        <v>7</v>
      </c>
      <c r="B2444" s="24" t="s">
        <v>6235</v>
      </c>
      <c r="C2444" s="25" t="s">
        <v>5425</v>
      </c>
      <c r="D2444" s="25" t="s">
        <v>5426</v>
      </c>
      <c r="E2444" s="26">
        <v>6251</v>
      </c>
    </row>
    <row r="2445" spans="1:5" x14ac:dyDescent="0.25">
      <c r="A2445" s="24" t="s">
        <v>7</v>
      </c>
      <c r="B2445" s="24" t="s">
        <v>6236</v>
      </c>
      <c r="C2445" s="25" t="s">
        <v>5078</v>
      </c>
      <c r="D2445" s="25" t="s">
        <v>5079</v>
      </c>
      <c r="E2445" s="26">
        <v>2651</v>
      </c>
    </row>
    <row r="2446" spans="1:5" x14ac:dyDescent="0.25">
      <c r="A2446" s="24" t="s">
        <v>7</v>
      </c>
      <c r="B2446" s="24" t="s">
        <v>6237</v>
      </c>
      <c r="C2446" s="25" t="s">
        <v>5208</v>
      </c>
      <c r="D2446" s="25" t="s">
        <v>4388</v>
      </c>
      <c r="E2446" s="26">
        <v>2061</v>
      </c>
    </row>
    <row r="2447" spans="1:5" x14ac:dyDescent="0.25">
      <c r="A2447" s="24" t="s">
        <v>7</v>
      </c>
      <c r="B2447" s="24" t="s">
        <v>6238</v>
      </c>
      <c r="C2447" s="25" t="s">
        <v>5163</v>
      </c>
      <c r="D2447" s="25" t="s">
        <v>5164</v>
      </c>
      <c r="E2447" s="26">
        <v>4430</v>
      </c>
    </row>
    <row r="2448" spans="1:5" x14ac:dyDescent="0.25">
      <c r="A2448" s="24" t="s">
        <v>7</v>
      </c>
      <c r="B2448" s="24" t="s">
        <v>6239</v>
      </c>
      <c r="C2448" s="25" t="s">
        <v>4491</v>
      </c>
      <c r="D2448" s="25" t="s">
        <v>4492</v>
      </c>
      <c r="E2448" s="26">
        <v>2061</v>
      </c>
    </row>
    <row r="2449" spans="1:5" x14ac:dyDescent="0.25">
      <c r="A2449" s="24" t="s">
        <v>7</v>
      </c>
      <c r="B2449" s="24" t="s">
        <v>6240</v>
      </c>
      <c r="C2449" s="25" t="s">
        <v>5295</v>
      </c>
      <c r="D2449" s="25" t="s">
        <v>5296</v>
      </c>
      <c r="E2449" s="26">
        <v>2719</v>
      </c>
    </row>
    <row r="2450" spans="1:5" x14ac:dyDescent="0.25">
      <c r="A2450" s="24" t="s">
        <v>7</v>
      </c>
      <c r="B2450" s="24" t="s">
        <v>6241</v>
      </c>
      <c r="C2450" s="25" t="s">
        <v>5219</v>
      </c>
      <c r="D2450" s="25" t="s">
        <v>5220</v>
      </c>
      <c r="E2450" s="26">
        <v>1744</v>
      </c>
    </row>
    <row r="2451" spans="1:5" x14ac:dyDescent="0.25">
      <c r="A2451" s="24" t="s">
        <v>7</v>
      </c>
      <c r="B2451" s="24" t="s">
        <v>6242</v>
      </c>
      <c r="C2451" s="25" t="s">
        <v>5225</v>
      </c>
      <c r="D2451" s="25" t="s">
        <v>5226</v>
      </c>
      <c r="E2451" s="26">
        <v>30683</v>
      </c>
    </row>
    <row r="2452" spans="1:5" x14ac:dyDescent="0.25">
      <c r="A2452" s="24" t="s">
        <v>7</v>
      </c>
      <c r="B2452" s="24" t="s">
        <v>6243</v>
      </c>
      <c r="C2452" s="25" t="s">
        <v>4381</v>
      </c>
      <c r="D2452" s="25" t="s">
        <v>4382</v>
      </c>
      <c r="E2452" s="26">
        <v>18155</v>
      </c>
    </row>
    <row r="2453" spans="1:5" x14ac:dyDescent="0.25">
      <c r="A2453" s="24" t="s">
        <v>7</v>
      </c>
      <c r="B2453" s="24" t="s">
        <v>6244</v>
      </c>
      <c r="C2453" s="25" t="s">
        <v>4587</v>
      </c>
      <c r="D2453" s="25" t="s">
        <v>4588</v>
      </c>
      <c r="E2453" s="26">
        <v>10297</v>
      </c>
    </row>
    <row r="2454" spans="1:5" x14ac:dyDescent="0.25">
      <c r="A2454" s="24" t="s">
        <v>7</v>
      </c>
      <c r="B2454" s="24" t="s">
        <v>6245</v>
      </c>
      <c r="C2454" s="25" t="s">
        <v>6246</v>
      </c>
      <c r="D2454" s="25" t="s">
        <v>6247</v>
      </c>
      <c r="E2454" s="26">
        <v>5372</v>
      </c>
    </row>
    <row r="2455" spans="1:5" x14ac:dyDescent="0.25">
      <c r="A2455" s="24" t="s">
        <v>7</v>
      </c>
      <c r="B2455" s="24" t="s">
        <v>6248</v>
      </c>
      <c r="C2455" s="25" t="s">
        <v>5228</v>
      </c>
      <c r="D2455" s="25" t="s">
        <v>5229</v>
      </c>
      <c r="E2455" s="26">
        <v>90958</v>
      </c>
    </row>
    <row r="2456" spans="1:5" x14ac:dyDescent="0.25">
      <c r="A2456" s="24" t="s">
        <v>7</v>
      </c>
      <c r="B2456" s="24" t="s">
        <v>6249</v>
      </c>
      <c r="C2456" s="25" t="s">
        <v>5231</v>
      </c>
      <c r="D2456" s="25" t="s">
        <v>5229</v>
      </c>
      <c r="E2456" s="26">
        <v>90958</v>
      </c>
    </row>
    <row r="2457" spans="1:5" x14ac:dyDescent="0.25">
      <c r="A2457" s="24" t="s">
        <v>7</v>
      </c>
      <c r="B2457" s="24" t="s">
        <v>6250</v>
      </c>
      <c r="C2457" s="25" t="s">
        <v>4752</v>
      </c>
      <c r="D2457" s="25" t="s">
        <v>4752</v>
      </c>
      <c r="E2457" s="26">
        <v>2949</v>
      </c>
    </row>
    <row r="2458" spans="1:5" x14ac:dyDescent="0.25">
      <c r="A2458" s="24" t="s">
        <v>7</v>
      </c>
      <c r="B2458" s="24" t="s">
        <v>6251</v>
      </c>
      <c r="C2458" s="25" t="s">
        <v>5233</v>
      </c>
      <c r="D2458" s="25" t="s">
        <v>5234</v>
      </c>
      <c r="E2458" s="26">
        <v>16600</v>
      </c>
    </row>
    <row r="2459" spans="1:5" x14ac:dyDescent="0.25">
      <c r="A2459" s="24" t="s">
        <v>7</v>
      </c>
      <c r="B2459" s="24" t="s">
        <v>6252</v>
      </c>
      <c r="C2459" s="25" t="s">
        <v>5236</v>
      </c>
      <c r="D2459" s="25" t="s">
        <v>5237</v>
      </c>
      <c r="E2459" s="26">
        <v>3010</v>
      </c>
    </row>
    <row r="2460" spans="1:5" x14ac:dyDescent="0.25">
      <c r="A2460" s="24" t="s">
        <v>7</v>
      </c>
      <c r="B2460" s="24" t="s">
        <v>6253</v>
      </c>
      <c r="C2460" s="25" t="s">
        <v>5239</v>
      </c>
      <c r="D2460" s="25" t="s">
        <v>5237</v>
      </c>
      <c r="E2460" s="26">
        <v>14025</v>
      </c>
    </row>
    <row r="2461" spans="1:5" x14ac:dyDescent="0.25">
      <c r="A2461" s="24" t="s">
        <v>7</v>
      </c>
      <c r="B2461" s="24" t="s">
        <v>6254</v>
      </c>
      <c r="C2461" s="25" t="s">
        <v>5241</v>
      </c>
      <c r="D2461" s="25" t="s">
        <v>5237</v>
      </c>
      <c r="E2461" s="26">
        <v>14025</v>
      </c>
    </row>
    <row r="2462" spans="1:5" x14ac:dyDescent="0.25">
      <c r="A2462" s="24" t="s">
        <v>7</v>
      </c>
      <c r="B2462" s="24" t="s">
        <v>6255</v>
      </c>
      <c r="C2462" s="25" t="s">
        <v>5243</v>
      </c>
      <c r="D2462" s="25" t="s">
        <v>5237</v>
      </c>
      <c r="E2462" s="26">
        <v>14025</v>
      </c>
    </row>
    <row r="2463" spans="1:5" x14ac:dyDescent="0.25">
      <c r="A2463" s="24" t="s">
        <v>7</v>
      </c>
      <c r="B2463" s="24" t="s">
        <v>6256</v>
      </c>
      <c r="C2463" s="25" t="s">
        <v>5245</v>
      </c>
      <c r="D2463" s="25" t="s">
        <v>5237</v>
      </c>
      <c r="E2463" s="26">
        <v>14025</v>
      </c>
    </row>
    <row r="2464" spans="1:5" x14ac:dyDescent="0.25">
      <c r="A2464" s="24" t="s">
        <v>7</v>
      </c>
      <c r="B2464" s="24" t="s">
        <v>6257</v>
      </c>
      <c r="C2464" s="25" t="s">
        <v>5247</v>
      </c>
      <c r="D2464" s="25" t="s">
        <v>5237</v>
      </c>
      <c r="E2464" s="26">
        <v>4454</v>
      </c>
    </row>
    <row r="2465" spans="1:5" x14ac:dyDescent="0.25">
      <c r="A2465" s="24" t="s">
        <v>7</v>
      </c>
      <c r="B2465" s="24" t="s">
        <v>6258</v>
      </c>
      <c r="C2465" s="25" t="s">
        <v>5249</v>
      </c>
      <c r="D2465" s="25" t="s">
        <v>5237</v>
      </c>
      <c r="E2465" s="26">
        <v>14025</v>
      </c>
    </row>
    <row r="2466" spans="1:5" x14ac:dyDescent="0.25">
      <c r="A2466" s="24" t="s">
        <v>7</v>
      </c>
      <c r="B2466" s="24" t="s">
        <v>6259</v>
      </c>
      <c r="C2466" s="25" t="s">
        <v>5251</v>
      </c>
      <c r="D2466" s="25" t="s">
        <v>5237</v>
      </c>
      <c r="E2466" s="26">
        <v>14025</v>
      </c>
    </row>
    <row r="2467" spans="1:5" x14ac:dyDescent="0.25">
      <c r="A2467" s="24" t="s">
        <v>7</v>
      </c>
      <c r="B2467" s="24" t="s">
        <v>6260</v>
      </c>
      <c r="C2467" s="25" t="s">
        <v>5253</v>
      </c>
      <c r="D2467" s="25" t="s">
        <v>5237</v>
      </c>
      <c r="E2467" s="26">
        <v>14025</v>
      </c>
    </row>
    <row r="2468" spans="1:5" x14ac:dyDescent="0.25">
      <c r="A2468" s="24" t="s">
        <v>7</v>
      </c>
      <c r="B2468" s="24" t="s">
        <v>6261</v>
      </c>
      <c r="C2468" s="25" t="s">
        <v>5255</v>
      </c>
      <c r="D2468" s="25" t="s">
        <v>6262</v>
      </c>
      <c r="E2468" s="26">
        <v>6683</v>
      </c>
    </row>
    <row r="2469" spans="1:5" x14ac:dyDescent="0.25">
      <c r="A2469" s="24" t="s">
        <v>7</v>
      </c>
      <c r="B2469" s="24" t="s">
        <v>6263</v>
      </c>
      <c r="C2469" s="25" t="s">
        <v>4947</v>
      </c>
      <c r="D2469" s="25" t="s">
        <v>4948</v>
      </c>
      <c r="E2469" s="26">
        <v>14025</v>
      </c>
    </row>
    <row r="2470" spans="1:5" x14ac:dyDescent="0.25">
      <c r="A2470" s="24" t="s">
        <v>7</v>
      </c>
      <c r="B2470" s="24" t="s">
        <v>6264</v>
      </c>
      <c r="C2470" s="25" t="s">
        <v>4950</v>
      </c>
      <c r="D2470" s="25" t="s">
        <v>4948</v>
      </c>
      <c r="E2470" s="26">
        <v>14025</v>
      </c>
    </row>
    <row r="2471" spans="1:5" x14ac:dyDescent="0.25">
      <c r="A2471" s="24" t="s">
        <v>7</v>
      </c>
      <c r="B2471" s="24" t="s">
        <v>6265</v>
      </c>
      <c r="C2471" s="25" t="s">
        <v>5258</v>
      </c>
      <c r="D2471" s="25" t="s">
        <v>5259</v>
      </c>
      <c r="E2471" s="26">
        <v>15119</v>
      </c>
    </row>
    <row r="2472" spans="1:5" x14ac:dyDescent="0.25">
      <c r="A2472" s="24" t="s">
        <v>7</v>
      </c>
      <c r="B2472" s="24" t="s">
        <v>6266</v>
      </c>
      <c r="C2472" s="25" t="s">
        <v>5114</v>
      </c>
      <c r="D2472" s="25" t="s">
        <v>4921</v>
      </c>
      <c r="E2472" s="26">
        <v>28031</v>
      </c>
    </row>
    <row r="2473" spans="1:5" x14ac:dyDescent="0.25">
      <c r="A2473" s="24" t="s">
        <v>7</v>
      </c>
      <c r="B2473" s="24" t="s">
        <v>6267</v>
      </c>
      <c r="C2473" s="25" t="s">
        <v>6268</v>
      </c>
      <c r="D2473" s="25" t="s">
        <v>5237</v>
      </c>
      <c r="E2473" s="26">
        <v>3965</v>
      </c>
    </row>
    <row r="2474" spans="1:5" x14ac:dyDescent="0.25">
      <c r="A2474" s="24" t="s">
        <v>7</v>
      </c>
      <c r="B2474" s="24" t="s">
        <v>6269</v>
      </c>
      <c r="C2474" s="25" t="s">
        <v>4312</v>
      </c>
      <c r="D2474" s="25" t="s">
        <v>4313</v>
      </c>
      <c r="E2474" s="26">
        <v>115150</v>
      </c>
    </row>
    <row r="2475" spans="1:5" x14ac:dyDescent="0.25">
      <c r="A2475" s="24" t="s">
        <v>7</v>
      </c>
      <c r="B2475" s="24" t="s">
        <v>6270</v>
      </c>
      <c r="C2475" s="25" t="s">
        <v>4321</v>
      </c>
      <c r="D2475" s="25" t="s">
        <v>4322</v>
      </c>
      <c r="E2475" s="26">
        <v>115150</v>
      </c>
    </row>
    <row r="2476" spans="1:5" x14ac:dyDescent="0.25">
      <c r="A2476" s="24" t="s">
        <v>7</v>
      </c>
      <c r="B2476" s="24" t="s">
        <v>6271</v>
      </c>
      <c r="C2476" s="25" t="s">
        <v>4324</v>
      </c>
      <c r="D2476" s="25" t="s">
        <v>4325</v>
      </c>
      <c r="E2476" s="26">
        <v>115150</v>
      </c>
    </row>
    <row r="2477" spans="1:5" x14ac:dyDescent="0.25">
      <c r="A2477" s="24" t="s">
        <v>7</v>
      </c>
      <c r="B2477" s="24" t="s">
        <v>6272</v>
      </c>
      <c r="C2477" s="25" t="s">
        <v>5261</v>
      </c>
      <c r="D2477" s="25" t="s">
        <v>5262</v>
      </c>
      <c r="E2477" s="26">
        <v>23142</v>
      </c>
    </row>
    <row r="2478" spans="1:5" x14ac:dyDescent="0.25">
      <c r="A2478" s="24" t="s">
        <v>7</v>
      </c>
      <c r="B2478" s="24" t="s">
        <v>6273</v>
      </c>
      <c r="C2478" s="25" t="s">
        <v>5264</v>
      </c>
      <c r="D2478" s="25" t="s">
        <v>5265</v>
      </c>
      <c r="E2478" s="26">
        <v>25514</v>
      </c>
    </row>
    <row r="2479" spans="1:5" x14ac:dyDescent="0.25">
      <c r="A2479" s="24" t="s">
        <v>7</v>
      </c>
      <c r="B2479" s="24" t="s">
        <v>6274</v>
      </c>
      <c r="C2479" s="25" t="s">
        <v>5267</v>
      </c>
      <c r="D2479" s="25" t="s">
        <v>6275</v>
      </c>
      <c r="E2479" s="26">
        <v>50553</v>
      </c>
    </row>
    <row r="2480" spans="1:5" x14ac:dyDescent="0.25">
      <c r="A2480" s="24" t="s">
        <v>7</v>
      </c>
      <c r="B2480" s="24" t="s">
        <v>6276</v>
      </c>
      <c r="C2480" s="25" t="s">
        <v>6277</v>
      </c>
      <c r="D2480" s="25" t="s">
        <v>6278</v>
      </c>
      <c r="E2480" s="26">
        <v>2413</v>
      </c>
    </row>
    <row r="2481" spans="1:5" x14ac:dyDescent="0.25">
      <c r="A2481" s="24" t="s">
        <v>7</v>
      </c>
      <c r="B2481" s="24" t="s">
        <v>6279</v>
      </c>
      <c r="C2481" s="25" t="s">
        <v>6280</v>
      </c>
      <c r="D2481" s="25" t="s">
        <v>6281</v>
      </c>
      <c r="E2481" s="26">
        <v>5877</v>
      </c>
    </row>
    <row r="2482" spans="1:5" x14ac:dyDescent="0.25">
      <c r="A2482" s="24" t="s">
        <v>7</v>
      </c>
      <c r="B2482" s="24" t="s">
        <v>6282</v>
      </c>
      <c r="C2482" s="25" t="s">
        <v>6283</v>
      </c>
      <c r="D2482" s="25" t="s">
        <v>5975</v>
      </c>
      <c r="E2482" s="26">
        <v>3108</v>
      </c>
    </row>
    <row r="2483" spans="1:5" x14ac:dyDescent="0.25">
      <c r="A2483" s="24" t="s">
        <v>7</v>
      </c>
      <c r="B2483" s="24" t="s">
        <v>6284</v>
      </c>
      <c r="C2483" s="25" t="s">
        <v>5270</v>
      </c>
      <c r="D2483" s="25" t="s">
        <v>5237</v>
      </c>
      <c r="E2483" s="26">
        <v>3420</v>
      </c>
    </row>
    <row r="2484" spans="1:5" x14ac:dyDescent="0.25">
      <c r="A2484" s="24" t="s">
        <v>7</v>
      </c>
      <c r="B2484" s="24" t="s">
        <v>6285</v>
      </c>
      <c r="C2484" s="25" t="s">
        <v>163</v>
      </c>
      <c r="D2484" s="25" t="s">
        <v>164</v>
      </c>
      <c r="E2484" s="26">
        <v>2413</v>
      </c>
    </row>
    <row r="2485" spans="1:5" x14ac:dyDescent="0.25">
      <c r="A2485" s="24" t="s">
        <v>7</v>
      </c>
      <c r="B2485" s="24" t="s">
        <v>6286</v>
      </c>
      <c r="C2485" s="25" t="s">
        <v>5272</v>
      </c>
      <c r="D2485" s="25" t="s">
        <v>4486</v>
      </c>
      <c r="E2485" s="26">
        <v>2958</v>
      </c>
    </row>
    <row r="2486" spans="1:5" x14ac:dyDescent="0.25">
      <c r="A2486" s="24" t="s">
        <v>7</v>
      </c>
      <c r="B2486" s="24" t="s">
        <v>6287</v>
      </c>
      <c r="C2486" s="25" t="s">
        <v>5274</v>
      </c>
      <c r="D2486" s="25" t="s">
        <v>5275</v>
      </c>
      <c r="E2486" s="26">
        <v>4763</v>
      </c>
    </row>
    <row r="2487" spans="1:5" x14ac:dyDescent="0.25">
      <c r="A2487" s="24" t="s">
        <v>7</v>
      </c>
      <c r="B2487" s="24" t="s">
        <v>6288</v>
      </c>
      <c r="C2487" s="25" t="s">
        <v>5277</v>
      </c>
      <c r="D2487" s="25" t="s">
        <v>5278</v>
      </c>
      <c r="E2487" s="26">
        <v>2237</v>
      </c>
    </row>
    <row r="2488" spans="1:5" x14ac:dyDescent="0.25">
      <c r="A2488" s="24" t="s">
        <v>7</v>
      </c>
      <c r="B2488" s="24" t="s">
        <v>6289</v>
      </c>
      <c r="C2488" s="25" t="s">
        <v>5298</v>
      </c>
      <c r="D2488" s="25" t="s">
        <v>5299</v>
      </c>
      <c r="E2488" s="26">
        <v>2095</v>
      </c>
    </row>
    <row r="2489" spans="1:5" x14ac:dyDescent="0.25">
      <c r="A2489" s="24" t="s">
        <v>7</v>
      </c>
      <c r="B2489" s="24" t="s">
        <v>6290</v>
      </c>
      <c r="C2489" s="25" t="s">
        <v>6291</v>
      </c>
      <c r="D2489" s="25" t="s">
        <v>6292</v>
      </c>
      <c r="E2489" s="26">
        <v>11118</v>
      </c>
    </row>
    <row r="2490" spans="1:5" x14ac:dyDescent="0.25">
      <c r="A2490" s="24" t="s">
        <v>7</v>
      </c>
      <c r="B2490" s="24" t="s">
        <v>6293</v>
      </c>
      <c r="C2490" s="25" t="s">
        <v>6294</v>
      </c>
      <c r="D2490" s="25" t="s">
        <v>6295</v>
      </c>
      <c r="E2490" s="26">
        <v>2240</v>
      </c>
    </row>
    <row r="2491" spans="1:5" x14ac:dyDescent="0.25">
      <c r="A2491" s="24" t="s">
        <v>7</v>
      </c>
      <c r="B2491" s="24" t="s">
        <v>6296</v>
      </c>
      <c r="C2491" s="25" t="s">
        <v>5301</v>
      </c>
      <c r="D2491" s="25" t="s">
        <v>6297</v>
      </c>
      <c r="E2491" s="26">
        <v>34124</v>
      </c>
    </row>
    <row r="2492" spans="1:5" x14ac:dyDescent="0.25">
      <c r="A2492" s="24" t="s">
        <v>7</v>
      </c>
      <c r="B2492" s="24" t="s">
        <v>6298</v>
      </c>
      <c r="C2492" s="25" t="s">
        <v>5307</v>
      </c>
      <c r="D2492" s="25" t="s">
        <v>5308</v>
      </c>
      <c r="E2492" s="26">
        <v>31972</v>
      </c>
    </row>
    <row r="2493" spans="1:5" x14ac:dyDescent="0.25">
      <c r="A2493" s="24" t="s">
        <v>7</v>
      </c>
      <c r="B2493" s="24" t="s">
        <v>6299</v>
      </c>
      <c r="C2493" s="25" t="s">
        <v>5304</v>
      </c>
      <c r="D2493" s="25" t="s">
        <v>6300</v>
      </c>
      <c r="E2493" s="26">
        <v>23657</v>
      </c>
    </row>
    <row r="2494" spans="1:5" x14ac:dyDescent="0.25">
      <c r="A2494" s="24" t="s">
        <v>7</v>
      </c>
      <c r="B2494" s="24" t="s">
        <v>6301</v>
      </c>
      <c r="C2494" s="25" t="s">
        <v>5310</v>
      </c>
      <c r="D2494" s="25" t="s">
        <v>5311</v>
      </c>
      <c r="E2494" s="26">
        <v>15119</v>
      </c>
    </row>
    <row r="2495" spans="1:5" x14ac:dyDescent="0.25">
      <c r="A2495" s="24" t="s">
        <v>7</v>
      </c>
      <c r="B2495" s="24" t="s">
        <v>6302</v>
      </c>
      <c r="C2495" s="25" t="s">
        <v>6303</v>
      </c>
      <c r="D2495" s="25" t="s">
        <v>6304</v>
      </c>
      <c r="E2495" s="26">
        <v>1501</v>
      </c>
    </row>
    <row r="2496" spans="1:5" x14ac:dyDescent="0.25">
      <c r="A2496" s="24" t="s">
        <v>7</v>
      </c>
      <c r="B2496" s="24" t="s">
        <v>6305</v>
      </c>
      <c r="C2496" s="25" t="s">
        <v>5944</v>
      </c>
      <c r="D2496" s="25" t="s">
        <v>6306</v>
      </c>
      <c r="E2496" s="26">
        <v>2031</v>
      </c>
    </row>
    <row r="2497" spans="1:5" x14ac:dyDescent="0.25">
      <c r="A2497" s="24" t="s">
        <v>7</v>
      </c>
      <c r="B2497" s="24" t="s">
        <v>6307</v>
      </c>
      <c r="C2497" s="25" t="s">
        <v>5313</v>
      </c>
      <c r="D2497" s="25" t="s">
        <v>5314</v>
      </c>
      <c r="E2497" s="26">
        <v>11720</v>
      </c>
    </row>
    <row r="2498" spans="1:5" x14ac:dyDescent="0.25">
      <c r="A2498" s="24" t="s">
        <v>7</v>
      </c>
      <c r="B2498" s="24" t="s">
        <v>6308</v>
      </c>
      <c r="C2498" s="25" t="s">
        <v>5316</v>
      </c>
      <c r="D2498" s="25" t="s">
        <v>5317</v>
      </c>
      <c r="E2498" s="26">
        <v>11720</v>
      </c>
    </row>
    <row r="2499" spans="1:5" x14ac:dyDescent="0.25">
      <c r="A2499" s="24" t="s">
        <v>7</v>
      </c>
      <c r="B2499" s="24" t="s">
        <v>6309</v>
      </c>
      <c r="C2499" s="25" t="s">
        <v>5319</v>
      </c>
      <c r="D2499" s="25" t="s">
        <v>5320</v>
      </c>
      <c r="E2499" s="26">
        <v>11720</v>
      </c>
    </row>
    <row r="2500" spans="1:5" x14ac:dyDescent="0.25">
      <c r="A2500" s="24" t="s">
        <v>7</v>
      </c>
      <c r="B2500" s="24" t="s">
        <v>6310</v>
      </c>
      <c r="C2500" s="25" t="s">
        <v>5322</v>
      </c>
      <c r="D2500" s="25" t="s">
        <v>5323</v>
      </c>
      <c r="E2500" s="26">
        <v>11002</v>
      </c>
    </row>
    <row r="2501" spans="1:5" x14ac:dyDescent="0.25">
      <c r="A2501" s="24" t="s">
        <v>7</v>
      </c>
      <c r="B2501" s="24" t="s">
        <v>6311</v>
      </c>
      <c r="C2501" s="25" t="s">
        <v>5325</v>
      </c>
      <c r="D2501" s="25" t="s">
        <v>5326</v>
      </c>
      <c r="E2501" s="26">
        <v>5372</v>
      </c>
    </row>
    <row r="2502" spans="1:5" x14ac:dyDescent="0.25">
      <c r="A2502" s="24" t="s">
        <v>7</v>
      </c>
      <c r="B2502" s="24" t="s">
        <v>6312</v>
      </c>
      <c r="C2502" s="25" t="s">
        <v>5328</v>
      </c>
      <c r="D2502" s="25" t="s">
        <v>5329</v>
      </c>
      <c r="E2502" s="26">
        <v>5372</v>
      </c>
    </row>
    <row r="2503" spans="1:5" x14ac:dyDescent="0.25">
      <c r="A2503" s="24" t="s">
        <v>7</v>
      </c>
      <c r="B2503" s="24" t="s">
        <v>6313</v>
      </c>
      <c r="C2503" s="25" t="s">
        <v>5331</v>
      </c>
      <c r="D2503" s="25" t="s">
        <v>5332</v>
      </c>
      <c r="E2503" s="26">
        <v>5533</v>
      </c>
    </row>
    <row r="2504" spans="1:5" x14ac:dyDescent="0.25">
      <c r="A2504" s="24" t="s">
        <v>7</v>
      </c>
      <c r="B2504" s="24" t="s">
        <v>6314</v>
      </c>
      <c r="C2504" s="25" t="s">
        <v>5105</v>
      </c>
      <c r="D2504" s="25" t="s">
        <v>5106</v>
      </c>
      <c r="E2504" s="26">
        <v>7483</v>
      </c>
    </row>
    <row r="2505" spans="1:5" x14ac:dyDescent="0.25">
      <c r="A2505" s="24" t="s">
        <v>7</v>
      </c>
      <c r="B2505" s="24" t="s">
        <v>6315</v>
      </c>
      <c r="C2505" s="25" t="s">
        <v>5334</v>
      </c>
      <c r="D2505" s="25" t="s">
        <v>5947</v>
      </c>
      <c r="E2505" s="26">
        <v>1658</v>
      </c>
    </row>
    <row r="2506" spans="1:5" x14ac:dyDescent="0.25">
      <c r="A2506" s="24" t="s">
        <v>7</v>
      </c>
      <c r="B2506" s="24" t="s">
        <v>6316</v>
      </c>
      <c r="C2506" s="25" t="s">
        <v>5337</v>
      </c>
      <c r="D2506" s="25" t="s">
        <v>6317</v>
      </c>
      <c r="E2506" s="26">
        <v>1757</v>
      </c>
    </row>
    <row r="2507" spans="1:5" x14ac:dyDescent="0.25">
      <c r="A2507" s="24" t="s">
        <v>7</v>
      </c>
      <c r="B2507" s="24" t="s">
        <v>6318</v>
      </c>
      <c r="C2507" s="25" t="s">
        <v>5340</v>
      </c>
      <c r="D2507" s="25" t="s">
        <v>5341</v>
      </c>
      <c r="E2507" s="26">
        <v>1757</v>
      </c>
    </row>
    <row r="2508" spans="1:5" x14ac:dyDescent="0.25">
      <c r="A2508" s="24" t="s">
        <v>7</v>
      </c>
      <c r="B2508" s="24" t="s">
        <v>6319</v>
      </c>
      <c r="C2508" s="25" t="s">
        <v>6320</v>
      </c>
      <c r="D2508" s="25" t="s">
        <v>6321</v>
      </c>
      <c r="E2508" s="26">
        <v>2793</v>
      </c>
    </row>
    <row r="2509" spans="1:5" x14ac:dyDescent="0.25">
      <c r="A2509" s="24" t="s">
        <v>7</v>
      </c>
      <c r="B2509" s="24" t="s">
        <v>6322</v>
      </c>
      <c r="C2509" s="25" t="s">
        <v>6323</v>
      </c>
      <c r="D2509" s="25" t="s">
        <v>6324</v>
      </c>
      <c r="E2509" s="26">
        <v>1479</v>
      </c>
    </row>
    <row r="2510" spans="1:5" x14ac:dyDescent="0.25">
      <c r="A2510" s="24" t="s">
        <v>7</v>
      </c>
      <c r="B2510" s="24" t="s">
        <v>6325</v>
      </c>
      <c r="C2510" s="25" t="s">
        <v>6326</v>
      </c>
      <c r="D2510" s="25" t="s">
        <v>6327</v>
      </c>
      <c r="E2510" s="26">
        <v>3929</v>
      </c>
    </row>
    <row r="2511" spans="1:5" x14ac:dyDescent="0.25">
      <c r="A2511" s="24" t="s">
        <v>7</v>
      </c>
      <c r="B2511" s="24" t="s">
        <v>6328</v>
      </c>
      <c r="C2511" s="25" t="s">
        <v>6329</v>
      </c>
      <c r="D2511" s="25" t="s">
        <v>6327</v>
      </c>
      <c r="E2511" s="26">
        <v>3929</v>
      </c>
    </row>
    <row r="2512" spans="1:5" x14ac:dyDescent="0.25">
      <c r="A2512" s="24" t="s">
        <v>7</v>
      </c>
      <c r="B2512" s="24" t="s">
        <v>6330</v>
      </c>
      <c r="C2512" s="25" t="s">
        <v>4303</v>
      </c>
      <c r="D2512" s="25" t="s">
        <v>4304</v>
      </c>
      <c r="E2512" s="26">
        <v>651</v>
      </c>
    </row>
    <row r="2513" spans="1:5" x14ac:dyDescent="0.25">
      <c r="A2513" s="24" t="s">
        <v>7</v>
      </c>
      <c r="B2513" s="24" t="s">
        <v>6331</v>
      </c>
      <c r="C2513" s="25" t="s">
        <v>6332</v>
      </c>
      <c r="D2513" s="25" t="s">
        <v>6333</v>
      </c>
      <c r="E2513" s="26">
        <v>8154</v>
      </c>
    </row>
    <row r="2514" spans="1:5" x14ac:dyDescent="0.25">
      <c r="A2514" s="24" t="s">
        <v>7</v>
      </c>
      <c r="B2514" s="24" t="s">
        <v>6334</v>
      </c>
      <c r="C2514" s="25" t="s">
        <v>6335</v>
      </c>
      <c r="D2514" s="25" t="s">
        <v>6336</v>
      </c>
      <c r="E2514" s="26">
        <v>1190</v>
      </c>
    </row>
    <row r="2515" spans="1:5" x14ac:dyDescent="0.25">
      <c r="A2515" s="24" t="s">
        <v>7</v>
      </c>
      <c r="B2515" s="24" t="s">
        <v>6337</v>
      </c>
      <c r="C2515" s="25" t="s">
        <v>6338</v>
      </c>
      <c r="D2515" s="25" t="s">
        <v>6339</v>
      </c>
      <c r="E2515" s="26">
        <v>11008</v>
      </c>
    </row>
    <row r="2516" spans="1:5" x14ac:dyDescent="0.25">
      <c r="A2516" s="24" t="s">
        <v>7</v>
      </c>
      <c r="B2516" s="24" t="s">
        <v>6340</v>
      </c>
      <c r="C2516" s="25" t="s">
        <v>6341</v>
      </c>
      <c r="D2516" s="25" t="s">
        <v>6336</v>
      </c>
      <c r="E2516" s="26">
        <v>916</v>
      </c>
    </row>
    <row r="2517" spans="1:5" x14ac:dyDescent="0.25">
      <c r="A2517" s="24" t="s">
        <v>7</v>
      </c>
      <c r="B2517" s="24" t="s">
        <v>6342</v>
      </c>
      <c r="C2517" s="25" t="s">
        <v>6343</v>
      </c>
      <c r="D2517" s="25" t="s">
        <v>6344</v>
      </c>
      <c r="E2517" s="26">
        <v>6661</v>
      </c>
    </row>
    <row r="2518" spans="1:5" x14ac:dyDescent="0.25">
      <c r="A2518" s="24" t="s">
        <v>7</v>
      </c>
      <c r="B2518" s="24" t="s">
        <v>6345</v>
      </c>
      <c r="C2518" s="25" t="s">
        <v>6346</v>
      </c>
      <c r="D2518" s="25" t="s">
        <v>6347</v>
      </c>
      <c r="E2518" s="26">
        <v>9549</v>
      </c>
    </row>
    <row r="2519" spans="1:5" x14ac:dyDescent="0.25">
      <c r="A2519" s="24" t="s">
        <v>7</v>
      </c>
      <c r="B2519" s="24" t="s">
        <v>6348</v>
      </c>
      <c r="C2519" s="25" t="s">
        <v>5964</v>
      </c>
      <c r="D2519" s="25" t="s">
        <v>5965</v>
      </c>
      <c r="E2519" s="26">
        <v>3518</v>
      </c>
    </row>
    <row r="2520" spans="1:5" x14ac:dyDescent="0.25">
      <c r="A2520" s="24" t="s">
        <v>7</v>
      </c>
      <c r="B2520" s="24" t="s">
        <v>6349</v>
      </c>
      <c r="C2520" s="25" t="s">
        <v>6350</v>
      </c>
      <c r="D2520" s="25" t="s">
        <v>6351</v>
      </c>
      <c r="E2520" s="26">
        <v>1712</v>
      </c>
    </row>
    <row r="2521" spans="1:5" x14ac:dyDescent="0.25">
      <c r="A2521" s="24" t="s">
        <v>7</v>
      </c>
      <c r="B2521" s="24" t="s">
        <v>6352</v>
      </c>
      <c r="C2521" s="25" t="s">
        <v>6353</v>
      </c>
      <c r="D2521" s="25" t="s">
        <v>6354</v>
      </c>
      <c r="E2521" s="26">
        <v>2294</v>
      </c>
    </row>
    <row r="2522" spans="1:5" x14ac:dyDescent="0.25">
      <c r="A2522" s="24" t="s">
        <v>7</v>
      </c>
      <c r="B2522" s="24" t="s">
        <v>6355</v>
      </c>
      <c r="C2522" s="25" t="s">
        <v>6356</v>
      </c>
      <c r="D2522" s="25" t="s">
        <v>6357</v>
      </c>
      <c r="E2522" s="26">
        <v>7602</v>
      </c>
    </row>
    <row r="2523" spans="1:5" x14ac:dyDescent="0.25">
      <c r="A2523" s="24" t="s">
        <v>7</v>
      </c>
      <c r="B2523" s="24" t="s">
        <v>6358</v>
      </c>
      <c r="C2523" s="25" t="s">
        <v>6359</v>
      </c>
      <c r="D2523" s="25" t="s">
        <v>6360</v>
      </c>
      <c r="E2523" s="26">
        <v>2787</v>
      </c>
    </row>
    <row r="2524" spans="1:5" x14ac:dyDescent="0.25">
      <c r="A2524" s="24" t="s">
        <v>7</v>
      </c>
      <c r="B2524" s="24" t="s">
        <v>6361</v>
      </c>
      <c r="C2524" s="25" t="s">
        <v>6362</v>
      </c>
      <c r="D2524" s="25" t="s">
        <v>6363</v>
      </c>
      <c r="E2524" s="26">
        <v>1190</v>
      </c>
    </row>
    <row r="2525" spans="1:5" x14ac:dyDescent="0.25">
      <c r="A2525" s="24" t="s">
        <v>7</v>
      </c>
      <c r="B2525" s="24" t="s">
        <v>6364</v>
      </c>
      <c r="C2525" s="25" t="s">
        <v>6365</v>
      </c>
      <c r="D2525" s="25" t="s">
        <v>6366</v>
      </c>
      <c r="E2525" s="26">
        <v>1281</v>
      </c>
    </row>
    <row r="2526" spans="1:5" x14ac:dyDescent="0.25">
      <c r="A2526" s="24" t="s">
        <v>7</v>
      </c>
      <c r="B2526" s="24" t="s">
        <v>6367</v>
      </c>
      <c r="C2526" s="25" t="s">
        <v>6368</v>
      </c>
      <c r="D2526" s="25" t="s">
        <v>6369</v>
      </c>
      <c r="E2526" s="26">
        <v>1625</v>
      </c>
    </row>
    <row r="2527" spans="1:5" x14ac:dyDescent="0.25">
      <c r="A2527" s="24" t="s">
        <v>7</v>
      </c>
      <c r="B2527" s="24" t="s">
        <v>6370</v>
      </c>
      <c r="C2527" s="25" t="s">
        <v>6371</v>
      </c>
      <c r="D2527" s="25" t="s">
        <v>6372</v>
      </c>
      <c r="E2527" s="26">
        <v>1675</v>
      </c>
    </row>
    <row r="2528" spans="1:5" x14ac:dyDescent="0.25">
      <c r="A2528" s="24" t="s">
        <v>7</v>
      </c>
      <c r="B2528" s="24" t="s">
        <v>6373</v>
      </c>
      <c r="C2528" s="25" t="s">
        <v>6374</v>
      </c>
      <c r="D2528" s="25" t="s">
        <v>6375</v>
      </c>
      <c r="E2528" s="26">
        <v>2854</v>
      </c>
    </row>
    <row r="2529" spans="1:5" x14ac:dyDescent="0.25">
      <c r="A2529" s="24" t="s">
        <v>7</v>
      </c>
      <c r="B2529" s="24" t="s">
        <v>6376</v>
      </c>
      <c r="C2529" s="25" t="s">
        <v>6377</v>
      </c>
      <c r="D2529" s="25" t="s">
        <v>6378</v>
      </c>
      <c r="E2529" s="26">
        <v>3986</v>
      </c>
    </row>
    <row r="2530" spans="1:5" x14ac:dyDescent="0.25">
      <c r="A2530" s="24" t="s">
        <v>7</v>
      </c>
      <c r="B2530" s="24" t="s">
        <v>6379</v>
      </c>
      <c r="C2530" s="25" t="s">
        <v>6380</v>
      </c>
      <c r="D2530" s="25" t="s">
        <v>6381</v>
      </c>
      <c r="E2530" s="26">
        <v>2295</v>
      </c>
    </row>
    <row r="2531" spans="1:5" x14ac:dyDescent="0.25">
      <c r="A2531" s="24" t="s">
        <v>7</v>
      </c>
      <c r="B2531" s="24" t="s">
        <v>6382</v>
      </c>
      <c r="C2531" s="25" t="s">
        <v>6383</v>
      </c>
      <c r="D2531" s="25" t="s">
        <v>6384</v>
      </c>
      <c r="E2531" s="26">
        <v>1562</v>
      </c>
    </row>
    <row r="2532" spans="1:5" x14ac:dyDescent="0.25">
      <c r="A2532" s="24" t="s">
        <v>7</v>
      </c>
      <c r="B2532" s="24" t="s">
        <v>6385</v>
      </c>
      <c r="C2532" s="25" t="s">
        <v>6386</v>
      </c>
      <c r="D2532" s="25" t="s">
        <v>6387</v>
      </c>
      <c r="E2532" s="26">
        <v>1385</v>
      </c>
    </row>
    <row r="2533" spans="1:5" x14ac:dyDescent="0.25">
      <c r="A2533" s="24" t="s">
        <v>7</v>
      </c>
      <c r="B2533" s="24" t="s">
        <v>6388</v>
      </c>
      <c r="C2533" s="25" t="s">
        <v>6389</v>
      </c>
      <c r="D2533" s="25" t="s">
        <v>6390</v>
      </c>
      <c r="E2533" s="26">
        <v>1461</v>
      </c>
    </row>
    <row r="2534" spans="1:5" x14ac:dyDescent="0.25">
      <c r="A2534" s="24" t="s">
        <v>7</v>
      </c>
      <c r="B2534" s="24" t="s">
        <v>6391</v>
      </c>
      <c r="C2534" s="25" t="s">
        <v>6392</v>
      </c>
      <c r="D2534" s="25" t="s">
        <v>6393</v>
      </c>
      <c r="E2534" s="26">
        <v>1562</v>
      </c>
    </row>
    <row r="2535" spans="1:5" x14ac:dyDescent="0.25">
      <c r="A2535" s="24" t="s">
        <v>7</v>
      </c>
      <c r="B2535" s="24" t="s">
        <v>6394</v>
      </c>
      <c r="C2535" s="25" t="s">
        <v>6395</v>
      </c>
      <c r="D2535" s="25" t="s">
        <v>6396</v>
      </c>
      <c r="E2535" s="26">
        <v>1461</v>
      </c>
    </row>
    <row r="2536" spans="1:5" x14ac:dyDescent="0.25">
      <c r="A2536" s="24" t="s">
        <v>7</v>
      </c>
      <c r="B2536" s="24" t="s">
        <v>6397</v>
      </c>
      <c r="C2536" s="25" t="s">
        <v>6398</v>
      </c>
      <c r="D2536" s="25" t="s">
        <v>6399</v>
      </c>
      <c r="E2536" s="26">
        <v>14150</v>
      </c>
    </row>
    <row r="2537" spans="1:5" x14ac:dyDescent="0.25">
      <c r="A2537" s="24" t="s">
        <v>7</v>
      </c>
      <c r="B2537" s="24" t="s">
        <v>6400</v>
      </c>
      <c r="C2537" s="25" t="s">
        <v>6401</v>
      </c>
      <c r="D2537" s="25" t="s">
        <v>6402</v>
      </c>
      <c r="E2537" s="26">
        <v>9178</v>
      </c>
    </row>
    <row r="2538" spans="1:5" x14ac:dyDescent="0.25">
      <c r="A2538" s="24" t="s">
        <v>7</v>
      </c>
      <c r="B2538" s="24" t="s">
        <v>6403</v>
      </c>
      <c r="C2538" s="25" t="s">
        <v>6404</v>
      </c>
      <c r="D2538" s="25" t="s">
        <v>6405</v>
      </c>
      <c r="E2538" s="26">
        <v>8923</v>
      </c>
    </row>
    <row r="2539" spans="1:5" x14ac:dyDescent="0.25">
      <c r="A2539" s="24" t="s">
        <v>7</v>
      </c>
      <c r="B2539" s="24" t="s">
        <v>6406</v>
      </c>
      <c r="C2539" s="25" t="s">
        <v>6407</v>
      </c>
      <c r="D2539" s="25" t="s">
        <v>6408</v>
      </c>
      <c r="E2539" s="26">
        <v>1212</v>
      </c>
    </row>
    <row r="2540" spans="1:5" x14ac:dyDescent="0.25">
      <c r="A2540" s="24" t="s">
        <v>7</v>
      </c>
      <c r="B2540" s="24" t="s">
        <v>6409</v>
      </c>
      <c r="C2540" s="25" t="s">
        <v>6410</v>
      </c>
      <c r="D2540" s="25" t="s">
        <v>6408</v>
      </c>
      <c r="E2540" s="26">
        <v>1482</v>
      </c>
    </row>
    <row r="2541" spans="1:5" x14ac:dyDescent="0.25">
      <c r="A2541" s="24" t="s">
        <v>7</v>
      </c>
      <c r="B2541" s="24" t="s">
        <v>6411</v>
      </c>
      <c r="C2541" s="25" t="s">
        <v>6412</v>
      </c>
      <c r="D2541" s="25" t="s">
        <v>6408</v>
      </c>
      <c r="E2541" s="26">
        <v>1588</v>
      </c>
    </row>
    <row r="2542" spans="1:5" x14ac:dyDescent="0.25">
      <c r="A2542" s="24" t="s">
        <v>7</v>
      </c>
      <c r="B2542" s="24" t="s">
        <v>6413</v>
      </c>
      <c r="C2542" s="25" t="s">
        <v>5393</v>
      </c>
      <c r="D2542" s="25" t="s">
        <v>5394</v>
      </c>
      <c r="E2542" s="26">
        <v>2282</v>
      </c>
    </row>
    <row r="2543" spans="1:5" x14ac:dyDescent="0.25">
      <c r="A2543" s="24" t="s">
        <v>7</v>
      </c>
      <c r="B2543" s="24" t="s">
        <v>6414</v>
      </c>
      <c r="C2543" s="25" t="s">
        <v>6415</v>
      </c>
      <c r="D2543" s="25" t="s">
        <v>6416</v>
      </c>
      <c r="E2543" s="26">
        <v>51499</v>
      </c>
    </row>
    <row r="2544" spans="1:5" x14ac:dyDescent="0.25">
      <c r="A2544" s="24" t="s">
        <v>7</v>
      </c>
      <c r="B2544" s="24" t="s">
        <v>6417</v>
      </c>
      <c r="C2544" s="25" t="s">
        <v>5956</v>
      </c>
      <c r="D2544" s="25" t="s">
        <v>6418</v>
      </c>
      <c r="E2544" s="26">
        <v>45050</v>
      </c>
    </row>
    <row r="2545" spans="1:5" x14ac:dyDescent="0.25">
      <c r="A2545" s="24" t="s">
        <v>7</v>
      </c>
      <c r="B2545" s="24" t="s">
        <v>6419</v>
      </c>
      <c r="C2545" s="25" t="s">
        <v>5166</v>
      </c>
      <c r="D2545" s="25" t="s">
        <v>5167</v>
      </c>
      <c r="E2545" s="26">
        <v>14630</v>
      </c>
    </row>
    <row r="2546" spans="1:5" x14ac:dyDescent="0.25">
      <c r="A2546" s="24" t="s">
        <v>7</v>
      </c>
      <c r="B2546" s="24" t="s">
        <v>6420</v>
      </c>
      <c r="C2546" s="25" t="s">
        <v>4402</v>
      </c>
      <c r="D2546" s="25" t="s">
        <v>5579</v>
      </c>
      <c r="E2546" s="26">
        <v>2246</v>
      </c>
    </row>
    <row r="2547" spans="1:5" x14ac:dyDescent="0.25">
      <c r="A2547" s="24" t="s">
        <v>7</v>
      </c>
      <c r="B2547" s="24" t="s">
        <v>6421</v>
      </c>
      <c r="C2547" s="25" t="s">
        <v>6422</v>
      </c>
      <c r="D2547" s="25" t="s">
        <v>6423</v>
      </c>
      <c r="E2547" s="26">
        <v>40779</v>
      </c>
    </row>
    <row r="2548" spans="1:5" x14ac:dyDescent="0.25">
      <c r="A2548" s="24" t="s">
        <v>7</v>
      </c>
      <c r="B2548" s="24" t="s">
        <v>6424</v>
      </c>
      <c r="C2548" s="25" t="s">
        <v>6425</v>
      </c>
      <c r="D2548" s="25" t="s">
        <v>6426</v>
      </c>
      <c r="E2548" s="26">
        <v>5460</v>
      </c>
    </row>
    <row r="2549" spans="1:5" x14ac:dyDescent="0.25">
      <c r="A2549" s="24" t="s">
        <v>7</v>
      </c>
      <c r="B2549" s="24" t="s">
        <v>6427</v>
      </c>
      <c r="C2549" s="25" t="s">
        <v>4443</v>
      </c>
      <c r="D2549" s="25" t="s">
        <v>4444</v>
      </c>
      <c r="E2549" s="26">
        <v>1986</v>
      </c>
    </row>
    <row r="2550" spans="1:5" x14ac:dyDescent="0.25">
      <c r="A2550" s="24" t="s">
        <v>7</v>
      </c>
      <c r="B2550" s="24" t="s">
        <v>6428</v>
      </c>
      <c r="C2550" s="25" t="s">
        <v>6429</v>
      </c>
      <c r="D2550" s="25" t="s">
        <v>6430</v>
      </c>
      <c r="E2550" s="26">
        <v>2061</v>
      </c>
    </row>
    <row r="2551" spans="1:5" x14ac:dyDescent="0.25">
      <c r="A2551" s="24" t="s">
        <v>7</v>
      </c>
      <c r="B2551" s="24" t="s">
        <v>6431</v>
      </c>
      <c r="C2551" s="25" t="s">
        <v>6432</v>
      </c>
      <c r="D2551" s="25" t="s">
        <v>6433</v>
      </c>
      <c r="E2551" s="26">
        <v>3245</v>
      </c>
    </row>
    <row r="2552" spans="1:5" x14ac:dyDescent="0.25">
      <c r="A2552" s="24" t="s">
        <v>7</v>
      </c>
      <c r="B2552" s="24" t="s">
        <v>6434</v>
      </c>
      <c r="C2552" s="25" t="s">
        <v>6435</v>
      </c>
      <c r="D2552" s="25" t="s">
        <v>6436</v>
      </c>
      <c r="E2552" s="26">
        <v>4500</v>
      </c>
    </row>
    <row r="2553" spans="1:5" x14ac:dyDescent="0.25">
      <c r="A2553" s="24" t="s">
        <v>7</v>
      </c>
      <c r="B2553" s="24" t="s">
        <v>6437</v>
      </c>
      <c r="C2553" s="25" t="s">
        <v>6438</v>
      </c>
      <c r="D2553" s="25" t="s">
        <v>6439</v>
      </c>
      <c r="E2553" s="26">
        <v>7602</v>
      </c>
    </row>
    <row r="2554" spans="1:5" x14ac:dyDescent="0.25">
      <c r="A2554" s="24" t="s">
        <v>7</v>
      </c>
      <c r="B2554" s="24" t="s">
        <v>6440</v>
      </c>
      <c r="C2554" s="25" t="s">
        <v>6441</v>
      </c>
      <c r="D2554" s="25" t="s">
        <v>6442</v>
      </c>
      <c r="E2554" s="26">
        <v>1308</v>
      </c>
    </row>
    <row r="2555" spans="1:5" x14ac:dyDescent="0.25">
      <c r="A2555" s="24" t="s">
        <v>7</v>
      </c>
      <c r="B2555" s="24" t="s">
        <v>6443</v>
      </c>
      <c r="C2555" s="25" t="s">
        <v>4452</v>
      </c>
      <c r="D2555" s="25" t="s">
        <v>5920</v>
      </c>
      <c r="E2555" s="26">
        <v>521</v>
      </c>
    </row>
    <row r="2556" spans="1:5" x14ac:dyDescent="0.25">
      <c r="A2556" s="24" t="s">
        <v>7</v>
      </c>
      <c r="B2556" s="24" t="s">
        <v>6444</v>
      </c>
      <c r="C2556" s="25" t="s">
        <v>6445</v>
      </c>
      <c r="D2556" s="25" t="s">
        <v>6446</v>
      </c>
      <c r="E2556" s="26">
        <v>3192</v>
      </c>
    </row>
    <row r="2557" spans="1:5" x14ac:dyDescent="0.25">
      <c r="A2557" s="24" t="s">
        <v>7</v>
      </c>
      <c r="B2557" s="24" t="s">
        <v>6447</v>
      </c>
      <c r="C2557" s="25" t="s">
        <v>6448</v>
      </c>
      <c r="D2557" s="25" t="s">
        <v>6449</v>
      </c>
      <c r="E2557" s="26">
        <v>2700</v>
      </c>
    </row>
    <row r="2558" spans="1:5" x14ac:dyDescent="0.25">
      <c r="A2558" s="24" t="s">
        <v>7</v>
      </c>
      <c r="B2558" s="24" t="s">
        <v>6450</v>
      </c>
      <c r="C2558" s="25" t="s">
        <v>6451</v>
      </c>
      <c r="D2558" s="25" t="s">
        <v>6452</v>
      </c>
      <c r="E2558" s="26">
        <v>3700</v>
      </c>
    </row>
    <row r="2559" spans="1:5" x14ac:dyDescent="0.25">
      <c r="A2559" s="24" t="s">
        <v>7</v>
      </c>
      <c r="B2559" s="24" t="s">
        <v>6453</v>
      </c>
      <c r="C2559" s="25" t="s">
        <v>6454</v>
      </c>
      <c r="D2559" s="25" t="s">
        <v>6455</v>
      </c>
      <c r="E2559" s="26">
        <v>1736</v>
      </c>
    </row>
    <row r="2560" spans="1:5" x14ac:dyDescent="0.25">
      <c r="A2560" s="24" t="s">
        <v>7</v>
      </c>
      <c r="B2560" s="24" t="s">
        <v>6456</v>
      </c>
      <c r="C2560" s="25" t="s">
        <v>6457</v>
      </c>
      <c r="D2560" s="25" t="s">
        <v>6458</v>
      </c>
      <c r="E2560" s="26">
        <v>2249</v>
      </c>
    </row>
    <row r="2561" spans="1:5" x14ac:dyDescent="0.25">
      <c r="A2561" s="24" t="s">
        <v>7</v>
      </c>
      <c r="B2561" s="24" t="s">
        <v>6459</v>
      </c>
      <c r="C2561" s="25" t="s">
        <v>6460</v>
      </c>
      <c r="D2561" s="25" t="s">
        <v>6461</v>
      </c>
      <c r="E2561" s="26">
        <v>2772</v>
      </c>
    </row>
    <row r="2562" spans="1:5" x14ac:dyDescent="0.25">
      <c r="A2562" s="24" t="s">
        <v>7</v>
      </c>
      <c r="B2562" s="24" t="s">
        <v>6462</v>
      </c>
      <c r="C2562" s="25" t="s">
        <v>6463</v>
      </c>
      <c r="D2562" s="25" t="s">
        <v>6464</v>
      </c>
      <c r="E2562" s="26">
        <v>1727</v>
      </c>
    </row>
    <row r="2563" spans="1:5" x14ac:dyDescent="0.25">
      <c r="A2563" s="24" t="s">
        <v>7</v>
      </c>
      <c r="B2563" s="24" t="s">
        <v>6465</v>
      </c>
      <c r="C2563" s="25" t="s">
        <v>6466</v>
      </c>
      <c r="D2563" s="25" t="s">
        <v>6467</v>
      </c>
      <c r="E2563" s="26">
        <v>2300</v>
      </c>
    </row>
    <row r="2564" spans="1:5" x14ac:dyDescent="0.25">
      <c r="A2564" s="24" t="s">
        <v>7</v>
      </c>
      <c r="B2564" s="24" t="s">
        <v>6468</v>
      </c>
      <c r="C2564" s="25" t="s">
        <v>6469</v>
      </c>
      <c r="D2564" s="25" t="s">
        <v>6470</v>
      </c>
      <c r="E2564" s="26">
        <v>3100</v>
      </c>
    </row>
    <row r="2565" spans="1:5" x14ac:dyDescent="0.25">
      <c r="A2565" s="24" t="s">
        <v>7</v>
      </c>
      <c r="B2565" s="24" t="s">
        <v>6471</v>
      </c>
      <c r="C2565" s="25" t="s">
        <v>6472</v>
      </c>
      <c r="D2565" s="25" t="s">
        <v>6473</v>
      </c>
      <c r="E2565" s="26">
        <v>1932</v>
      </c>
    </row>
    <row r="2566" spans="1:5" x14ac:dyDescent="0.25">
      <c r="A2566" s="24" t="s">
        <v>7</v>
      </c>
      <c r="B2566" s="24" t="s">
        <v>6474</v>
      </c>
      <c r="C2566" s="25" t="s">
        <v>6475</v>
      </c>
      <c r="D2566" s="25" t="s">
        <v>6476</v>
      </c>
      <c r="E2566" s="26">
        <v>2268</v>
      </c>
    </row>
    <row r="2567" spans="1:5" x14ac:dyDescent="0.25">
      <c r="A2567" s="24" t="s">
        <v>7</v>
      </c>
      <c r="B2567" s="24" t="s">
        <v>6477</v>
      </c>
      <c r="C2567" s="25" t="s">
        <v>6478</v>
      </c>
      <c r="D2567" s="25" t="s">
        <v>6479</v>
      </c>
      <c r="E2567" s="26">
        <v>2688</v>
      </c>
    </row>
    <row r="2568" spans="1:5" x14ac:dyDescent="0.25">
      <c r="A2568" s="24" t="s">
        <v>7</v>
      </c>
      <c r="B2568" s="24" t="s">
        <v>6480</v>
      </c>
      <c r="C2568" s="25" t="s">
        <v>6481</v>
      </c>
      <c r="D2568" s="25" t="s">
        <v>6482</v>
      </c>
      <c r="E2568" s="26">
        <v>2744</v>
      </c>
    </row>
    <row r="2569" spans="1:5" x14ac:dyDescent="0.25">
      <c r="A2569" s="24" t="s">
        <v>7</v>
      </c>
      <c r="B2569" s="24" t="s">
        <v>6483</v>
      </c>
      <c r="C2569" s="25" t="s">
        <v>6484</v>
      </c>
      <c r="D2569" s="25" t="s">
        <v>6485</v>
      </c>
      <c r="E2569" s="26">
        <v>7258</v>
      </c>
    </row>
    <row r="2570" spans="1:5" x14ac:dyDescent="0.25">
      <c r="A2570" s="24" t="s">
        <v>7</v>
      </c>
      <c r="B2570" s="24" t="s">
        <v>6486</v>
      </c>
      <c r="C2570" s="25" t="s">
        <v>5272</v>
      </c>
      <c r="D2570" s="25" t="s">
        <v>4486</v>
      </c>
      <c r="E2570" s="26">
        <v>4133</v>
      </c>
    </row>
    <row r="2571" spans="1:5" x14ac:dyDescent="0.25">
      <c r="A2571" s="24" t="s">
        <v>7</v>
      </c>
      <c r="B2571" s="24" t="s">
        <v>6487</v>
      </c>
      <c r="C2571" s="25" t="s">
        <v>4485</v>
      </c>
      <c r="D2571" s="25" t="s">
        <v>4486</v>
      </c>
      <c r="E2571" s="26">
        <v>3815</v>
      </c>
    </row>
    <row r="2572" spans="1:5" x14ac:dyDescent="0.25">
      <c r="A2572" s="24" t="s">
        <v>7</v>
      </c>
      <c r="B2572" s="24" t="s">
        <v>6488</v>
      </c>
      <c r="C2572" s="25" t="s">
        <v>5213</v>
      </c>
      <c r="D2572" s="25" t="s">
        <v>5214</v>
      </c>
      <c r="E2572" s="26">
        <v>6903</v>
      </c>
    </row>
    <row r="2573" spans="1:5" x14ac:dyDescent="0.25">
      <c r="A2573" s="24" t="s">
        <v>7</v>
      </c>
      <c r="B2573" s="24" t="s">
        <v>6489</v>
      </c>
      <c r="C2573" s="25" t="s">
        <v>5210</v>
      </c>
      <c r="D2573" s="25" t="s">
        <v>6490</v>
      </c>
      <c r="E2573" s="26">
        <v>6903</v>
      </c>
    </row>
    <row r="2574" spans="1:5" x14ac:dyDescent="0.25">
      <c r="A2574" s="24" t="s">
        <v>7</v>
      </c>
      <c r="B2574" s="24" t="s">
        <v>6491</v>
      </c>
      <c r="C2574" s="25" t="s">
        <v>4521</v>
      </c>
      <c r="D2574" s="25" t="s">
        <v>4522</v>
      </c>
      <c r="E2574" s="26">
        <v>5155</v>
      </c>
    </row>
    <row r="2575" spans="1:5" x14ac:dyDescent="0.25">
      <c r="A2575" s="24" t="s">
        <v>7</v>
      </c>
      <c r="B2575" s="24" t="s">
        <v>6492</v>
      </c>
      <c r="C2575" s="25" t="s">
        <v>4527</v>
      </c>
      <c r="D2575" s="25" t="s">
        <v>4528</v>
      </c>
      <c r="E2575" s="26">
        <v>4863</v>
      </c>
    </row>
    <row r="2576" spans="1:5" x14ac:dyDescent="0.25">
      <c r="A2576" s="24" t="s">
        <v>7</v>
      </c>
      <c r="B2576" s="24" t="s">
        <v>6493</v>
      </c>
      <c r="C2576" s="25" t="s">
        <v>6494</v>
      </c>
      <c r="D2576" s="25" t="s">
        <v>6292</v>
      </c>
      <c r="E2576" s="26">
        <v>4730</v>
      </c>
    </row>
    <row r="2577" spans="1:5" x14ac:dyDescent="0.25">
      <c r="A2577" s="24" t="s">
        <v>7</v>
      </c>
      <c r="B2577" s="24" t="s">
        <v>6495</v>
      </c>
      <c r="C2577" s="25" t="s">
        <v>6496</v>
      </c>
      <c r="D2577" s="25" t="s">
        <v>6497</v>
      </c>
      <c r="E2577" s="26">
        <v>5158</v>
      </c>
    </row>
    <row r="2578" spans="1:5" x14ac:dyDescent="0.25">
      <c r="A2578" s="24" t="s">
        <v>7</v>
      </c>
      <c r="B2578" s="24" t="s">
        <v>6498</v>
      </c>
      <c r="C2578" s="25" t="s">
        <v>6291</v>
      </c>
      <c r="D2578" s="25" t="s">
        <v>6292</v>
      </c>
      <c r="E2578" s="26">
        <v>10190</v>
      </c>
    </row>
    <row r="2579" spans="1:5" x14ac:dyDescent="0.25">
      <c r="A2579" s="24" t="s">
        <v>7</v>
      </c>
      <c r="B2579" s="24" t="s">
        <v>6499</v>
      </c>
      <c r="C2579" s="25" t="s">
        <v>6500</v>
      </c>
      <c r="D2579" s="25" t="s">
        <v>6501</v>
      </c>
      <c r="E2579" s="26">
        <v>3933</v>
      </c>
    </row>
    <row r="2580" spans="1:5" x14ac:dyDescent="0.25">
      <c r="A2580" s="24" t="s">
        <v>7</v>
      </c>
      <c r="B2580" s="24" t="s">
        <v>6502</v>
      </c>
      <c r="C2580" s="25" t="s">
        <v>6503</v>
      </c>
      <c r="D2580" s="25" t="s">
        <v>6504</v>
      </c>
      <c r="E2580" s="26">
        <v>2466</v>
      </c>
    </row>
    <row r="2581" spans="1:5" x14ac:dyDescent="0.25">
      <c r="A2581" s="24" t="s">
        <v>7</v>
      </c>
      <c r="B2581" s="24" t="s">
        <v>6505</v>
      </c>
      <c r="C2581" s="25" t="s">
        <v>6506</v>
      </c>
      <c r="D2581" s="25" t="s">
        <v>6507</v>
      </c>
      <c r="E2581" s="26">
        <v>2716</v>
      </c>
    </row>
    <row r="2582" spans="1:5" x14ac:dyDescent="0.25">
      <c r="A2582" s="24" t="s">
        <v>7</v>
      </c>
      <c r="B2582" s="24" t="s">
        <v>6508</v>
      </c>
      <c r="C2582" s="25" t="s">
        <v>6509</v>
      </c>
      <c r="D2582" s="25" t="s">
        <v>6510</v>
      </c>
      <c r="E2582" s="26">
        <v>3192</v>
      </c>
    </row>
    <row r="2583" spans="1:5" x14ac:dyDescent="0.25">
      <c r="A2583" s="24" t="s">
        <v>7</v>
      </c>
      <c r="B2583" s="24" t="s">
        <v>6511</v>
      </c>
      <c r="C2583" s="25" t="s">
        <v>6512</v>
      </c>
      <c r="D2583" s="25" t="s">
        <v>6513</v>
      </c>
      <c r="E2583" s="26">
        <v>3852</v>
      </c>
    </row>
    <row r="2584" spans="1:5" x14ac:dyDescent="0.25">
      <c r="A2584" s="24" t="s">
        <v>7</v>
      </c>
      <c r="B2584" s="24" t="s">
        <v>6514</v>
      </c>
      <c r="C2584" s="25" t="s">
        <v>6515</v>
      </c>
      <c r="D2584" s="25" t="s">
        <v>6516</v>
      </c>
      <c r="E2584" s="26">
        <v>2095</v>
      </c>
    </row>
    <row r="2585" spans="1:5" x14ac:dyDescent="0.25">
      <c r="A2585" s="24" t="s">
        <v>7</v>
      </c>
      <c r="B2585" s="24" t="s">
        <v>6517</v>
      </c>
      <c r="C2585" s="25" t="s">
        <v>6518</v>
      </c>
      <c r="D2585" s="25" t="s">
        <v>6519</v>
      </c>
      <c r="E2585" s="26">
        <v>2114</v>
      </c>
    </row>
    <row r="2586" spans="1:5" x14ac:dyDescent="0.25">
      <c r="A2586" s="24" t="s">
        <v>7</v>
      </c>
      <c r="B2586" s="24" t="s">
        <v>6520</v>
      </c>
      <c r="C2586" s="25" t="s">
        <v>6521</v>
      </c>
      <c r="D2586" s="25" t="s">
        <v>6522</v>
      </c>
      <c r="E2586" s="26">
        <v>5718</v>
      </c>
    </row>
    <row r="2587" spans="1:5" x14ac:dyDescent="0.25">
      <c r="A2587" s="24" t="s">
        <v>7</v>
      </c>
      <c r="B2587" s="24" t="s">
        <v>6523</v>
      </c>
      <c r="C2587" s="25" t="s">
        <v>6524</v>
      </c>
      <c r="D2587" s="25" t="s">
        <v>6525</v>
      </c>
      <c r="E2587" s="26">
        <v>4241</v>
      </c>
    </row>
    <row r="2588" spans="1:5" x14ac:dyDescent="0.25">
      <c r="A2588" s="24" t="s">
        <v>7</v>
      </c>
      <c r="B2588" s="24" t="s">
        <v>6526</v>
      </c>
      <c r="C2588" s="25" t="s">
        <v>6527</v>
      </c>
      <c r="D2588" s="25" t="s">
        <v>6528</v>
      </c>
      <c r="E2588" s="26">
        <v>2061</v>
      </c>
    </row>
    <row r="2589" spans="1:5" x14ac:dyDescent="0.25">
      <c r="A2589" s="24" t="s">
        <v>7</v>
      </c>
      <c r="B2589" s="24" t="s">
        <v>6529</v>
      </c>
      <c r="C2589" s="25" t="s">
        <v>6530</v>
      </c>
      <c r="D2589" s="25" t="s">
        <v>6531</v>
      </c>
      <c r="E2589" s="26">
        <v>2139</v>
      </c>
    </row>
    <row r="2590" spans="1:5" x14ac:dyDescent="0.25">
      <c r="A2590" s="24" t="s">
        <v>7</v>
      </c>
      <c r="B2590" s="24" t="s">
        <v>6532</v>
      </c>
      <c r="C2590" s="25" t="s">
        <v>6533</v>
      </c>
      <c r="D2590" s="25" t="s">
        <v>6534</v>
      </c>
      <c r="E2590" s="26">
        <v>2312</v>
      </c>
    </row>
    <row r="2591" spans="1:5" x14ac:dyDescent="0.25">
      <c r="A2591" s="24" t="s">
        <v>7</v>
      </c>
      <c r="B2591" s="24" t="s">
        <v>6535</v>
      </c>
      <c r="C2591" s="25" t="s">
        <v>6536</v>
      </c>
      <c r="D2591" s="25" t="s">
        <v>6537</v>
      </c>
      <c r="E2591" s="26">
        <v>3328</v>
      </c>
    </row>
    <row r="2592" spans="1:5" x14ac:dyDescent="0.25">
      <c r="A2592" s="24" t="s">
        <v>7</v>
      </c>
      <c r="B2592" s="24" t="s">
        <v>6538</v>
      </c>
      <c r="C2592" s="25" t="s">
        <v>6539</v>
      </c>
      <c r="D2592" s="25" t="s">
        <v>6540</v>
      </c>
      <c r="E2592" s="26">
        <v>1385</v>
      </c>
    </row>
    <row r="2593" spans="1:5" x14ac:dyDescent="0.25">
      <c r="A2593" s="24" t="s">
        <v>7</v>
      </c>
      <c r="B2593" s="24" t="s">
        <v>6541</v>
      </c>
      <c r="C2593" s="25" t="s">
        <v>6542</v>
      </c>
      <c r="D2593" s="25" t="s">
        <v>6543</v>
      </c>
      <c r="E2593" s="26">
        <v>2600</v>
      </c>
    </row>
    <row r="2594" spans="1:5" x14ac:dyDescent="0.25">
      <c r="A2594" s="24" t="s">
        <v>7</v>
      </c>
      <c r="B2594" s="24" t="s">
        <v>6544</v>
      </c>
      <c r="C2594" s="25" t="s">
        <v>6545</v>
      </c>
      <c r="D2594" s="25" t="s">
        <v>6546</v>
      </c>
      <c r="E2594" s="26">
        <v>3200</v>
      </c>
    </row>
    <row r="2595" spans="1:5" x14ac:dyDescent="0.25">
      <c r="A2595" s="24" t="s">
        <v>7</v>
      </c>
      <c r="B2595" s="24" t="s">
        <v>6547</v>
      </c>
      <c r="C2595" s="25" t="s">
        <v>6548</v>
      </c>
      <c r="D2595" s="25" t="s">
        <v>6549</v>
      </c>
      <c r="E2595" s="26">
        <v>1752</v>
      </c>
    </row>
    <row r="2596" spans="1:5" x14ac:dyDescent="0.25">
      <c r="A2596" s="24" t="s">
        <v>7</v>
      </c>
      <c r="B2596" s="24" t="s">
        <v>6550</v>
      </c>
      <c r="C2596" s="25" t="s">
        <v>6551</v>
      </c>
      <c r="D2596" s="25" t="s">
        <v>6552</v>
      </c>
      <c r="E2596" s="26">
        <v>3328</v>
      </c>
    </row>
    <row r="2597" spans="1:5" x14ac:dyDescent="0.25">
      <c r="A2597" s="24" t="s">
        <v>7</v>
      </c>
      <c r="B2597" s="24" t="s">
        <v>6553</v>
      </c>
      <c r="C2597" s="25" t="s">
        <v>5415</v>
      </c>
      <c r="D2597" s="25" t="s">
        <v>5416</v>
      </c>
      <c r="E2597" s="26">
        <v>5715</v>
      </c>
    </row>
    <row r="2598" spans="1:5" x14ac:dyDescent="0.25">
      <c r="A2598" s="24" t="s">
        <v>7</v>
      </c>
      <c r="B2598" s="24" t="s">
        <v>6554</v>
      </c>
      <c r="C2598" s="25" t="s">
        <v>5418</v>
      </c>
      <c r="D2598" s="25" t="s">
        <v>5419</v>
      </c>
      <c r="E2598" s="26">
        <v>5715</v>
      </c>
    </row>
    <row r="2599" spans="1:5" x14ac:dyDescent="0.25">
      <c r="A2599" s="24" t="s">
        <v>7</v>
      </c>
      <c r="B2599" s="24" t="s">
        <v>6555</v>
      </c>
      <c r="C2599" s="25" t="s">
        <v>6556</v>
      </c>
      <c r="D2599" s="25" t="s">
        <v>5419</v>
      </c>
      <c r="E2599" s="26">
        <v>5715</v>
      </c>
    </row>
    <row r="2600" spans="1:5" x14ac:dyDescent="0.25">
      <c r="A2600" s="24" t="s">
        <v>7</v>
      </c>
      <c r="B2600" s="24" t="s">
        <v>6557</v>
      </c>
      <c r="C2600" s="25" t="s">
        <v>4769</v>
      </c>
      <c r="D2600" s="25" t="s">
        <v>4770</v>
      </c>
      <c r="E2600" s="26">
        <v>5715</v>
      </c>
    </row>
    <row r="2601" spans="1:5" x14ac:dyDescent="0.25">
      <c r="A2601" s="24" t="s">
        <v>7</v>
      </c>
      <c r="B2601" s="24" t="s">
        <v>6558</v>
      </c>
      <c r="C2601" s="25" t="s">
        <v>4772</v>
      </c>
      <c r="D2601" s="25" t="s">
        <v>4773</v>
      </c>
      <c r="E2601" s="26">
        <v>5715</v>
      </c>
    </row>
    <row r="2602" spans="1:5" x14ac:dyDescent="0.25">
      <c r="A2602" s="24" t="s">
        <v>7</v>
      </c>
      <c r="B2602" s="24" t="s">
        <v>6559</v>
      </c>
      <c r="C2602" s="25" t="s">
        <v>6560</v>
      </c>
      <c r="D2602" s="25" t="s">
        <v>4773</v>
      </c>
      <c r="E2602" s="26">
        <v>5715</v>
      </c>
    </row>
    <row r="2603" spans="1:5" x14ac:dyDescent="0.25">
      <c r="A2603" s="24" t="s">
        <v>7</v>
      </c>
      <c r="B2603" s="24" t="s">
        <v>6561</v>
      </c>
      <c r="C2603" s="25" t="s">
        <v>5422</v>
      </c>
      <c r="D2603" s="25" t="s">
        <v>6054</v>
      </c>
      <c r="E2603" s="26">
        <v>6427</v>
      </c>
    </row>
    <row r="2604" spans="1:5" x14ac:dyDescent="0.25">
      <c r="A2604" s="24" t="s">
        <v>7</v>
      </c>
      <c r="B2604" s="24" t="s">
        <v>6562</v>
      </c>
      <c r="C2604" s="25" t="s">
        <v>6563</v>
      </c>
      <c r="D2604" s="25" t="s">
        <v>6564</v>
      </c>
      <c r="E2604" s="26">
        <v>2295</v>
      </c>
    </row>
    <row r="2605" spans="1:5" x14ac:dyDescent="0.25">
      <c r="A2605" s="24" t="s">
        <v>7</v>
      </c>
      <c r="B2605" s="24" t="s">
        <v>6565</v>
      </c>
      <c r="C2605" s="25" t="s">
        <v>4926</v>
      </c>
      <c r="D2605" s="25" t="s">
        <v>6566</v>
      </c>
      <c r="E2605" s="26">
        <v>5317</v>
      </c>
    </row>
    <row r="2606" spans="1:5" x14ac:dyDescent="0.25">
      <c r="A2606" s="24" t="s">
        <v>7</v>
      </c>
      <c r="B2606" s="24" t="s">
        <v>6567</v>
      </c>
      <c r="C2606" s="25" t="s">
        <v>6568</v>
      </c>
      <c r="D2606" s="25" t="s">
        <v>6569</v>
      </c>
      <c r="E2606" s="26">
        <v>15611</v>
      </c>
    </row>
    <row r="2607" spans="1:5" x14ac:dyDescent="0.25">
      <c r="A2607" s="24" t="s">
        <v>7</v>
      </c>
      <c r="B2607" s="24" t="s">
        <v>6570</v>
      </c>
      <c r="C2607" s="25" t="s">
        <v>6571</v>
      </c>
      <c r="D2607" s="25" t="s">
        <v>6572</v>
      </c>
      <c r="E2607" s="26">
        <v>1148</v>
      </c>
    </row>
    <row r="2608" spans="1:5" x14ac:dyDescent="0.25">
      <c r="A2608" s="24" t="s">
        <v>7</v>
      </c>
      <c r="B2608" s="24" t="s">
        <v>6573</v>
      </c>
      <c r="C2608" s="25" t="s">
        <v>6574</v>
      </c>
      <c r="D2608" s="25" t="s">
        <v>6575</v>
      </c>
      <c r="E2608" s="26">
        <v>5563</v>
      </c>
    </row>
    <row r="2609" spans="1:5" x14ac:dyDescent="0.25">
      <c r="A2609" s="24" t="s">
        <v>7</v>
      </c>
      <c r="B2609" s="24" t="s">
        <v>6576</v>
      </c>
      <c r="C2609" s="25" t="s">
        <v>6166</v>
      </c>
      <c r="D2609" s="25" t="s">
        <v>6167</v>
      </c>
      <c r="E2609" s="26">
        <v>4630</v>
      </c>
    </row>
    <row r="2610" spans="1:5" x14ac:dyDescent="0.25">
      <c r="A2610" s="24" t="s">
        <v>7</v>
      </c>
      <c r="B2610" s="24" t="s">
        <v>6577</v>
      </c>
      <c r="C2610" s="25" t="s">
        <v>6578</v>
      </c>
      <c r="D2610" s="25" t="s">
        <v>6579</v>
      </c>
      <c r="E2610" s="26">
        <v>2285</v>
      </c>
    </row>
    <row r="2611" spans="1:5" x14ac:dyDescent="0.25">
      <c r="A2611" s="24" t="s">
        <v>7</v>
      </c>
      <c r="B2611" s="24" t="s">
        <v>6580</v>
      </c>
      <c r="C2611" s="25" t="s">
        <v>6581</v>
      </c>
      <c r="D2611" s="25" t="s">
        <v>6582</v>
      </c>
      <c r="E2611" s="26">
        <v>1658</v>
      </c>
    </row>
    <row r="2612" spans="1:5" x14ac:dyDescent="0.25">
      <c r="A2612" s="24" t="s">
        <v>7</v>
      </c>
      <c r="B2612" s="24" t="s">
        <v>6583</v>
      </c>
      <c r="C2612" s="25" t="s">
        <v>6169</v>
      </c>
      <c r="D2612" s="25" t="s">
        <v>6170</v>
      </c>
      <c r="E2612" s="26">
        <v>3889</v>
      </c>
    </row>
    <row r="2613" spans="1:5" x14ac:dyDescent="0.25">
      <c r="A2613" s="24" t="s">
        <v>7</v>
      </c>
      <c r="B2613" s="24" t="s">
        <v>6584</v>
      </c>
      <c r="C2613" s="25" t="s">
        <v>6585</v>
      </c>
      <c r="D2613" s="25" t="s">
        <v>6586</v>
      </c>
      <c r="E2613" s="26">
        <v>7131</v>
      </c>
    </row>
    <row r="2614" spans="1:5" x14ac:dyDescent="0.25">
      <c r="A2614" s="24" t="s">
        <v>7</v>
      </c>
      <c r="B2614" s="24" t="s">
        <v>6587</v>
      </c>
      <c r="C2614" s="25" t="s">
        <v>5081</v>
      </c>
      <c r="D2614" s="25" t="s">
        <v>5082</v>
      </c>
      <c r="E2614" s="26">
        <v>6427</v>
      </c>
    </row>
    <row r="2615" spans="1:5" x14ac:dyDescent="0.25">
      <c r="A2615" s="24" t="s">
        <v>7</v>
      </c>
      <c r="B2615" s="24" t="s">
        <v>6588</v>
      </c>
      <c r="C2615" s="25" t="s">
        <v>6589</v>
      </c>
      <c r="D2615" s="25" t="s">
        <v>6590</v>
      </c>
      <c r="E2615" s="26">
        <v>51499</v>
      </c>
    </row>
    <row r="2616" spans="1:5" x14ac:dyDescent="0.25">
      <c r="A2616" s="24" t="s">
        <v>7</v>
      </c>
      <c r="B2616" s="24" t="s">
        <v>6591</v>
      </c>
      <c r="C2616" s="25" t="s">
        <v>5199</v>
      </c>
      <c r="D2616" s="25" t="s">
        <v>5200</v>
      </c>
      <c r="E2616" s="26">
        <v>4584</v>
      </c>
    </row>
    <row r="2617" spans="1:5" x14ac:dyDescent="0.25">
      <c r="A2617" s="24" t="s">
        <v>7</v>
      </c>
      <c r="B2617" s="24" t="s">
        <v>6592</v>
      </c>
      <c r="C2617" s="25" t="s">
        <v>5292</v>
      </c>
      <c r="D2617" s="25" t="s">
        <v>5293</v>
      </c>
      <c r="E2617" s="26">
        <v>6861</v>
      </c>
    </row>
    <row r="2618" spans="1:5" x14ac:dyDescent="0.25">
      <c r="A2618" s="24" t="s">
        <v>7</v>
      </c>
      <c r="B2618" s="24" t="s">
        <v>6593</v>
      </c>
      <c r="C2618" s="25" t="s">
        <v>6201</v>
      </c>
      <c r="D2618" s="25" t="s">
        <v>6202</v>
      </c>
      <c r="E2618" s="26">
        <v>7427</v>
      </c>
    </row>
    <row r="2619" spans="1:5" x14ac:dyDescent="0.25">
      <c r="A2619" s="24" t="s">
        <v>7</v>
      </c>
      <c r="B2619" s="24" t="s">
        <v>6594</v>
      </c>
      <c r="C2619" s="25" t="s">
        <v>6204</v>
      </c>
      <c r="D2619" s="25" t="s">
        <v>6205</v>
      </c>
      <c r="E2619" s="26">
        <v>5275</v>
      </c>
    </row>
    <row r="2620" spans="1:5" x14ac:dyDescent="0.25">
      <c r="A2620" s="24" t="s">
        <v>7</v>
      </c>
      <c r="B2620" s="24" t="s">
        <v>6595</v>
      </c>
      <c r="C2620" s="25" t="s">
        <v>4500</v>
      </c>
      <c r="D2620" s="25" t="s">
        <v>4501</v>
      </c>
      <c r="E2620" s="26">
        <v>14656</v>
      </c>
    </row>
    <row r="2621" spans="1:5" x14ac:dyDescent="0.25">
      <c r="A2621" s="24" t="s">
        <v>7</v>
      </c>
      <c r="B2621" s="24" t="s">
        <v>6596</v>
      </c>
      <c r="C2621" s="25" t="s">
        <v>6211</v>
      </c>
      <c r="D2621" s="25" t="s">
        <v>6212</v>
      </c>
      <c r="E2621" s="26">
        <v>5827</v>
      </c>
    </row>
    <row r="2622" spans="1:5" x14ac:dyDescent="0.25">
      <c r="A2622" s="24" t="s">
        <v>7</v>
      </c>
      <c r="B2622" s="24" t="s">
        <v>6597</v>
      </c>
      <c r="C2622" s="25" t="s">
        <v>6214</v>
      </c>
      <c r="D2622" s="25" t="s">
        <v>6215</v>
      </c>
      <c r="E2622" s="26">
        <v>2414</v>
      </c>
    </row>
    <row r="2623" spans="1:5" x14ac:dyDescent="0.25">
      <c r="A2623" s="24" t="s">
        <v>7</v>
      </c>
      <c r="B2623" s="24" t="s">
        <v>6598</v>
      </c>
      <c r="C2623" s="25" t="s">
        <v>6217</v>
      </c>
      <c r="D2623" s="25" t="s">
        <v>6218</v>
      </c>
      <c r="E2623" s="26">
        <v>7863</v>
      </c>
    </row>
    <row r="2624" spans="1:5" x14ac:dyDescent="0.25">
      <c r="A2624" s="24" t="s">
        <v>7</v>
      </c>
      <c r="B2624" s="24" t="s">
        <v>6599</v>
      </c>
      <c r="C2624" s="25" t="s">
        <v>5438</v>
      </c>
      <c r="D2624" s="25" t="s">
        <v>5439</v>
      </c>
      <c r="E2624" s="26">
        <v>2826</v>
      </c>
    </row>
    <row r="2625" spans="1:5" x14ac:dyDescent="0.25">
      <c r="A2625" s="24" t="s">
        <v>7</v>
      </c>
      <c r="B2625" s="24" t="s">
        <v>6600</v>
      </c>
      <c r="C2625" s="25" t="s">
        <v>163</v>
      </c>
      <c r="D2625" s="25" t="s">
        <v>164</v>
      </c>
      <c r="E2625" s="26">
        <v>2413</v>
      </c>
    </row>
    <row r="2626" spans="1:5" x14ac:dyDescent="0.25">
      <c r="A2626" s="24" t="s">
        <v>7</v>
      </c>
      <c r="B2626" s="24" t="s">
        <v>6601</v>
      </c>
      <c r="C2626" s="25" t="s">
        <v>4587</v>
      </c>
      <c r="D2626" s="25" t="s">
        <v>4588</v>
      </c>
      <c r="E2626" s="26">
        <v>10843</v>
      </c>
    </row>
    <row r="2627" spans="1:5" x14ac:dyDescent="0.25">
      <c r="A2627" s="24" t="s">
        <v>7</v>
      </c>
      <c r="B2627" s="24" t="s">
        <v>6602</v>
      </c>
      <c r="C2627" s="25" t="s">
        <v>5911</v>
      </c>
      <c r="D2627" s="25" t="s">
        <v>5912</v>
      </c>
      <c r="E2627" s="26">
        <v>7932</v>
      </c>
    </row>
    <row r="2628" spans="1:5" x14ac:dyDescent="0.25">
      <c r="A2628" s="24" t="s">
        <v>7</v>
      </c>
      <c r="B2628" s="24" t="s">
        <v>6603</v>
      </c>
      <c r="C2628" s="25" t="s">
        <v>5914</v>
      </c>
      <c r="D2628" s="25" t="s">
        <v>5915</v>
      </c>
      <c r="E2628" s="26">
        <v>8318</v>
      </c>
    </row>
    <row r="2629" spans="1:5" x14ac:dyDescent="0.25">
      <c r="A2629" s="24" t="s">
        <v>7</v>
      </c>
      <c r="B2629" s="24" t="s">
        <v>6604</v>
      </c>
      <c r="C2629" s="25" t="s">
        <v>6231</v>
      </c>
      <c r="D2629" s="25" t="s">
        <v>6605</v>
      </c>
      <c r="E2629" s="26">
        <v>13186</v>
      </c>
    </row>
    <row r="2630" spans="1:5" x14ac:dyDescent="0.25">
      <c r="A2630" s="24" t="s">
        <v>7</v>
      </c>
      <c r="B2630" s="24" t="s">
        <v>6606</v>
      </c>
      <c r="C2630" s="25" t="s">
        <v>5425</v>
      </c>
      <c r="D2630" s="25" t="s">
        <v>5426</v>
      </c>
      <c r="E2630" s="26">
        <v>7442</v>
      </c>
    </row>
    <row r="2631" spans="1:5" x14ac:dyDescent="0.25">
      <c r="A2631" s="24" t="s">
        <v>7</v>
      </c>
      <c r="B2631" s="24" t="s">
        <v>6607</v>
      </c>
      <c r="C2631" s="25" t="s">
        <v>5428</v>
      </c>
      <c r="D2631" s="25" t="s">
        <v>5429</v>
      </c>
      <c r="E2631" s="26">
        <v>9588</v>
      </c>
    </row>
    <row r="2632" spans="1:5" x14ac:dyDescent="0.25">
      <c r="A2632" s="24" t="s">
        <v>7</v>
      </c>
      <c r="B2632" s="24" t="s">
        <v>6608</v>
      </c>
      <c r="C2632" s="25" t="s">
        <v>4269</v>
      </c>
      <c r="D2632" s="25" t="s">
        <v>4270</v>
      </c>
      <c r="E2632" s="26">
        <v>3237</v>
      </c>
    </row>
    <row r="2633" spans="1:5" x14ac:dyDescent="0.25">
      <c r="A2633" s="24" t="s">
        <v>7</v>
      </c>
      <c r="B2633" s="24" t="s">
        <v>6609</v>
      </c>
      <c r="C2633" s="25" t="s">
        <v>6277</v>
      </c>
      <c r="D2633" s="25" t="s">
        <v>6278</v>
      </c>
      <c r="E2633" s="26">
        <v>2413</v>
      </c>
    </row>
    <row r="2634" spans="1:5" x14ac:dyDescent="0.25">
      <c r="A2634" s="24" t="s">
        <v>7</v>
      </c>
      <c r="B2634" s="24" t="s">
        <v>6610</v>
      </c>
      <c r="C2634" s="25" t="s">
        <v>6283</v>
      </c>
      <c r="D2634" s="25" t="s">
        <v>5975</v>
      </c>
      <c r="E2634" s="26">
        <v>6706</v>
      </c>
    </row>
    <row r="2635" spans="1:5" x14ac:dyDescent="0.25">
      <c r="A2635" s="24" t="s">
        <v>7</v>
      </c>
      <c r="B2635" s="24" t="s">
        <v>6611</v>
      </c>
      <c r="C2635" s="25" t="s">
        <v>6612</v>
      </c>
      <c r="D2635" s="25" t="s">
        <v>6613</v>
      </c>
      <c r="E2635" s="26">
        <v>14021</v>
      </c>
    </row>
    <row r="2636" spans="1:5" x14ac:dyDescent="0.25">
      <c r="A2636" s="24" t="s">
        <v>7</v>
      </c>
      <c r="B2636" s="24" t="s">
        <v>6614</v>
      </c>
      <c r="C2636" s="25" t="s">
        <v>5277</v>
      </c>
      <c r="D2636" s="25" t="s">
        <v>5278</v>
      </c>
      <c r="E2636" s="26">
        <v>4424</v>
      </c>
    </row>
    <row r="2637" spans="1:5" x14ac:dyDescent="0.25">
      <c r="A2637" s="24" t="s">
        <v>7</v>
      </c>
      <c r="B2637" s="24" t="s">
        <v>6615</v>
      </c>
      <c r="C2637" s="25" t="s">
        <v>6294</v>
      </c>
      <c r="D2637" s="25" t="s">
        <v>6295</v>
      </c>
      <c r="E2637" s="26">
        <v>11412</v>
      </c>
    </row>
    <row r="2638" spans="1:5" x14ac:dyDescent="0.25">
      <c r="A2638" s="24" t="s">
        <v>7</v>
      </c>
      <c r="B2638" s="24" t="s">
        <v>6616</v>
      </c>
      <c r="C2638" s="25" t="s">
        <v>5298</v>
      </c>
      <c r="D2638" s="25" t="s">
        <v>5299</v>
      </c>
      <c r="E2638" s="26">
        <v>2095</v>
      </c>
    </row>
    <row r="2639" spans="1:5" x14ac:dyDescent="0.25">
      <c r="A2639" s="24" t="s">
        <v>7</v>
      </c>
      <c r="B2639" s="24" t="s">
        <v>6617</v>
      </c>
      <c r="C2639" s="25" t="s">
        <v>5310</v>
      </c>
      <c r="D2639" s="25" t="s">
        <v>5311</v>
      </c>
      <c r="E2639" s="26">
        <v>13963</v>
      </c>
    </row>
    <row r="2640" spans="1:5" x14ac:dyDescent="0.25">
      <c r="A2640" s="24" t="s">
        <v>7</v>
      </c>
      <c r="B2640" s="24" t="s">
        <v>6618</v>
      </c>
      <c r="C2640" s="25" t="s">
        <v>4294</v>
      </c>
      <c r="D2640" s="25" t="s">
        <v>4295</v>
      </c>
      <c r="E2640" s="26">
        <v>1898</v>
      </c>
    </row>
    <row r="2641" spans="1:5" x14ac:dyDescent="0.25">
      <c r="A2641" s="24" t="s">
        <v>7</v>
      </c>
      <c r="B2641" s="24" t="s">
        <v>6619</v>
      </c>
      <c r="C2641" s="25" t="s">
        <v>6620</v>
      </c>
      <c r="D2641" s="25" t="s">
        <v>6621</v>
      </c>
      <c r="E2641" s="26">
        <v>948</v>
      </c>
    </row>
    <row r="2642" spans="1:5" x14ac:dyDescent="0.25">
      <c r="A2642" s="24" t="s">
        <v>7</v>
      </c>
      <c r="B2642" s="24" t="s">
        <v>6622</v>
      </c>
      <c r="C2642" s="25" t="s">
        <v>6323</v>
      </c>
      <c r="D2642" s="25" t="s">
        <v>6324</v>
      </c>
      <c r="E2642" s="26">
        <v>1090</v>
      </c>
    </row>
    <row r="2643" spans="1:5" x14ac:dyDescent="0.25">
      <c r="A2643" s="24" t="s">
        <v>7</v>
      </c>
      <c r="B2643" s="24" t="s">
        <v>6623</v>
      </c>
      <c r="C2643" s="25" t="s">
        <v>145</v>
      </c>
      <c r="D2643" s="25" t="s">
        <v>146</v>
      </c>
      <c r="E2643" s="26">
        <v>3929</v>
      </c>
    </row>
    <row r="2644" spans="1:5" x14ac:dyDescent="0.25">
      <c r="A2644" s="24" t="s">
        <v>7</v>
      </c>
      <c r="B2644" s="24" t="s">
        <v>6624</v>
      </c>
      <c r="C2644" s="25" t="s">
        <v>6625</v>
      </c>
      <c r="D2644" s="25" t="s">
        <v>146</v>
      </c>
      <c r="E2644" s="26">
        <v>3929</v>
      </c>
    </row>
    <row r="2645" spans="1:5" x14ac:dyDescent="0.25">
      <c r="A2645" s="24" t="s">
        <v>7</v>
      </c>
      <c r="B2645" s="24" t="s">
        <v>6626</v>
      </c>
      <c r="C2645" s="25" t="s">
        <v>5969</v>
      </c>
      <c r="D2645" s="25" t="s">
        <v>5970</v>
      </c>
      <c r="E2645" s="26">
        <v>2246</v>
      </c>
    </row>
    <row r="2646" spans="1:5" x14ac:dyDescent="0.25">
      <c r="A2646" s="24" t="s">
        <v>7</v>
      </c>
      <c r="B2646" s="24" t="s">
        <v>6627</v>
      </c>
      <c r="C2646" s="25" t="s">
        <v>4402</v>
      </c>
      <c r="D2646" s="25" t="s">
        <v>5579</v>
      </c>
      <c r="E2646" s="26">
        <v>2097</v>
      </c>
    </row>
    <row r="2647" spans="1:5" x14ac:dyDescent="0.25">
      <c r="A2647" s="24" t="s">
        <v>7</v>
      </c>
      <c r="B2647" s="24" t="s">
        <v>6628</v>
      </c>
      <c r="C2647" s="25" t="s">
        <v>4396</v>
      </c>
      <c r="D2647" s="25" t="s">
        <v>4397</v>
      </c>
      <c r="E2647" s="26">
        <v>1895</v>
      </c>
    </row>
    <row r="2648" spans="1:5" x14ac:dyDescent="0.25">
      <c r="A2648" s="24" t="s">
        <v>7</v>
      </c>
      <c r="B2648" s="24" t="s">
        <v>6629</v>
      </c>
      <c r="C2648" s="25" t="s">
        <v>5166</v>
      </c>
      <c r="D2648" s="25" t="s">
        <v>5167</v>
      </c>
      <c r="E2648" s="26">
        <v>14630</v>
      </c>
    </row>
    <row r="2649" spans="1:5" x14ac:dyDescent="0.25">
      <c r="A2649" s="24" t="s">
        <v>7</v>
      </c>
      <c r="B2649" s="24" t="s">
        <v>6630</v>
      </c>
      <c r="C2649" s="25" t="s">
        <v>4443</v>
      </c>
      <c r="D2649" s="25" t="s">
        <v>4444</v>
      </c>
      <c r="E2649" s="26">
        <v>1986</v>
      </c>
    </row>
    <row r="2650" spans="1:5" x14ac:dyDescent="0.25">
      <c r="A2650" s="24" t="s">
        <v>7</v>
      </c>
      <c r="B2650" s="24" t="s">
        <v>6631</v>
      </c>
      <c r="C2650" s="25" t="s">
        <v>4303</v>
      </c>
      <c r="D2650" s="25" t="s">
        <v>4304</v>
      </c>
      <c r="E2650" s="26">
        <v>651</v>
      </c>
    </row>
    <row r="2651" spans="1:5" x14ac:dyDescent="0.25">
      <c r="A2651" s="24" t="s">
        <v>7</v>
      </c>
      <c r="B2651" s="24" t="s">
        <v>6632</v>
      </c>
      <c r="C2651" s="25" t="s">
        <v>4180</v>
      </c>
      <c r="D2651" s="25" t="s">
        <v>6633</v>
      </c>
      <c r="E2651" s="26">
        <v>5904</v>
      </c>
    </row>
    <row r="2652" spans="1:5" x14ac:dyDescent="0.25">
      <c r="A2652" s="24" t="s">
        <v>7</v>
      </c>
      <c r="B2652" s="24" t="s">
        <v>6634</v>
      </c>
      <c r="C2652" s="25" t="s">
        <v>4267</v>
      </c>
      <c r="D2652" s="25" t="s">
        <v>5457</v>
      </c>
      <c r="E2652" s="26">
        <v>3512</v>
      </c>
    </row>
    <row r="2653" spans="1:5" x14ac:dyDescent="0.25">
      <c r="A2653" s="24" t="s">
        <v>7</v>
      </c>
      <c r="B2653" s="24" t="s">
        <v>6635</v>
      </c>
      <c r="C2653" s="25" t="s">
        <v>6636</v>
      </c>
      <c r="D2653" s="25" t="s">
        <v>4176</v>
      </c>
      <c r="E2653" s="26">
        <v>2135</v>
      </c>
    </row>
    <row r="2654" spans="1:5" x14ac:dyDescent="0.25">
      <c r="A2654" s="24" t="s">
        <v>7</v>
      </c>
      <c r="B2654" s="24" t="s">
        <v>6637</v>
      </c>
      <c r="C2654" s="25" t="s">
        <v>4485</v>
      </c>
      <c r="D2654" s="25" t="s">
        <v>6638</v>
      </c>
      <c r="E2654" s="26">
        <v>3815</v>
      </c>
    </row>
    <row r="2655" spans="1:5" x14ac:dyDescent="0.25">
      <c r="A2655" s="24" t="s">
        <v>7</v>
      </c>
      <c r="B2655" s="24" t="s">
        <v>6639</v>
      </c>
      <c r="C2655" s="25" t="s">
        <v>6009</v>
      </c>
      <c r="D2655" s="25" t="s">
        <v>6640</v>
      </c>
      <c r="E2655" s="26">
        <v>7022</v>
      </c>
    </row>
    <row r="2656" spans="1:5" x14ac:dyDescent="0.25">
      <c r="A2656" s="24" t="s">
        <v>7</v>
      </c>
      <c r="B2656" s="24" t="s">
        <v>6641</v>
      </c>
      <c r="C2656" s="25" t="s">
        <v>4521</v>
      </c>
      <c r="D2656" s="25" t="s">
        <v>4522</v>
      </c>
      <c r="E2656" s="26">
        <v>2584</v>
      </c>
    </row>
    <row r="2657" spans="1:5" x14ac:dyDescent="0.25">
      <c r="A2657" s="24" t="s">
        <v>7</v>
      </c>
      <c r="B2657" s="24" t="s">
        <v>6642</v>
      </c>
      <c r="C2657" s="25" t="s">
        <v>4527</v>
      </c>
      <c r="D2657" s="25" t="s">
        <v>4528</v>
      </c>
      <c r="E2657" s="26">
        <v>4863</v>
      </c>
    </row>
    <row r="2658" spans="1:5" x14ac:dyDescent="0.25">
      <c r="A2658" s="24" t="s">
        <v>7</v>
      </c>
      <c r="B2658" s="24" t="s">
        <v>6643</v>
      </c>
      <c r="C2658" s="25" t="s">
        <v>6644</v>
      </c>
      <c r="D2658" s="25" t="s">
        <v>6645</v>
      </c>
      <c r="E2658" s="26">
        <v>2168</v>
      </c>
    </row>
    <row r="2659" spans="1:5" x14ac:dyDescent="0.25">
      <c r="A2659" s="24" t="s">
        <v>7</v>
      </c>
      <c r="B2659" s="24" t="s">
        <v>6646</v>
      </c>
      <c r="C2659" s="25" t="s">
        <v>6647</v>
      </c>
      <c r="D2659" s="25" t="s">
        <v>6647</v>
      </c>
      <c r="E2659" s="26">
        <v>16513</v>
      </c>
    </row>
    <row r="2660" spans="1:5" x14ac:dyDescent="0.25">
      <c r="A2660" s="24" t="s">
        <v>7</v>
      </c>
      <c r="B2660" s="24" t="s">
        <v>6648</v>
      </c>
      <c r="C2660" s="25" t="s">
        <v>4935</v>
      </c>
      <c r="D2660" s="25" t="s">
        <v>4936</v>
      </c>
      <c r="E2660" s="26">
        <v>2847</v>
      </c>
    </row>
    <row r="2661" spans="1:5" x14ac:dyDescent="0.25">
      <c r="A2661" s="24" t="s">
        <v>7</v>
      </c>
      <c r="B2661" s="24" t="s">
        <v>6649</v>
      </c>
      <c r="C2661" s="25" t="s">
        <v>6650</v>
      </c>
      <c r="D2661" s="25" t="s">
        <v>6651</v>
      </c>
      <c r="E2661" s="26">
        <v>800</v>
      </c>
    </row>
    <row r="2662" spans="1:5" x14ac:dyDescent="0.25">
      <c r="A2662" s="24" t="s">
        <v>7</v>
      </c>
      <c r="B2662" s="24" t="s">
        <v>6652</v>
      </c>
      <c r="C2662" s="25" t="s">
        <v>6653</v>
      </c>
      <c r="D2662" s="25" t="s">
        <v>6654</v>
      </c>
      <c r="E2662" s="26">
        <v>800</v>
      </c>
    </row>
    <row r="2663" spans="1:5" x14ac:dyDescent="0.25">
      <c r="A2663" s="24" t="s">
        <v>7</v>
      </c>
      <c r="B2663" s="24" t="s">
        <v>6655</v>
      </c>
      <c r="C2663" s="25" t="s">
        <v>6656</v>
      </c>
      <c r="D2663" s="25" t="s">
        <v>6657</v>
      </c>
      <c r="E2663" s="26">
        <v>802</v>
      </c>
    </row>
    <row r="2664" spans="1:5" x14ac:dyDescent="0.25">
      <c r="A2664" s="24" t="s">
        <v>7</v>
      </c>
      <c r="B2664" s="24" t="s">
        <v>6658</v>
      </c>
      <c r="C2664" s="25" t="s">
        <v>6659</v>
      </c>
      <c r="D2664" s="25" t="s">
        <v>6660</v>
      </c>
      <c r="E2664" s="26">
        <v>3276</v>
      </c>
    </row>
    <row r="2665" spans="1:5" x14ac:dyDescent="0.25">
      <c r="A2665" s="24" t="s">
        <v>7</v>
      </c>
      <c r="B2665" s="24" t="s">
        <v>6661</v>
      </c>
      <c r="C2665" s="25" t="s">
        <v>4587</v>
      </c>
      <c r="D2665" s="25" t="s">
        <v>4588</v>
      </c>
      <c r="E2665" s="26">
        <v>10843</v>
      </c>
    </row>
    <row r="2666" spans="1:5" x14ac:dyDescent="0.25">
      <c r="A2666" s="24" t="s">
        <v>7</v>
      </c>
      <c r="B2666" s="24" t="s">
        <v>6662</v>
      </c>
      <c r="C2666" s="25" t="s">
        <v>139</v>
      </c>
      <c r="D2666" s="25" t="s">
        <v>140</v>
      </c>
      <c r="E2666" s="26">
        <v>1084</v>
      </c>
    </row>
    <row r="2667" spans="1:5" x14ac:dyDescent="0.25">
      <c r="A2667" s="24" t="s">
        <v>7</v>
      </c>
      <c r="B2667" s="24" t="s">
        <v>6663</v>
      </c>
      <c r="C2667" s="25" t="s">
        <v>154</v>
      </c>
      <c r="D2667" s="25" t="s">
        <v>155</v>
      </c>
      <c r="E2667" s="26">
        <v>1147</v>
      </c>
    </row>
    <row r="2668" spans="1:5" x14ac:dyDescent="0.25">
      <c r="A2668" s="24" t="s">
        <v>7</v>
      </c>
      <c r="B2668" s="24" t="s">
        <v>6664</v>
      </c>
      <c r="C2668" s="25" t="s">
        <v>6665</v>
      </c>
      <c r="D2668" s="25" t="s">
        <v>6666</v>
      </c>
      <c r="E2668" s="26">
        <v>1814</v>
      </c>
    </row>
    <row r="2669" spans="1:5" x14ac:dyDescent="0.25">
      <c r="A2669" s="24" t="s">
        <v>7</v>
      </c>
      <c r="B2669" s="24" t="s">
        <v>6667</v>
      </c>
      <c r="C2669" s="25" t="s">
        <v>6668</v>
      </c>
      <c r="D2669" s="25" t="s">
        <v>6669</v>
      </c>
      <c r="E2669" s="26">
        <v>1431</v>
      </c>
    </row>
    <row r="2670" spans="1:5" x14ac:dyDescent="0.25">
      <c r="A2670" s="24" t="s">
        <v>7</v>
      </c>
      <c r="B2670" s="24" t="s">
        <v>6670</v>
      </c>
      <c r="C2670" s="25" t="s">
        <v>6671</v>
      </c>
      <c r="D2670" s="25" t="s">
        <v>6672</v>
      </c>
      <c r="E2670" s="26">
        <v>934</v>
      </c>
    </row>
    <row r="2671" spans="1:5" x14ac:dyDescent="0.25">
      <c r="A2671" s="24" t="s">
        <v>7</v>
      </c>
      <c r="B2671" s="24" t="s">
        <v>6673</v>
      </c>
      <c r="C2671" s="25" t="s">
        <v>6674</v>
      </c>
      <c r="D2671" s="25" t="s">
        <v>6675</v>
      </c>
      <c r="E2671" s="26">
        <v>2163</v>
      </c>
    </row>
    <row r="2672" spans="1:5" x14ac:dyDescent="0.25">
      <c r="A2672" s="24" t="s">
        <v>7</v>
      </c>
      <c r="B2672" s="24" t="s">
        <v>6676</v>
      </c>
      <c r="C2672" s="25" t="s">
        <v>6677</v>
      </c>
      <c r="D2672" s="25" t="s">
        <v>6678</v>
      </c>
      <c r="E2672" s="26">
        <v>1714</v>
      </c>
    </row>
    <row r="2673" spans="1:5" x14ac:dyDescent="0.25">
      <c r="A2673" s="24" t="s">
        <v>7</v>
      </c>
      <c r="B2673" s="24" t="s">
        <v>6679</v>
      </c>
      <c r="C2673" s="25" t="s">
        <v>6680</v>
      </c>
      <c r="D2673" s="25" t="s">
        <v>6681</v>
      </c>
      <c r="E2673" s="26">
        <v>1221</v>
      </c>
    </row>
    <row r="2674" spans="1:5" x14ac:dyDescent="0.25">
      <c r="A2674" s="24" t="s">
        <v>7</v>
      </c>
      <c r="B2674" s="24" t="s">
        <v>6682</v>
      </c>
      <c r="C2674" s="25" t="s">
        <v>6683</v>
      </c>
      <c r="D2674" s="25" t="s">
        <v>6683</v>
      </c>
      <c r="E2674" s="26">
        <v>1471</v>
      </c>
    </row>
    <row r="2675" spans="1:5" x14ac:dyDescent="0.25">
      <c r="A2675" s="24" t="s">
        <v>7</v>
      </c>
      <c r="B2675" s="24" t="s">
        <v>6684</v>
      </c>
      <c r="C2675" s="25" t="s">
        <v>6685</v>
      </c>
      <c r="D2675" s="25" t="s">
        <v>6686</v>
      </c>
      <c r="E2675" s="26">
        <v>1244</v>
      </c>
    </row>
    <row r="2676" spans="1:5" x14ac:dyDescent="0.25">
      <c r="A2676" s="24" t="s">
        <v>7</v>
      </c>
      <c r="B2676" s="24" t="s">
        <v>6687</v>
      </c>
      <c r="C2676" s="25" t="s">
        <v>6688</v>
      </c>
      <c r="D2676" s="25" t="s">
        <v>6689</v>
      </c>
      <c r="E2676" s="26">
        <v>1084</v>
      </c>
    </row>
    <row r="2677" spans="1:5" x14ac:dyDescent="0.25">
      <c r="A2677" s="24" t="s">
        <v>7</v>
      </c>
      <c r="B2677" s="24" t="s">
        <v>6690</v>
      </c>
      <c r="C2677" s="25" t="s">
        <v>208</v>
      </c>
      <c r="D2677" s="25" t="s">
        <v>209</v>
      </c>
      <c r="E2677" s="26">
        <v>2249</v>
      </c>
    </row>
    <row r="2678" spans="1:5" x14ac:dyDescent="0.25">
      <c r="A2678" s="24" t="s">
        <v>7</v>
      </c>
      <c r="B2678" s="24" t="s">
        <v>6691</v>
      </c>
      <c r="C2678" s="25" t="s">
        <v>6692</v>
      </c>
      <c r="D2678" s="25" t="s">
        <v>6693</v>
      </c>
      <c r="E2678" s="26">
        <v>2417</v>
      </c>
    </row>
    <row r="2679" spans="1:5" x14ac:dyDescent="0.25">
      <c r="A2679" s="24" t="s">
        <v>7</v>
      </c>
      <c r="B2679" s="24" t="s">
        <v>6694</v>
      </c>
      <c r="C2679" s="25" t="s">
        <v>193</v>
      </c>
      <c r="D2679" s="25" t="s">
        <v>194</v>
      </c>
      <c r="E2679" s="26">
        <v>2690</v>
      </c>
    </row>
    <row r="2680" spans="1:5" x14ac:dyDescent="0.25">
      <c r="A2680" s="24" t="s">
        <v>7</v>
      </c>
      <c r="B2680" s="24" t="s">
        <v>6695</v>
      </c>
      <c r="C2680" s="25" t="s">
        <v>211</v>
      </c>
      <c r="D2680" s="25" t="s">
        <v>212</v>
      </c>
      <c r="E2680" s="26">
        <v>1638</v>
      </c>
    </row>
    <row r="2681" spans="1:5" x14ac:dyDescent="0.25">
      <c r="A2681" s="24" t="s">
        <v>7</v>
      </c>
      <c r="B2681" s="24" t="s">
        <v>6696</v>
      </c>
      <c r="C2681" s="25" t="s">
        <v>6697</v>
      </c>
      <c r="D2681" s="25" t="s">
        <v>6698</v>
      </c>
      <c r="E2681" s="26">
        <v>3079</v>
      </c>
    </row>
    <row r="2682" spans="1:5" x14ac:dyDescent="0.25">
      <c r="A2682" s="24" t="s">
        <v>7</v>
      </c>
      <c r="B2682" s="24" t="s">
        <v>6699</v>
      </c>
      <c r="C2682" s="25" t="s">
        <v>6700</v>
      </c>
      <c r="D2682" s="25" t="s">
        <v>6701</v>
      </c>
      <c r="E2682" s="26">
        <v>1347</v>
      </c>
    </row>
    <row r="2683" spans="1:5" x14ac:dyDescent="0.25">
      <c r="A2683" s="24" t="s">
        <v>7</v>
      </c>
      <c r="B2683" s="24" t="s">
        <v>6702</v>
      </c>
      <c r="C2683" s="25" t="s">
        <v>6703</v>
      </c>
      <c r="D2683" s="25" t="s">
        <v>6704</v>
      </c>
      <c r="E2683" s="26">
        <v>1041</v>
      </c>
    </row>
    <row r="2684" spans="1:5" x14ac:dyDescent="0.25">
      <c r="A2684" s="24" t="s">
        <v>7</v>
      </c>
      <c r="B2684" s="24" t="s">
        <v>6705</v>
      </c>
      <c r="C2684" s="25" t="s">
        <v>6706</v>
      </c>
      <c r="D2684" s="25" t="s">
        <v>6707</v>
      </c>
      <c r="E2684" s="26">
        <v>1082</v>
      </c>
    </row>
    <row r="2685" spans="1:5" x14ac:dyDescent="0.25">
      <c r="A2685" s="24" t="s">
        <v>7</v>
      </c>
      <c r="B2685" s="24" t="s">
        <v>6708</v>
      </c>
      <c r="C2685" s="25" t="s">
        <v>6709</v>
      </c>
      <c r="D2685" s="25" t="s">
        <v>6710</v>
      </c>
      <c r="E2685" s="26">
        <v>2750</v>
      </c>
    </row>
    <row r="2686" spans="1:5" x14ac:dyDescent="0.25">
      <c r="A2686" s="24" t="s">
        <v>7</v>
      </c>
      <c r="B2686" s="24" t="s">
        <v>6711</v>
      </c>
      <c r="C2686" s="25" t="s">
        <v>6712</v>
      </c>
      <c r="D2686" s="25" t="s">
        <v>6713</v>
      </c>
      <c r="E2686" s="26">
        <v>1358</v>
      </c>
    </row>
    <row r="2687" spans="1:5" x14ac:dyDescent="0.25">
      <c r="A2687" s="24" t="s">
        <v>7</v>
      </c>
      <c r="B2687" s="24" t="s">
        <v>6714</v>
      </c>
      <c r="C2687" s="25" t="s">
        <v>6715</v>
      </c>
      <c r="D2687" s="25" t="s">
        <v>6716</v>
      </c>
      <c r="E2687" s="26">
        <v>926</v>
      </c>
    </row>
    <row r="2688" spans="1:5" x14ac:dyDescent="0.25">
      <c r="A2688" s="24" t="s">
        <v>7</v>
      </c>
      <c r="B2688" s="24" t="s">
        <v>6717</v>
      </c>
      <c r="C2688" s="25" t="s">
        <v>6718</v>
      </c>
      <c r="D2688" s="25" t="s">
        <v>6719</v>
      </c>
      <c r="E2688" s="26">
        <v>2484</v>
      </c>
    </row>
    <row r="2689" spans="1:5" x14ac:dyDescent="0.25">
      <c r="A2689" s="24" t="s">
        <v>7</v>
      </c>
      <c r="B2689" s="24" t="s">
        <v>6720</v>
      </c>
      <c r="C2689" s="25" t="s">
        <v>199</v>
      </c>
      <c r="D2689" s="25" t="s">
        <v>6721</v>
      </c>
      <c r="E2689" s="26">
        <v>2514</v>
      </c>
    </row>
    <row r="2690" spans="1:5" x14ac:dyDescent="0.25">
      <c r="A2690" s="24" t="s">
        <v>7</v>
      </c>
      <c r="B2690" s="24" t="s">
        <v>6722</v>
      </c>
      <c r="C2690" s="25" t="s">
        <v>6723</v>
      </c>
      <c r="D2690" s="25" t="s">
        <v>6724</v>
      </c>
      <c r="E2690" s="26">
        <v>1680</v>
      </c>
    </row>
    <row r="2691" spans="1:5" x14ac:dyDescent="0.25">
      <c r="A2691" s="24" t="s">
        <v>7</v>
      </c>
      <c r="B2691" s="24" t="s">
        <v>6725</v>
      </c>
      <c r="C2691" s="25" t="s">
        <v>6726</v>
      </c>
      <c r="D2691" s="25" t="s">
        <v>6727</v>
      </c>
      <c r="E2691" s="26">
        <v>1680</v>
      </c>
    </row>
    <row r="2692" spans="1:5" x14ac:dyDescent="0.25">
      <c r="A2692" s="24" t="s">
        <v>7</v>
      </c>
      <c r="B2692" s="24" t="s">
        <v>6728</v>
      </c>
      <c r="C2692" s="25" t="s">
        <v>6729</v>
      </c>
      <c r="D2692" s="25" t="s">
        <v>6729</v>
      </c>
      <c r="E2692" s="26">
        <v>842</v>
      </c>
    </row>
    <row r="2693" spans="1:5" x14ac:dyDescent="0.25">
      <c r="A2693" s="24" t="s">
        <v>7</v>
      </c>
      <c r="B2693" s="24" t="s">
        <v>6730</v>
      </c>
      <c r="C2693" s="25" t="s">
        <v>6731</v>
      </c>
      <c r="D2693" s="25" t="s">
        <v>6732</v>
      </c>
      <c r="E2693" s="26">
        <v>2606</v>
      </c>
    </row>
    <row r="2694" spans="1:5" x14ac:dyDescent="0.25">
      <c r="A2694" s="24" t="s">
        <v>7</v>
      </c>
      <c r="B2694" s="24" t="s">
        <v>6733</v>
      </c>
      <c r="C2694" s="25" t="s">
        <v>6734</v>
      </c>
      <c r="D2694" s="25" t="s">
        <v>6735</v>
      </c>
      <c r="E2694" s="26">
        <v>2892</v>
      </c>
    </row>
    <row r="2695" spans="1:5" x14ac:dyDescent="0.25">
      <c r="A2695" s="24" t="s">
        <v>7</v>
      </c>
      <c r="B2695" s="24" t="s">
        <v>6736</v>
      </c>
      <c r="C2695" s="25" t="s">
        <v>5072</v>
      </c>
      <c r="D2695" s="25" t="s">
        <v>5073</v>
      </c>
      <c r="E2695" s="26">
        <v>1159</v>
      </c>
    </row>
    <row r="2696" spans="1:5" x14ac:dyDescent="0.25">
      <c r="A2696" s="24" t="s">
        <v>7</v>
      </c>
      <c r="B2696" s="24" t="s">
        <v>6737</v>
      </c>
      <c r="C2696" s="25" t="s">
        <v>6738</v>
      </c>
      <c r="D2696" s="25" t="s">
        <v>6739</v>
      </c>
      <c r="E2696" s="26">
        <v>3164</v>
      </c>
    </row>
    <row r="2697" spans="1:5" x14ac:dyDescent="0.25">
      <c r="A2697" s="24" t="s">
        <v>7</v>
      </c>
      <c r="B2697" s="24" t="s">
        <v>6740</v>
      </c>
      <c r="C2697" s="25" t="s">
        <v>5075</v>
      </c>
      <c r="D2697" s="25" t="s">
        <v>5076</v>
      </c>
      <c r="E2697" s="26">
        <v>2907</v>
      </c>
    </row>
    <row r="2698" spans="1:5" x14ac:dyDescent="0.25">
      <c r="A2698" s="24" t="s">
        <v>7</v>
      </c>
      <c r="B2698" s="24" t="s">
        <v>6741</v>
      </c>
      <c r="C2698" s="25" t="s">
        <v>6742</v>
      </c>
      <c r="D2698" s="25" t="s">
        <v>6743</v>
      </c>
      <c r="E2698" s="26">
        <v>1962</v>
      </c>
    </row>
    <row r="2699" spans="1:5" x14ac:dyDescent="0.25">
      <c r="A2699" s="24" t="s">
        <v>7</v>
      </c>
      <c r="B2699" s="24" t="s">
        <v>6744</v>
      </c>
      <c r="C2699" s="25" t="s">
        <v>6585</v>
      </c>
      <c r="D2699" s="25" t="s">
        <v>6745</v>
      </c>
      <c r="E2699" s="26">
        <v>7131</v>
      </c>
    </row>
    <row r="2700" spans="1:5" x14ac:dyDescent="0.25">
      <c r="A2700" s="24" t="s">
        <v>7</v>
      </c>
      <c r="B2700" s="24" t="s">
        <v>6746</v>
      </c>
      <c r="C2700" s="25" t="s">
        <v>6196</v>
      </c>
      <c r="D2700" s="25" t="s">
        <v>6197</v>
      </c>
      <c r="E2700" s="26">
        <v>3929</v>
      </c>
    </row>
    <row r="2701" spans="1:5" x14ac:dyDescent="0.25">
      <c r="A2701" s="24" t="s">
        <v>7</v>
      </c>
      <c r="B2701" s="24" t="s">
        <v>6747</v>
      </c>
      <c r="C2701" s="25" t="s">
        <v>5199</v>
      </c>
      <c r="D2701" s="25" t="s">
        <v>5200</v>
      </c>
      <c r="E2701" s="26">
        <v>4324</v>
      </c>
    </row>
    <row r="2702" spans="1:5" x14ac:dyDescent="0.25">
      <c r="A2702" s="24" t="s">
        <v>7</v>
      </c>
      <c r="B2702" s="24" t="s">
        <v>6748</v>
      </c>
      <c r="C2702" s="25" t="s">
        <v>4500</v>
      </c>
      <c r="D2702" s="25" t="s">
        <v>4501</v>
      </c>
      <c r="E2702" s="26">
        <v>8334</v>
      </c>
    </row>
    <row r="2703" spans="1:5" x14ac:dyDescent="0.25">
      <c r="A2703" s="24" t="s">
        <v>7</v>
      </c>
      <c r="B2703" s="24" t="s">
        <v>6749</v>
      </c>
      <c r="C2703" s="25" t="s">
        <v>6211</v>
      </c>
      <c r="D2703" s="25" t="s">
        <v>6212</v>
      </c>
      <c r="E2703" s="26">
        <v>8334</v>
      </c>
    </row>
    <row r="2704" spans="1:5" x14ac:dyDescent="0.25">
      <c r="A2704" s="24" t="s">
        <v>7</v>
      </c>
      <c r="B2704" s="24" t="s">
        <v>6750</v>
      </c>
      <c r="C2704" s="25" t="s">
        <v>6214</v>
      </c>
      <c r="D2704" s="25" t="s">
        <v>6215</v>
      </c>
      <c r="E2704" s="26">
        <v>6861</v>
      </c>
    </row>
    <row r="2705" spans="1:5" x14ac:dyDescent="0.25">
      <c r="A2705" s="24" t="s">
        <v>7</v>
      </c>
      <c r="B2705" s="24" t="s">
        <v>6751</v>
      </c>
      <c r="C2705" s="25" t="s">
        <v>6277</v>
      </c>
      <c r="D2705" s="25" t="s">
        <v>6278</v>
      </c>
      <c r="E2705" s="26">
        <v>2413</v>
      </c>
    </row>
    <row r="2706" spans="1:5" x14ac:dyDescent="0.25">
      <c r="A2706" s="24" t="s">
        <v>7</v>
      </c>
      <c r="B2706" s="24" t="s">
        <v>6752</v>
      </c>
      <c r="C2706" s="25" t="s">
        <v>6217</v>
      </c>
      <c r="D2706" s="25" t="s">
        <v>6218</v>
      </c>
      <c r="E2706" s="26">
        <v>8877</v>
      </c>
    </row>
    <row r="2707" spans="1:5" x14ac:dyDescent="0.25">
      <c r="A2707" s="24" t="s">
        <v>7</v>
      </c>
      <c r="B2707" s="24" t="s">
        <v>6753</v>
      </c>
      <c r="C2707" s="25" t="s">
        <v>5292</v>
      </c>
      <c r="D2707" s="25" t="s">
        <v>5293</v>
      </c>
      <c r="E2707" s="26">
        <v>8877</v>
      </c>
    </row>
    <row r="2708" spans="1:5" x14ac:dyDescent="0.25">
      <c r="A2708" s="24" t="s">
        <v>7</v>
      </c>
      <c r="B2708" s="24" t="s">
        <v>6754</v>
      </c>
      <c r="C2708" s="25" t="s">
        <v>5438</v>
      </c>
      <c r="D2708" s="25" t="s">
        <v>5439</v>
      </c>
      <c r="E2708" s="26">
        <v>2826</v>
      </c>
    </row>
    <row r="2709" spans="1:5" x14ac:dyDescent="0.25">
      <c r="A2709" s="24" t="s">
        <v>7</v>
      </c>
      <c r="B2709" s="24" t="s">
        <v>6755</v>
      </c>
      <c r="C2709" s="25" t="s">
        <v>6756</v>
      </c>
      <c r="D2709" s="25" t="s">
        <v>6757</v>
      </c>
      <c r="E2709" s="26">
        <v>1210</v>
      </c>
    </row>
    <row r="2710" spans="1:5" x14ac:dyDescent="0.25">
      <c r="A2710" s="24" t="s">
        <v>7</v>
      </c>
      <c r="B2710" s="24" t="s">
        <v>6758</v>
      </c>
      <c r="C2710" s="25" t="s">
        <v>6208</v>
      </c>
      <c r="D2710" s="25" t="s">
        <v>6759</v>
      </c>
      <c r="E2710" s="26">
        <v>3720</v>
      </c>
    </row>
    <row r="2711" spans="1:5" x14ac:dyDescent="0.25">
      <c r="A2711" s="24" t="s">
        <v>7</v>
      </c>
      <c r="B2711" s="24" t="s">
        <v>6760</v>
      </c>
      <c r="C2711" s="25" t="s">
        <v>6231</v>
      </c>
      <c r="D2711" s="25" t="s">
        <v>6232</v>
      </c>
      <c r="E2711" s="26">
        <v>13186</v>
      </c>
    </row>
    <row r="2712" spans="1:5" x14ac:dyDescent="0.25">
      <c r="A2712" s="24" t="s">
        <v>7</v>
      </c>
      <c r="B2712" s="24" t="s">
        <v>6761</v>
      </c>
      <c r="C2712" s="25" t="s">
        <v>5914</v>
      </c>
      <c r="D2712" s="25" t="s">
        <v>5915</v>
      </c>
      <c r="E2712" s="26">
        <v>8919</v>
      </c>
    </row>
    <row r="2713" spans="1:5" x14ac:dyDescent="0.25">
      <c r="A2713" s="24" t="s">
        <v>7</v>
      </c>
      <c r="B2713" s="24" t="s">
        <v>6762</v>
      </c>
      <c r="C2713" s="25" t="s">
        <v>6763</v>
      </c>
      <c r="D2713" s="25" t="s">
        <v>6764</v>
      </c>
      <c r="E2713" s="26">
        <v>10674</v>
      </c>
    </row>
    <row r="2714" spans="1:5" x14ac:dyDescent="0.25">
      <c r="A2714" s="24" t="s">
        <v>7</v>
      </c>
      <c r="B2714" s="24" t="s">
        <v>6765</v>
      </c>
      <c r="C2714" s="25" t="s">
        <v>4926</v>
      </c>
      <c r="D2714" s="25" t="s">
        <v>4927</v>
      </c>
      <c r="E2714" s="26">
        <v>5317</v>
      </c>
    </row>
    <row r="2715" spans="1:5" x14ac:dyDescent="0.25">
      <c r="A2715" s="24" t="s">
        <v>7</v>
      </c>
      <c r="B2715" s="24" t="s">
        <v>6766</v>
      </c>
      <c r="C2715" s="25" t="s">
        <v>163</v>
      </c>
      <c r="D2715" s="25" t="s">
        <v>164</v>
      </c>
      <c r="E2715" s="26">
        <v>2413</v>
      </c>
    </row>
    <row r="2716" spans="1:5" x14ac:dyDescent="0.25">
      <c r="A2716" s="24" t="s">
        <v>7</v>
      </c>
      <c r="B2716" s="24" t="s">
        <v>6767</v>
      </c>
      <c r="C2716" s="25" t="s">
        <v>6612</v>
      </c>
      <c r="D2716" s="25" t="s">
        <v>6613</v>
      </c>
      <c r="E2716" s="26">
        <v>2229</v>
      </c>
    </row>
    <row r="2717" spans="1:5" x14ac:dyDescent="0.25">
      <c r="A2717" s="24" t="s">
        <v>7</v>
      </c>
      <c r="B2717" s="24" t="s">
        <v>6768</v>
      </c>
      <c r="C2717" s="25" t="s">
        <v>6769</v>
      </c>
      <c r="D2717" s="25" t="s">
        <v>6770</v>
      </c>
      <c r="E2717" s="26">
        <v>30956</v>
      </c>
    </row>
    <row r="2718" spans="1:5" x14ac:dyDescent="0.25">
      <c r="A2718" s="24" t="s">
        <v>7</v>
      </c>
      <c r="B2718" s="24" t="s">
        <v>6771</v>
      </c>
      <c r="C2718" s="25" t="s">
        <v>5274</v>
      </c>
      <c r="D2718" s="25" t="s">
        <v>5275</v>
      </c>
      <c r="E2718" s="26">
        <v>4733</v>
      </c>
    </row>
    <row r="2719" spans="1:5" x14ac:dyDescent="0.25">
      <c r="A2719" s="24" t="s">
        <v>7</v>
      </c>
      <c r="B2719" s="24" t="s">
        <v>6772</v>
      </c>
      <c r="C2719" s="25" t="s">
        <v>5277</v>
      </c>
      <c r="D2719" s="25" t="s">
        <v>5278</v>
      </c>
      <c r="E2719" s="26">
        <v>2237</v>
      </c>
    </row>
    <row r="2720" spans="1:5" x14ac:dyDescent="0.25">
      <c r="A2720" s="24" t="s">
        <v>7</v>
      </c>
      <c r="B2720" s="24" t="s">
        <v>6773</v>
      </c>
      <c r="C2720" s="25" t="s">
        <v>169</v>
      </c>
      <c r="D2720" s="25" t="s">
        <v>170</v>
      </c>
      <c r="E2720" s="26">
        <v>1865</v>
      </c>
    </row>
    <row r="2721" spans="1:5" x14ac:dyDescent="0.25">
      <c r="A2721" s="24" t="s">
        <v>7</v>
      </c>
      <c r="B2721" s="24" t="s">
        <v>6774</v>
      </c>
      <c r="C2721" s="25" t="s">
        <v>6294</v>
      </c>
      <c r="D2721" s="25" t="s">
        <v>6295</v>
      </c>
      <c r="E2721" s="26">
        <v>12439</v>
      </c>
    </row>
    <row r="2722" spans="1:5" x14ac:dyDescent="0.25">
      <c r="A2722" s="24" t="s">
        <v>7</v>
      </c>
      <c r="B2722" s="24" t="s">
        <v>6775</v>
      </c>
      <c r="C2722" s="25" t="s">
        <v>5298</v>
      </c>
      <c r="D2722" s="25" t="s">
        <v>5299</v>
      </c>
      <c r="E2722" s="26">
        <v>13880</v>
      </c>
    </row>
    <row r="2723" spans="1:5" x14ac:dyDescent="0.25">
      <c r="A2723" s="24" t="s">
        <v>7</v>
      </c>
      <c r="B2723" s="24" t="s">
        <v>6776</v>
      </c>
      <c r="C2723" s="25" t="s">
        <v>5310</v>
      </c>
      <c r="D2723" s="25" t="s">
        <v>5311</v>
      </c>
      <c r="E2723" s="26">
        <v>15709</v>
      </c>
    </row>
    <row r="2724" spans="1:5" x14ac:dyDescent="0.25">
      <c r="A2724" s="24" t="s">
        <v>7</v>
      </c>
      <c r="B2724" s="24" t="s">
        <v>6777</v>
      </c>
      <c r="C2724" s="25" t="s">
        <v>6778</v>
      </c>
      <c r="D2724" s="25" t="s">
        <v>6779</v>
      </c>
      <c r="E2724" s="26">
        <v>3203</v>
      </c>
    </row>
    <row r="2725" spans="1:5" x14ac:dyDescent="0.25">
      <c r="A2725" s="24" t="s">
        <v>7</v>
      </c>
      <c r="B2725" s="24" t="s">
        <v>6780</v>
      </c>
      <c r="C2725" s="25" t="s">
        <v>6781</v>
      </c>
      <c r="D2725" s="25" t="s">
        <v>6782</v>
      </c>
      <c r="E2725" s="26">
        <v>9856</v>
      </c>
    </row>
    <row r="2726" spans="1:5" x14ac:dyDescent="0.25">
      <c r="A2726" s="24" t="s">
        <v>7</v>
      </c>
      <c r="B2726" s="24" t="s">
        <v>6783</v>
      </c>
      <c r="C2726" s="25" t="s">
        <v>6784</v>
      </c>
      <c r="D2726" s="25" t="s">
        <v>6785</v>
      </c>
      <c r="E2726" s="26">
        <v>4633</v>
      </c>
    </row>
    <row r="2727" spans="1:5" x14ac:dyDescent="0.25">
      <c r="A2727" s="24" t="s">
        <v>7</v>
      </c>
      <c r="B2727" s="24" t="s">
        <v>6786</v>
      </c>
      <c r="C2727" s="25" t="s">
        <v>6787</v>
      </c>
      <c r="D2727" s="25" t="s">
        <v>6788</v>
      </c>
      <c r="E2727" s="26">
        <v>2450</v>
      </c>
    </row>
    <row r="2728" spans="1:5" x14ac:dyDescent="0.25">
      <c r="A2728" s="24" t="s">
        <v>7</v>
      </c>
      <c r="B2728" s="24" t="s">
        <v>6789</v>
      </c>
      <c r="C2728" s="25" t="s">
        <v>6790</v>
      </c>
      <c r="D2728" s="25" t="s">
        <v>6791</v>
      </c>
      <c r="E2728" s="26">
        <v>609</v>
      </c>
    </row>
    <row r="2729" spans="1:5" x14ac:dyDescent="0.25">
      <c r="A2729" s="24" t="s">
        <v>7</v>
      </c>
      <c r="B2729" s="24" t="s">
        <v>6792</v>
      </c>
      <c r="C2729" s="25" t="s">
        <v>6793</v>
      </c>
      <c r="D2729" s="25" t="s">
        <v>6794</v>
      </c>
      <c r="E2729" s="26">
        <v>2750</v>
      </c>
    </row>
    <row r="2730" spans="1:5" x14ac:dyDescent="0.25">
      <c r="A2730" s="24" t="s">
        <v>7</v>
      </c>
      <c r="B2730" s="24" t="s">
        <v>6795</v>
      </c>
      <c r="C2730" s="25" t="s">
        <v>6796</v>
      </c>
      <c r="D2730" s="25" t="s">
        <v>6797</v>
      </c>
      <c r="E2730" s="26">
        <v>800</v>
      </c>
    </row>
    <row r="2731" spans="1:5" x14ac:dyDescent="0.25">
      <c r="A2731" s="24" t="s">
        <v>7</v>
      </c>
      <c r="B2731" s="24" t="s">
        <v>6798</v>
      </c>
      <c r="C2731" s="25" t="s">
        <v>6799</v>
      </c>
      <c r="D2731" s="25" t="s">
        <v>299</v>
      </c>
      <c r="E2731" s="26">
        <v>1018</v>
      </c>
    </row>
    <row r="2732" spans="1:5" x14ac:dyDescent="0.25">
      <c r="A2732" s="24" t="s">
        <v>7</v>
      </c>
      <c r="B2732" s="24" t="s">
        <v>6800</v>
      </c>
      <c r="C2732" s="25" t="s">
        <v>6801</v>
      </c>
      <c r="D2732" s="25" t="s">
        <v>6802</v>
      </c>
      <c r="E2732" s="26">
        <v>573</v>
      </c>
    </row>
    <row r="2733" spans="1:5" x14ac:dyDescent="0.25">
      <c r="A2733" s="24" t="s">
        <v>7</v>
      </c>
      <c r="B2733" s="24" t="s">
        <v>6803</v>
      </c>
      <c r="C2733" s="25" t="s">
        <v>5285</v>
      </c>
      <c r="D2733" s="25" t="s">
        <v>5286</v>
      </c>
      <c r="E2733" s="26">
        <v>157</v>
      </c>
    </row>
    <row r="2734" spans="1:5" x14ac:dyDescent="0.25">
      <c r="A2734" s="24" t="s">
        <v>7</v>
      </c>
      <c r="B2734" s="24" t="s">
        <v>6804</v>
      </c>
      <c r="C2734" s="25" t="s">
        <v>5288</v>
      </c>
      <c r="D2734" s="25" t="s">
        <v>5283</v>
      </c>
      <c r="E2734" s="26">
        <v>885</v>
      </c>
    </row>
    <row r="2735" spans="1:5" x14ac:dyDescent="0.25">
      <c r="A2735" s="24" t="s">
        <v>7</v>
      </c>
      <c r="B2735" s="24" t="s">
        <v>6805</v>
      </c>
      <c r="C2735" s="25" t="s">
        <v>5290</v>
      </c>
      <c r="D2735" s="25" t="s">
        <v>5286</v>
      </c>
      <c r="E2735" s="26">
        <v>885</v>
      </c>
    </row>
    <row r="2736" spans="1:5" x14ac:dyDescent="0.25">
      <c r="A2736" s="24" t="s">
        <v>7</v>
      </c>
      <c r="B2736" s="24" t="s">
        <v>6806</v>
      </c>
      <c r="C2736" s="25" t="s">
        <v>6807</v>
      </c>
      <c r="D2736" s="25" t="s">
        <v>6808</v>
      </c>
      <c r="E2736" s="26">
        <v>602</v>
      </c>
    </row>
    <row r="2737" spans="1:5" x14ac:dyDescent="0.25">
      <c r="A2737" s="24" t="s">
        <v>7</v>
      </c>
      <c r="B2737" s="24" t="s">
        <v>6809</v>
      </c>
      <c r="C2737" s="25" t="s">
        <v>6810</v>
      </c>
      <c r="D2737" s="25" t="s">
        <v>6811</v>
      </c>
      <c r="E2737" s="26">
        <v>1525</v>
      </c>
    </row>
    <row r="2738" spans="1:5" x14ac:dyDescent="0.25">
      <c r="A2738" s="24" t="s">
        <v>7</v>
      </c>
      <c r="B2738" s="24" t="s">
        <v>6812</v>
      </c>
      <c r="C2738" s="25" t="s">
        <v>6813</v>
      </c>
      <c r="D2738" s="25" t="s">
        <v>6814</v>
      </c>
      <c r="E2738" s="26">
        <v>1068</v>
      </c>
    </row>
    <row r="2739" spans="1:5" x14ac:dyDescent="0.25">
      <c r="A2739" s="24" t="s">
        <v>7</v>
      </c>
      <c r="B2739" s="24" t="s">
        <v>6815</v>
      </c>
      <c r="C2739" s="25" t="s">
        <v>6816</v>
      </c>
      <c r="D2739" s="25" t="s">
        <v>6817</v>
      </c>
      <c r="E2739" s="26">
        <v>654</v>
      </c>
    </row>
    <row r="2740" spans="1:5" x14ac:dyDescent="0.25">
      <c r="A2740" s="24" t="s">
        <v>7</v>
      </c>
      <c r="B2740" s="24" t="s">
        <v>6818</v>
      </c>
      <c r="C2740" s="25" t="s">
        <v>6819</v>
      </c>
      <c r="D2740" s="25" t="s">
        <v>6820</v>
      </c>
      <c r="E2740" s="26">
        <v>260</v>
      </c>
    </row>
    <row r="2741" spans="1:5" x14ac:dyDescent="0.25">
      <c r="A2741" s="24" t="s">
        <v>7</v>
      </c>
      <c r="B2741" s="24" t="s">
        <v>6821</v>
      </c>
      <c r="C2741" s="25" t="s">
        <v>6822</v>
      </c>
      <c r="D2741" s="25" t="s">
        <v>6823</v>
      </c>
      <c r="E2741" s="26">
        <v>4869</v>
      </c>
    </row>
    <row r="2742" spans="1:5" x14ac:dyDescent="0.25">
      <c r="A2742" s="24" t="s">
        <v>7</v>
      </c>
      <c r="B2742" s="24" t="s">
        <v>6824</v>
      </c>
      <c r="C2742" s="25" t="s">
        <v>6825</v>
      </c>
      <c r="D2742" s="25" t="s">
        <v>6826</v>
      </c>
      <c r="E2742" s="26">
        <v>1096</v>
      </c>
    </row>
    <row r="2743" spans="1:5" x14ac:dyDescent="0.25">
      <c r="A2743" s="24" t="s">
        <v>7</v>
      </c>
      <c r="B2743" s="24" t="s">
        <v>6827</v>
      </c>
      <c r="C2743" s="25" t="s">
        <v>6828</v>
      </c>
      <c r="D2743" s="25" t="s">
        <v>6829</v>
      </c>
      <c r="E2743" s="26">
        <v>377</v>
      </c>
    </row>
    <row r="2744" spans="1:5" x14ac:dyDescent="0.25">
      <c r="A2744" s="24" t="s">
        <v>7</v>
      </c>
      <c r="B2744" s="24" t="s">
        <v>6830</v>
      </c>
      <c r="C2744" s="25" t="s">
        <v>6831</v>
      </c>
      <c r="D2744" s="25" t="s">
        <v>6832</v>
      </c>
      <c r="E2744" s="26">
        <v>1879</v>
      </c>
    </row>
    <row r="2745" spans="1:5" x14ac:dyDescent="0.25">
      <c r="A2745" s="24" t="s">
        <v>7</v>
      </c>
      <c r="B2745" s="24" t="s">
        <v>6833</v>
      </c>
      <c r="C2745" s="25" t="s">
        <v>6834</v>
      </c>
      <c r="D2745" s="25" t="s">
        <v>6835</v>
      </c>
      <c r="E2745" s="26">
        <v>235</v>
      </c>
    </row>
    <row r="2746" spans="1:5" x14ac:dyDescent="0.25">
      <c r="A2746" s="24" t="s">
        <v>7</v>
      </c>
      <c r="B2746" s="24" t="s">
        <v>6836</v>
      </c>
      <c r="C2746" s="25" t="s">
        <v>6837</v>
      </c>
      <c r="D2746" s="25" t="s">
        <v>6838</v>
      </c>
      <c r="E2746" s="26">
        <v>4</v>
      </c>
    </row>
    <row r="2747" spans="1:5" x14ac:dyDescent="0.25">
      <c r="A2747" s="24" t="s">
        <v>7</v>
      </c>
      <c r="B2747" s="24" t="s">
        <v>6839</v>
      </c>
      <c r="C2747" s="25" t="s">
        <v>6840</v>
      </c>
      <c r="D2747" s="25" t="s">
        <v>6841</v>
      </c>
      <c r="E2747" s="26">
        <v>268</v>
      </c>
    </row>
    <row r="2748" spans="1:5" x14ac:dyDescent="0.25">
      <c r="A2748" s="24" t="s">
        <v>7</v>
      </c>
      <c r="B2748" s="24" t="s">
        <v>6842</v>
      </c>
      <c r="C2748" s="25" t="s">
        <v>6843</v>
      </c>
      <c r="D2748" s="25" t="s">
        <v>6844</v>
      </c>
      <c r="E2748" s="26">
        <v>163</v>
      </c>
    </row>
    <row r="2749" spans="1:5" x14ac:dyDescent="0.25">
      <c r="A2749" s="24" t="s">
        <v>7</v>
      </c>
      <c r="B2749" s="24" t="s">
        <v>6845</v>
      </c>
      <c r="C2749" s="25" t="s">
        <v>6846</v>
      </c>
      <c r="D2749" s="25" t="s">
        <v>6847</v>
      </c>
      <c r="E2749" s="26">
        <v>206</v>
      </c>
    </row>
    <row r="2750" spans="1:5" x14ac:dyDescent="0.25">
      <c r="A2750" s="24" t="s">
        <v>7</v>
      </c>
      <c r="B2750" s="24" t="s">
        <v>6848</v>
      </c>
      <c r="C2750" s="25" t="s">
        <v>6849</v>
      </c>
      <c r="D2750" s="25" t="s">
        <v>6850</v>
      </c>
      <c r="E2750" s="26">
        <v>200</v>
      </c>
    </row>
    <row r="2751" spans="1:5" x14ac:dyDescent="0.25">
      <c r="A2751" s="24" t="s">
        <v>7</v>
      </c>
      <c r="B2751" s="24" t="s">
        <v>6851</v>
      </c>
      <c r="C2751" s="25" t="s">
        <v>6852</v>
      </c>
      <c r="D2751" s="25" t="s">
        <v>6852</v>
      </c>
      <c r="E2751" s="26">
        <v>795</v>
      </c>
    </row>
    <row r="2752" spans="1:5" x14ac:dyDescent="0.25">
      <c r="A2752" s="24" t="s">
        <v>7</v>
      </c>
      <c r="B2752" s="24" t="s">
        <v>6853</v>
      </c>
      <c r="C2752" s="25" t="s">
        <v>6854</v>
      </c>
      <c r="D2752" s="25" t="s">
        <v>6855</v>
      </c>
      <c r="E2752" s="26">
        <v>1012</v>
      </c>
    </row>
    <row r="2753" spans="1:5" x14ac:dyDescent="0.25">
      <c r="A2753" s="24" t="s">
        <v>7</v>
      </c>
      <c r="B2753" s="24" t="s">
        <v>6856</v>
      </c>
      <c r="C2753" s="25" t="s">
        <v>6857</v>
      </c>
      <c r="D2753" s="25" t="s">
        <v>6858</v>
      </c>
      <c r="E2753" s="26">
        <v>105</v>
      </c>
    </row>
    <row r="2754" spans="1:5" x14ac:dyDescent="0.25">
      <c r="A2754" s="24" t="s">
        <v>7</v>
      </c>
      <c r="B2754" s="24" t="s">
        <v>6859</v>
      </c>
      <c r="C2754" s="25" t="s">
        <v>6860</v>
      </c>
      <c r="D2754" s="25" t="s">
        <v>6861</v>
      </c>
      <c r="E2754" s="26">
        <v>4092</v>
      </c>
    </row>
    <row r="2755" spans="1:5" x14ac:dyDescent="0.25">
      <c r="A2755" s="24" t="s">
        <v>7</v>
      </c>
      <c r="B2755" s="24" t="s">
        <v>6862</v>
      </c>
      <c r="C2755" s="25" t="s">
        <v>6863</v>
      </c>
      <c r="D2755" s="25" t="s">
        <v>6864</v>
      </c>
      <c r="E2755" s="26">
        <v>4244</v>
      </c>
    </row>
    <row r="2756" spans="1:5" x14ac:dyDescent="0.25">
      <c r="A2756" s="24" t="s">
        <v>7</v>
      </c>
      <c r="B2756" s="24" t="s">
        <v>6865</v>
      </c>
      <c r="C2756" s="25" t="s">
        <v>6866</v>
      </c>
      <c r="D2756" s="25" t="s">
        <v>6867</v>
      </c>
      <c r="E2756" s="26">
        <v>5308</v>
      </c>
    </row>
    <row r="2757" spans="1:5" x14ac:dyDescent="0.25">
      <c r="A2757" s="24" t="s">
        <v>7</v>
      </c>
      <c r="B2757" s="24" t="s">
        <v>6868</v>
      </c>
      <c r="C2757" s="25" t="s">
        <v>6869</v>
      </c>
      <c r="D2757" s="25" t="s">
        <v>6870</v>
      </c>
      <c r="E2757" s="26">
        <v>3931</v>
      </c>
    </row>
    <row r="2758" spans="1:5" x14ac:dyDescent="0.25">
      <c r="A2758" s="24" t="s">
        <v>7</v>
      </c>
      <c r="B2758" s="24" t="s">
        <v>6871</v>
      </c>
      <c r="C2758" s="25" t="s">
        <v>6872</v>
      </c>
      <c r="D2758" s="25" t="s">
        <v>6873</v>
      </c>
      <c r="E2758" s="26">
        <v>5658</v>
      </c>
    </row>
    <row r="2759" spans="1:5" x14ac:dyDescent="0.25">
      <c r="A2759" s="24" t="s">
        <v>7</v>
      </c>
      <c r="B2759" s="24" t="s">
        <v>6874</v>
      </c>
      <c r="C2759" s="25" t="s">
        <v>6875</v>
      </c>
      <c r="D2759" s="25" t="s">
        <v>6870</v>
      </c>
      <c r="E2759" s="26">
        <v>2488</v>
      </c>
    </row>
    <row r="2760" spans="1:5" x14ac:dyDescent="0.25">
      <c r="A2760" s="24" t="s">
        <v>7</v>
      </c>
      <c r="B2760" s="24" t="s">
        <v>6876</v>
      </c>
      <c r="C2760" s="25" t="s">
        <v>6877</v>
      </c>
      <c r="D2760" s="25" t="s">
        <v>6873</v>
      </c>
      <c r="E2760" s="26">
        <v>2637</v>
      </c>
    </row>
    <row r="2761" spans="1:5" x14ac:dyDescent="0.25">
      <c r="A2761" s="24" t="s">
        <v>7</v>
      </c>
      <c r="B2761" s="24" t="s">
        <v>6878</v>
      </c>
      <c r="C2761" s="25" t="s">
        <v>6879</v>
      </c>
      <c r="D2761" s="25" t="s">
        <v>6880</v>
      </c>
      <c r="E2761" s="26">
        <v>3845</v>
      </c>
    </row>
    <row r="2762" spans="1:5" x14ac:dyDescent="0.25">
      <c r="A2762" s="24" t="s">
        <v>7</v>
      </c>
      <c r="B2762" s="24" t="s">
        <v>6881</v>
      </c>
      <c r="C2762" s="25" t="s">
        <v>6882</v>
      </c>
      <c r="D2762" s="25" t="s">
        <v>6883</v>
      </c>
      <c r="E2762" s="26">
        <v>2848</v>
      </c>
    </row>
    <row r="2763" spans="1:5" x14ac:dyDescent="0.25">
      <c r="A2763" s="24" t="s">
        <v>7</v>
      </c>
      <c r="B2763" s="24" t="s">
        <v>6884</v>
      </c>
      <c r="C2763" s="25" t="s">
        <v>6885</v>
      </c>
      <c r="D2763" s="25" t="s">
        <v>6886</v>
      </c>
      <c r="E2763" s="26">
        <v>4582</v>
      </c>
    </row>
    <row r="2764" spans="1:5" x14ac:dyDescent="0.25">
      <c r="A2764" s="24" t="s">
        <v>7</v>
      </c>
      <c r="B2764" s="24" t="s">
        <v>6887</v>
      </c>
      <c r="C2764" s="25" t="s">
        <v>6888</v>
      </c>
      <c r="D2764" s="25" t="s">
        <v>6889</v>
      </c>
      <c r="E2764" s="26">
        <v>1699</v>
      </c>
    </row>
    <row r="2765" spans="1:5" x14ac:dyDescent="0.25">
      <c r="A2765" s="24" t="s">
        <v>7</v>
      </c>
      <c r="B2765" s="24" t="s">
        <v>6890</v>
      </c>
      <c r="C2765" s="25" t="s">
        <v>6891</v>
      </c>
      <c r="D2765" s="25" t="s">
        <v>6892</v>
      </c>
      <c r="E2765" s="26">
        <v>3717</v>
      </c>
    </row>
    <row r="2766" spans="1:5" x14ac:dyDescent="0.25">
      <c r="A2766" s="24" t="s">
        <v>7</v>
      </c>
      <c r="B2766" s="24" t="s">
        <v>6893</v>
      </c>
      <c r="C2766" s="25" t="s">
        <v>6894</v>
      </c>
      <c r="D2766" s="25" t="s">
        <v>6895</v>
      </c>
      <c r="E2766" s="26">
        <v>7308</v>
      </c>
    </row>
    <row r="2767" spans="1:5" x14ac:dyDescent="0.25">
      <c r="A2767" s="24" t="s">
        <v>7</v>
      </c>
      <c r="B2767" s="24" t="s">
        <v>6896</v>
      </c>
      <c r="C2767" s="25" t="s">
        <v>6897</v>
      </c>
      <c r="D2767" s="25" t="s">
        <v>6898</v>
      </c>
      <c r="E2767" s="26">
        <v>679</v>
      </c>
    </row>
    <row r="2768" spans="1:5" x14ac:dyDescent="0.25">
      <c r="A2768" s="24" t="s">
        <v>7</v>
      </c>
      <c r="B2768" s="24" t="s">
        <v>6899</v>
      </c>
      <c r="C2768" s="25" t="s">
        <v>6900</v>
      </c>
      <c r="D2768" s="25" t="s">
        <v>6901</v>
      </c>
      <c r="E2768" s="26">
        <v>8770</v>
      </c>
    </row>
    <row r="2769" spans="1:5" x14ac:dyDescent="0.25">
      <c r="A2769" s="24" t="s">
        <v>7</v>
      </c>
      <c r="B2769" s="24" t="s">
        <v>6902</v>
      </c>
      <c r="C2769" s="25" t="s">
        <v>6903</v>
      </c>
      <c r="D2769" s="25" t="s">
        <v>6904</v>
      </c>
      <c r="E2769" s="26">
        <v>9643</v>
      </c>
    </row>
    <row r="2770" spans="1:5" x14ac:dyDescent="0.25">
      <c r="A2770" s="24" t="s">
        <v>7</v>
      </c>
      <c r="B2770" s="24" t="s">
        <v>6905</v>
      </c>
      <c r="C2770" s="25" t="s">
        <v>6906</v>
      </c>
      <c r="D2770" s="25" t="s">
        <v>6907</v>
      </c>
      <c r="E2770" s="26">
        <v>3931</v>
      </c>
    </row>
    <row r="2771" spans="1:5" x14ac:dyDescent="0.25">
      <c r="A2771" s="24" t="s">
        <v>7</v>
      </c>
      <c r="B2771" s="24" t="s">
        <v>6908</v>
      </c>
      <c r="C2771" s="25" t="s">
        <v>6909</v>
      </c>
      <c r="D2771" s="25" t="s">
        <v>6907</v>
      </c>
      <c r="E2771" s="26">
        <v>5214</v>
      </c>
    </row>
    <row r="2772" spans="1:5" x14ac:dyDescent="0.25">
      <c r="A2772" s="24" t="s">
        <v>7</v>
      </c>
      <c r="B2772" s="24" t="s">
        <v>6910</v>
      </c>
      <c r="C2772" s="25" t="s">
        <v>6911</v>
      </c>
      <c r="D2772" s="25" t="s">
        <v>6912</v>
      </c>
      <c r="E2772" s="26">
        <v>4029</v>
      </c>
    </row>
    <row r="2773" spans="1:5" x14ac:dyDescent="0.25">
      <c r="A2773" s="24" t="s">
        <v>7</v>
      </c>
      <c r="B2773" s="24" t="s">
        <v>6913</v>
      </c>
      <c r="C2773" s="25" t="s">
        <v>6914</v>
      </c>
      <c r="D2773" s="25" t="s">
        <v>6915</v>
      </c>
      <c r="E2773" s="26">
        <v>5463</v>
      </c>
    </row>
    <row r="2774" spans="1:5" x14ac:dyDescent="0.25">
      <c r="A2774" s="24" t="s">
        <v>7</v>
      </c>
      <c r="B2774" s="24" t="s">
        <v>6916</v>
      </c>
      <c r="C2774" s="25" t="s">
        <v>6917</v>
      </c>
      <c r="D2774" s="25" t="s">
        <v>6918</v>
      </c>
      <c r="E2774" s="26">
        <v>3319</v>
      </c>
    </row>
    <row r="2775" spans="1:5" x14ac:dyDescent="0.25">
      <c r="A2775" s="24" t="s">
        <v>7</v>
      </c>
      <c r="B2775" s="24" t="s">
        <v>6919</v>
      </c>
      <c r="C2775" s="25" t="s">
        <v>6920</v>
      </c>
      <c r="D2775" s="25" t="s">
        <v>6921</v>
      </c>
      <c r="E2775" s="26">
        <v>2193</v>
      </c>
    </row>
    <row r="2776" spans="1:5" x14ac:dyDescent="0.25">
      <c r="A2776" s="24" t="s">
        <v>7</v>
      </c>
      <c r="B2776" s="24" t="s">
        <v>6922</v>
      </c>
      <c r="C2776" s="25" t="s">
        <v>6923</v>
      </c>
      <c r="D2776" s="25" t="s">
        <v>6924</v>
      </c>
      <c r="E2776" s="26">
        <v>1399</v>
      </c>
    </row>
    <row r="2777" spans="1:5" x14ac:dyDescent="0.25">
      <c r="A2777" s="24" t="s">
        <v>7</v>
      </c>
      <c r="B2777" s="24" t="s">
        <v>6925</v>
      </c>
      <c r="C2777" s="25" t="s">
        <v>6926</v>
      </c>
      <c r="D2777" s="25" t="s">
        <v>6927</v>
      </c>
      <c r="E2777" s="26">
        <v>4018</v>
      </c>
    </row>
    <row r="2778" spans="1:5" x14ac:dyDescent="0.25">
      <c r="A2778" s="24" t="s">
        <v>7</v>
      </c>
      <c r="B2778" s="24" t="s">
        <v>6928</v>
      </c>
      <c r="C2778" s="25" t="s">
        <v>6929</v>
      </c>
      <c r="D2778" s="25" t="s">
        <v>6930</v>
      </c>
      <c r="E2778" s="26">
        <v>4091</v>
      </c>
    </row>
    <row r="2779" spans="1:5" x14ac:dyDescent="0.25">
      <c r="A2779" s="24" t="s">
        <v>7</v>
      </c>
      <c r="B2779" s="24" t="s">
        <v>6931</v>
      </c>
      <c r="C2779" s="25" t="s">
        <v>6932</v>
      </c>
      <c r="D2779" s="25" t="s">
        <v>6933</v>
      </c>
      <c r="E2779" s="26">
        <v>2685</v>
      </c>
    </row>
    <row r="2780" spans="1:5" x14ac:dyDescent="0.25">
      <c r="A2780" s="24" t="s">
        <v>7</v>
      </c>
      <c r="B2780" s="24" t="s">
        <v>6934</v>
      </c>
      <c r="C2780" s="25" t="s">
        <v>6935</v>
      </c>
      <c r="D2780" s="25" t="s">
        <v>6936</v>
      </c>
      <c r="E2780" s="26">
        <v>4972</v>
      </c>
    </row>
    <row r="2781" spans="1:5" x14ac:dyDescent="0.25">
      <c r="A2781" s="24" t="s">
        <v>7</v>
      </c>
      <c r="B2781" s="24" t="s">
        <v>6937</v>
      </c>
      <c r="C2781" s="25" t="s">
        <v>6938</v>
      </c>
      <c r="D2781" s="25" t="s">
        <v>6933</v>
      </c>
      <c r="E2781" s="26">
        <v>9510</v>
      </c>
    </row>
    <row r="2782" spans="1:5" x14ac:dyDescent="0.25">
      <c r="A2782" s="24" t="s">
        <v>7</v>
      </c>
      <c r="B2782" s="24" t="s">
        <v>6939</v>
      </c>
      <c r="C2782" s="25" t="s">
        <v>6940</v>
      </c>
      <c r="D2782" s="25" t="s">
        <v>6941</v>
      </c>
      <c r="E2782" s="26">
        <v>9510</v>
      </c>
    </row>
    <row r="2783" spans="1:5" x14ac:dyDescent="0.25">
      <c r="A2783" s="24" t="s">
        <v>7</v>
      </c>
      <c r="B2783" s="24" t="s">
        <v>6942</v>
      </c>
      <c r="C2783" s="25" t="s">
        <v>6943</v>
      </c>
      <c r="D2783" s="25" t="s">
        <v>6944</v>
      </c>
      <c r="E2783" s="26">
        <v>2376</v>
      </c>
    </row>
    <row r="2784" spans="1:5" x14ac:dyDescent="0.25">
      <c r="A2784" s="24" t="s">
        <v>7</v>
      </c>
      <c r="B2784" s="24" t="s">
        <v>6945</v>
      </c>
      <c r="C2784" s="25" t="s">
        <v>6946</v>
      </c>
      <c r="D2784" s="25" t="s">
        <v>6947</v>
      </c>
      <c r="E2784" s="26">
        <v>3874</v>
      </c>
    </row>
    <row r="2785" spans="1:5" x14ac:dyDescent="0.25">
      <c r="A2785" s="24" t="s">
        <v>7</v>
      </c>
      <c r="B2785" s="24" t="s">
        <v>6948</v>
      </c>
      <c r="C2785" s="25" t="s">
        <v>6949</v>
      </c>
      <c r="D2785" s="25" t="s">
        <v>6950</v>
      </c>
      <c r="E2785" s="26">
        <v>4384</v>
      </c>
    </row>
    <row r="2786" spans="1:5" x14ac:dyDescent="0.25">
      <c r="A2786" s="24" t="s">
        <v>7</v>
      </c>
      <c r="B2786" s="24" t="s">
        <v>6951</v>
      </c>
      <c r="C2786" s="25" t="s">
        <v>6952</v>
      </c>
      <c r="D2786" s="25" t="s">
        <v>6953</v>
      </c>
      <c r="E2786" s="26">
        <v>6166</v>
      </c>
    </row>
    <row r="2787" spans="1:5" x14ac:dyDescent="0.25">
      <c r="A2787" s="24" t="s">
        <v>7</v>
      </c>
      <c r="B2787" s="24" t="s">
        <v>6954</v>
      </c>
      <c r="C2787" s="25" t="s">
        <v>6955</v>
      </c>
      <c r="D2787" s="25" t="s">
        <v>6956</v>
      </c>
      <c r="E2787" s="26">
        <v>2197</v>
      </c>
    </row>
    <row r="2788" spans="1:5" x14ac:dyDescent="0.25">
      <c r="A2788" s="24" t="s">
        <v>7</v>
      </c>
      <c r="B2788" s="24" t="s">
        <v>6957</v>
      </c>
      <c r="C2788" s="25" t="s">
        <v>6958</v>
      </c>
      <c r="D2788" s="25" t="s">
        <v>6959</v>
      </c>
      <c r="E2788" s="26">
        <v>3451</v>
      </c>
    </row>
    <row r="2789" spans="1:5" x14ac:dyDescent="0.25">
      <c r="A2789" s="24" t="s">
        <v>7</v>
      </c>
      <c r="B2789" s="24" t="s">
        <v>6960</v>
      </c>
      <c r="C2789" s="25" t="s">
        <v>6961</v>
      </c>
      <c r="D2789" s="25" t="s">
        <v>6962</v>
      </c>
      <c r="E2789" s="26">
        <v>3372</v>
      </c>
    </row>
    <row r="2790" spans="1:5" x14ac:dyDescent="0.25">
      <c r="A2790" s="24" t="s">
        <v>7</v>
      </c>
      <c r="B2790" s="24" t="s">
        <v>6963</v>
      </c>
      <c r="C2790" s="25" t="s">
        <v>6964</v>
      </c>
      <c r="D2790" s="25" t="s">
        <v>6964</v>
      </c>
      <c r="E2790" s="26">
        <v>3849</v>
      </c>
    </row>
    <row r="2791" spans="1:5" x14ac:dyDescent="0.25">
      <c r="A2791" s="24" t="s">
        <v>7</v>
      </c>
      <c r="B2791" s="24" t="s">
        <v>6965</v>
      </c>
      <c r="C2791" s="25" t="s">
        <v>6966</v>
      </c>
      <c r="D2791" s="25" t="s">
        <v>6967</v>
      </c>
      <c r="E2791" s="26">
        <v>4277</v>
      </c>
    </row>
    <row r="2792" spans="1:5" x14ac:dyDescent="0.25">
      <c r="A2792" s="24" t="s">
        <v>7</v>
      </c>
      <c r="B2792" s="24" t="s">
        <v>6968</v>
      </c>
      <c r="C2792" s="25" t="s">
        <v>6969</v>
      </c>
      <c r="D2792" s="25" t="s">
        <v>6970</v>
      </c>
      <c r="E2792" s="26">
        <v>3218</v>
      </c>
    </row>
    <row r="2793" spans="1:5" x14ac:dyDescent="0.25">
      <c r="A2793" s="24" t="s">
        <v>7</v>
      </c>
      <c r="B2793" s="24" t="s">
        <v>6971</v>
      </c>
      <c r="C2793" s="25" t="s">
        <v>6972</v>
      </c>
      <c r="D2793" s="25" t="s">
        <v>6973</v>
      </c>
      <c r="E2793" s="26">
        <v>5222</v>
      </c>
    </row>
    <row r="2794" spans="1:5" x14ac:dyDescent="0.25">
      <c r="A2794" s="24" t="s">
        <v>7</v>
      </c>
      <c r="B2794" s="24" t="s">
        <v>6974</v>
      </c>
      <c r="C2794" s="25" t="s">
        <v>6975</v>
      </c>
      <c r="D2794" s="25" t="s">
        <v>6976</v>
      </c>
      <c r="E2794" s="26">
        <v>3208</v>
      </c>
    </row>
    <row r="2795" spans="1:5" x14ac:dyDescent="0.25">
      <c r="A2795" s="24" t="s">
        <v>7</v>
      </c>
      <c r="B2795" s="24" t="s">
        <v>6977</v>
      </c>
      <c r="C2795" s="25" t="s">
        <v>6978</v>
      </c>
      <c r="D2795" s="25" t="s">
        <v>6979</v>
      </c>
      <c r="E2795" s="26">
        <v>4953</v>
      </c>
    </row>
    <row r="2796" spans="1:5" x14ac:dyDescent="0.25">
      <c r="A2796" s="24" t="s">
        <v>7</v>
      </c>
      <c r="B2796" s="24" t="s">
        <v>6980</v>
      </c>
      <c r="C2796" s="25" t="s">
        <v>6981</v>
      </c>
      <c r="D2796" s="25" t="s">
        <v>6982</v>
      </c>
      <c r="E2796" s="26">
        <v>3982</v>
      </c>
    </row>
    <row r="2797" spans="1:5" x14ac:dyDescent="0.25">
      <c r="A2797" s="24" t="s">
        <v>7</v>
      </c>
      <c r="B2797" s="24" t="s">
        <v>6983</v>
      </c>
      <c r="C2797" s="25" t="s">
        <v>6984</v>
      </c>
      <c r="D2797" s="25" t="s">
        <v>6985</v>
      </c>
      <c r="E2797" s="26">
        <v>3200</v>
      </c>
    </row>
    <row r="2798" spans="1:5" x14ac:dyDescent="0.25">
      <c r="A2798" s="24" t="s">
        <v>7</v>
      </c>
      <c r="B2798" s="24" t="s">
        <v>6986</v>
      </c>
      <c r="C2798" s="25" t="s">
        <v>6987</v>
      </c>
      <c r="D2798" s="25" t="s">
        <v>6988</v>
      </c>
      <c r="E2798" s="26">
        <v>3500</v>
      </c>
    </row>
    <row r="2799" spans="1:5" x14ac:dyDescent="0.25">
      <c r="A2799" s="24" t="s">
        <v>7</v>
      </c>
      <c r="B2799" s="24" t="s">
        <v>6989</v>
      </c>
      <c r="C2799" s="25" t="s">
        <v>6990</v>
      </c>
      <c r="D2799" s="25" t="s">
        <v>6991</v>
      </c>
      <c r="E2799" s="26">
        <v>4084</v>
      </c>
    </row>
    <row r="2800" spans="1:5" x14ac:dyDescent="0.25">
      <c r="A2800" s="24" t="s">
        <v>7</v>
      </c>
      <c r="B2800" s="24" t="s">
        <v>6992</v>
      </c>
      <c r="C2800" s="25" t="s">
        <v>6993</v>
      </c>
      <c r="D2800" s="25" t="s">
        <v>6994</v>
      </c>
      <c r="E2800" s="26">
        <v>3672</v>
      </c>
    </row>
    <row r="2801" spans="1:5" x14ac:dyDescent="0.25">
      <c r="A2801" s="24" t="s">
        <v>7</v>
      </c>
      <c r="B2801" s="24" t="s">
        <v>6995</v>
      </c>
      <c r="C2801" s="25" t="s">
        <v>6996</v>
      </c>
      <c r="D2801" s="25" t="s">
        <v>6997</v>
      </c>
      <c r="E2801" s="26">
        <v>9746</v>
      </c>
    </row>
    <row r="2802" spans="1:5" x14ac:dyDescent="0.25">
      <c r="A2802" s="24" t="s">
        <v>7</v>
      </c>
      <c r="B2802" s="24" t="s">
        <v>6998</v>
      </c>
      <c r="C2802" s="25" t="s">
        <v>6999</v>
      </c>
      <c r="D2802" s="25" t="s">
        <v>7000</v>
      </c>
      <c r="E2802" s="26">
        <v>3821</v>
      </c>
    </row>
    <row r="2803" spans="1:5" x14ac:dyDescent="0.25">
      <c r="A2803" s="24" t="s">
        <v>7</v>
      </c>
      <c r="B2803" s="24" t="s">
        <v>7001</v>
      </c>
      <c r="C2803" s="25" t="s">
        <v>7002</v>
      </c>
      <c r="D2803" s="25" t="s">
        <v>7003</v>
      </c>
      <c r="E2803" s="26">
        <v>7854</v>
      </c>
    </row>
    <row r="2804" spans="1:5" x14ac:dyDescent="0.25">
      <c r="A2804" s="24" t="s">
        <v>7</v>
      </c>
      <c r="B2804" s="24" t="s">
        <v>7004</v>
      </c>
      <c r="C2804" s="25" t="s">
        <v>7005</v>
      </c>
      <c r="D2804" s="25" t="s">
        <v>7006</v>
      </c>
      <c r="E2804" s="26">
        <v>3260</v>
      </c>
    </row>
    <row r="2805" spans="1:5" x14ac:dyDescent="0.25">
      <c r="A2805" s="24" t="s">
        <v>7</v>
      </c>
      <c r="B2805" s="24" t="s">
        <v>7007</v>
      </c>
      <c r="C2805" s="25" t="s">
        <v>7008</v>
      </c>
      <c r="D2805" s="25" t="s">
        <v>7009</v>
      </c>
      <c r="E2805" s="26">
        <v>3089</v>
      </c>
    </row>
    <row r="2806" spans="1:5" x14ac:dyDescent="0.25">
      <c r="A2806" s="24" t="s">
        <v>7</v>
      </c>
      <c r="B2806" s="24" t="s">
        <v>7010</v>
      </c>
      <c r="C2806" s="25" t="s">
        <v>7011</v>
      </c>
      <c r="D2806" s="25" t="s">
        <v>7012</v>
      </c>
      <c r="E2806" s="26">
        <v>2965</v>
      </c>
    </row>
    <row r="2807" spans="1:5" x14ac:dyDescent="0.25">
      <c r="A2807" s="24" t="s">
        <v>7</v>
      </c>
      <c r="B2807" s="24" t="s">
        <v>7013</v>
      </c>
      <c r="C2807" s="25" t="s">
        <v>7014</v>
      </c>
      <c r="D2807" s="25" t="s">
        <v>7015</v>
      </c>
      <c r="E2807" s="26">
        <v>2981</v>
      </c>
    </row>
    <row r="2808" spans="1:5" x14ac:dyDescent="0.25">
      <c r="A2808" s="24" t="s">
        <v>7</v>
      </c>
      <c r="B2808" s="24" t="s">
        <v>7016</v>
      </c>
      <c r="C2808" s="25" t="s">
        <v>7017</v>
      </c>
      <c r="D2808" s="25" t="s">
        <v>7018</v>
      </c>
      <c r="E2808" s="26">
        <v>3487</v>
      </c>
    </row>
    <row r="2809" spans="1:5" x14ac:dyDescent="0.25">
      <c r="A2809" s="24" t="s">
        <v>7</v>
      </c>
      <c r="B2809" s="24" t="s">
        <v>7019</v>
      </c>
      <c r="C2809" s="25" t="s">
        <v>7020</v>
      </c>
      <c r="D2809" s="25" t="s">
        <v>7021</v>
      </c>
      <c r="E2809" s="26">
        <v>4000</v>
      </c>
    </row>
    <row r="2810" spans="1:5" x14ac:dyDescent="0.25">
      <c r="A2810" s="24" t="s">
        <v>7</v>
      </c>
      <c r="B2810" s="24" t="s">
        <v>7022</v>
      </c>
      <c r="C2810" s="25" t="s">
        <v>7023</v>
      </c>
      <c r="D2810" s="25" t="s">
        <v>7024</v>
      </c>
      <c r="E2810" s="26">
        <v>2352</v>
      </c>
    </row>
    <row r="2811" spans="1:5" x14ac:dyDescent="0.25">
      <c r="A2811" s="24" t="s">
        <v>7</v>
      </c>
      <c r="B2811" s="24" t="s">
        <v>7025</v>
      </c>
      <c r="C2811" s="25" t="s">
        <v>7026</v>
      </c>
      <c r="D2811" s="25" t="s">
        <v>7027</v>
      </c>
      <c r="E2811" s="26">
        <v>3798</v>
      </c>
    </row>
    <row r="2812" spans="1:5" x14ac:dyDescent="0.25">
      <c r="A2812" s="24" t="s">
        <v>7</v>
      </c>
      <c r="B2812" s="24" t="s">
        <v>7028</v>
      </c>
      <c r="C2812" s="25" t="s">
        <v>7029</v>
      </c>
      <c r="D2812" s="25" t="s">
        <v>7030</v>
      </c>
      <c r="E2812" s="26">
        <v>2318</v>
      </c>
    </row>
    <row r="2813" spans="1:5" x14ac:dyDescent="0.25">
      <c r="A2813" s="24" t="s">
        <v>7</v>
      </c>
      <c r="B2813" s="24" t="s">
        <v>7031</v>
      </c>
      <c r="C2813" s="25" t="s">
        <v>7032</v>
      </c>
      <c r="D2813" s="25" t="s">
        <v>7033</v>
      </c>
      <c r="E2813" s="26">
        <v>10008</v>
      </c>
    </row>
    <row r="2814" spans="1:5" x14ac:dyDescent="0.25">
      <c r="A2814" s="24" t="s">
        <v>7</v>
      </c>
      <c r="B2814" s="24" t="s">
        <v>7034</v>
      </c>
      <c r="C2814" s="25" t="s">
        <v>7035</v>
      </c>
      <c r="D2814" s="25" t="s">
        <v>7036</v>
      </c>
      <c r="E2814" s="26">
        <v>3371</v>
      </c>
    </row>
    <row r="2815" spans="1:5" x14ac:dyDescent="0.25">
      <c r="A2815" s="24" t="s">
        <v>7</v>
      </c>
      <c r="B2815" s="24" t="s">
        <v>7037</v>
      </c>
      <c r="C2815" s="25" t="s">
        <v>7038</v>
      </c>
      <c r="D2815" s="25" t="s">
        <v>7039</v>
      </c>
      <c r="E2815" s="26">
        <v>3683</v>
      </c>
    </row>
    <row r="2816" spans="1:5" x14ac:dyDescent="0.25">
      <c r="A2816" s="24" t="s">
        <v>7</v>
      </c>
      <c r="B2816" s="24" t="s">
        <v>7040</v>
      </c>
      <c r="C2816" s="25" t="s">
        <v>7041</v>
      </c>
      <c r="D2816" s="25" t="s">
        <v>7042</v>
      </c>
      <c r="E2816" s="26">
        <v>3474</v>
      </c>
    </row>
    <row r="2817" spans="1:5" x14ac:dyDescent="0.25">
      <c r="A2817" s="24" t="s">
        <v>7</v>
      </c>
      <c r="B2817" s="24" t="s">
        <v>7043</v>
      </c>
      <c r="C2817" s="25" t="s">
        <v>7044</v>
      </c>
      <c r="D2817" s="25" t="s">
        <v>7045</v>
      </c>
      <c r="E2817" s="26">
        <v>5148</v>
      </c>
    </row>
    <row r="2818" spans="1:5" x14ac:dyDescent="0.25">
      <c r="A2818" s="24" t="s">
        <v>7</v>
      </c>
      <c r="B2818" s="24" t="s">
        <v>7046</v>
      </c>
      <c r="C2818" s="25" t="s">
        <v>7047</v>
      </c>
      <c r="D2818" s="25" t="s">
        <v>7048</v>
      </c>
      <c r="E2818" s="26">
        <v>7616</v>
      </c>
    </row>
    <row r="2819" spans="1:5" x14ac:dyDescent="0.25">
      <c r="A2819" s="24" t="s">
        <v>7</v>
      </c>
      <c r="B2819" s="24" t="s">
        <v>7049</v>
      </c>
      <c r="C2819" s="25" t="s">
        <v>7050</v>
      </c>
      <c r="D2819" s="25" t="s">
        <v>7051</v>
      </c>
      <c r="E2819" s="26">
        <v>9566</v>
      </c>
    </row>
    <row r="2820" spans="1:5" x14ac:dyDescent="0.25">
      <c r="A2820" s="24" t="s">
        <v>7</v>
      </c>
      <c r="B2820" s="24" t="s">
        <v>7052</v>
      </c>
      <c r="C2820" s="25" t="s">
        <v>7053</v>
      </c>
      <c r="D2820" s="25" t="s">
        <v>7054</v>
      </c>
      <c r="E2820" s="26">
        <v>3192</v>
      </c>
    </row>
    <row r="2821" spans="1:5" x14ac:dyDescent="0.25">
      <c r="A2821" s="24" t="s">
        <v>7</v>
      </c>
      <c r="B2821" s="24" t="s">
        <v>7055</v>
      </c>
      <c r="C2821" s="25" t="s">
        <v>7056</v>
      </c>
      <c r="D2821" s="25" t="s">
        <v>7057</v>
      </c>
      <c r="E2821" s="26">
        <v>4541</v>
      </c>
    </row>
    <row r="2822" spans="1:5" x14ac:dyDescent="0.25">
      <c r="A2822" s="24" t="s">
        <v>7</v>
      </c>
      <c r="B2822" s="24" t="s">
        <v>7058</v>
      </c>
      <c r="C2822" s="25" t="s">
        <v>7059</v>
      </c>
      <c r="D2822" s="25" t="s">
        <v>7060</v>
      </c>
      <c r="E2822" s="26">
        <v>4555</v>
      </c>
    </row>
    <row r="2823" spans="1:5" x14ac:dyDescent="0.25">
      <c r="A2823" s="24" t="s">
        <v>7</v>
      </c>
      <c r="B2823" s="24" t="s">
        <v>7061</v>
      </c>
      <c r="C2823" s="25" t="s">
        <v>7062</v>
      </c>
      <c r="D2823" s="25" t="s">
        <v>7063</v>
      </c>
      <c r="E2823" s="26">
        <v>3110</v>
      </c>
    </row>
    <row r="2824" spans="1:5" x14ac:dyDescent="0.25">
      <c r="A2824" s="24" t="s">
        <v>7</v>
      </c>
      <c r="B2824" s="24" t="s">
        <v>7064</v>
      </c>
      <c r="C2824" s="25" t="s">
        <v>7065</v>
      </c>
      <c r="D2824" s="25" t="s">
        <v>7066</v>
      </c>
      <c r="E2824" s="26">
        <v>3937</v>
      </c>
    </row>
    <row r="2825" spans="1:5" x14ac:dyDescent="0.25">
      <c r="A2825" s="24" t="s">
        <v>7</v>
      </c>
      <c r="B2825" s="24" t="s">
        <v>7067</v>
      </c>
      <c r="C2825" s="25" t="s">
        <v>7068</v>
      </c>
      <c r="D2825" s="25" t="s">
        <v>7069</v>
      </c>
      <c r="E2825" s="26">
        <v>3971</v>
      </c>
    </row>
    <row r="2826" spans="1:5" x14ac:dyDescent="0.25">
      <c r="A2826" s="24" t="s">
        <v>7</v>
      </c>
      <c r="B2826" s="24" t="s">
        <v>7070</v>
      </c>
      <c r="C2826" s="25" t="s">
        <v>7071</v>
      </c>
      <c r="D2826" s="25" t="s">
        <v>7024</v>
      </c>
      <c r="E2826" s="26">
        <v>1831</v>
      </c>
    </row>
    <row r="2827" spans="1:5" x14ac:dyDescent="0.25">
      <c r="A2827" s="24" t="s">
        <v>7</v>
      </c>
      <c r="B2827" s="24" t="s">
        <v>7072</v>
      </c>
      <c r="C2827" s="25" t="s">
        <v>7073</v>
      </c>
      <c r="D2827" s="25" t="s">
        <v>7073</v>
      </c>
      <c r="E2827" s="26">
        <v>8798</v>
      </c>
    </row>
    <row r="2828" spans="1:5" x14ac:dyDescent="0.25">
      <c r="A2828" s="24" t="s">
        <v>7</v>
      </c>
      <c r="B2828" s="24" t="s">
        <v>7074</v>
      </c>
      <c r="C2828" s="25" t="s">
        <v>7075</v>
      </c>
      <c r="D2828" s="25" t="s">
        <v>7076</v>
      </c>
      <c r="E2828" s="26">
        <v>6710</v>
      </c>
    </row>
    <row r="2829" spans="1:5" x14ac:dyDescent="0.25">
      <c r="A2829" s="24" t="s">
        <v>7</v>
      </c>
      <c r="B2829" s="24" t="s">
        <v>7077</v>
      </c>
      <c r="C2829" s="25" t="s">
        <v>7078</v>
      </c>
      <c r="D2829" s="25" t="s">
        <v>7079</v>
      </c>
      <c r="E2829" s="26">
        <v>8237</v>
      </c>
    </row>
    <row r="2830" spans="1:5" x14ac:dyDescent="0.25">
      <c r="A2830" s="24" t="s">
        <v>7</v>
      </c>
      <c r="B2830" s="24" t="s">
        <v>7080</v>
      </c>
      <c r="C2830" s="25" t="s">
        <v>7081</v>
      </c>
      <c r="D2830" s="25" t="s">
        <v>7082</v>
      </c>
      <c r="E2830" s="26">
        <v>3989</v>
      </c>
    </row>
    <row r="2831" spans="1:5" x14ac:dyDescent="0.25">
      <c r="A2831" s="24" t="s">
        <v>7</v>
      </c>
      <c r="B2831" s="24" t="s">
        <v>7083</v>
      </c>
      <c r="C2831" s="25" t="s">
        <v>7084</v>
      </c>
      <c r="D2831" s="25" t="s">
        <v>7085</v>
      </c>
      <c r="E2831" s="26">
        <v>3182</v>
      </c>
    </row>
    <row r="2832" spans="1:5" x14ac:dyDescent="0.25">
      <c r="A2832" s="24" t="s">
        <v>7</v>
      </c>
      <c r="B2832" s="24" t="s">
        <v>7086</v>
      </c>
      <c r="C2832" s="25" t="s">
        <v>7087</v>
      </c>
      <c r="D2832" s="25" t="s">
        <v>7088</v>
      </c>
      <c r="E2832" s="26">
        <v>6376</v>
      </c>
    </row>
    <row r="2833" spans="1:5" x14ac:dyDescent="0.25">
      <c r="A2833" s="24" t="s">
        <v>7</v>
      </c>
      <c r="B2833" s="24" t="s">
        <v>7089</v>
      </c>
      <c r="C2833" s="25" t="s">
        <v>7090</v>
      </c>
      <c r="D2833" s="25" t="s">
        <v>7091</v>
      </c>
      <c r="E2833" s="26">
        <v>3137</v>
      </c>
    </row>
    <row r="2834" spans="1:5" x14ac:dyDescent="0.25">
      <c r="A2834" s="24" t="s">
        <v>7</v>
      </c>
      <c r="B2834" s="24" t="s">
        <v>7092</v>
      </c>
      <c r="C2834" s="25" t="s">
        <v>7093</v>
      </c>
      <c r="D2834" s="25" t="s">
        <v>7094</v>
      </c>
      <c r="E2834" s="26">
        <v>3051</v>
      </c>
    </row>
    <row r="2835" spans="1:5" x14ac:dyDescent="0.25">
      <c r="A2835" s="24" t="s">
        <v>7</v>
      </c>
      <c r="B2835" s="24" t="s">
        <v>7095</v>
      </c>
      <c r="C2835" s="25" t="s">
        <v>7096</v>
      </c>
      <c r="D2835" s="25" t="s">
        <v>7097</v>
      </c>
      <c r="E2835" s="26">
        <v>8006</v>
      </c>
    </row>
    <row r="2836" spans="1:5" x14ac:dyDescent="0.25">
      <c r="A2836" s="24" t="s">
        <v>7</v>
      </c>
      <c r="B2836" s="24" t="s">
        <v>7098</v>
      </c>
      <c r="C2836" s="25" t="s">
        <v>7099</v>
      </c>
      <c r="D2836" s="25" t="s">
        <v>7100</v>
      </c>
      <c r="E2836" s="26">
        <v>4252</v>
      </c>
    </row>
    <row r="2837" spans="1:5" x14ac:dyDescent="0.25">
      <c r="A2837" s="24" t="s">
        <v>7</v>
      </c>
      <c r="B2837" s="24" t="s">
        <v>7101</v>
      </c>
      <c r="C2837" s="25" t="s">
        <v>7102</v>
      </c>
      <c r="D2837" s="25" t="s">
        <v>7103</v>
      </c>
      <c r="E2837" s="26">
        <v>7831</v>
      </c>
    </row>
    <row r="2838" spans="1:5" x14ac:dyDescent="0.25">
      <c r="A2838" s="24" t="s">
        <v>7</v>
      </c>
      <c r="B2838" s="24" t="s">
        <v>7104</v>
      </c>
      <c r="C2838" s="25" t="s">
        <v>7105</v>
      </c>
      <c r="D2838" s="25" t="s">
        <v>7106</v>
      </c>
      <c r="E2838" s="26">
        <v>5659</v>
      </c>
    </row>
    <row r="2839" spans="1:5" x14ac:dyDescent="0.25">
      <c r="A2839" s="24" t="s">
        <v>7</v>
      </c>
      <c r="B2839" s="24" t="s">
        <v>7107</v>
      </c>
      <c r="C2839" s="25" t="s">
        <v>7108</v>
      </c>
      <c r="D2839" s="25" t="s">
        <v>7106</v>
      </c>
      <c r="E2839" s="26">
        <v>8057</v>
      </c>
    </row>
    <row r="2840" spans="1:5" x14ac:dyDescent="0.25">
      <c r="A2840" s="24" t="s">
        <v>7</v>
      </c>
      <c r="B2840" s="24" t="s">
        <v>7109</v>
      </c>
      <c r="C2840" s="25" t="s">
        <v>7110</v>
      </c>
      <c r="D2840" s="25" t="s">
        <v>7111</v>
      </c>
      <c r="E2840" s="26">
        <v>6397</v>
      </c>
    </row>
    <row r="2841" spans="1:5" x14ac:dyDescent="0.25">
      <c r="A2841" s="24" t="s">
        <v>7</v>
      </c>
      <c r="B2841" s="24" t="s">
        <v>7112</v>
      </c>
      <c r="C2841" s="25" t="s">
        <v>7113</v>
      </c>
      <c r="D2841" s="25" t="s">
        <v>7114</v>
      </c>
      <c r="E2841" s="26">
        <v>4364</v>
      </c>
    </row>
    <row r="2842" spans="1:5" x14ac:dyDescent="0.25">
      <c r="A2842" s="24" t="s">
        <v>7</v>
      </c>
      <c r="B2842" s="24" t="s">
        <v>7115</v>
      </c>
      <c r="C2842" s="25" t="s">
        <v>7116</v>
      </c>
      <c r="D2842" s="25" t="s">
        <v>7117</v>
      </c>
      <c r="E2842" s="26">
        <v>9192</v>
      </c>
    </row>
    <row r="2843" spans="1:5" x14ac:dyDescent="0.25">
      <c r="A2843" s="24" t="s">
        <v>7</v>
      </c>
      <c r="B2843" s="24" t="s">
        <v>7118</v>
      </c>
      <c r="C2843" s="25" t="s">
        <v>7119</v>
      </c>
      <c r="D2843" s="25" t="s">
        <v>7120</v>
      </c>
      <c r="E2843" s="26">
        <v>7026</v>
      </c>
    </row>
    <row r="2844" spans="1:5" x14ac:dyDescent="0.25">
      <c r="A2844" s="24" t="s">
        <v>7</v>
      </c>
      <c r="B2844" s="24" t="s">
        <v>7121</v>
      </c>
      <c r="C2844" s="25" t="s">
        <v>7122</v>
      </c>
      <c r="D2844" s="25" t="s">
        <v>7123</v>
      </c>
      <c r="E2844" s="26">
        <v>6022</v>
      </c>
    </row>
    <row r="2845" spans="1:5" x14ac:dyDescent="0.25">
      <c r="A2845" s="24" t="s">
        <v>7</v>
      </c>
      <c r="B2845" s="24" t="s">
        <v>7124</v>
      </c>
      <c r="C2845" s="25" t="s">
        <v>7125</v>
      </c>
      <c r="D2845" s="25" t="s">
        <v>7126</v>
      </c>
      <c r="E2845" s="26">
        <v>7313</v>
      </c>
    </row>
    <row r="2846" spans="1:5" x14ac:dyDescent="0.25">
      <c r="A2846" s="24" t="s">
        <v>7</v>
      </c>
      <c r="B2846" s="24" t="s">
        <v>7127</v>
      </c>
      <c r="C2846" s="25" t="s">
        <v>7128</v>
      </c>
      <c r="D2846" s="25" t="s">
        <v>7129</v>
      </c>
      <c r="E2846" s="26">
        <v>8099</v>
      </c>
    </row>
    <row r="2847" spans="1:5" x14ac:dyDescent="0.25">
      <c r="A2847" s="24" t="s">
        <v>7</v>
      </c>
      <c r="B2847" s="24" t="s">
        <v>7130</v>
      </c>
      <c r="C2847" s="25" t="s">
        <v>7131</v>
      </c>
      <c r="D2847" s="25" t="s">
        <v>7132</v>
      </c>
      <c r="E2847" s="26">
        <v>14508</v>
      </c>
    </row>
    <row r="2848" spans="1:5" x14ac:dyDescent="0.25">
      <c r="A2848" s="24" t="s">
        <v>7</v>
      </c>
      <c r="B2848" s="24" t="s">
        <v>7133</v>
      </c>
      <c r="C2848" s="25" t="s">
        <v>7134</v>
      </c>
      <c r="D2848" s="25" t="s">
        <v>7135</v>
      </c>
      <c r="E2848" s="26">
        <v>107</v>
      </c>
    </row>
    <row r="2849" spans="1:5" x14ac:dyDescent="0.25">
      <c r="A2849" s="24" t="s">
        <v>7</v>
      </c>
      <c r="B2849" s="24" t="s">
        <v>7136</v>
      </c>
      <c r="C2849" s="25" t="s">
        <v>7137</v>
      </c>
      <c r="D2849" s="25" t="s">
        <v>7138</v>
      </c>
      <c r="E2849" s="26">
        <v>1</v>
      </c>
    </row>
    <row r="2850" spans="1:5" x14ac:dyDescent="0.25">
      <c r="A2850" s="24" t="s">
        <v>7</v>
      </c>
      <c r="B2850" s="24" t="s">
        <v>7139</v>
      </c>
      <c r="C2850" s="25" t="s">
        <v>7140</v>
      </c>
      <c r="D2850" s="25" t="s">
        <v>7141</v>
      </c>
      <c r="E2850" s="26">
        <v>12</v>
      </c>
    </row>
    <row r="2851" spans="1:5" x14ac:dyDescent="0.25">
      <c r="A2851" s="24" t="s">
        <v>7</v>
      </c>
      <c r="B2851" s="24" t="s">
        <v>7142</v>
      </c>
      <c r="C2851" s="25" t="s">
        <v>7143</v>
      </c>
      <c r="D2851" s="25" t="s">
        <v>7144</v>
      </c>
      <c r="E2851" s="26">
        <v>1</v>
      </c>
    </row>
    <row r="2852" spans="1:5" x14ac:dyDescent="0.25">
      <c r="A2852" s="24" t="s">
        <v>7</v>
      </c>
      <c r="B2852" s="24" t="s">
        <v>7145</v>
      </c>
      <c r="C2852" s="25" t="s">
        <v>7146</v>
      </c>
      <c r="D2852" s="25" t="s">
        <v>7147</v>
      </c>
      <c r="E2852" s="26">
        <v>1</v>
      </c>
    </row>
    <row r="2853" spans="1:5" x14ac:dyDescent="0.25">
      <c r="A2853" s="24" t="s">
        <v>7</v>
      </c>
      <c r="B2853" s="24" t="s">
        <v>7148</v>
      </c>
      <c r="C2853" s="25" t="s">
        <v>7149</v>
      </c>
      <c r="D2853" s="25" t="s">
        <v>7150</v>
      </c>
      <c r="E2853" s="26">
        <v>14</v>
      </c>
    </row>
    <row r="2854" spans="1:5" x14ac:dyDescent="0.25">
      <c r="A2854" s="24" t="s">
        <v>7</v>
      </c>
      <c r="B2854" s="24" t="s">
        <v>7151</v>
      </c>
      <c r="C2854" s="25" t="s">
        <v>7152</v>
      </c>
      <c r="D2854" s="25" t="s">
        <v>7153</v>
      </c>
      <c r="E2854" s="26">
        <v>3</v>
      </c>
    </row>
    <row r="2855" spans="1:5" x14ac:dyDescent="0.25">
      <c r="A2855" s="24" t="s">
        <v>7</v>
      </c>
      <c r="B2855" s="24" t="s">
        <v>7154</v>
      </c>
      <c r="C2855" s="25" t="s">
        <v>7155</v>
      </c>
      <c r="D2855" s="25" t="s">
        <v>7156</v>
      </c>
      <c r="E2855" s="26">
        <v>2</v>
      </c>
    </row>
    <row r="2856" spans="1:5" x14ac:dyDescent="0.25">
      <c r="A2856" s="24" t="s">
        <v>7</v>
      </c>
      <c r="B2856" s="24" t="s">
        <v>7157</v>
      </c>
      <c r="C2856" s="25" t="s">
        <v>7158</v>
      </c>
      <c r="D2856" s="25" t="s">
        <v>7159</v>
      </c>
      <c r="E2856" s="26">
        <v>1</v>
      </c>
    </row>
    <row r="2857" spans="1:5" x14ac:dyDescent="0.25">
      <c r="A2857" s="24" t="s">
        <v>7</v>
      </c>
      <c r="B2857" s="24" t="s">
        <v>7160</v>
      </c>
      <c r="C2857" s="25" t="s">
        <v>7161</v>
      </c>
      <c r="D2857" s="25" t="s">
        <v>7162</v>
      </c>
      <c r="E2857" s="26">
        <v>6</v>
      </c>
    </row>
    <row r="2858" spans="1:5" x14ac:dyDescent="0.25">
      <c r="A2858" s="24" t="s">
        <v>7</v>
      </c>
      <c r="B2858" s="24" t="s">
        <v>7163</v>
      </c>
      <c r="C2858" s="25" t="s">
        <v>7164</v>
      </c>
      <c r="D2858" s="25" t="s">
        <v>7165</v>
      </c>
      <c r="E2858" s="26">
        <v>318</v>
      </c>
    </row>
    <row r="2859" spans="1:5" x14ac:dyDescent="0.25">
      <c r="A2859" s="24" t="s">
        <v>7</v>
      </c>
      <c r="B2859" s="24" t="s">
        <v>7166</v>
      </c>
      <c r="C2859" s="25" t="s">
        <v>7167</v>
      </c>
      <c r="D2859" s="25" t="s">
        <v>7168</v>
      </c>
      <c r="E2859" s="26">
        <v>1706</v>
      </c>
    </row>
    <row r="2860" spans="1:5" x14ac:dyDescent="0.25">
      <c r="A2860" s="24" t="s">
        <v>7</v>
      </c>
      <c r="B2860" s="24" t="s">
        <v>7169</v>
      </c>
      <c r="C2860" s="25" t="s">
        <v>7170</v>
      </c>
      <c r="D2860" s="25" t="s">
        <v>7171</v>
      </c>
      <c r="E2860" s="26">
        <v>6</v>
      </c>
    </row>
    <row r="2861" spans="1:5" x14ac:dyDescent="0.25">
      <c r="A2861" s="24" t="s">
        <v>7</v>
      </c>
      <c r="B2861" s="24" t="s">
        <v>7172</v>
      </c>
      <c r="C2861" s="25" t="s">
        <v>7173</v>
      </c>
      <c r="D2861" s="25" t="s">
        <v>7174</v>
      </c>
      <c r="E2861" s="26">
        <v>32</v>
      </c>
    </row>
    <row r="2862" spans="1:5" x14ac:dyDescent="0.25">
      <c r="A2862" s="24" t="s">
        <v>7</v>
      </c>
      <c r="B2862" s="24" t="s">
        <v>7175</v>
      </c>
      <c r="C2862" s="25" t="s">
        <v>7176</v>
      </c>
      <c r="D2862" s="25" t="s">
        <v>7177</v>
      </c>
      <c r="E2862" s="26">
        <v>4</v>
      </c>
    </row>
    <row r="2863" spans="1:5" x14ac:dyDescent="0.25">
      <c r="A2863" s="24" t="s">
        <v>7</v>
      </c>
      <c r="B2863" s="24" t="s">
        <v>7178</v>
      </c>
      <c r="C2863" s="25" t="s">
        <v>7179</v>
      </c>
      <c r="D2863" s="25" t="s">
        <v>7180</v>
      </c>
      <c r="E2863" s="26">
        <v>30</v>
      </c>
    </row>
    <row r="2864" spans="1:5" x14ac:dyDescent="0.25">
      <c r="A2864" s="24" t="s">
        <v>7</v>
      </c>
      <c r="B2864" s="24" t="s">
        <v>7181</v>
      </c>
      <c r="C2864" s="25" t="s">
        <v>7182</v>
      </c>
      <c r="D2864" s="25" t="s">
        <v>7183</v>
      </c>
      <c r="E2864" s="26">
        <v>1</v>
      </c>
    </row>
    <row r="2865" spans="1:5" x14ac:dyDescent="0.25">
      <c r="A2865" s="24" t="s">
        <v>7</v>
      </c>
      <c r="B2865" s="24" t="s">
        <v>7184</v>
      </c>
      <c r="C2865" s="25" t="s">
        <v>7185</v>
      </c>
      <c r="D2865" s="25" t="s">
        <v>7186</v>
      </c>
      <c r="E2865" s="26">
        <v>1</v>
      </c>
    </row>
    <row r="2866" spans="1:5" x14ac:dyDescent="0.25">
      <c r="A2866" s="24" t="s">
        <v>7</v>
      </c>
      <c r="B2866" s="24" t="s">
        <v>7187</v>
      </c>
      <c r="C2866" s="25" t="s">
        <v>7188</v>
      </c>
      <c r="D2866" s="25" t="s">
        <v>7189</v>
      </c>
      <c r="E2866" s="26">
        <v>1</v>
      </c>
    </row>
    <row r="2867" spans="1:5" x14ac:dyDescent="0.25">
      <c r="A2867" s="24" t="s">
        <v>7</v>
      </c>
      <c r="B2867" s="24" t="s">
        <v>7190</v>
      </c>
      <c r="C2867" s="25" t="s">
        <v>7191</v>
      </c>
      <c r="D2867" s="25" t="s">
        <v>7192</v>
      </c>
      <c r="E2867" s="26">
        <v>1</v>
      </c>
    </row>
    <row r="2868" spans="1:5" x14ac:dyDescent="0.25">
      <c r="A2868" s="24" t="s">
        <v>7</v>
      </c>
      <c r="B2868" s="24" t="s">
        <v>7193</v>
      </c>
      <c r="C2868" s="25" t="s">
        <v>7194</v>
      </c>
      <c r="D2868" s="25" t="s">
        <v>7195</v>
      </c>
      <c r="E2868" s="26">
        <v>1</v>
      </c>
    </row>
    <row r="2869" spans="1:5" x14ac:dyDescent="0.25">
      <c r="A2869" s="24" t="s">
        <v>7</v>
      </c>
      <c r="B2869" s="24" t="s">
        <v>7196</v>
      </c>
      <c r="C2869" s="25" t="s">
        <v>7197</v>
      </c>
      <c r="D2869" s="25" t="s">
        <v>7198</v>
      </c>
      <c r="E2869" s="26">
        <v>16</v>
      </c>
    </row>
    <row r="2870" spans="1:5" x14ac:dyDescent="0.25">
      <c r="A2870" s="24" t="s">
        <v>7</v>
      </c>
      <c r="B2870" s="24" t="s">
        <v>7199</v>
      </c>
      <c r="C2870" s="25" t="s">
        <v>7200</v>
      </c>
      <c r="D2870" s="25" t="s">
        <v>7201</v>
      </c>
      <c r="E2870" s="26">
        <v>1164</v>
      </c>
    </row>
    <row r="2871" spans="1:5" x14ac:dyDescent="0.25">
      <c r="A2871" s="24" t="s">
        <v>7</v>
      </c>
      <c r="B2871" s="24" t="s">
        <v>7202</v>
      </c>
      <c r="C2871" s="25" t="s">
        <v>7203</v>
      </c>
      <c r="D2871" s="25" t="s">
        <v>7204</v>
      </c>
      <c r="E2871" s="26">
        <v>1</v>
      </c>
    </row>
    <row r="2872" spans="1:5" x14ac:dyDescent="0.25">
      <c r="A2872" s="24" t="s">
        <v>7</v>
      </c>
      <c r="B2872" s="24" t="s">
        <v>7205</v>
      </c>
      <c r="C2872" s="25" t="s">
        <v>7206</v>
      </c>
      <c r="D2872" s="25" t="s">
        <v>7207</v>
      </c>
      <c r="E2872" s="26">
        <v>3</v>
      </c>
    </row>
    <row r="2873" spans="1:5" x14ac:dyDescent="0.25">
      <c r="A2873" s="24" t="s">
        <v>7</v>
      </c>
      <c r="B2873" s="24" t="s">
        <v>7208</v>
      </c>
      <c r="C2873" s="25" t="s">
        <v>7209</v>
      </c>
      <c r="D2873" s="25" t="s">
        <v>7210</v>
      </c>
      <c r="E2873" s="26">
        <v>23</v>
      </c>
    </row>
    <row r="2874" spans="1:5" x14ac:dyDescent="0.25">
      <c r="A2874" s="24" t="s">
        <v>7</v>
      </c>
      <c r="B2874" s="24" t="s">
        <v>7211</v>
      </c>
      <c r="C2874" s="25" t="s">
        <v>7212</v>
      </c>
      <c r="D2874" s="25" t="s">
        <v>7213</v>
      </c>
      <c r="E2874" s="26">
        <v>5</v>
      </c>
    </row>
    <row r="2875" spans="1:5" x14ac:dyDescent="0.25">
      <c r="A2875" s="24" t="s">
        <v>7</v>
      </c>
      <c r="B2875" s="24" t="s">
        <v>7214</v>
      </c>
      <c r="C2875" s="25" t="s">
        <v>7215</v>
      </c>
      <c r="D2875" s="25" t="s">
        <v>7216</v>
      </c>
      <c r="E2875" s="26">
        <v>2</v>
      </c>
    </row>
    <row r="2876" spans="1:5" x14ac:dyDescent="0.25">
      <c r="A2876" s="24" t="s">
        <v>7</v>
      </c>
      <c r="B2876" s="24" t="s">
        <v>7217</v>
      </c>
      <c r="C2876" s="25" t="s">
        <v>7218</v>
      </c>
      <c r="D2876" s="25" t="s">
        <v>7219</v>
      </c>
      <c r="E2876" s="26">
        <v>1</v>
      </c>
    </row>
    <row r="2877" spans="1:5" x14ac:dyDescent="0.25">
      <c r="A2877" s="24" t="s">
        <v>7</v>
      </c>
      <c r="B2877" s="24" t="s">
        <v>7220</v>
      </c>
      <c r="C2877" s="25" t="s">
        <v>7221</v>
      </c>
      <c r="D2877" s="25" t="s">
        <v>7222</v>
      </c>
      <c r="E2877" s="26">
        <v>12</v>
      </c>
    </row>
    <row r="2878" spans="1:5" x14ac:dyDescent="0.25">
      <c r="A2878" s="24" t="s">
        <v>7</v>
      </c>
      <c r="B2878" s="24" t="s">
        <v>7223</v>
      </c>
      <c r="C2878" s="25" t="s">
        <v>7224</v>
      </c>
      <c r="D2878" s="25" t="s">
        <v>7225</v>
      </c>
      <c r="E2878" s="26">
        <v>3</v>
      </c>
    </row>
    <row r="2879" spans="1:5" x14ac:dyDescent="0.25">
      <c r="A2879" s="24" t="s">
        <v>7</v>
      </c>
      <c r="B2879" s="24" t="s">
        <v>7226</v>
      </c>
      <c r="C2879" s="25" t="s">
        <v>7227</v>
      </c>
      <c r="D2879" s="25" t="s">
        <v>7228</v>
      </c>
      <c r="E2879" s="26">
        <v>4</v>
      </c>
    </row>
    <row r="2880" spans="1:5" x14ac:dyDescent="0.25">
      <c r="A2880" s="24" t="s">
        <v>7</v>
      </c>
      <c r="B2880" s="24" t="s">
        <v>7229</v>
      </c>
      <c r="C2880" s="25" t="s">
        <v>7230</v>
      </c>
      <c r="D2880" s="25" t="s">
        <v>7231</v>
      </c>
      <c r="E2880" s="26">
        <v>17</v>
      </c>
    </row>
    <row r="2881" spans="1:5" x14ac:dyDescent="0.25">
      <c r="A2881" s="24" t="s">
        <v>7</v>
      </c>
      <c r="B2881" s="24" t="s">
        <v>7232</v>
      </c>
      <c r="C2881" s="25" t="s">
        <v>7233</v>
      </c>
      <c r="D2881" s="25" t="s">
        <v>7234</v>
      </c>
      <c r="E2881" s="26">
        <v>2</v>
      </c>
    </row>
    <row r="2882" spans="1:5" x14ac:dyDescent="0.25">
      <c r="A2882" s="24" t="s">
        <v>7</v>
      </c>
      <c r="B2882" s="24" t="s">
        <v>7235</v>
      </c>
      <c r="C2882" s="25" t="s">
        <v>7236</v>
      </c>
      <c r="D2882" s="25" t="s">
        <v>7237</v>
      </c>
      <c r="E2882" s="26">
        <v>2</v>
      </c>
    </row>
    <row r="2883" spans="1:5" x14ac:dyDescent="0.25">
      <c r="A2883" s="24" t="s">
        <v>7</v>
      </c>
      <c r="B2883" s="24" t="s">
        <v>7238</v>
      </c>
      <c r="C2883" s="25" t="s">
        <v>7239</v>
      </c>
      <c r="D2883" s="25" t="s">
        <v>7240</v>
      </c>
      <c r="E2883" s="26">
        <v>1</v>
      </c>
    </row>
    <row r="2884" spans="1:5" x14ac:dyDescent="0.25">
      <c r="A2884" s="24" t="s">
        <v>7</v>
      </c>
      <c r="B2884" s="24" t="s">
        <v>7241</v>
      </c>
      <c r="C2884" s="25" t="s">
        <v>7242</v>
      </c>
      <c r="D2884" s="25" t="s">
        <v>7243</v>
      </c>
      <c r="E2884" s="26">
        <v>1</v>
      </c>
    </row>
    <row r="2885" spans="1:5" x14ac:dyDescent="0.25">
      <c r="A2885" s="24" t="s">
        <v>7</v>
      </c>
      <c r="B2885" s="24" t="s">
        <v>7244</v>
      </c>
      <c r="C2885" s="25" t="s">
        <v>7245</v>
      </c>
      <c r="D2885" s="25" t="s">
        <v>7246</v>
      </c>
      <c r="E2885" s="26">
        <v>30</v>
      </c>
    </row>
    <row r="2886" spans="1:5" x14ac:dyDescent="0.25">
      <c r="A2886" s="24" t="s">
        <v>7</v>
      </c>
      <c r="B2886" s="24" t="s">
        <v>7247</v>
      </c>
      <c r="C2886" s="25" t="s">
        <v>7248</v>
      </c>
      <c r="D2886" s="25" t="s">
        <v>7249</v>
      </c>
      <c r="E2886" s="26">
        <v>4</v>
      </c>
    </row>
    <row r="2887" spans="1:5" x14ac:dyDescent="0.25">
      <c r="A2887" s="24" t="s">
        <v>7</v>
      </c>
      <c r="B2887" s="24" t="s">
        <v>7250</v>
      </c>
      <c r="C2887" s="25" t="s">
        <v>7251</v>
      </c>
      <c r="D2887" s="25" t="s">
        <v>7252</v>
      </c>
      <c r="E2887" s="26">
        <v>3</v>
      </c>
    </row>
    <row r="2888" spans="1:5" x14ac:dyDescent="0.25">
      <c r="A2888" s="24" t="s">
        <v>7</v>
      </c>
      <c r="B2888" s="24" t="s">
        <v>7253</v>
      </c>
      <c r="C2888" s="25" t="s">
        <v>7254</v>
      </c>
      <c r="D2888" s="25" t="s">
        <v>7255</v>
      </c>
      <c r="E2888" s="26">
        <v>1</v>
      </c>
    </row>
    <row r="2889" spans="1:5" x14ac:dyDescent="0.25">
      <c r="A2889" s="24" t="s">
        <v>7</v>
      </c>
      <c r="B2889" s="24" t="s">
        <v>7256</v>
      </c>
      <c r="C2889" s="25" t="s">
        <v>7257</v>
      </c>
      <c r="D2889" s="25" t="s">
        <v>7258</v>
      </c>
      <c r="E2889" s="26">
        <v>1</v>
      </c>
    </row>
    <row r="2890" spans="1:5" x14ac:dyDescent="0.25">
      <c r="A2890" s="24" t="s">
        <v>7</v>
      </c>
      <c r="B2890" s="24" t="s">
        <v>7259</v>
      </c>
      <c r="C2890" s="25" t="s">
        <v>7260</v>
      </c>
      <c r="D2890" s="25" t="s">
        <v>7261</v>
      </c>
      <c r="E2890" s="26">
        <v>5</v>
      </c>
    </row>
    <row r="2891" spans="1:5" x14ac:dyDescent="0.25">
      <c r="A2891" s="24" t="s">
        <v>7</v>
      </c>
      <c r="B2891" s="24" t="s">
        <v>7262</v>
      </c>
      <c r="C2891" s="25" t="s">
        <v>7263</v>
      </c>
      <c r="D2891" s="25" t="s">
        <v>7264</v>
      </c>
      <c r="E2891" s="26">
        <v>8</v>
      </c>
    </row>
    <row r="2892" spans="1:5" x14ac:dyDescent="0.25">
      <c r="A2892" s="24" t="s">
        <v>7</v>
      </c>
      <c r="B2892" s="24" t="s">
        <v>7265</v>
      </c>
      <c r="C2892" s="25" t="s">
        <v>7266</v>
      </c>
      <c r="D2892" s="25" t="s">
        <v>7267</v>
      </c>
      <c r="E2892" s="26">
        <v>2</v>
      </c>
    </row>
    <row r="2893" spans="1:5" x14ac:dyDescent="0.25">
      <c r="A2893" s="24" t="s">
        <v>7</v>
      </c>
      <c r="B2893" s="24" t="s">
        <v>7268</v>
      </c>
      <c r="C2893" s="25" t="s">
        <v>7269</v>
      </c>
      <c r="D2893" s="25" t="s">
        <v>7269</v>
      </c>
      <c r="E2893" s="26">
        <v>80</v>
      </c>
    </row>
    <row r="2894" spans="1:5" x14ac:dyDescent="0.25">
      <c r="A2894" s="24" t="s">
        <v>7</v>
      </c>
      <c r="B2894" s="24" t="s">
        <v>7270</v>
      </c>
      <c r="C2894" s="25" t="s">
        <v>7271</v>
      </c>
      <c r="D2894" s="25" t="s">
        <v>7272</v>
      </c>
      <c r="E2894" s="26">
        <v>81</v>
      </c>
    </row>
    <row r="2895" spans="1:5" x14ac:dyDescent="0.25">
      <c r="A2895" s="24" t="s">
        <v>7</v>
      </c>
      <c r="B2895" s="24" t="s">
        <v>7273</v>
      </c>
      <c r="C2895" s="25" t="s">
        <v>7274</v>
      </c>
      <c r="D2895" s="25" t="s">
        <v>7275</v>
      </c>
      <c r="E2895" s="26">
        <v>1</v>
      </c>
    </row>
    <row r="2896" spans="1:5" x14ac:dyDescent="0.25">
      <c r="A2896" s="24" t="s">
        <v>7</v>
      </c>
      <c r="B2896" s="24" t="s">
        <v>7276</v>
      </c>
      <c r="C2896" s="25" t="s">
        <v>7277</v>
      </c>
      <c r="D2896" s="25" t="s">
        <v>7278</v>
      </c>
      <c r="E2896" s="26">
        <v>2</v>
      </c>
    </row>
    <row r="2897" spans="1:5" x14ac:dyDescent="0.25">
      <c r="A2897" s="24" t="s">
        <v>7</v>
      </c>
      <c r="B2897" s="24" t="s">
        <v>7279</v>
      </c>
      <c r="C2897" s="25" t="s">
        <v>7280</v>
      </c>
      <c r="D2897" s="25" t="s">
        <v>7281</v>
      </c>
      <c r="E2897" s="26">
        <v>1</v>
      </c>
    </row>
    <row r="2898" spans="1:5" x14ac:dyDescent="0.25">
      <c r="A2898" s="24" t="s">
        <v>7</v>
      </c>
      <c r="B2898" s="24" t="s">
        <v>7282</v>
      </c>
      <c r="C2898" s="25" t="s">
        <v>7283</v>
      </c>
      <c r="D2898" s="25" t="s">
        <v>7284</v>
      </c>
      <c r="E2898" s="26">
        <v>1</v>
      </c>
    </row>
    <row r="2899" spans="1:5" x14ac:dyDescent="0.25">
      <c r="A2899" s="24" t="s">
        <v>7</v>
      </c>
      <c r="B2899" s="24" t="s">
        <v>7285</v>
      </c>
      <c r="C2899" s="25" t="s">
        <v>7286</v>
      </c>
      <c r="D2899" s="25" t="s">
        <v>7287</v>
      </c>
      <c r="E2899" s="26">
        <v>2</v>
      </c>
    </row>
    <row r="2900" spans="1:5" x14ac:dyDescent="0.25">
      <c r="A2900" s="24" t="s">
        <v>7</v>
      </c>
      <c r="B2900" s="24" t="s">
        <v>7288</v>
      </c>
      <c r="C2900" s="25" t="s">
        <v>7289</v>
      </c>
      <c r="D2900" s="25" t="s">
        <v>7289</v>
      </c>
      <c r="E2900" s="26">
        <v>17</v>
      </c>
    </row>
    <row r="2901" spans="1:5" x14ac:dyDescent="0.25">
      <c r="A2901" s="24" t="s">
        <v>7</v>
      </c>
      <c r="B2901" s="24" t="s">
        <v>7290</v>
      </c>
      <c r="C2901" s="25" t="s">
        <v>7291</v>
      </c>
      <c r="D2901" s="25" t="s">
        <v>7292</v>
      </c>
      <c r="E2901" s="26">
        <v>1</v>
      </c>
    </row>
    <row r="2902" spans="1:5" x14ac:dyDescent="0.25">
      <c r="A2902" s="24" t="s">
        <v>7</v>
      </c>
      <c r="B2902" s="24" t="s">
        <v>7293</v>
      </c>
      <c r="C2902" s="25" t="s">
        <v>7294</v>
      </c>
      <c r="D2902" s="25" t="s">
        <v>7295</v>
      </c>
      <c r="E2902" s="26">
        <v>1</v>
      </c>
    </row>
    <row r="2903" spans="1:5" x14ac:dyDescent="0.25">
      <c r="A2903" s="24" t="s">
        <v>7</v>
      </c>
      <c r="B2903" s="24" t="s">
        <v>7296</v>
      </c>
      <c r="C2903" s="25" t="s">
        <v>7297</v>
      </c>
      <c r="D2903" s="25" t="s">
        <v>7298</v>
      </c>
      <c r="E2903" s="26">
        <v>22</v>
      </c>
    </row>
    <row r="2904" spans="1:5" x14ac:dyDescent="0.25">
      <c r="A2904" s="24" t="s">
        <v>7</v>
      </c>
      <c r="B2904" s="24" t="s">
        <v>7299</v>
      </c>
      <c r="C2904" s="25" t="s">
        <v>7300</v>
      </c>
      <c r="D2904" s="25" t="s">
        <v>7301</v>
      </c>
      <c r="E2904" s="26">
        <v>137</v>
      </c>
    </row>
    <row r="2905" spans="1:5" x14ac:dyDescent="0.25">
      <c r="A2905" s="24" t="s">
        <v>7</v>
      </c>
      <c r="B2905" s="24" t="s">
        <v>7302</v>
      </c>
      <c r="C2905" s="25" t="s">
        <v>7303</v>
      </c>
      <c r="D2905" s="25" t="s">
        <v>7303</v>
      </c>
      <c r="E2905" s="26">
        <v>1</v>
      </c>
    </row>
    <row r="2906" spans="1:5" x14ac:dyDescent="0.25">
      <c r="A2906" s="24" t="s">
        <v>7</v>
      </c>
      <c r="B2906" s="24" t="s">
        <v>7304</v>
      </c>
      <c r="C2906" s="25" t="s">
        <v>7305</v>
      </c>
      <c r="D2906" s="25" t="s">
        <v>7306</v>
      </c>
      <c r="E2906" s="26">
        <v>1</v>
      </c>
    </row>
    <row r="2907" spans="1:5" x14ac:dyDescent="0.25">
      <c r="A2907" s="24" t="s">
        <v>7</v>
      </c>
      <c r="B2907" s="24" t="s">
        <v>7307</v>
      </c>
      <c r="C2907" s="25" t="s">
        <v>7308</v>
      </c>
      <c r="D2907" s="25" t="s">
        <v>7309</v>
      </c>
      <c r="E2907" s="26">
        <v>1</v>
      </c>
    </row>
    <row r="2908" spans="1:5" x14ac:dyDescent="0.25">
      <c r="A2908" s="24" t="s">
        <v>7</v>
      </c>
      <c r="B2908" s="24" t="s">
        <v>7310</v>
      </c>
      <c r="C2908" s="25" t="s">
        <v>7311</v>
      </c>
      <c r="D2908" s="25" t="s">
        <v>7312</v>
      </c>
      <c r="E2908" s="26">
        <v>1</v>
      </c>
    </row>
    <row r="2909" spans="1:5" x14ac:dyDescent="0.25">
      <c r="A2909" s="24" t="s">
        <v>7</v>
      </c>
      <c r="B2909" s="24" t="s">
        <v>7313</v>
      </c>
      <c r="C2909" s="25" t="s">
        <v>7314</v>
      </c>
      <c r="D2909" s="25" t="s">
        <v>7315</v>
      </c>
      <c r="E2909" s="26">
        <v>268</v>
      </c>
    </row>
    <row r="2910" spans="1:5" x14ac:dyDescent="0.25">
      <c r="A2910" s="24" t="s">
        <v>7</v>
      </c>
      <c r="B2910" s="24" t="s">
        <v>7316</v>
      </c>
      <c r="C2910" s="25" t="s">
        <v>7317</v>
      </c>
      <c r="D2910" s="25" t="s">
        <v>7318</v>
      </c>
      <c r="E2910" s="26">
        <v>262</v>
      </c>
    </row>
    <row r="2911" spans="1:5" x14ac:dyDescent="0.25">
      <c r="A2911" s="24" t="s">
        <v>7</v>
      </c>
      <c r="B2911" s="24" t="s">
        <v>7319</v>
      </c>
      <c r="C2911" s="25" t="s">
        <v>7320</v>
      </c>
      <c r="D2911" s="25" t="s">
        <v>7321</v>
      </c>
      <c r="E2911" s="26">
        <v>17</v>
      </c>
    </row>
    <row r="2912" spans="1:5" x14ac:dyDescent="0.25">
      <c r="A2912" s="24" t="s">
        <v>7</v>
      </c>
      <c r="B2912" s="24" t="s">
        <v>7322</v>
      </c>
      <c r="C2912" s="25" t="s">
        <v>7323</v>
      </c>
      <c r="D2912" s="25" t="s">
        <v>7324</v>
      </c>
      <c r="E2912" s="26">
        <v>1</v>
      </c>
    </row>
    <row r="2913" spans="1:5" x14ac:dyDescent="0.25">
      <c r="A2913" s="24" t="s">
        <v>7</v>
      </c>
      <c r="B2913" s="24" t="s">
        <v>7325</v>
      </c>
      <c r="C2913" s="25" t="s">
        <v>7326</v>
      </c>
      <c r="D2913" s="25" t="s">
        <v>7327</v>
      </c>
      <c r="E2913" s="26">
        <v>17</v>
      </c>
    </row>
    <row r="2914" spans="1:5" x14ac:dyDescent="0.25">
      <c r="A2914" s="24" t="s">
        <v>7</v>
      </c>
      <c r="B2914" s="24" t="s">
        <v>7328</v>
      </c>
      <c r="C2914" s="25" t="s">
        <v>7329</v>
      </c>
      <c r="D2914" s="25" t="s">
        <v>7330</v>
      </c>
      <c r="E2914" s="26">
        <v>2</v>
      </c>
    </row>
    <row r="2915" spans="1:5" x14ac:dyDescent="0.25">
      <c r="A2915" s="24" t="s">
        <v>7</v>
      </c>
      <c r="B2915" s="24" t="s">
        <v>7331</v>
      </c>
      <c r="C2915" s="25" t="s">
        <v>7332</v>
      </c>
      <c r="D2915" s="25" t="s">
        <v>7333</v>
      </c>
      <c r="E2915" s="26">
        <v>3</v>
      </c>
    </row>
    <row r="2916" spans="1:5" x14ac:dyDescent="0.25">
      <c r="A2916" s="24" t="s">
        <v>7</v>
      </c>
      <c r="B2916" s="24" t="s">
        <v>7334</v>
      </c>
      <c r="C2916" s="25" t="s">
        <v>7335</v>
      </c>
      <c r="D2916" s="25" t="s">
        <v>7336</v>
      </c>
      <c r="E2916" s="26">
        <v>102</v>
      </c>
    </row>
    <row r="2917" spans="1:5" x14ac:dyDescent="0.25">
      <c r="A2917" s="24" t="s">
        <v>7</v>
      </c>
      <c r="B2917" s="24" t="s">
        <v>7337</v>
      </c>
      <c r="C2917" s="25" t="s">
        <v>7338</v>
      </c>
      <c r="D2917" s="25" t="s">
        <v>7339</v>
      </c>
      <c r="E2917" s="26">
        <v>17</v>
      </c>
    </row>
    <row r="2918" spans="1:5" x14ac:dyDescent="0.25">
      <c r="A2918" s="24" t="s">
        <v>7</v>
      </c>
      <c r="B2918" s="24" t="s">
        <v>7340</v>
      </c>
      <c r="C2918" s="25" t="s">
        <v>7341</v>
      </c>
      <c r="D2918" s="25" t="s">
        <v>7342</v>
      </c>
      <c r="E2918" s="26">
        <v>5</v>
      </c>
    </row>
    <row r="2919" spans="1:5" x14ac:dyDescent="0.25">
      <c r="A2919" s="24" t="s">
        <v>7</v>
      </c>
      <c r="B2919" s="24" t="s">
        <v>7343</v>
      </c>
      <c r="C2919" s="25" t="s">
        <v>7344</v>
      </c>
      <c r="D2919" s="25" t="s">
        <v>7345</v>
      </c>
      <c r="E2919" s="26">
        <v>2</v>
      </c>
    </row>
    <row r="2920" spans="1:5" x14ac:dyDescent="0.25">
      <c r="A2920" s="24" t="s">
        <v>7</v>
      </c>
      <c r="B2920" s="24" t="s">
        <v>7346</v>
      </c>
      <c r="C2920" s="25" t="s">
        <v>7347</v>
      </c>
      <c r="D2920" s="25" t="s">
        <v>7348</v>
      </c>
      <c r="E2920" s="26">
        <v>551</v>
      </c>
    </row>
    <row r="2921" spans="1:5" x14ac:dyDescent="0.25">
      <c r="A2921" s="24" t="s">
        <v>7</v>
      </c>
      <c r="B2921" s="24" t="s">
        <v>7349</v>
      </c>
      <c r="C2921" s="25" t="s">
        <v>7350</v>
      </c>
      <c r="D2921" s="25" t="s">
        <v>7350</v>
      </c>
      <c r="E2921" s="26">
        <v>2</v>
      </c>
    </row>
    <row r="2922" spans="1:5" x14ac:dyDescent="0.25">
      <c r="A2922" s="24" t="s">
        <v>7</v>
      </c>
      <c r="B2922" s="24" t="s">
        <v>7351</v>
      </c>
      <c r="C2922" s="25" t="s">
        <v>7352</v>
      </c>
      <c r="D2922" s="25" t="s">
        <v>7353</v>
      </c>
      <c r="E2922" s="26">
        <v>4</v>
      </c>
    </row>
    <row r="2923" spans="1:5" x14ac:dyDescent="0.25">
      <c r="A2923" s="24" t="s">
        <v>7</v>
      </c>
      <c r="B2923" s="24" t="s">
        <v>7354</v>
      </c>
      <c r="C2923" s="25" t="s">
        <v>7355</v>
      </c>
      <c r="D2923" s="25" t="s">
        <v>7356</v>
      </c>
      <c r="E2923" s="26">
        <v>6</v>
      </c>
    </row>
    <row r="2924" spans="1:5" x14ac:dyDescent="0.25">
      <c r="A2924" s="24" t="s">
        <v>7</v>
      </c>
      <c r="B2924" s="24" t="s">
        <v>7357</v>
      </c>
      <c r="C2924" s="25" t="s">
        <v>7358</v>
      </c>
      <c r="D2924" s="25" t="s">
        <v>7359</v>
      </c>
      <c r="E2924" s="26">
        <v>620</v>
      </c>
    </row>
    <row r="2925" spans="1:5" x14ac:dyDescent="0.25">
      <c r="A2925" s="24" t="s">
        <v>7</v>
      </c>
      <c r="B2925" s="24" t="s">
        <v>7360</v>
      </c>
      <c r="C2925" s="25" t="s">
        <v>7361</v>
      </c>
      <c r="D2925" s="25" t="s">
        <v>7362</v>
      </c>
      <c r="E2925" s="26">
        <v>340</v>
      </c>
    </row>
    <row r="2926" spans="1:5" x14ac:dyDescent="0.25">
      <c r="A2926" s="24" t="s">
        <v>7</v>
      </c>
      <c r="B2926" s="24" t="s">
        <v>7363</v>
      </c>
      <c r="C2926" s="25" t="s">
        <v>7364</v>
      </c>
      <c r="D2926" s="25" t="s">
        <v>7365</v>
      </c>
      <c r="E2926" s="26">
        <v>4</v>
      </c>
    </row>
    <row r="2927" spans="1:5" x14ac:dyDescent="0.25">
      <c r="A2927" s="24" t="s">
        <v>7</v>
      </c>
      <c r="B2927" s="24" t="s">
        <v>7366</v>
      </c>
      <c r="C2927" s="25" t="s">
        <v>7367</v>
      </c>
      <c r="D2927" s="25" t="s">
        <v>7368</v>
      </c>
      <c r="E2927" s="26">
        <v>14</v>
      </c>
    </row>
    <row r="2928" spans="1:5" x14ac:dyDescent="0.25">
      <c r="A2928" s="24" t="s">
        <v>7</v>
      </c>
      <c r="B2928" s="24" t="s">
        <v>7369</v>
      </c>
      <c r="C2928" s="25" t="s">
        <v>7370</v>
      </c>
      <c r="D2928" s="25" t="s">
        <v>7371</v>
      </c>
      <c r="E2928" s="26">
        <v>27</v>
      </c>
    </row>
    <row r="2929" spans="1:5" x14ac:dyDescent="0.25">
      <c r="A2929" s="24" t="s">
        <v>7</v>
      </c>
      <c r="B2929" s="24" t="s">
        <v>7372</v>
      </c>
      <c r="C2929" s="25" t="s">
        <v>7373</v>
      </c>
      <c r="D2929" s="25" t="s">
        <v>7374</v>
      </c>
      <c r="E2929" s="26">
        <v>17</v>
      </c>
    </row>
    <row r="2930" spans="1:5" x14ac:dyDescent="0.25">
      <c r="A2930" s="24" t="s">
        <v>7</v>
      </c>
      <c r="B2930" s="24" t="s">
        <v>7375</v>
      </c>
      <c r="C2930" s="25" t="s">
        <v>7376</v>
      </c>
      <c r="D2930" s="25" t="s">
        <v>7377</v>
      </c>
      <c r="E2930" s="26">
        <v>27</v>
      </c>
    </row>
    <row r="2931" spans="1:5" x14ac:dyDescent="0.25">
      <c r="A2931" s="24" t="s">
        <v>7</v>
      </c>
      <c r="B2931" s="24" t="s">
        <v>7378</v>
      </c>
      <c r="C2931" s="25" t="s">
        <v>7379</v>
      </c>
      <c r="D2931" s="25" t="s">
        <v>7380</v>
      </c>
      <c r="E2931" s="26">
        <v>9</v>
      </c>
    </row>
    <row r="2932" spans="1:5" x14ac:dyDescent="0.25">
      <c r="A2932" s="24" t="s">
        <v>7</v>
      </c>
      <c r="B2932" s="24" t="s">
        <v>7381</v>
      </c>
      <c r="C2932" s="25" t="s">
        <v>7382</v>
      </c>
      <c r="D2932" s="25" t="s">
        <v>7383</v>
      </c>
      <c r="E2932" s="26">
        <v>90</v>
      </c>
    </row>
    <row r="2933" spans="1:5" x14ac:dyDescent="0.25">
      <c r="A2933" s="24" t="s">
        <v>7</v>
      </c>
      <c r="B2933" s="24" t="s">
        <v>7384</v>
      </c>
      <c r="C2933" s="25" t="s">
        <v>7385</v>
      </c>
      <c r="D2933" s="25" t="s">
        <v>7386</v>
      </c>
      <c r="E2933" s="26">
        <v>4</v>
      </c>
    </row>
    <row r="2934" spans="1:5" x14ac:dyDescent="0.25">
      <c r="A2934" s="24" t="s">
        <v>7</v>
      </c>
      <c r="B2934" s="24" t="s">
        <v>7387</v>
      </c>
      <c r="C2934" s="25" t="s">
        <v>7388</v>
      </c>
      <c r="D2934" s="25" t="s">
        <v>7389</v>
      </c>
      <c r="E2934" s="26">
        <v>4</v>
      </c>
    </row>
    <row r="2935" spans="1:5" x14ac:dyDescent="0.25">
      <c r="A2935" s="24" t="s">
        <v>7</v>
      </c>
      <c r="B2935" s="24" t="s">
        <v>7390</v>
      </c>
      <c r="C2935" s="25" t="s">
        <v>7391</v>
      </c>
      <c r="D2935" s="25" t="s">
        <v>7392</v>
      </c>
      <c r="E2935" s="26">
        <v>1</v>
      </c>
    </row>
    <row r="2936" spans="1:5" x14ac:dyDescent="0.25">
      <c r="A2936" s="24" t="s">
        <v>7</v>
      </c>
      <c r="B2936" s="24" t="s">
        <v>7393</v>
      </c>
      <c r="C2936" s="25" t="s">
        <v>7394</v>
      </c>
      <c r="D2936" s="25" t="s">
        <v>7395</v>
      </c>
      <c r="E2936" s="26">
        <v>4</v>
      </c>
    </row>
    <row r="2937" spans="1:5" x14ac:dyDescent="0.25">
      <c r="A2937" s="24" t="s">
        <v>7</v>
      </c>
      <c r="B2937" s="24" t="s">
        <v>7396</v>
      </c>
      <c r="C2937" s="25" t="s">
        <v>7397</v>
      </c>
      <c r="D2937" s="25" t="s">
        <v>7398</v>
      </c>
      <c r="E2937" s="26">
        <v>19</v>
      </c>
    </row>
    <row r="2938" spans="1:5" x14ac:dyDescent="0.25">
      <c r="A2938" s="24" t="s">
        <v>7</v>
      </c>
      <c r="B2938" s="24" t="s">
        <v>7399</v>
      </c>
      <c r="C2938" s="25" t="s">
        <v>7400</v>
      </c>
      <c r="D2938" s="25" t="s">
        <v>7401</v>
      </c>
      <c r="E2938" s="26">
        <v>2</v>
      </c>
    </row>
    <row r="2939" spans="1:5" x14ac:dyDescent="0.25">
      <c r="A2939" s="24" t="s">
        <v>7</v>
      </c>
      <c r="B2939" s="24" t="s">
        <v>7402</v>
      </c>
      <c r="C2939" s="25" t="s">
        <v>7403</v>
      </c>
      <c r="D2939" s="25" t="s">
        <v>7404</v>
      </c>
      <c r="E2939" s="26">
        <v>8</v>
      </c>
    </row>
    <row r="2940" spans="1:5" x14ac:dyDescent="0.25">
      <c r="A2940" s="24" t="s">
        <v>7</v>
      </c>
      <c r="B2940" s="24" t="s">
        <v>7405</v>
      </c>
      <c r="C2940" s="25" t="s">
        <v>7406</v>
      </c>
      <c r="D2940" s="25" t="s">
        <v>7407</v>
      </c>
      <c r="E2940" s="26">
        <v>886</v>
      </c>
    </row>
    <row r="2941" spans="1:5" x14ac:dyDescent="0.25">
      <c r="A2941" s="24" t="s">
        <v>7</v>
      </c>
      <c r="B2941" s="24" t="s">
        <v>7408</v>
      </c>
      <c r="C2941" s="25" t="s">
        <v>7409</v>
      </c>
      <c r="D2941" s="25" t="s">
        <v>7410</v>
      </c>
      <c r="E2941" s="26">
        <v>4</v>
      </c>
    </row>
    <row r="2942" spans="1:5" x14ac:dyDescent="0.25">
      <c r="A2942" s="24" t="s">
        <v>7</v>
      </c>
      <c r="B2942" s="24" t="s">
        <v>7411</v>
      </c>
      <c r="C2942" s="25" t="s">
        <v>7412</v>
      </c>
      <c r="D2942" s="25" t="s">
        <v>7413</v>
      </c>
      <c r="E2942" s="26">
        <v>249</v>
      </c>
    </row>
    <row r="2943" spans="1:5" x14ac:dyDescent="0.25">
      <c r="A2943" s="24" t="s">
        <v>7</v>
      </c>
      <c r="B2943" s="24" t="s">
        <v>7414</v>
      </c>
      <c r="C2943" s="25" t="s">
        <v>7415</v>
      </c>
      <c r="D2943" s="25" t="s">
        <v>7416</v>
      </c>
      <c r="E2943" s="26">
        <v>1</v>
      </c>
    </row>
    <row r="2944" spans="1:5" x14ac:dyDescent="0.25">
      <c r="A2944" s="24" t="s">
        <v>7</v>
      </c>
      <c r="B2944" s="24" t="s">
        <v>7417</v>
      </c>
      <c r="C2944" s="25" t="s">
        <v>7418</v>
      </c>
      <c r="D2944" s="25" t="s">
        <v>7419</v>
      </c>
      <c r="E2944" s="26">
        <v>12</v>
      </c>
    </row>
    <row r="2945" spans="1:5" x14ac:dyDescent="0.25">
      <c r="A2945" s="24" t="s">
        <v>7</v>
      </c>
      <c r="B2945" s="24" t="s">
        <v>7420</v>
      </c>
      <c r="C2945" s="25" t="s">
        <v>7421</v>
      </c>
      <c r="D2945" s="25" t="s">
        <v>7422</v>
      </c>
      <c r="E2945" s="26">
        <v>4</v>
      </c>
    </row>
    <row r="2946" spans="1:5" x14ac:dyDescent="0.25">
      <c r="A2946" s="24" t="s">
        <v>7</v>
      </c>
      <c r="B2946" s="24" t="s">
        <v>7423</v>
      </c>
      <c r="C2946" s="25" t="s">
        <v>7424</v>
      </c>
      <c r="D2946" s="25" t="s">
        <v>7425</v>
      </c>
      <c r="E2946" s="26">
        <v>1</v>
      </c>
    </row>
    <row r="2947" spans="1:5" x14ac:dyDescent="0.25">
      <c r="A2947" s="24" t="s">
        <v>7</v>
      </c>
      <c r="B2947" s="24" t="s">
        <v>7426</v>
      </c>
      <c r="C2947" s="25" t="s">
        <v>7427</v>
      </c>
      <c r="D2947" s="25" t="s">
        <v>7428</v>
      </c>
      <c r="E2947" s="26">
        <v>8</v>
      </c>
    </row>
    <row r="2948" spans="1:5" x14ac:dyDescent="0.25">
      <c r="A2948" s="24" t="s">
        <v>7</v>
      </c>
      <c r="B2948" s="24" t="s">
        <v>7429</v>
      </c>
      <c r="C2948" s="25" t="s">
        <v>7430</v>
      </c>
      <c r="D2948" s="25" t="s">
        <v>7431</v>
      </c>
      <c r="E2948" s="26">
        <v>247</v>
      </c>
    </row>
    <row r="2949" spans="1:5" x14ac:dyDescent="0.25">
      <c r="A2949" s="24" t="s">
        <v>7</v>
      </c>
      <c r="B2949" s="24" t="s">
        <v>7432</v>
      </c>
      <c r="C2949" s="25" t="s">
        <v>7433</v>
      </c>
      <c r="D2949" s="25" t="s">
        <v>7434</v>
      </c>
      <c r="E2949" s="26">
        <v>10</v>
      </c>
    </row>
    <row r="2950" spans="1:5" x14ac:dyDescent="0.25">
      <c r="A2950" s="24" t="s">
        <v>7</v>
      </c>
      <c r="B2950" s="24" t="s">
        <v>7435</v>
      </c>
      <c r="C2950" s="25" t="s">
        <v>7436</v>
      </c>
      <c r="D2950" s="25" t="s">
        <v>7437</v>
      </c>
      <c r="E2950" s="26">
        <v>7</v>
      </c>
    </row>
    <row r="2951" spans="1:5" x14ac:dyDescent="0.25">
      <c r="A2951" s="24" t="s">
        <v>7</v>
      </c>
      <c r="B2951" s="24" t="s">
        <v>7438</v>
      </c>
      <c r="C2951" s="25" t="s">
        <v>7439</v>
      </c>
      <c r="D2951" s="25" t="s">
        <v>7440</v>
      </c>
      <c r="E2951" s="26">
        <v>11</v>
      </c>
    </row>
    <row r="2952" spans="1:5" x14ac:dyDescent="0.25">
      <c r="A2952" s="24" t="s">
        <v>7</v>
      </c>
      <c r="B2952" s="24" t="s">
        <v>7441</v>
      </c>
      <c r="C2952" s="25" t="s">
        <v>7442</v>
      </c>
      <c r="D2952" s="25" t="s">
        <v>7443</v>
      </c>
      <c r="E2952" s="26">
        <v>8</v>
      </c>
    </row>
    <row r="2953" spans="1:5" x14ac:dyDescent="0.25">
      <c r="A2953" s="24" t="s">
        <v>7</v>
      </c>
      <c r="B2953" s="24" t="s">
        <v>7444</v>
      </c>
      <c r="C2953" s="25" t="s">
        <v>7445</v>
      </c>
      <c r="D2953" s="25" t="s">
        <v>7446</v>
      </c>
      <c r="E2953" s="26">
        <v>11</v>
      </c>
    </row>
    <row r="2954" spans="1:5" x14ac:dyDescent="0.25">
      <c r="A2954" s="24" t="s">
        <v>7</v>
      </c>
      <c r="B2954" s="24" t="s">
        <v>7447</v>
      </c>
      <c r="C2954" s="25" t="s">
        <v>7448</v>
      </c>
      <c r="D2954" s="25" t="s">
        <v>7449</v>
      </c>
      <c r="E2954" s="26">
        <v>1</v>
      </c>
    </row>
    <row r="2955" spans="1:5" x14ac:dyDescent="0.25">
      <c r="A2955" s="24" t="s">
        <v>7</v>
      </c>
      <c r="B2955" s="24" t="s">
        <v>7450</v>
      </c>
      <c r="C2955" s="25" t="s">
        <v>7451</v>
      </c>
      <c r="D2955" s="25" t="s">
        <v>7452</v>
      </c>
      <c r="E2955" s="26">
        <v>1</v>
      </c>
    </row>
    <row r="2956" spans="1:5" x14ac:dyDescent="0.25">
      <c r="A2956" s="24" t="s">
        <v>7</v>
      </c>
      <c r="B2956" s="24" t="s">
        <v>7453</v>
      </c>
      <c r="C2956" s="25" t="s">
        <v>7454</v>
      </c>
      <c r="D2956" s="25" t="s">
        <v>7455</v>
      </c>
      <c r="E2956" s="26">
        <v>2</v>
      </c>
    </row>
    <row r="2957" spans="1:5" x14ac:dyDescent="0.25">
      <c r="A2957" s="24" t="s">
        <v>7</v>
      </c>
      <c r="B2957" s="24" t="s">
        <v>7456</v>
      </c>
      <c r="C2957" s="25" t="s">
        <v>7457</v>
      </c>
      <c r="D2957" s="25" t="s">
        <v>7458</v>
      </c>
      <c r="E2957" s="26">
        <v>3</v>
      </c>
    </row>
    <row r="2958" spans="1:5" x14ac:dyDescent="0.25">
      <c r="A2958" s="24" t="s">
        <v>7</v>
      </c>
      <c r="B2958" s="24" t="s">
        <v>7459</v>
      </c>
      <c r="C2958" s="25" t="s">
        <v>7460</v>
      </c>
      <c r="D2958" s="25" t="s">
        <v>7461</v>
      </c>
      <c r="E2958" s="26">
        <v>6</v>
      </c>
    </row>
    <row r="2959" spans="1:5" x14ac:dyDescent="0.25">
      <c r="A2959" s="24" t="s">
        <v>7</v>
      </c>
      <c r="B2959" s="24" t="s">
        <v>7462</v>
      </c>
      <c r="C2959" s="25" t="s">
        <v>7463</v>
      </c>
      <c r="D2959" s="25" t="s">
        <v>7464</v>
      </c>
      <c r="E2959" s="26">
        <v>6</v>
      </c>
    </row>
    <row r="2960" spans="1:5" x14ac:dyDescent="0.25">
      <c r="A2960" s="24" t="s">
        <v>7</v>
      </c>
      <c r="B2960" s="24" t="s">
        <v>7465</v>
      </c>
      <c r="C2960" s="25" t="s">
        <v>7466</v>
      </c>
      <c r="D2960" s="25" t="s">
        <v>7467</v>
      </c>
      <c r="E2960" s="26">
        <v>9</v>
      </c>
    </row>
    <row r="2961" spans="1:5" x14ac:dyDescent="0.25">
      <c r="A2961" s="24" t="s">
        <v>7</v>
      </c>
      <c r="B2961" s="24" t="s">
        <v>7468</v>
      </c>
      <c r="C2961" s="25" t="s">
        <v>7469</v>
      </c>
      <c r="D2961" s="25" t="s">
        <v>7470</v>
      </c>
      <c r="E2961" s="26">
        <v>98</v>
      </c>
    </row>
    <row r="2962" spans="1:5" x14ac:dyDescent="0.25">
      <c r="A2962" s="24" t="s">
        <v>7</v>
      </c>
      <c r="B2962" s="24" t="s">
        <v>7471</v>
      </c>
      <c r="C2962" s="25" t="s">
        <v>7472</v>
      </c>
      <c r="D2962" s="25" t="s">
        <v>7473</v>
      </c>
      <c r="E2962" s="26">
        <v>17</v>
      </c>
    </row>
    <row r="2963" spans="1:5" x14ac:dyDescent="0.25">
      <c r="A2963" s="24" t="s">
        <v>7</v>
      </c>
      <c r="B2963" s="24" t="s">
        <v>7474</v>
      </c>
      <c r="C2963" s="25" t="s">
        <v>7475</v>
      </c>
      <c r="D2963" s="25" t="s">
        <v>7476</v>
      </c>
      <c r="E2963" s="26">
        <v>1</v>
      </c>
    </row>
    <row r="2964" spans="1:5" x14ac:dyDescent="0.25">
      <c r="A2964" s="24" t="s">
        <v>7</v>
      </c>
      <c r="B2964" s="24" t="s">
        <v>7477</v>
      </c>
      <c r="C2964" s="25" t="s">
        <v>7478</v>
      </c>
      <c r="D2964" s="25" t="s">
        <v>7479</v>
      </c>
      <c r="E2964" s="26">
        <v>2</v>
      </c>
    </row>
    <row r="2965" spans="1:5" x14ac:dyDescent="0.25">
      <c r="A2965" s="24" t="s">
        <v>7</v>
      </c>
      <c r="B2965" s="24" t="s">
        <v>7480</v>
      </c>
      <c r="C2965" s="25" t="s">
        <v>7481</v>
      </c>
      <c r="D2965" s="25" t="s">
        <v>7482</v>
      </c>
      <c r="E2965" s="26">
        <v>20</v>
      </c>
    </row>
    <row r="2966" spans="1:5" x14ac:dyDescent="0.25">
      <c r="A2966" s="24" t="s">
        <v>7</v>
      </c>
      <c r="B2966" s="24" t="s">
        <v>7483</v>
      </c>
      <c r="C2966" s="25" t="s">
        <v>7484</v>
      </c>
      <c r="D2966" s="25" t="s">
        <v>7485</v>
      </c>
      <c r="E2966" s="26">
        <v>2</v>
      </c>
    </row>
    <row r="2967" spans="1:5" x14ac:dyDescent="0.25">
      <c r="A2967" s="24" t="s">
        <v>7</v>
      </c>
      <c r="B2967" s="24" t="s">
        <v>7486</v>
      </c>
      <c r="C2967" s="25" t="s">
        <v>7487</v>
      </c>
      <c r="D2967" s="25" t="s">
        <v>7488</v>
      </c>
      <c r="E2967" s="26">
        <v>3</v>
      </c>
    </row>
    <row r="2968" spans="1:5" x14ac:dyDescent="0.25">
      <c r="A2968" s="24" t="s">
        <v>7</v>
      </c>
      <c r="B2968" s="24" t="s">
        <v>7489</v>
      </c>
      <c r="C2968" s="25" t="s">
        <v>7490</v>
      </c>
      <c r="D2968" s="25" t="s">
        <v>7491</v>
      </c>
      <c r="E2968" s="26">
        <v>16</v>
      </c>
    </row>
    <row r="2969" spans="1:5" x14ac:dyDescent="0.25">
      <c r="A2969" s="24" t="s">
        <v>7</v>
      </c>
      <c r="B2969" s="24" t="s">
        <v>7492</v>
      </c>
      <c r="C2969" s="25" t="s">
        <v>7493</v>
      </c>
      <c r="D2969" s="25" t="s">
        <v>7494</v>
      </c>
      <c r="E2969" s="26">
        <v>2</v>
      </c>
    </row>
    <row r="2970" spans="1:5" x14ac:dyDescent="0.25">
      <c r="A2970" s="24" t="s">
        <v>7</v>
      </c>
      <c r="B2970" s="24" t="s">
        <v>7495</v>
      </c>
      <c r="C2970" s="25" t="s">
        <v>7496</v>
      </c>
      <c r="D2970" s="25" t="s">
        <v>7497</v>
      </c>
      <c r="E2970" s="26">
        <v>1</v>
      </c>
    </row>
    <row r="2971" spans="1:5" x14ac:dyDescent="0.25">
      <c r="A2971" s="24" t="s">
        <v>7</v>
      </c>
      <c r="B2971" s="24" t="s">
        <v>7498</v>
      </c>
      <c r="C2971" s="25" t="s">
        <v>7499</v>
      </c>
      <c r="D2971" s="25" t="s">
        <v>7500</v>
      </c>
      <c r="E2971" s="26">
        <v>1</v>
      </c>
    </row>
    <row r="2972" spans="1:5" x14ac:dyDescent="0.25">
      <c r="A2972" s="24" t="s">
        <v>7</v>
      </c>
      <c r="B2972" s="24" t="s">
        <v>7501</v>
      </c>
      <c r="C2972" s="25" t="s">
        <v>7502</v>
      </c>
      <c r="D2972" s="25" t="s">
        <v>7503</v>
      </c>
      <c r="E2972" s="26">
        <v>1</v>
      </c>
    </row>
    <row r="2973" spans="1:5" x14ac:dyDescent="0.25">
      <c r="A2973" s="24" t="s">
        <v>7</v>
      </c>
      <c r="B2973" s="24" t="s">
        <v>7504</v>
      </c>
      <c r="C2973" s="25" t="s">
        <v>7505</v>
      </c>
      <c r="D2973" s="25" t="s">
        <v>7506</v>
      </c>
      <c r="E2973" s="26">
        <v>1</v>
      </c>
    </row>
    <row r="2974" spans="1:5" x14ac:dyDescent="0.25">
      <c r="A2974" s="24" t="s">
        <v>7</v>
      </c>
      <c r="B2974" s="24" t="s">
        <v>7507</v>
      </c>
      <c r="C2974" s="25" t="s">
        <v>7508</v>
      </c>
      <c r="D2974" s="25" t="s">
        <v>7509</v>
      </c>
      <c r="E2974" s="26">
        <v>1</v>
      </c>
    </row>
    <row r="2975" spans="1:5" x14ac:dyDescent="0.25">
      <c r="A2975" s="24" t="s">
        <v>7</v>
      </c>
      <c r="B2975" s="24" t="s">
        <v>7510</v>
      </c>
      <c r="C2975" s="25" t="s">
        <v>7511</v>
      </c>
      <c r="D2975" s="25" t="s">
        <v>7512</v>
      </c>
      <c r="E2975" s="26">
        <v>24</v>
      </c>
    </row>
    <row r="2976" spans="1:5" x14ac:dyDescent="0.25">
      <c r="A2976" s="24" t="s">
        <v>7</v>
      </c>
      <c r="B2976" s="24" t="s">
        <v>7513</v>
      </c>
      <c r="C2976" s="25" t="s">
        <v>7514</v>
      </c>
      <c r="D2976" s="25" t="s">
        <v>7515</v>
      </c>
      <c r="E2976" s="26">
        <v>26</v>
      </c>
    </row>
    <row r="2977" spans="1:5" x14ac:dyDescent="0.25">
      <c r="A2977" s="24" t="s">
        <v>7</v>
      </c>
      <c r="B2977" s="24" t="s">
        <v>7516</v>
      </c>
      <c r="C2977" s="25" t="s">
        <v>7517</v>
      </c>
      <c r="D2977" s="25" t="s">
        <v>7518</v>
      </c>
      <c r="E2977" s="26">
        <v>20.73</v>
      </c>
    </row>
    <row r="2978" spans="1:5" x14ac:dyDescent="0.25">
      <c r="A2978" s="24" t="s">
        <v>7</v>
      </c>
      <c r="B2978" s="24" t="s">
        <v>7519</v>
      </c>
      <c r="C2978" s="25" t="s">
        <v>7520</v>
      </c>
      <c r="D2978" s="25" t="s">
        <v>7521</v>
      </c>
      <c r="E2978" s="26">
        <v>17</v>
      </c>
    </row>
    <row r="2979" spans="1:5" x14ac:dyDescent="0.25">
      <c r="A2979" s="24" t="s">
        <v>7</v>
      </c>
      <c r="B2979" s="24" t="s">
        <v>7522</v>
      </c>
      <c r="C2979" s="25" t="s">
        <v>7523</v>
      </c>
      <c r="D2979" s="25" t="s">
        <v>7524</v>
      </c>
      <c r="E2979" s="26">
        <v>22</v>
      </c>
    </row>
    <row r="2980" spans="1:5" x14ac:dyDescent="0.25">
      <c r="A2980" s="24" t="s">
        <v>7</v>
      </c>
      <c r="B2980" s="24" t="s">
        <v>7525</v>
      </c>
      <c r="C2980" s="25" t="s">
        <v>7526</v>
      </c>
      <c r="D2980" s="25" t="s">
        <v>7527</v>
      </c>
      <c r="E2980" s="26">
        <v>12</v>
      </c>
    </row>
    <row r="2981" spans="1:5" x14ac:dyDescent="0.25">
      <c r="A2981" s="24" t="s">
        <v>7</v>
      </c>
      <c r="B2981" s="24" t="s">
        <v>7528</v>
      </c>
      <c r="C2981" s="25" t="s">
        <v>7529</v>
      </c>
      <c r="D2981" s="25" t="s">
        <v>7530</v>
      </c>
      <c r="E2981" s="26">
        <v>28</v>
      </c>
    </row>
    <row r="2982" spans="1:5" x14ac:dyDescent="0.25">
      <c r="A2982" s="24" t="s">
        <v>7</v>
      </c>
      <c r="B2982" s="24" t="s">
        <v>7531</v>
      </c>
      <c r="C2982" s="25" t="s">
        <v>7532</v>
      </c>
      <c r="D2982" s="25" t="s">
        <v>7533</v>
      </c>
      <c r="E2982" s="26">
        <v>4</v>
      </c>
    </row>
    <row r="2983" spans="1:5" x14ac:dyDescent="0.25">
      <c r="A2983" s="24" t="s">
        <v>7</v>
      </c>
      <c r="B2983" s="24" t="s">
        <v>7534</v>
      </c>
      <c r="C2983" s="25" t="s">
        <v>7535</v>
      </c>
      <c r="D2983" s="25" t="s">
        <v>7536</v>
      </c>
      <c r="E2983" s="26">
        <v>3</v>
      </c>
    </row>
    <row r="2984" spans="1:5" x14ac:dyDescent="0.25">
      <c r="A2984" s="24" t="s">
        <v>7</v>
      </c>
      <c r="B2984" s="24" t="s">
        <v>7537</v>
      </c>
      <c r="C2984" s="25" t="s">
        <v>7538</v>
      </c>
      <c r="D2984" s="25" t="s">
        <v>7539</v>
      </c>
      <c r="E2984" s="26">
        <v>5</v>
      </c>
    </row>
    <row r="2985" spans="1:5" x14ac:dyDescent="0.25">
      <c r="A2985" s="24" t="s">
        <v>7</v>
      </c>
      <c r="B2985" s="24" t="s">
        <v>7540</v>
      </c>
      <c r="C2985" s="25" t="s">
        <v>7541</v>
      </c>
      <c r="D2985" s="25" t="s">
        <v>7542</v>
      </c>
      <c r="E2985" s="26">
        <v>2</v>
      </c>
    </row>
    <row r="2986" spans="1:5" x14ac:dyDescent="0.25">
      <c r="A2986" s="24" t="s">
        <v>7</v>
      </c>
      <c r="B2986" s="24" t="s">
        <v>7543</v>
      </c>
      <c r="C2986" s="25" t="s">
        <v>7544</v>
      </c>
      <c r="D2986" s="25" t="s">
        <v>7545</v>
      </c>
      <c r="E2986" s="26">
        <v>33</v>
      </c>
    </row>
    <row r="2987" spans="1:5" x14ac:dyDescent="0.25">
      <c r="A2987" s="24" t="s">
        <v>7</v>
      </c>
      <c r="B2987" s="24" t="s">
        <v>7546</v>
      </c>
      <c r="C2987" s="25" t="s">
        <v>7547</v>
      </c>
      <c r="D2987" s="25" t="s">
        <v>7548</v>
      </c>
      <c r="E2987" s="26">
        <v>26</v>
      </c>
    </row>
    <row r="2988" spans="1:5" x14ac:dyDescent="0.25">
      <c r="A2988" s="24" t="s">
        <v>7</v>
      </c>
      <c r="B2988" s="24" t="s">
        <v>7549</v>
      </c>
      <c r="C2988" s="25" t="s">
        <v>7550</v>
      </c>
      <c r="D2988" s="25" t="s">
        <v>7551</v>
      </c>
      <c r="E2988" s="26">
        <v>1</v>
      </c>
    </row>
    <row r="2989" spans="1:5" x14ac:dyDescent="0.25">
      <c r="A2989" s="24" t="s">
        <v>7</v>
      </c>
      <c r="B2989" s="24" t="s">
        <v>7552</v>
      </c>
      <c r="C2989" s="25" t="s">
        <v>7553</v>
      </c>
      <c r="D2989" s="25" t="s">
        <v>7554</v>
      </c>
      <c r="E2989" s="26">
        <v>11</v>
      </c>
    </row>
    <row r="2990" spans="1:5" x14ac:dyDescent="0.25">
      <c r="A2990" s="24" t="s">
        <v>7</v>
      </c>
      <c r="B2990" s="24" t="s">
        <v>7555</v>
      </c>
      <c r="C2990" s="25" t="s">
        <v>7556</v>
      </c>
      <c r="D2990" s="25" t="s">
        <v>7557</v>
      </c>
      <c r="E2990" s="26">
        <v>1</v>
      </c>
    </row>
    <row r="2991" spans="1:5" x14ac:dyDescent="0.25">
      <c r="A2991" s="24" t="s">
        <v>7</v>
      </c>
      <c r="B2991" s="24" t="s">
        <v>7558</v>
      </c>
      <c r="C2991" s="25" t="s">
        <v>7559</v>
      </c>
      <c r="D2991" s="25" t="s">
        <v>7560</v>
      </c>
      <c r="E2991" s="26">
        <v>7</v>
      </c>
    </row>
    <row r="2992" spans="1:5" x14ac:dyDescent="0.25">
      <c r="A2992" s="24" t="s">
        <v>7</v>
      </c>
      <c r="B2992" s="24" t="s">
        <v>7561</v>
      </c>
      <c r="C2992" s="25" t="s">
        <v>7562</v>
      </c>
      <c r="D2992" s="25" t="s">
        <v>7563</v>
      </c>
      <c r="E2992" s="26">
        <v>2</v>
      </c>
    </row>
    <row r="2993" spans="1:5" x14ac:dyDescent="0.25">
      <c r="A2993" s="24" t="s">
        <v>7</v>
      </c>
      <c r="B2993" s="24" t="s">
        <v>7564</v>
      </c>
      <c r="C2993" s="25" t="s">
        <v>7565</v>
      </c>
      <c r="D2993" s="25" t="s">
        <v>7566</v>
      </c>
      <c r="E2993" s="26">
        <v>6</v>
      </c>
    </row>
    <row r="2994" spans="1:5" x14ac:dyDescent="0.25">
      <c r="A2994" s="24" t="s">
        <v>7</v>
      </c>
      <c r="B2994" s="24" t="s">
        <v>7567</v>
      </c>
      <c r="C2994" s="25" t="s">
        <v>7568</v>
      </c>
      <c r="D2994" s="25" t="s">
        <v>7569</v>
      </c>
      <c r="E2994" s="26">
        <v>1</v>
      </c>
    </row>
    <row r="2995" spans="1:5" x14ac:dyDescent="0.25">
      <c r="A2995" s="24" t="s">
        <v>7</v>
      </c>
      <c r="B2995" s="24" t="s">
        <v>7570</v>
      </c>
      <c r="C2995" s="25" t="s">
        <v>7571</v>
      </c>
      <c r="D2995" s="25" t="s">
        <v>7572</v>
      </c>
      <c r="E2995" s="26">
        <v>8</v>
      </c>
    </row>
    <row r="2996" spans="1:5" x14ac:dyDescent="0.25">
      <c r="A2996" s="24" t="s">
        <v>7</v>
      </c>
      <c r="B2996" s="24" t="s">
        <v>7573</v>
      </c>
      <c r="C2996" s="25" t="s">
        <v>7574</v>
      </c>
      <c r="D2996" s="25" t="s">
        <v>7575</v>
      </c>
      <c r="E2996" s="26">
        <v>11</v>
      </c>
    </row>
    <row r="2997" spans="1:5" x14ac:dyDescent="0.25">
      <c r="A2997" s="24" t="s">
        <v>7</v>
      </c>
      <c r="B2997" s="24" t="s">
        <v>7576</v>
      </c>
      <c r="C2997" s="25" t="s">
        <v>7577</v>
      </c>
      <c r="D2997" s="25" t="s">
        <v>7578</v>
      </c>
      <c r="E2997" s="26">
        <v>1</v>
      </c>
    </row>
    <row r="2998" spans="1:5" x14ac:dyDescent="0.25">
      <c r="A2998" s="24" t="s">
        <v>7</v>
      </c>
      <c r="B2998" s="24" t="s">
        <v>7579</v>
      </c>
      <c r="C2998" s="25" t="s">
        <v>7580</v>
      </c>
      <c r="D2998" s="25" t="s">
        <v>7581</v>
      </c>
      <c r="E2998" s="26">
        <v>1</v>
      </c>
    </row>
    <row r="2999" spans="1:5" x14ac:dyDescent="0.25">
      <c r="A2999" s="24" t="s">
        <v>7</v>
      </c>
      <c r="B2999" s="24" t="s">
        <v>7582</v>
      </c>
      <c r="C2999" s="25" t="s">
        <v>7583</v>
      </c>
      <c r="D2999" s="25" t="s">
        <v>7584</v>
      </c>
      <c r="E2999" s="26">
        <v>1</v>
      </c>
    </row>
    <row r="3000" spans="1:5" x14ac:dyDescent="0.25">
      <c r="A3000" s="24" t="s">
        <v>7</v>
      </c>
      <c r="B3000" s="24" t="s">
        <v>7585</v>
      </c>
      <c r="C3000" s="25" t="s">
        <v>7586</v>
      </c>
      <c r="D3000" s="25" t="s">
        <v>7587</v>
      </c>
      <c r="E3000" s="26">
        <v>1</v>
      </c>
    </row>
    <row r="3001" spans="1:5" x14ac:dyDescent="0.25">
      <c r="A3001" s="24" t="s">
        <v>7</v>
      </c>
      <c r="B3001" s="24" t="s">
        <v>7588</v>
      </c>
      <c r="C3001" s="25" t="s">
        <v>7589</v>
      </c>
      <c r="D3001" s="25" t="s">
        <v>7590</v>
      </c>
      <c r="E3001" s="26">
        <v>60</v>
      </c>
    </row>
    <row r="3002" spans="1:5" x14ac:dyDescent="0.25">
      <c r="A3002" s="24" t="s">
        <v>7</v>
      </c>
      <c r="B3002" s="24" t="s">
        <v>7591</v>
      </c>
      <c r="C3002" s="25" t="s">
        <v>7592</v>
      </c>
      <c r="D3002" s="25" t="s">
        <v>7593</v>
      </c>
      <c r="E3002" s="26">
        <v>31</v>
      </c>
    </row>
    <row r="3003" spans="1:5" x14ac:dyDescent="0.25">
      <c r="A3003" s="24" t="s">
        <v>7</v>
      </c>
      <c r="B3003" s="24" t="s">
        <v>7594</v>
      </c>
      <c r="C3003" s="25" t="s">
        <v>7595</v>
      </c>
      <c r="D3003" s="25" t="s">
        <v>7596</v>
      </c>
      <c r="E3003" s="26">
        <v>46</v>
      </c>
    </row>
    <row r="3004" spans="1:5" x14ac:dyDescent="0.25">
      <c r="A3004" s="24" t="s">
        <v>7</v>
      </c>
      <c r="B3004" s="24" t="s">
        <v>7597</v>
      </c>
      <c r="C3004" s="25" t="s">
        <v>7598</v>
      </c>
      <c r="D3004" s="25" t="s">
        <v>7599</v>
      </c>
      <c r="E3004" s="26">
        <v>9</v>
      </c>
    </row>
    <row r="3005" spans="1:5" x14ac:dyDescent="0.25">
      <c r="A3005" s="24" t="s">
        <v>7</v>
      </c>
      <c r="B3005" s="24" t="s">
        <v>7600</v>
      </c>
      <c r="C3005" s="25" t="s">
        <v>7601</v>
      </c>
      <c r="D3005" s="25" t="s">
        <v>7602</v>
      </c>
      <c r="E3005" s="26">
        <v>146</v>
      </c>
    </row>
    <row r="3006" spans="1:5" x14ac:dyDescent="0.25">
      <c r="A3006" s="24" t="s">
        <v>7</v>
      </c>
      <c r="B3006" s="24" t="s">
        <v>7603</v>
      </c>
      <c r="C3006" s="25" t="s">
        <v>7604</v>
      </c>
      <c r="D3006" s="25" t="s">
        <v>7605</v>
      </c>
      <c r="E3006" s="26">
        <v>2</v>
      </c>
    </row>
    <row r="3007" spans="1:5" x14ac:dyDescent="0.25">
      <c r="A3007" s="24" t="s">
        <v>7</v>
      </c>
      <c r="B3007" s="24" t="s">
        <v>7606</v>
      </c>
      <c r="C3007" s="25" t="s">
        <v>7607</v>
      </c>
      <c r="D3007" s="25" t="s">
        <v>7608</v>
      </c>
      <c r="E3007" s="26">
        <v>194</v>
      </c>
    </row>
    <row r="3008" spans="1:5" x14ac:dyDescent="0.25">
      <c r="A3008" s="24" t="s">
        <v>7</v>
      </c>
      <c r="B3008" s="24" t="s">
        <v>7609</v>
      </c>
      <c r="C3008" s="25" t="s">
        <v>7610</v>
      </c>
      <c r="D3008" s="25" t="s">
        <v>7611</v>
      </c>
      <c r="E3008" s="26">
        <v>58</v>
      </c>
    </row>
    <row r="3009" spans="1:5" x14ac:dyDescent="0.25">
      <c r="A3009" s="24" t="s">
        <v>7</v>
      </c>
      <c r="B3009" s="24" t="s">
        <v>7612</v>
      </c>
      <c r="C3009" s="25" t="s">
        <v>7613</v>
      </c>
      <c r="D3009" s="25" t="s">
        <v>7614</v>
      </c>
      <c r="E3009" s="26">
        <v>36</v>
      </c>
    </row>
    <row r="3010" spans="1:5" x14ac:dyDescent="0.25">
      <c r="A3010" s="24" t="s">
        <v>7</v>
      </c>
      <c r="B3010" s="24" t="s">
        <v>7615</v>
      </c>
      <c r="C3010" s="25" t="s">
        <v>7616</v>
      </c>
      <c r="D3010" s="25" t="s">
        <v>7617</v>
      </c>
      <c r="E3010" s="26">
        <v>7</v>
      </c>
    </row>
    <row r="3011" spans="1:5" x14ac:dyDescent="0.25">
      <c r="A3011" s="24" t="s">
        <v>7</v>
      </c>
      <c r="B3011" s="24" t="s">
        <v>7618</v>
      </c>
      <c r="C3011" s="25" t="s">
        <v>7619</v>
      </c>
      <c r="D3011" s="25" t="s">
        <v>7620</v>
      </c>
      <c r="E3011" s="26">
        <v>1</v>
      </c>
    </row>
    <row r="3012" spans="1:5" x14ac:dyDescent="0.25">
      <c r="A3012" s="24" t="s">
        <v>7</v>
      </c>
      <c r="B3012" s="24" t="s">
        <v>7621</v>
      </c>
      <c r="C3012" s="25" t="s">
        <v>7622</v>
      </c>
      <c r="D3012" s="25" t="s">
        <v>7623</v>
      </c>
      <c r="E3012" s="26">
        <v>3</v>
      </c>
    </row>
    <row r="3013" spans="1:5" x14ac:dyDescent="0.25">
      <c r="A3013" s="24" t="s">
        <v>7</v>
      </c>
      <c r="B3013" s="24" t="s">
        <v>7624</v>
      </c>
      <c r="C3013" s="25" t="s">
        <v>7625</v>
      </c>
      <c r="D3013" s="25" t="s">
        <v>7626</v>
      </c>
      <c r="E3013" s="26">
        <v>3</v>
      </c>
    </row>
    <row r="3014" spans="1:5" x14ac:dyDescent="0.25">
      <c r="A3014" s="24" t="s">
        <v>7</v>
      </c>
      <c r="B3014" s="24" t="s">
        <v>7627</v>
      </c>
      <c r="C3014" s="25" t="s">
        <v>7628</v>
      </c>
      <c r="D3014" s="25" t="s">
        <v>7629</v>
      </c>
      <c r="E3014" s="26">
        <v>1</v>
      </c>
    </row>
    <row r="3015" spans="1:5" x14ac:dyDescent="0.25">
      <c r="A3015" s="24" t="s">
        <v>7</v>
      </c>
      <c r="B3015" s="24" t="s">
        <v>7630</v>
      </c>
      <c r="C3015" s="25" t="s">
        <v>7631</v>
      </c>
      <c r="D3015" s="25" t="s">
        <v>7632</v>
      </c>
      <c r="E3015" s="26">
        <v>24</v>
      </c>
    </row>
    <row r="3016" spans="1:5" x14ac:dyDescent="0.25">
      <c r="A3016" s="24" t="s">
        <v>7</v>
      </c>
      <c r="B3016" s="24" t="s">
        <v>7633</v>
      </c>
      <c r="C3016" s="25" t="s">
        <v>7634</v>
      </c>
      <c r="D3016" s="25" t="s">
        <v>7635</v>
      </c>
      <c r="E3016" s="26">
        <v>2</v>
      </c>
    </row>
    <row r="3017" spans="1:5" x14ac:dyDescent="0.25">
      <c r="A3017" s="24" t="s">
        <v>7</v>
      </c>
      <c r="B3017" s="24" t="s">
        <v>7636</v>
      </c>
      <c r="C3017" s="25" t="s">
        <v>7637</v>
      </c>
      <c r="D3017" s="25" t="s">
        <v>7638</v>
      </c>
      <c r="E3017" s="26">
        <v>9</v>
      </c>
    </row>
    <row r="3018" spans="1:5" x14ac:dyDescent="0.25">
      <c r="A3018" s="24" t="s">
        <v>7</v>
      </c>
      <c r="B3018" s="24" t="s">
        <v>7639</v>
      </c>
      <c r="C3018" s="25" t="s">
        <v>7640</v>
      </c>
      <c r="D3018" s="25" t="s">
        <v>7641</v>
      </c>
      <c r="E3018" s="26">
        <v>2</v>
      </c>
    </row>
    <row r="3019" spans="1:5" x14ac:dyDescent="0.25">
      <c r="A3019" s="24" t="s">
        <v>7</v>
      </c>
      <c r="B3019" s="24" t="s">
        <v>7642</v>
      </c>
      <c r="C3019" s="25" t="s">
        <v>7643</v>
      </c>
      <c r="D3019" s="25" t="s">
        <v>7644</v>
      </c>
      <c r="E3019" s="26">
        <v>5</v>
      </c>
    </row>
    <row r="3020" spans="1:5" x14ac:dyDescent="0.25">
      <c r="A3020" s="24" t="s">
        <v>7</v>
      </c>
      <c r="B3020" s="24" t="s">
        <v>7645</v>
      </c>
      <c r="C3020" s="25" t="s">
        <v>7646</v>
      </c>
      <c r="D3020" s="25" t="s">
        <v>7647</v>
      </c>
      <c r="E3020" s="26">
        <v>6</v>
      </c>
    </row>
    <row r="3021" spans="1:5" x14ac:dyDescent="0.25">
      <c r="A3021" s="24" t="s">
        <v>7</v>
      </c>
      <c r="B3021" s="24" t="s">
        <v>7648</v>
      </c>
      <c r="C3021" s="25" t="s">
        <v>7649</v>
      </c>
      <c r="D3021" s="25" t="s">
        <v>7650</v>
      </c>
      <c r="E3021" s="26">
        <v>120</v>
      </c>
    </row>
    <row r="3022" spans="1:5" x14ac:dyDescent="0.25">
      <c r="A3022" s="24" t="s">
        <v>7</v>
      </c>
      <c r="B3022" s="24" t="s">
        <v>7651</v>
      </c>
      <c r="C3022" s="25" t="s">
        <v>7652</v>
      </c>
      <c r="D3022" s="25" t="s">
        <v>7653</v>
      </c>
      <c r="E3022" s="26">
        <v>131</v>
      </c>
    </row>
    <row r="3023" spans="1:5" x14ac:dyDescent="0.25">
      <c r="A3023" s="24" t="s">
        <v>7</v>
      </c>
      <c r="B3023" s="24" t="s">
        <v>7654</v>
      </c>
      <c r="C3023" s="25" t="s">
        <v>7655</v>
      </c>
      <c r="D3023" s="25" t="s">
        <v>7656</v>
      </c>
      <c r="E3023" s="26">
        <v>1</v>
      </c>
    </row>
    <row r="3024" spans="1:5" x14ac:dyDescent="0.25">
      <c r="A3024" s="24" t="s">
        <v>7</v>
      </c>
      <c r="B3024" s="24" t="s">
        <v>7657</v>
      </c>
      <c r="C3024" s="25" t="s">
        <v>7658</v>
      </c>
      <c r="D3024" s="25" t="s">
        <v>7659</v>
      </c>
      <c r="E3024" s="26">
        <v>2</v>
      </c>
    </row>
    <row r="3025" spans="1:5" x14ac:dyDescent="0.25">
      <c r="A3025" s="24" t="s">
        <v>7</v>
      </c>
      <c r="B3025" s="24" t="s">
        <v>7660</v>
      </c>
      <c r="C3025" s="25" t="s">
        <v>7661</v>
      </c>
      <c r="D3025" s="25" t="s">
        <v>7662</v>
      </c>
      <c r="E3025" s="26">
        <v>8</v>
      </c>
    </row>
    <row r="3026" spans="1:5" x14ac:dyDescent="0.25">
      <c r="A3026" s="24" t="s">
        <v>7</v>
      </c>
      <c r="B3026" s="24" t="s">
        <v>7663</v>
      </c>
      <c r="C3026" s="25" t="s">
        <v>7664</v>
      </c>
      <c r="D3026" s="25" t="s">
        <v>7665</v>
      </c>
      <c r="E3026" s="26">
        <v>9</v>
      </c>
    </row>
    <row r="3027" spans="1:5" x14ac:dyDescent="0.25">
      <c r="A3027" s="24" t="s">
        <v>7</v>
      </c>
      <c r="B3027" s="24" t="s">
        <v>7666</v>
      </c>
      <c r="C3027" s="25" t="s">
        <v>7667</v>
      </c>
      <c r="D3027" s="25" t="s">
        <v>7668</v>
      </c>
      <c r="E3027" s="26">
        <v>4</v>
      </c>
    </row>
    <row r="3028" spans="1:5" x14ac:dyDescent="0.25">
      <c r="A3028" s="24" t="s">
        <v>7</v>
      </c>
      <c r="B3028" s="24" t="s">
        <v>7669</v>
      </c>
      <c r="C3028" s="25" t="s">
        <v>7670</v>
      </c>
      <c r="D3028" s="25" t="s">
        <v>7671</v>
      </c>
      <c r="E3028" s="26">
        <v>1</v>
      </c>
    </row>
    <row r="3029" spans="1:5" x14ac:dyDescent="0.25">
      <c r="A3029" s="24" t="s">
        <v>7</v>
      </c>
      <c r="B3029" s="24" t="s">
        <v>7672</v>
      </c>
      <c r="C3029" s="25" t="s">
        <v>7673</v>
      </c>
      <c r="D3029" s="25" t="s">
        <v>7674</v>
      </c>
      <c r="E3029" s="26">
        <v>1</v>
      </c>
    </row>
    <row r="3030" spans="1:5" x14ac:dyDescent="0.25">
      <c r="A3030" s="24" t="s">
        <v>7</v>
      </c>
      <c r="B3030" s="24" t="s">
        <v>7675</v>
      </c>
      <c r="C3030" s="25" t="s">
        <v>7676</v>
      </c>
      <c r="D3030" s="25" t="s">
        <v>7677</v>
      </c>
      <c r="E3030" s="26">
        <v>1</v>
      </c>
    </row>
    <row r="3031" spans="1:5" x14ac:dyDescent="0.25">
      <c r="A3031" s="24" t="s">
        <v>7</v>
      </c>
      <c r="B3031" s="24" t="s">
        <v>7678</v>
      </c>
      <c r="C3031" s="25" t="s">
        <v>7679</v>
      </c>
      <c r="D3031" s="25" t="s">
        <v>7680</v>
      </c>
      <c r="E3031" s="26">
        <v>3</v>
      </c>
    </row>
    <row r="3032" spans="1:5" x14ac:dyDescent="0.25">
      <c r="A3032" s="24" t="s">
        <v>7</v>
      </c>
      <c r="B3032" s="24" t="s">
        <v>7681</v>
      </c>
      <c r="C3032" s="25" t="s">
        <v>7682</v>
      </c>
      <c r="D3032" s="25" t="s">
        <v>7683</v>
      </c>
      <c r="E3032" s="26">
        <v>4</v>
      </c>
    </row>
    <row r="3033" spans="1:5" x14ac:dyDescent="0.25">
      <c r="A3033" s="24" t="s">
        <v>7</v>
      </c>
      <c r="B3033" s="24" t="s">
        <v>7684</v>
      </c>
      <c r="C3033" s="25" t="s">
        <v>7685</v>
      </c>
      <c r="D3033" s="25" t="s">
        <v>7686</v>
      </c>
      <c r="E3033" s="26">
        <v>2</v>
      </c>
    </row>
    <row r="3034" spans="1:5" x14ac:dyDescent="0.25">
      <c r="A3034" s="24" t="s">
        <v>7</v>
      </c>
      <c r="B3034" s="24" t="s">
        <v>7687</v>
      </c>
      <c r="C3034" s="25" t="s">
        <v>7688</v>
      </c>
      <c r="D3034" s="25" t="s">
        <v>7688</v>
      </c>
      <c r="E3034" s="26">
        <v>81</v>
      </c>
    </row>
    <row r="3035" spans="1:5" x14ac:dyDescent="0.25">
      <c r="A3035" s="24" t="s">
        <v>7</v>
      </c>
      <c r="B3035" s="24" t="s">
        <v>7689</v>
      </c>
      <c r="C3035" s="25" t="s">
        <v>7690</v>
      </c>
      <c r="D3035" s="25" t="s">
        <v>7691</v>
      </c>
      <c r="E3035" s="26">
        <v>3</v>
      </c>
    </row>
    <row r="3036" spans="1:5" x14ac:dyDescent="0.25">
      <c r="A3036" s="24" t="s">
        <v>7</v>
      </c>
      <c r="B3036" s="24" t="s">
        <v>7692</v>
      </c>
      <c r="C3036" s="25" t="s">
        <v>7693</v>
      </c>
      <c r="D3036" s="25" t="s">
        <v>7694</v>
      </c>
      <c r="E3036" s="26">
        <v>3</v>
      </c>
    </row>
    <row r="3037" spans="1:5" x14ac:dyDescent="0.25">
      <c r="A3037" s="24" t="s">
        <v>7</v>
      </c>
      <c r="B3037" s="24" t="s">
        <v>7695</v>
      </c>
      <c r="C3037" s="25" t="s">
        <v>7696</v>
      </c>
      <c r="D3037" s="25" t="s">
        <v>7697</v>
      </c>
      <c r="E3037" s="26">
        <v>17</v>
      </c>
    </row>
    <row r="3038" spans="1:5" x14ac:dyDescent="0.25">
      <c r="A3038" s="24" t="s">
        <v>7</v>
      </c>
      <c r="B3038" s="24" t="s">
        <v>7698</v>
      </c>
      <c r="C3038" s="25" t="s">
        <v>7699</v>
      </c>
      <c r="D3038" s="25" t="s">
        <v>7700</v>
      </c>
      <c r="E3038" s="26">
        <v>1</v>
      </c>
    </row>
    <row r="3039" spans="1:5" x14ac:dyDescent="0.25">
      <c r="A3039" s="24" t="s">
        <v>7</v>
      </c>
      <c r="B3039" s="24" t="s">
        <v>7701</v>
      </c>
      <c r="C3039" s="25" t="s">
        <v>7702</v>
      </c>
      <c r="D3039" s="25" t="s">
        <v>7703</v>
      </c>
      <c r="E3039" s="26">
        <v>1</v>
      </c>
    </row>
    <row r="3040" spans="1:5" x14ac:dyDescent="0.25">
      <c r="A3040" s="24" t="s">
        <v>7</v>
      </c>
      <c r="B3040" s="24" t="s">
        <v>7704</v>
      </c>
      <c r="C3040" s="25" t="s">
        <v>7705</v>
      </c>
      <c r="D3040" s="25" t="s">
        <v>7706</v>
      </c>
      <c r="E3040" s="26">
        <v>1</v>
      </c>
    </row>
    <row r="3041" spans="1:5" x14ac:dyDescent="0.25">
      <c r="A3041" s="24" t="s">
        <v>7</v>
      </c>
      <c r="B3041" s="24" t="s">
        <v>7707</v>
      </c>
      <c r="C3041" s="25" t="s">
        <v>7708</v>
      </c>
      <c r="D3041" s="25" t="s">
        <v>7709</v>
      </c>
      <c r="E3041" s="26">
        <v>3</v>
      </c>
    </row>
    <row r="3042" spans="1:5" x14ac:dyDescent="0.25">
      <c r="A3042" s="24" t="s">
        <v>7</v>
      </c>
      <c r="B3042" s="24" t="s">
        <v>7710</v>
      </c>
      <c r="C3042" s="25" t="s">
        <v>7711</v>
      </c>
      <c r="D3042" s="25" t="s">
        <v>7712</v>
      </c>
      <c r="E3042" s="26">
        <v>2</v>
      </c>
    </row>
    <row r="3043" spans="1:5" x14ac:dyDescent="0.25">
      <c r="A3043" s="24" t="s">
        <v>7</v>
      </c>
      <c r="B3043" s="24" t="s">
        <v>7713</v>
      </c>
      <c r="C3043" s="25" t="s">
        <v>7714</v>
      </c>
      <c r="D3043" s="25" t="s">
        <v>7715</v>
      </c>
      <c r="E3043" s="26">
        <v>48</v>
      </c>
    </row>
    <row r="3044" spans="1:5" x14ac:dyDescent="0.25">
      <c r="A3044" s="24" t="s">
        <v>7</v>
      </c>
      <c r="B3044" s="24" t="s">
        <v>7716</v>
      </c>
      <c r="C3044" s="25" t="s">
        <v>7717</v>
      </c>
      <c r="D3044" s="25" t="s">
        <v>7718</v>
      </c>
      <c r="E3044" s="26">
        <v>3</v>
      </c>
    </row>
    <row r="3045" spans="1:5" x14ac:dyDescent="0.25">
      <c r="A3045" s="24" t="s">
        <v>7</v>
      </c>
      <c r="B3045" s="24" t="s">
        <v>7719</v>
      </c>
      <c r="C3045" s="25" t="s">
        <v>7720</v>
      </c>
      <c r="D3045" s="25" t="s">
        <v>7721</v>
      </c>
      <c r="E3045" s="26">
        <v>8</v>
      </c>
    </row>
    <row r="3046" spans="1:5" x14ac:dyDescent="0.25">
      <c r="A3046" s="24" t="s">
        <v>7</v>
      </c>
      <c r="B3046" s="24" t="s">
        <v>7722</v>
      </c>
      <c r="C3046" s="25" t="s">
        <v>7723</v>
      </c>
      <c r="D3046" s="25" t="s">
        <v>7724</v>
      </c>
      <c r="E3046" s="26">
        <v>55</v>
      </c>
    </row>
    <row r="3047" spans="1:5" x14ac:dyDescent="0.25">
      <c r="A3047" s="24" t="s">
        <v>7</v>
      </c>
      <c r="B3047" s="24" t="s">
        <v>7725</v>
      </c>
      <c r="C3047" s="25" t="s">
        <v>7726</v>
      </c>
      <c r="D3047" s="25" t="s">
        <v>7727</v>
      </c>
      <c r="E3047" s="26">
        <v>2</v>
      </c>
    </row>
    <row r="3048" spans="1:5" x14ac:dyDescent="0.25">
      <c r="A3048" s="24" t="s">
        <v>7</v>
      </c>
      <c r="B3048" s="24" t="s">
        <v>7728</v>
      </c>
      <c r="C3048" s="25" t="s">
        <v>7729</v>
      </c>
      <c r="D3048" s="25" t="s">
        <v>7730</v>
      </c>
      <c r="E3048" s="26">
        <v>4</v>
      </c>
    </row>
    <row r="3049" spans="1:5" x14ac:dyDescent="0.25">
      <c r="A3049" s="24" t="s">
        <v>7</v>
      </c>
      <c r="B3049" s="24" t="s">
        <v>7731</v>
      </c>
      <c r="C3049" s="25" t="s">
        <v>7732</v>
      </c>
      <c r="D3049" s="25" t="s">
        <v>7733</v>
      </c>
      <c r="E3049" s="26">
        <v>6.69</v>
      </c>
    </row>
    <row r="3050" spans="1:5" x14ac:dyDescent="0.25">
      <c r="A3050" s="24" t="s">
        <v>7</v>
      </c>
      <c r="B3050" s="24" t="s">
        <v>7734</v>
      </c>
      <c r="C3050" s="25" t="s">
        <v>7735</v>
      </c>
      <c r="D3050" s="25" t="s">
        <v>7736</v>
      </c>
      <c r="E3050" s="26">
        <v>32</v>
      </c>
    </row>
    <row r="3051" spans="1:5" x14ac:dyDescent="0.25">
      <c r="A3051" s="24" t="s">
        <v>7</v>
      </c>
      <c r="B3051" s="24" t="s">
        <v>7737</v>
      </c>
      <c r="C3051" s="25" t="s">
        <v>7738</v>
      </c>
      <c r="D3051" s="25" t="s">
        <v>7739</v>
      </c>
      <c r="E3051" s="26">
        <v>17</v>
      </c>
    </row>
    <row r="3052" spans="1:5" x14ac:dyDescent="0.25">
      <c r="A3052" s="24" t="s">
        <v>7</v>
      </c>
      <c r="B3052" s="24" t="s">
        <v>7740</v>
      </c>
      <c r="C3052" s="25" t="s">
        <v>7741</v>
      </c>
      <c r="D3052" s="25" t="s">
        <v>7742</v>
      </c>
      <c r="E3052" s="26">
        <v>26</v>
      </c>
    </row>
    <row r="3053" spans="1:5" x14ac:dyDescent="0.25">
      <c r="A3053" s="24" t="s">
        <v>7</v>
      </c>
      <c r="B3053" s="24" t="s">
        <v>7743</v>
      </c>
      <c r="C3053" s="25" t="s">
        <v>7744</v>
      </c>
      <c r="D3053" s="25" t="s">
        <v>7745</v>
      </c>
      <c r="E3053" s="26">
        <v>76</v>
      </c>
    </row>
    <row r="3054" spans="1:5" x14ac:dyDescent="0.25">
      <c r="A3054" s="24" t="s">
        <v>7</v>
      </c>
      <c r="B3054" s="24" t="s">
        <v>7746</v>
      </c>
      <c r="C3054" s="25" t="s">
        <v>7747</v>
      </c>
      <c r="D3054" s="25" t="s">
        <v>7748</v>
      </c>
      <c r="E3054" s="26">
        <v>24</v>
      </c>
    </row>
    <row r="3055" spans="1:5" x14ac:dyDescent="0.25">
      <c r="A3055" s="24" t="s">
        <v>7</v>
      </c>
      <c r="B3055" s="24" t="s">
        <v>7749</v>
      </c>
      <c r="C3055" s="25" t="s">
        <v>7750</v>
      </c>
      <c r="D3055" s="25" t="s">
        <v>7751</v>
      </c>
      <c r="E3055" s="26">
        <v>24</v>
      </c>
    </row>
    <row r="3056" spans="1:5" x14ac:dyDescent="0.25">
      <c r="A3056" s="24" t="s">
        <v>7</v>
      </c>
      <c r="B3056" s="24" t="s">
        <v>7752</v>
      </c>
      <c r="C3056" s="25" t="s">
        <v>7753</v>
      </c>
      <c r="D3056" s="25" t="s">
        <v>7754</v>
      </c>
      <c r="E3056" s="26">
        <v>65</v>
      </c>
    </row>
    <row r="3057" spans="1:5" x14ac:dyDescent="0.25">
      <c r="A3057" s="24" t="s">
        <v>7</v>
      </c>
      <c r="B3057" s="24" t="s">
        <v>7755</v>
      </c>
      <c r="C3057" s="25" t="s">
        <v>7756</v>
      </c>
      <c r="D3057" s="25" t="s">
        <v>7757</v>
      </c>
      <c r="E3057" s="26">
        <v>1</v>
      </c>
    </row>
    <row r="3058" spans="1:5" x14ac:dyDescent="0.25">
      <c r="A3058" s="24" t="s">
        <v>7</v>
      </c>
      <c r="B3058" s="24" t="s">
        <v>7758</v>
      </c>
      <c r="C3058" s="25" t="s">
        <v>7759</v>
      </c>
      <c r="D3058" s="25" t="s">
        <v>7760</v>
      </c>
      <c r="E3058" s="26">
        <v>1</v>
      </c>
    </row>
    <row r="3059" spans="1:5" x14ac:dyDescent="0.25">
      <c r="A3059" s="24" t="s">
        <v>7</v>
      </c>
      <c r="B3059" s="24" t="s">
        <v>7761</v>
      </c>
      <c r="C3059" s="25" t="s">
        <v>7762</v>
      </c>
      <c r="D3059" s="25" t="s">
        <v>7763</v>
      </c>
      <c r="E3059" s="26">
        <v>17</v>
      </c>
    </row>
    <row r="3060" spans="1:5" x14ac:dyDescent="0.25">
      <c r="A3060" s="24" t="s">
        <v>7</v>
      </c>
      <c r="B3060" s="24" t="s">
        <v>7764</v>
      </c>
      <c r="C3060" s="25" t="s">
        <v>7765</v>
      </c>
      <c r="D3060" s="25" t="s">
        <v>7766</v>
      </c>
      <c r="E3060" s="26">
        <v>65</v>
      </c>
    </row>
    <row r="3061" spans="1:5" x14ac:dyDescent="0.25">
      <c r="A3061" s="24" t="s">
        <v>7</v>
      </c>
      <c r="B3061" s="24" t="s">
        <v>7767</v>
      </c>
      <c r="C3061" s="25" t="s">
        <v>7768</v>
      </c>
      <c r="D3061" s="25" t="s">
        <v>7769</v>
      </c>
      <c r="E3061" s="26">
        <v>4</v>
      </c>
    </row>
    <row r="3062" spans="1:5" x14ac:dyDescent="0.25">
      <c r="A3062" s="24" t="s">
        <v>7</v>
      </c>
      <c r="B3062" s="24" t="s">
        <v>7770</v>
      </c>
      <c r="C3062" s="25" t="s">
        <v>7771</v>
      </c>
      <c r="D3062" s="25" t="s">
        <v>7772</v>
      </c>
      <c r="E3062" s="26">
        <v>80</v>
      </c>
    </row>
    <row r="3063" spans="1:5" x14ac:dyDescent="0.25">
      <c r="A3063" s="24" t="s">
        <v>7</v>
      </c>
      <c r="B3063" s="24" t="s">
        <v>7773</v>
      </c>
      <c r="C3063" s="25" t="s">
        <v>7774</v>
      </c>
      <c r="D3063" s="25" t="s">
        <v>7775</v>
      </c>
      <c r="E3063" s="26">
        <v>17</v>
      </c>
    </row>
    <row r="3064" spans="1:5" x14ac:dyDescent="0.25">
      <c r="A3064" s="24" t="s">
        <v>7</v>
      </c>
      <c r="B3064" s="24" t="s">
        <v>7776</v>
      </c>
      <c r="C3064" s="25" t="s">
        <v>7777</v>
      </c>
      <c r="D3064" s="25" t="s">
        <v>7778</v>
      </c>
      <c r="E3064" s="26">
        <v>1</v>
      </c>
    </row>
    <row r="3065" spans="1:5" x14ac:dyDescent="0.25">
      <c r="A3065" s="24" t="s">
        <v>7</v>
      </c>
      <c r="B3065" s="24" t="s">
        <v>7779</v>
      </c>
      <c r="C3065" s="25" t="s">
        <v>7780</v>
      </c>
      <c r="D3065" s="25" t="s">
        <v>7781</v>
      </c>
      <c r="E3065" s="26">
        <v>20</v>
      </c>
    </row>
    <row r="3066" spans="1:5" x14ac:dyDescent="0.25">
      <c r="A3066" s="24" t="s">
        <v>7</v>
      </c>
      <c r="B3066" s="24" t="s">
        <v>7782</v>
      </c>
      <c r="C3066" s="25" t="s">
        <v>7783</v>
      </c>
      <c r="D3066" s="25" t="s">
        <v>7784</v>
      </c>
      <c r="E3066" s="26">
        <v>20</v>
      </c>
    </row>
    <row r="3067" spans="1:5" x14ac:dyDescent="0.25">
      <c r="A3067" s="24" t="s">
        <v>7</v>
      </c>
      <c r="B3067" s="24" t="s">
        <v>7785</v>
      </c>
      <c r="C3067" s="25" t="s">
        <v>7786</v>
      </c>
      <c r="D3067" s="25" t="s">
        <v>7787</v>
      </c>
      <c r="E3067" s="26">
        <v>21.04</v>
      </c>
    </row>
    <row r="3068" spans="1:5" x14ac:dyDescent="0.25">
      <c r="A3068" s="24" t="s">
        <v>7</v>
      </c>
      <c r="B3068" s="24" t="s">
        <v>7788</v>
      </c>
      <c r="C3068" s="25" t="s">
        <v>7789</v>
      </c>
      <c r="D3068" s="25" t="s">
        <v>7790</v>
      </c>
      <c r="E3068" s="26">
        <v>33</v>
      </c>
    </row>
    <row r="3069" spans="1:5" x14ac:dyDescent="0.25">
      <c r="A3069" s="24" t="s">
        <v>7</v>
      </c>
      <c r="B3069" s="24" t="s">
        <v>7791</v>
      </c>
      <c r="C3069" s="25" t="s">
        <v>7792</v>
      </c>
      <c r="D3069" s="25" t="s">
        <v>7793</v>
      </c>
      <c r="E3069" s="26">
        <v>14</v>
      </c>
    </row>
    <row r="3070" spans="1:5" x14ac:dyDescent="0.25">
      <c r="A3070" s="24" t="s">
        <v>7</v>
      </c>
      <c r="B3070" s="24" t="s">
        <v>7794</v>
      </c>
      <c r="C3070" s="25" t="s">
        <v>7795</v>
      </c>
      <c r="D3070" s="25" t="s">
        <v>7796</v>
      </c>
      <c r="E3070" s="26">
        <v>24</v>
      </c>
    </row>
    <row r="3071" spans="1:5" x14ac:dyDescent="0.25">
      <c r="A3071" s="24" t="s">
        <v>7</v>
      </c>
      <c r="B3071" s="24" t="s">
        <v>7797</v>
      </c>
      <c r="C3071" s="25" t="s">
        <v>7798</v>
      </c>
      <c r="D3071" s="25" t="s">
        <v>7799</v>
      </c>
      <c r="E3071" s="26">
        <v>117.26</v>
      </c>
    </row>
    <row r="3072" spans="1:5" x14ac:dyDescent="0.25">
      <c r="A3072" s="24" t="s">
        <v>7</v>
      </c>
      <c r="B3072" s="24" t="s">
        <v>7800</v>
      </c>
      <c r="C3072" s="25" t="s">
        <v>7801</v>
      </c>
      <c r="D3072" s="25" t="s">
        <v>7802</v>
      </c>
      <c r="E3072" s="26">
        <v>121</v>
      </c>
    </row>
    <row r="3073" spans="1:5" x14ac:dyDescent="0.25">
      <c r="A3073" s="24" t="s">
        <v>7</v>
      </c>
      <c r="B3073" s="24" t="s">
        <v>7803</v>
      </c>
      <c r="C3073" s="25" t="s">
        <v>7804</v>
      </c>
      <c r="D3073" s="25" t="s">
        <v>7805</v>
      </c>
      <c r="E3073" s="26">
        <v>15</v>
      </c>
    </row>
    <row r="3074" spans="1:5" x14ac:dyDescent="0.25">
      <c r="A3074" s="24" t="s">
        <v>7</v>
      </c>
      <c r="B3074" s="24" t="s">
        <v>7806</v>
      </c>
      <c r="C3074" s="25" t="s">
        <v>7807</v>
      </c>
      <c r="D3074" s="25" t="s">
        <v>7808</v>
      </c>
      <c r="E3074" s="26">
        <v>26</v>
      </c>
    </row>
    <row r="3075" spans="1:5" x14ac:dyDescent="0.25">
      <c r="A3075" s="24" t="s">
        <v>7</v>
      </c>
      <c r="B3075" s="24" t="s">
        <v>7809</v>
      </c>
      <c r="C3075" s="25" t="s">
        <v>7810</v>
      </c>
      <c r="D3075" s="25" t="s">
        <v>7811</v>
      </c>
      <c r="E3075" s="26">
        <v>241</v>
      </c>
    </row>
    <row r="3076" spans="1:5" x14ac:dyDescent="0.25">
      <c r="A3076" s="24" t="s">
        <v>7</v>
      </c>
      <c r="B3076" s="24" t="s">
        <v>7812</v>
      </c>
      <c r="C3076" s="25" t="s">
        <v>7813</v>
      </c>
      <c r="D3076" s="25" t="s">
        <v>7814</v>
      </c>
      <c r="E3076" s="26">
        <v>197</v>
      </c>
    </row>
    <row r="3077" spans="1:5" x14ac:dyDescent="0.25">
      <c r="A3077" s="24" t="s">
        <v>7</v>
      </c>
      <c r="B3077" s="24" t="s">
        <v>7815</v>
      </c>
      <c r="C3077" s="25" t="s">
        <v>7816</v>
      </c>
      <c r="D3077" s="25" t="s">
        <v>7817</v>
      </c>
      <c r="E3077" s="26">
        <v>1804</v>
      </c>
    </row>
    <row r="3078" spans="1:5" x14ac:dyDescent="0.25">
      <c r="A3078" s="24" t="s">
        <v>7</v>
      </c>
      <c r="B3078" s="24" t="s">
        <v>7818</v>
      </c>
      <c r="C3078" s="25" t="s">
        <v>7819</v>
      </c>
      <c r="D3078" s="25" t="s">
        <v>7820</v>
      </c>
      <c r="E3078" s="26">
        <v>65</v>
      </c>
    </row>
    <row r="3079" spans="1:5" x14ac:dyDescent="0.25">
      <c r="A3079" s="24" t="s">
        <v>7</v>
      </c>
      <c r="B3079" s="24" t="s">
        <v>7821</v>
      </c>
      <c r="C3079" s="25" t="s">
        <v>7822</v>
      </c>
      <c r="D3079" s="25" t="s">
        <v>7823</v>
      </c>
      <c r="E3079" s="26">
        <v>124</v>
      </c>
    </row>
    <row r="3080" spans="1:5" x14ac:dyDescent="0.25">
      <c r="A3080" s="24" t="s">
        <v>7</v>
      </c>
      <c r="B3080" s="24" t="s">
        <v>7824</v>
      </c>
      <c r="C3080" s="25" t="s">
        <v>7825</v>
      </c>
      <c r="D3080" s="25" t="s">
        <v>7826</v>
      </c>
      <c r="E3080" s="26">
        <v>964</v>
      </c>
    </row>
    <row r="3081" spans="1:5" x14ac:dyDescent="0.25">
      <c r="A3081" s="24" t="s">
        <v>7</v>
      </c>
      <c r="B3081" s="24" t="s">
        <v>7827</v>
      </c>
      <c r="C3081" s="25" t="s">
        <v>7828</v>
      </c>
      <c r="D3081" s="25" t="s">
        <v>7829</v>
      </c>
      <c r="E3081" s="26">
        <v>394</v>
      </c>
    </row>
    <row r="3082" spans="1:5" x14ac:dyDescent="0.25">
      <c r="A3082" s="24" t="s">
        <v>7</v>
      </c>
      <c r="B3082" s="24" t="s">
        <v>7830</v>
      </c>
      <c r="C3082" s="25" t="s">
        <v>7831</v>
      </c>
      <c r="D3082" s="25" t="s">
        <v>7832</v>
      </c>
      <c r="E3082" s="26">
        <v>27</v>
      </c>
    </row>
    <row r="3083" spans="1:5" x14ac:dyDescent="0.25">
      <c r="A3083" s="24" t="s">
        <v>7</v>
      </c>
      <c r="B3083" s="24" t="s">
        <v>7833</v>
      </c>
      <c r="C3083" s="25" t="s">
        <v>7834</v>
      </c>
      <c r="D3083" s="25" t="s">
        <v>7835</v>
      </c>
      <c r="E3083" s="26">
        <v>53</v>
      </c>
    </row>
    <row r="3084" spans="1:5" x14ac:dyDescent="0.25">
      <c r="A3084" s="24" t="s">
        <v>7</v>
      </c>
      <c r="B3084" s="24" t="s">
        <v>7836</v>
      </c>
      <c r="C3084" s="25" t="s">
        <v>7837</v>
      </c>
      <c r="D3084" s="25" t="s">
        <v>7838</v>
      </c>
      <c r="E3084" s="26">
        <v>14</v>
      </c>
    </row>
    <row r="3085" spans="1:5" x14ac:dyDescent="0.25">
      <c r="A3085" s="24" t="s">
        <v>7</v>
      </c>
      <c r="B3085" s="24" t="s">
        <v>7839</v>
      </c>
      <c r="C3085" s="25" t="s">
        <v>7840</v>
      </c>
      <c r="D3085" s="25" t="s">
        <v>7841</v>
      </c>
      <c r="E3085" s="26">
        <v>24</v>
      </c>
    </row>
    <row r="3086" spans="1:5" x14ac:dyDescent="0.25">
      <c r="A3086" s="24" t="s">
        <v>7</v>
      </c>
      <c r="B3086" s="24" t="s">
        <v>7842</v>
      </c>
      <c r="C3086" s="25" t="s">
        <v>7843</v>
      </c>
      <c r="D3086" s="25" t="s">
        <v>7844</v>
      </c>
      <c r="E3086" s="26">
        <v>24</v>
      </c>
    </row>
    <row r="3087" spans="1:5" x14ac:dyDescent="0.25">
      <c r="A3087" s="24" t="s">
        <v>7</v>
      </c>
      <c r="B3087" s="24" t="s">
        <v>7845</v>
      </c>
      <c r="C3087" s="25" t="s">
        <v>7846</v>
      </c>
      <c r="D3087" s="25" t="s">
        <v>7847</v>
      </c>
      <c r="E3087" s="26">
        <v>2</v>
      </c>
    </row>
    <row r="3088" spans="1:5" x14ac:dyDescent="0.25">
      <c r="A3088" s="24" t="s">
        <v>7</v>
      </c>
      <c r="B3088" s="24" t="s">
        <v>7848</v>
      </c>
      <c r="C3088" s="25" t="s">
        <v>7849</v>
      </c>
      <c r="D3088" s="25" t="s">
        <v>7850</v>
      </c>
      <c r="E3088" s="26">
        <v>53</v>
      </c>
    </row>
    <row r="3089" spans="1:5" x14ac:dyDescent="0.25">
      <c r="A3089" s="24" t="s">
        <v>7</v>
      </c>
      <c r="B3089" s="24" t="s">
        <v>7851</v>
      </c>
      <c r="C3089" s="25" t="s">
        <v>7852</v>
      </c>
      <c r="D3089" s="25" t="s">
        <v>7853</v>
      </c>
      <c r="E3089" s="26">
        <v>65</v>
      </c>
    </row>
    <row r="3090" spans="1:5" x14ac:dyDescent="0.25">
      <c r="A3090" s="24" t="s">
        <v>7</v>
      </c>
      <c r="B3090" s="24" t="s">
        <v>7854</v>
      </c>
      <c r="C3090" s="25" t="s">
        <v>7855</v>
      </c>
      <c r="D3090" s="25" t="s">
        <v>7856</v>
      </c>
      <c r="E3090" s="26">
        <v>24</v>
      </c>
    </row>
    <row r="3091" spans="1:5" x14ac:dyDescent="0.25">
      <c r="A3091" s="24" t="s">
        <v>7</v>
      </c>
      <c r="B3091" s="24" t="s">
        <v>7857</v>
      </c>
      <c r="C3091" s="25" t="s">
        <v>7858</v>
      </c>
      <c r="D3091" s="25" t="s">
        <v>7859</v>
      </c>
      <c r="E3091" s="26">
        <v>5</v>
      </c>
    </row>
    <row r="3092" spans="1:5" x14ac:dyDescent="0.25">
      <c r="A3092" s="24" t="s">
        <v>7</v>
      </c>
      <c r="B3092" s="24" t="s">
        <v>7860</v>
      </c>
      <c r="C3092" s="25" t="s">
        <v>7861</v>
      </c>
      <c r="D3092" s="25" t="s">
        <v>7862</v>
      </c>
      <c r="E3092" s="26">
        <v>6</v>
      </c>
    </row>
    <row r="3093" spans="1:5" x14ac:dyDescent="0.25">
      <c r="A3093" s="24" t="s">
        <v>7</v>
      </c>
      <c r="B3093" s="24" t="s">
        <v>7863</v>
      </c>
      <c r="C3093" s="25" t="s">
        <v>7864</v>
      </c>
      <c r="D3093" s="25" t="s">
        <v>7865</v>
      </c>
      <c r="E3093" s="26">
        <v>8</v>
      </c>
    </row>
    <row r="3094" spans="1:5" x14ac:dyDescent="0.25">
      <c r="A3094" s="24" t="s">
        <v>7</v>
      </c>
      <c r="B3094" s="24" t="s">
        <v>7866</v>
      </c>
      <c r="C3094" s="25" t="s">
        <v>7867</v>
      </c>
      <c r="D3094" s="25" t="s">
        <v>7868</v>
      </c>
      <c r="E3094" s="26">
        <v>12</v>
      </c>
    </row>
    <row r="3095" spans="1:5" x14ac:dyDescent="0.25">
      <c r="A3095" s="24" t="s">
        <v>7</v>
      </c>
      <c r="B3095" s="24" t="s">
        <v>7869</v>
      </c>
      <c r="C3095" s="25" t="s">
        <v>7870</v>
      </c>
      <c r="D3095" s="25" t="s">
        <v>7871</v>
      </c>
      <c r="E3095" s="26">
        <v>3</v>
      </c>
    </row>
    <row r="3096" spans="1:5" x14ac:dyDescent="0.25">
      <c r="A3096" s="24" t="s">
        <v>7</v>
      </c>
      <c r="B3096" s="24" t="s">
        <v>7872</v>
      </c>
      <c r="C3096" s="25" t="s">
        <v>7873</v>
      </c>
      <c r="D3096" s="25" t="s">
        <v>7873</v>
      </c>
      <c r="E3096" s="26">
        <v>24</v>
      </c>
    </row>
    <row r="3097" spans="1:5" x14ac:dyDescent="0.25">
      <c r="A3097" s="24" t="s">
        <v>7</v>
      </c>
      <c r="B3097" s="24" t="s">
        <v>7874</v>
      </c>
      <c r="C3097" s="25" t="s">
        <v>7875</v>
      </c>
      <c r="D3097" s="25" t="s">
        <v>7876</v>
      </c>
      <c r="E3097" s="26">
        <v>1</v>
      </c>
    </row>
    <row r="3098" spans="1:5" x14ac:dyDescent="0.25">
      <c r="A3098" s="24" t="s">
        <v>7</v>
      </c>
      <c r="B3098" s="24" t="s">
        <v>7877</v>
      </c>
      <c r="C3098" s="25" t="s">
        <v>7878</v>
      </c>
      <c r="D3098" s="25" t="s">
        <v>7879</v>
      </c>
      <c r="E3098" s="26">
        <v>17</v>
      </c>
    </row>
    <row r="3099" spans="1:5" x14ac:dyDescent="0.25">
      <c r="A3099" s="24" t="s">
        <v>7</v>
      </c>
      <c r="B3099" s="24" t="s">
        <v>7880</v>
      </c>
      <c r="C3099" s="25" t="s">
        <v>7881</v>
      </c>
      <c r="D3099" s="25" t="s">
        <v>7882</v>
      </c>
      <c r="E3099" s="26">
        <v>1</v>
      </c>
    </row>
    <row r="3100" spans="1:5" x14ac:dyDescent="0.25">
      <c r="A3100" s="24" t="s">
        <v>7</v>
      </c>
      <c r="B3100" s="24" t="s">
        <v>7883</v>
      </c>
      <c r="C3100" s="25" t="s">
        <v>7884</v>
      </c>
      <c r="D3100" s="25" t="s">
        <v>7885</v>
      </c>
      <c r="E3100" s="26">
        <v>11</v>
      </c>
    </row>
    <row r="3101" spans="1:5" x14ac:dyDescent="0.25">
      <c r="A3101" s="24" t="s">
        <v>7</v>
      </c>
      <c r="B3101" s="24" t="s">
        <v>7886</v>
      </c>
      <c r="C3101" s="25" t="s">
        <v>7887</v>
      </c>
      <c r="D3101" s="25" t="s">
        <v>7888</v>
      </c>
      <c r="E3101" s="26">
        <v>2</v>
      </c>
    </row>
    <row r="3102" spans="1:5" x14ac:dyDescent="0.25">
      <c r="A3102" s="24" t="s">
        <v>7</v>
      </c>
      <c r="B3102" s="24" t="s">
        <v>7889</v>
      </c>
      <c r="C3102" s="25" t="s">
        <v>7890</v>
      </c>
      <c r="D3102" s="25" t="s">
        <v>7891</v>
      </c>
      <c r="E3102" s="26">
        <v>45</v>
      </c>
    </row>
    <row r="3103" spans="1:5" x14ac:dyDescent="0.25">
      <c r="A3103" s="24" t="s">
        <v>7</v>
      </c>
      <c r="B3103" s="24" t="s">
        <v>7892</v>
      </c>
      <c r="C3103" s="25" t="s">
        <v>7893</v>
      </c>
      <c r="D3103" s="25" t="s">
        <v>7894</v>
      </c>
      <c r="E3103" s="26">
        <v>6</v>
      </c>
    </row>
    <row r="3104" spans="1:5" x14ac:dyDescent="0.25">
      <c r="A3104" s="24" t="s">
        <v>7</v>
      </c>
      <c r="B3104" s="24" t="s">
        <v>7895</v>
      </c>
      <c r="C3104" s="25" t="s">
        <v>7896</v>
      </c>
      <c r="D3104" s="25" t="s">
        <v>7897</v>
      </c>
      <c r="E3104" s="26">
        <v>4</v>
      </c>
    </row>
    <row r="3105" spans="1:5" x14ac:dyDescent="0.25">
      <c r="A3105" s="24" t="s">
        <v>7</v>
      </c>
      <c r="B3105" s="24" t="s">
        <v>7898</v>
      </c>
      <c r="C3105" s="25" t="s">
        <v>7899</v>
      </c>
      <c r="D3105" s="25" t="s">
        <v>7900</v>
      </c>
      <c r="E3105" s="26">
        <v>4</v>
      </c>
    </row>
    <row r="3106" spans="1:5" x14ac:dyDescent="0.25">
      <c r="A3106" s="24" t="s">
        <v>7</v>
      </c>
      <c r="B3106" s="24" t="s">
        <v>7901</v>
      </c>
      <c r="C3106" s="25" t="s">
        <v>7902</v>
      </c>
      <c r="D3106" s="25" t="s">
        <v>7903</v>
      </c>
      <c r="E3106" s="26">
        <v>4</v>
      </c>
    </row>
    <row r="3107" spans="1:5" x14ac:dyDescent="0.25">
      <c r="A3107" s="24" t="s">
        <v>7</v>
      </c>
      <c r="B3107" s="24" t="s">
        <v>7904</v>
      </c>
      <c r="C3107" s="25" t="s">
        <v>7905</v>
      </c>
      <c r="D3107" s="25" t="s">
        <v>7906</v>
      </c>
      <c r="E3107" s="26">
        <v>11</v>
      </c>
    </row>
    <row r="3108" spans="1:5" x14ac:dyDescent="0.25">
      <c r="A3108" s="24" t="s">
        <v>7</v>
      </c>
      <c r="B3108" s="24" t="s">
        <v>7907</v>
      </c>
      <c r="C3108" s="25" t="s">
        <v>7908</v>
      </c>
      <c r="D3108" s="25" t="s">
        <v>7909</v>
      </c>
      <c r="E3108" s="26">
        <v>4</v>
      </c>
    </row>
    <row r="3109" spans="1:5" x14ac:dyDescent="0.25">
      <c r="A3109" s="24" t="s">
        <v>7</v>
      </c>
      <c r="B3109" s="24" t="s">
        <v>7910</v>
      </c>
      <c r="C3109" s="25" t="s">
        <v>7911</v>
      </c>
      <c r="D3109" s="25" t="s">
        <v>7912</v>
      </c>
      <c r="E3109" s="26">
        <v>2</v>
      </c>
    </row>
    <row r="3110" spans="1:5" x14ac:dyDescent="0.25">
      <c r="A3110" s="24" t="s">
        <v>7</v>
      </c>
      <c r="B3110" s="24" t="s">
        <v>7913</v>
      </c>
      <c r="C3110" s="25" t="s">
        <v>7914</v>
      </c>
      <c r="D3110" s="25" t="s">
        <v>7915</v>
      </c>
      <c r="E3110" s="26">
        <v>1</v>
      </c>
    </row>
    <row r="3111" spans="1:5" x14ac:dyDescent="0.25">
      <c r="A3111" s="24" t="s">
        <v>7</v>
      </c>
      <c r="B3111" s="24" t="s">
        <v>7916</v>
      </c>
      <c r="C3111" s="25" t="s">
        <v>7917</v>
      </c>
      <c r="D3111" s="25" t="s">
        <v>7918</v>
      </c>
      <c r="E3111" s="26">
        <v>43</v>
      </c>
    </row>
    <row r="3112" spans="1:5" x14ac:dyDescent="0.25">
      <c r="A3112" s="24" t="s">
        <v>7</v>
      </c>
      <c r="B3112" s="24" t="s">
        <v>7919</v>
      </c>
      <c r="C3112" s="25" t="s">
        <v>7920</v>
      </c>
      <c r="D3112" s="25" t="s">
        <v>7921</v>
      </c>
      <c r="E3112" s="26">
        <v>44</v>
      </c>
    </row>
    <row r="3113" spans="1:5" x14ac:dyDescent="0.25">
      <c r="A3113" s="24" t="s">
        <v>7</v>
      </c>
      <c r="B3113" s="24" t="s">
        <v>7922</v>
      </c>
      <c r="C3113" s="25" t="s">
        <v>7923</v>
      </c>
      <c r="D3113" s="25" t="s">
        <v>7924</v>
      </c>
      <c r="E3113" s="26">
        <v>22</v>
      </c>
    </row>
    <row r="3114" spans="1:5" x14ac:dyDescent="0.25">
      <c r="A3114" s="24" t="s">
        <v>7</v>
      </c>
      <c r="B3114" s="24" t="s">
        <v>7925</v>
      </c>
      <c r="C3114" s="25" t="s">
        <v>7926</v>
      </c>
      <c r="D3114" s="25" t="s">
        <v>7927</v>
      </c>
      <c r="E3114" s="26">
        <v>2</v>
      </c>
    </row>
    <row r="3115" spans="1:5" x14ac:dyDescent="0.25">
      <c r="A3115" s="24" t="s">
        <v>7</v>
      </c>
      <c r="B3115" s="24" t="s">
        <v>7928</v>
      </c>
      <c r="C3115" s="25" t="s">
        <v>7929</v>
      </c>
      <c r="D3115" s="25" t="s">
        <v>7930</v>
      </c>
      <c r="E3115" s="26">
        <v>3</v>
      </c>
    </row>
    <row r="3116" spans="1:5" x14ac:dyDescent="0.25">
      <c r="A3116" s="24" t="s">
        <v>7</v>
      </c>
      <c r="B3116" s="24" t="s">
        <v>7931</v>
      </c>
      <c r="C3116" s="25" t="s">
        <v>7932</v>
      </c>
      <c r="D3116" s="25" t="s">
        <v>7933</v>
      </c>
      <c r="E3116" s="26">
        <v>4</v>
      </c>
    </row>
    <row r="3117" spans="1:5" x14ac:dyDescent="0.25">
      <c r="A3117" s="24" t="s">
        <v>7</v>
      </c>
      <c r="B3117" s="24" t="s">
        <v>7934</v>
      </c>
      <c r="C3117" s="25" t="s">
        <v>7935</v>
      </c>
      <c r="D3117" s="25" t="s">
        <v>7936</v>
      </c>
      <c r="E3117" s="26">
        <v>14</v>
      </c>
    </row>
    <row r="3118" spans="1:5" x14ac:dyDescent="0.25">
      <c r="A3118" s="24" t="s">
        <v>7</v>
      </c>
      <c r="B3118" s="24" t="s">
        <v>7937</v>
      </c>
      <c r="C3118" s="25" t="s">
        <v>7938</v>
      </c>
      <c r="D3118" s="25" t="s">
        <v>7939</v>
      </c>
      <c r="E3118" s="26">
        <v>1</v>
      </c>
    </row>
    <row r="3119" spans="1:5" x14ac:dyDescent="0.25">
      <c r="A3119" s="24" t="s">
        <v>7</v>
      </c>
      <c r="B3119" s="24" t="s">
        <v>7940</v>
      </c>
      <c r="C3119" s="25" t="s">
        <v>7941</v>
      </c>
      <c r="D3119" s="25" t="s">
        <v>7942</v>
      </c>
      <c r="E3119" s="26">
        <v>1</v>
      </c>
    </row>
    <row r="3120" spans="1:5" x14ac:dyDescent="0.25">
      <c r="A3120" s="24" t="s">
        <v>7</v>
      </c>
      <c r="B3120" s="24" t="s">
        <v>7943</v>
      </c>
      <c r="C3120" s="25" t="s">
        <v>7944</v>
      </c>
      <c r="D3120" s="25" t="s">
        <v>7945</v>
      </c>
      <c r="E3120" s="26">
        <v>3</v>
      </c>
    </row>
    <row r="3121" spans="1:5" x14ac:dyDescent="0.25">
      <c r="A3121" s="24" t="s">
        <v>7</v>
      </c>
      <c r="B3121" s="24" t="s">
        <v>7946</v>
      </c>
      <c r="C3121" s="25" t="s">
        <v>7947</v>
      </c>
      <c r="D3121" s="25" t="s">
        <v>7948</v>
      </c>
      <c r="E3121" s="26">
        <v>24</v>
      </c>
    </row>
    <row r="3122" spans="1:5" x14ac:dyDescent="0.25">
      <c r="A3122" s="24" t="s">
        <v>7</v>
      </c>
      <c r="B3122" s="24" t="s">
        <v>7949</v>
      </c>
      <c r="C3122" s="25" t="s">
        <v>7950</v>
      </c>
      <c r="D3122" s="25" t="s">
        <v>7951</v>
      </c>
      <c r="E3122" s="26">
        <v>24</v>
      </c>
    </row>
    <row r="3123" spans="1:5" x14ac:dyDescent="0.25">
      <c r="A3123" s="24" t="s">
        <v>7</v>
      </c>
      <c r="B3123" s="24" t="s">
        <v>7952</v>
      </c>
      <c r="C3123" s="25" t="s">
        <v>7953</v>
      </c>
      <c r="D3123" s="25" t="s">
        <v>7954</v>
      </c>
      <c r="E3123" s="26">
        <v>25</v>
      </c>
    </row>
    <row r="3124" spans="1:5" x14ac:dyDescent="0.25">
      <c r="A3124" s="24" t="s">
        <v>7</v>
      </c>
      <c r="B3124" s="24" t="s">
        <v>7955</v>
      </c>
      <c r="C3124" s="25" t="s">
        <v>7956</v>
      </c>
      <c r="D3124" s="25" t="s">
        <v>7957</v>
      </c>
      <c r="E3124" s="26">
        <v>24</v>
      </c>
    </row>
    <row r="3125" spans="1:5" x14ac:dyDescent="0.25">
      <c r="A3125" s="24" t="s">
        <v>7</v>
      </c>
      <c r="B3125" s="24" t="s">
        <v>7958</v>
      </c>
      <c r="C3125" s="25" t="s">
        <v>7959</v>
      </c>
      <c r="D3125" s="25" t="s">
        <v>7960</v>
      </c>
      <c r="E3125" s="26">
        <v>24</v>
      </c>
    </row>
    <row r="3126" spans="1:5" x14ac:dyDescent="0.25">
      <c r="A3126" s="24" t="s">
        <v>7</v>
      </c>
      <c r="B3126" s="24" t="s">
        <v>7961</v>
      </c>
      <c r="C3126" s="25" t="s">
        <v>7962</v>
      </c>
      <c r="D3126" s="25" t="s">
        <v>7963</v>
      </c>
      <c r="E3126" s="26">
        <v>24</v>
      </c>
    </row>
    <row r="3127" spans="1:5" x14ac:dyDescent="0.25">
      <c r="A3127" s="24" t="s">
        <v>7</v>
      </c>
      <c r="B3127" s="24" t="s">
        <v>7964</v>
      </c>
      <c r="C3127" s="25" t="s">
        <v>7965</v>
      </c>
      <c r="D3127" s="25" t="s">
        <v>7966</v>
      </c>
      <c r="E3127" s="26">
        <v>24</v>
      </c>
    </row>
    <row r="3128" spans="1:5" x14ac:dyDescent="0.25">
      <c r="A3128" s="24" t="s">
        <v>7</v>
      </c>
      <c r="B3128" s="24" t="s">
        <v>7967</v>
      </c>
      <c r="C3128" s="25" t="s">
        <v>7968</v>
      </c>
      <c r="D3128" s="25" t="s">
        <v>7969</v>
      </c>
      <c r="E3128" s="26">
        <v>1</v>
      </c>
    </row>
    <row r="3129" spans="1:5" x14ac:dyDescent="0.25">
      <c r="A3129" s="24" t="s">
        <v>7</v>
      </c>
      <c r="B3129" s="24" t="s">
        <v>7970</v>
      </c>
      <c r="C3129" s="25" t="s">
        <v>7971</v>
      </c>
      <c r="D3129" s="25" t="s">
        <v>7972</v>
      </c>
      <c r="E3129" s="26">
        <v>1</v>
      </c>
    </row>
    <row r="3130" spans="1:5" x14ac:dyDescent="0.25">
      <c r="A3130" s="24" t="s">
        <v>7</v>
      </c>
      <c r="B3130" s="24" t="s">
        <v>7973</v>
      </c>
      <c r="C3130" s="25" t="s">
        <v>7974</v>
      </c>
      <c r="D3130" s="25" t="s">
        <v>7975</v>
      </c>
      <c r="E3130" s="26">
        <v>2</v>
      </c>
    </row>
    <row r="3131" spans="1:5" x14ac:dyDescent="0.25">
      <c r="A3131" s="24" t="s">
        <v>7</v>
      </c>
      <c r="B3131" s="24" t="s">
        <v>7976</v>
      </c>
      <c r="C3131" s="25" t="s">
        <v>7977</v>
      </c>
      <c r="D3131" s="25" t="s">
        <v>7978</v>
      </c>
      <c r="E3131" s="26">
        <v>4</v>
      </c>
    </row>
    <row r="3132" spans="1:5" x14ac:dyDescent="0.25">
      <c r="A3132" s="24" t="s">
        <v>7</v>
      </c>
      <c r="B3132" s="24" t="s">
        <v>7979</v>
      </c>
      <c r="C3132" s="25" t="s">
        <v>7980</v>
      </c>
      <c r="D3132" s="25" t="s">
        <v>7981</v>
      </c>
      <c r="E3132" s="26">
        <v>3</v>
      </c>
    </row>
    <row r="3133" spans="1:5" x14ac:dyDescent="0.25">
      <c r="A3133" s="24" t="s">
        <v>7</v>
      </c>
      <c r="B3133" s="24" t="s">
        <v>7982</v>
      </c>
      <c r="C3133" s="25" t="s">
        <v>7983</v>
      </c>
      <c r="D3133" s="25" t="s">
        <v>7984</v>
      </c>
      <c r="E3133" s="26">
        <v>1</v>
      </c>
    </row>
    <row r="3134" spans="1:5" x14ac:dyDescent="0.25">
      <c r="A3134" s="24" t="s">
        <v>7</v>
      </c>
      <c r="B3134" s="24" t="s">
        <v>7985</v>
      </c>
      <c r="C3134" s="25" t="s">
        <v>7986</v>
      </c>
      <c r="D3134" s="25" t="s">
        <v>7987</v>
      </c>
      <c r="E3134" s="26">
        <v>1</v>
      </c>
    </row>
    <row r="3135" spans="1:5" x14ac:dyDescent="0.25">
      <c r="A3135" s="24" t="s">
        <v>7</v>
      </c>
      <c r="B3135" s="24" t="s">
        <v>7988</v>
      </c>
      <c r="C3135" s="25" t="s">
        <v>7989</v>
      </c>
      <c r="D3135" s="25" t="s">
        <v>7990</v>
      </c>
      <c r="E3135" s="26">
        <v>1</v>
      </c>
    </row>
    <row r="3136" spans="1:5" x14ac:dyDescent="0.25">
      <c r="A3136" s="24" t="s">
        <v>7</v>
      </c>
      <c r="B3136" s="24" t="s">
        <v>7991</v>
      </c>
      <c r="C3136" s="25" t="s">
        <v>7992</v>
      </c>
      <c r="D3136" s="25" t="s">
        <v>7993</v>
      </c>
      <c r="E3136" s="26">
        <v>433</v>
      </c>
    </row>
    <row r="3137" spans="1:5" x14ac:dyDescent="0.25">
      <c r="A3137" s="24" t="s">
        <v>7</v>
      </c>
      <c r="B3137" s="24" t="s">
        <v>7994</v>
      </c>
      <c r="C3137" s="25" t="s">
        <v>7995</v>
      </c>
      <c r="D3137" s="25" t="s">
        <v>7996</v>
      </c>
      <c r="E3137" s="26">
        <v>5</v>
      </c>
    </row>
    <row r="3138" spans="1:5" x14ac:dyDescent="0.25">
      <c r="A3138" s="24" t="s">
        <v>7</v>
      </c>
      <c r="B3138" s="24" t="s">
        <v>7997</v>
      </c>
      <c r="C3138" s="25" t="s">
        <v>7998</v>
      </c>
      <c r="D3138" s="25" t="s">
        <v>7999</v>
      </c>
      <c r="E3138" s="26">
        <v>5</v>
      </c>
    </row>
    <row r="3139" spans="1:5" x14ac:dyDescent="0.25">
      <c r="A3139" s="24" t="s">
        <v>7</v>
      </c>
      <c r="B3139" s="24" t="s">
        <v>8000</v>
      </c>
      <c r="C3139" s="25" t="s">
        <v>8001</v>
      </c>
      <c r="D3139" s="25" t="s">
        <v>8001</v>
      </c>
      <c r="E3139" s="26">
        <v>6</v>
      </c>
    </row>
    <row r="3140" spans="1:5" x14ac:dyDescent="0.25">
      <c r="A3140" s="24" t="s">
        <v>7</v>
      </c>
      <c r="B3140" s="24" t="s">
        <v>8002</v>
      </c>
      <c r="C3140" s="25" t="s">
        <v>8003</v>
      </c>
      <c r="D3140" s="25" t="s">
        <v>8003</v>
      </c>
      <c r="E3140" s="26">
        <v>1</v>
      </c>
    </row>
    <row r="3141" spans="1:5" x14ac:dyDescent="0.25">
      <c r="A3141" s="24" t="s">
        <v>7</v>
      </c>
      <c r="B3141" s="24" t="s">
        <v>8004</v>
      </c>
      <c r="C3141" s="25" t="s">
        <v>8005</v>
      </c>
      <c r="D3141" s="25" t="s">
        <v>8006</v>
      </c>
      <c r="E3141" s="26">
        <v>80</v>
      </c>
    </row>
    <row r="3142" spans="1:5" x14ac:dyDescent="0.25">
      <c r="A3142" s="24" t="s">
        <v>7</v>
      </c>
      <c r="B3142" s="24" t="s">
        <v>8007</v>
      </c>
      <c r="C3142" s="25" t="s">
        <v>8008</v>
      </c>
      <c r="D3142" s="25" t="s">
        <v>8009</v>
      </c>
      <c r="E3142" s="26">
        <v>2</v>
      </c>
    </row>
    <row r="3143" spans="1:5" x14ac:dyDescent="0.25">
      <c r="A3143" s="24" t="s">
        <v>7</v>
      </c>
      <c r="B3143" s="24" t="s">
        <v>8010</v>
      </c>
      <c r="C3143" s="25" t="s">
        <v>8011</v>
      </c>
      <c r="D3143" s="25" t="s">
        <v>8012</v>
      </c>
      <c r="E3143" s="26">
        <v>2</v>
      </c>
    </row>
    <row r="3144" spans="1:5" x14ac:dyDescent="0.25">
      <c r="A3144" s="24" t="s">
        <v>7</v>
      </c>
      <c r="B3144" s="24" t="s">
        <v>8013</v>
      </c>
      <c r="C3144" s="25" t="s">
        <v>8014</v>
      </c>
      <c r="D3144" s="25" t="s">
        <v>8015</v>
      </c>
      <c r="E3144" s="26">
        <v>51</v>
      </c>
    </row>
    <row r="3145" spans="1:5" x14ac:dyDescent="0.25">
      <c r="A3145" s="24" t="s">
        <v>7</v>
      </c>
      <c r="B3145" s="24" t="s">
        <v>8016</v>
      </c>
      <c r="C3145" s="25" t="s">
        <v>8017</v>
      </c>
      <c r="D3145" s="25" t="s">
        <v>8018</v>
      </c>
      <c r="E3145" s="26">
        <v>140</v>
      </c>
    </row>
    <row r="3146" spans="1:5" x14ac:dyDescent="0.25">
      <c r="A3146" s="24" t="s">
        <v>7</v>
      </c>
      <c r="B3146" s="24" t="s">
        <v>8019</v>
      </c>
      <c r="C3146" s="25" t="s">
        <v>8020</v>
      </c>
      <c r="D3146" s="25" t="s">
        <v>8021</v>
      </c>
      <c r="E3146" s="26">
        <v>4</v>
      </c>
    </row>
    <row r="3147" spans="1:5" x14ac:dyDescent="0.25">
      <c r="A3147" s="24" t="s">
        <v>7</v>
      </c>
      <c r="B3147" s="24" t="s">
        <v>8022</v>
      </c>
      <c r="C3147" s="25" t="s">
        <v>8023</v>
      </c>
      <c r="D3147" s="25" t="s">
        <v>8024</v>
      </c>
      <c r="E3147" s="26">
        <v>8</v>
      </c>
    </row>
    <row r="3148" spans="1:5" x14ac:dyDescent="0.25">
      <c r="A3148" s="24" t="s">
        <v>7</v>
      </c>
      <c r="B3148" s="24" t="s">
        <v>8025</v>
      </c>
      <c r="C3148" s="25" t="s">
        <v>8026</v>
      </c>
      <c r="D3148" s="25" t="s">
        <v>8027</v>
      </c>
      <c r="E3148" s="26">
        <v>4</v>
      </c>
    </row>
    <row r="3149" spans="1:5" x14ac:dyDescent="0.25">
      <c r="A3149" s="24" t="s">
        <v>7</v>
      </c>
      <c r="B3149" s="24" t="s">
        <v>8028</v>
      </c>
      <c r="C3149" s="25" t="s">
        <v>8029</v>
      </c>
      <c r="D3149" s="25" t="s">
        <v>8030</v>
      </c>
      <c r="E3149" s="26">
        <v>2536</v>
      </c>
    </row>
    <row r="3150" spans="1:5" x14ac:dyDescent="0.25">
      <c r="A3150" s="24" t="s">
        <v>7</v>
      </c>
      <c r="B3150" s="24" t="s">
        <v>8031</v>
      </c>
      <c r="C3150" s="25" t="s">
        <v>8032</v>
      </c>
      <c r="D3150" s="25" t="s">
        <v>8033</v>
      </c>
      <c r="E3150" s="26">
        <v>99</v>
      </c>
    </row>
    <row r="3151" spans="1:5" x14ac:dyDescent="0.25">
      <c r="A3151" s="24" t="s">
        <v>7</v>
      </c>
      <c r="B3151" s="24" t="s">
        <v>8034</v>
      </c>
      <c r="C3151" s="25" t="s">
        <v>8035</v>
      </c>
      <c r="D3151" s="25" t="s">
        <v>8036</v>
      </c>
      <c r="E3151" s="26">
        <v>72</v>
      </c>
    </row>
    <row r="3152" spans="1:5" x14ac:dyDescent="0.25">
      <c r="A3152" s="24" t="s">
        <v>7</v>
      </c>
      <c r="B3152" s="24" t="s">
        <v>8037</v>
      </c>
      <c r="C3152" s="25" t="s">
        <v>8038</v>
      </c>
      <c r="D3152" s="25" t="s">
        <v>8039</v>
      </c>
      <c r="E3152" s="26">
        <v>1</v>
      </c>
    </row>
    <row r="3153" spans="1:5" x14ac:dyDescent="0.25">
      <c r="A3153" s="24" t="s">
        <v>7</v>
      </c>
      <c r="B3153" s="24" t="s">
        <v>8040</v>
      </c>
      <c r="C3153" s="25" t="s">
        <v>8041</v>
      </c>
      <c r="D3153" s="25" t="s">
        <v>8042</v>
      </c>
      <c r="E3153" s="26">
        <v>2</v>
      </c>
    </row>
    <row r="3154" spans="1:5" x14ac:dyDescent="0.25">
      <c r="A3154" s="24" t="s">
        <v>7</v>
      </c>
      <c r="B3154" s="24" t="s">
        <v>8043</v>
      </c>
      <c r="C3154" s="25" t="s">
        <v>8044</v>
      </c>
      <c r="D3154" s="25" t="s">
        <v>8045</v>
      </c>
      <c r="E3154" s="26">
        <v>1</v>
      </c>
    </row>
    <row r="3155" spans="1:5" x14ac:dyDescent="0.25">
      <c r="A3155" s="24" t="s">
        <v>7</v>
      </c>
      <c r="B3155" s="24" t="s">
        <v>8046</v>
      </c>
      <c r="C3155" s="25" t="s">
        <v>8047</v>
      </c>
      <c r="D3155" s="25" t="s">
        <v>8048</v>
      </c>
      <c r="E3155" s="26">
        <v>27</v>
      </c>
    </row>
    <row r="3156" spans="1:5" x14ac:dyDescent="0.25">
      <c r="A3156" s="24" t="s">
        <v>7</v>
      </c>
      <c r="B3156" s="24" t="s">
        <v>8049</v>
      </c>
      <c r="C3156" s="25" t="s">
        <v>8050</v>
      </c>
      <c r="D3156" s="25" t="s">
        <v>8051</v>
      </c>
      <c r="E3156" s="26">
        <v>8</v>
      </c>
    </row>
    <row r="3157" spans="1:5" x14ac:dyDescent="0.25">
      <c r="A3157" s="24" t="s">
        <v>7</v>
      </c>
      <c r="B3157" s="24" t="s">
        <v>8052</v>
      </c>
      <c r="C3157" s="25" t="s">
        <v>8053</v>
      </c>
      <c r="D3157" s="25" t="s">
        <v>8054</v>
      </c>
      <c r="E3157" s="26">
        <v>192</v>
      </c>
    </row>
    <row r="3158" spans="1:5" x14ac:dyDescent="0.25">
      <c r="A3158" s="24" t="s">
        <v>7</v>
      </c>
      <c r="B3158" s="24" t="s">
        <v>8055</v>
      </c>
      <c r="C3158" s="25" t="s">
        <v>8056</v>
      </c>
      <c r="D3158" s="25" t="s">
        <v>8057</v>
      </c>
      <c r="E3158" s="26">
        <v>11</v>
      </c>
    </row>
    <row r="3159" spans="1:5" x14ac:dyDescent="0.25">
      <c r="A3159" s="24" t="s">
        <v>7</v>
      </c>
      <c r="B3159" s="24" t="s">
        <v>8058</v>
      </c>
      <c r="C3159" s="25" t="s">
        <v>8059</v>
      </c>
      <c r="D3159" s="25" t="s">
        <v>8060</v>
      </c>
      <c r="E3159" s="26">
        <v>359</v>
      </c>
    </row>
    <row r="3160" spans="1:5" x14ac:dyDescent="0.25">
      <c r="A3160" s="24" t="s">
        <v>7</v>
      </c>
      <c r="B3160" s="24" t="s">
        <v>8061</v>
      </c>
      <c r="C3160" s="25" t="s">
        <v>8062</v>
      </c>
      <c r="D3160" s="25" t="s">
        <v>8063</v>
      </c>
      <c r="E3160" s="26">
        <v>6</v>
      </c>
    </row>
    <row r="3161" spans="1:5" x14ac:dyDescent="0.25">
      <c r="A3161" s="24" t="s">
        <v>7</v>
      </c>
      <c r="B3161" s="24" t="s">
        <v>8064</v>
      </c>
      <c r="C3161" s="25" t="s">
        <v>8065</v>
      </c>
      <c r="D3161" s="25" t="s">
        <v>8066</v>
      </c>
      <c r="E3161" s="26">
        <v>3</v>
      </c>
    </row>
    <row r="3162" spans="1:5" x14ac:dyDescent="0.25">
      <c r="A3162" s="24" t="s">
        <v>7</v>
      </c>
      <c r="B3162" s="24" t="s">
        <v>8067</v>
      </c>
      <c r="C3162" s="25" t="s">
        <v>8068</v>
      </c>
      <c r="D3162" s="25" t="s">
        <v>8069</v>
      </c>
      <c r="E3162" s="26">
        <v>639</v>
      </c>
    </row>
    <row r="3163" spans="1:5" x14ac:dyDescent="0.25">
      <c r="A3163" s="24" t="s">
        <v>7</v>
      </c>
      <c r="B3163" s="24" t="s">
        <v>8070</v>
      </c>
      <c r="C3163" s="25" t="s">
        <v>8071</v>
      </c>
      <c r="D3163" s="25" t="s">
        <v>8072</v>
      </c>
      <c r="E3163" s="26">
        <v>2</v>
      </c>
    </row>
    <row r="3164" spans="1:5" x14ac:dyDescent="0.25">
      <c r="A3164" s="24" t="s">
        <v>7</v>
      </c>
      <c r="B3164" s="24" t="s">
        <v>8073</v>
      </c>
      <c r="C3164" s="25" t="s">
        <v>8074</v>
      </c>
      <c r="D3164" s="25" t="s">
        <v>8075</v>
      </c>
      <c r="E3164" s="26">
        <v>636</v>
      </c>
    </row>
    <row r="3165" spans="1:5" x14ac:dyDescent="0.25">
      <c r="A3165" s="24" t="s">
        <v>7</v>
      </c>
      <c r="B3165" s="24" t="s">
        <v>8076</v>
      </c>
      <c r="C3165" s="25" t="s">
        <v>8077</v>
      </c>
      <c r="D3165" s="25" t="s">
        <v>8078</v>
      </c>
      <c r="E3165" s="26">
        <v>1324</v>
      </c>
    </row>
    <row r="3166" spans="1:5" x14ac:dyDescent="0.25">
      <c r="A3166" s="24" t="s">
        <v>7</v>
      </c>
      <c r="B3166" s="24" t="s">
        <v>8079</v>
      </c>
      <c r="C3166" s="25" t="s">
        <v>8080</v>
      </c>
      <c r="D3166" s="25" t="s">
        <v>8081</v>
      </c>
      <c r="E3166" s="26">
        <v>1418</v>
      </c>
    </row>
    <row r="3167" spans="1:5" x14ac:dyDescent="0.25">
      <c r="A3167" s="24" t="s">
        <v>7</v>
      </c>
      <c r="B3167" s="24" t="s">
        <v>8082</v>
      </c>
      <c r="C3167" s="25" t="s">
        <v>8083</v>
      </c>
      <c r="D3167" s="25" t="s">
        <v>8084</v>
      </c>
      <c r="E3167" s="26">
        <v>33</v>
      </c>
    </row>
    <row r="3168" spans="1:5" x14ac:dyDescent="0.25">
      <c r="A3168" s="24" t="s">
        <v>7</v>
      </c>
      <c r="B3168" s="24" t="s">
        <v>8085</v>
      </c>
      <c r="C3168" s="25" t="s">
        <v>8086</v>
      </c>
      <c r="D3168" s="25" t="s">
        <v>8087</v>
      </c>
      <c r="E3168" s="26">
        <v>38</v>
      </c>
    </row>
    <row r="3169" spans="1:5" x14ac:dyDescent="0.25">
      <c r="A3169" s="24" t="s">
        <v>7</v>
      </c>
      <c r="B3169" s="24" t="s">
        <v>8088</v>
      </c>
      <c r="C3169" s="25" t="s">
        <v>8089</v>
      </c>
      <c r="D3169" s="25" t="s">
        <v>8090</v>
      </c>
      <c r="E3169" s="26">
        <v>62</v>
      </c>
    </row>
    <row r="3170" spans="1:5" x14ac:dyDescent="0.25">
      <c r="A3170" s="24" t="s">
        <v>7</v>
      </c>
      <c r="B3170" s="24" t="s">
        <v>8091</v>
      </c>
      <c r="C3170" s="25" t="s">
        <v>8092</v>
      </c>
      <c r="D3170" s="25" t="s">
        <v>8093</v>
      </c>
      <c r="E3170" s="26">
        <v>3</v>
      </c>
    </row>
    <row r="3171" spans="1:5" x14ac:dyDescent="0.25">
      <c r="A3171" s="24" t="s">
        <v>7</v>
      </c>
      <c r="B3171" s="24" t="s">
        <v>8094</v>
      </c>
      <c r="C3171" s="25" t="s">
        <v>8095</v>
      </c>
      <c r="D3171" s="25" t="s">
        <v>8096</v>
      </c>
      <c r="E3171" s="26">
        <v>3</v>
      </c>
    </row>
    <row r="3172" spans="1:5" x14ac:dyDescent="0.25">
      <c r="A3172" s="24" t="s">
        <v>7</v>
      </c>
      <c r="B3172" s="24" t="s">
        <v>8097</v>
      </c>
      <c r="C3172" s="25" t="s">
        <v>8098</v>
      </c>
      <c r="D3172" s="25" t="s">
        <v>8099</v>
      </c>
      <c r="E3172" s="26">
        <v>1</v>
      </c>
    </row>
    <row r="3173" spans="1:5" x14ac:dyDescent="0.25">
      <c r="A3173" s="24" t="s">
        <v>7</v>
      </c>
      <c r="B3173" s="24" t="s">
        <v>8100</v>
      </c>
      <c r="C3173" s="25" t="s">
        <v>8101</v>
      </c>
      <c r="D3173" s="25" t="s">
        <v>8102</v>
      </c>
      <c r="E3173" s="26">
        <v>2</v>
      </c>
    </row>
    <row r="3174" spans="1:5" x14ac:dyDescent="0.25">
      <c r="A3174" s="24" t="s">
        <v>7</v>
      </c>
      <c r="B3174" s="24" t="s">
        <v>8103</v>
      </c>
      <c r="C3174" s="25" t="s">
        <v>8104</v>
      </c>
      <c r="D3174" s="25" t="s">
        <v>8105</v>
      </c>
      <c r="E3174" s="26">
        <v>15</v>
      </c>
    </row>
    <row r="3175" spans="1:5" x14ac:dyDescent="0.25">
      <c r="A3175" s="24" t="s">
        <v>7</v>
      </c>
      <c r="B3175" s="24" t="s">
        <v>8106</v>
      </c>
      <c r="C3175" s="25" t="s">
        <v>8107</v>
      </c>
      <c r="D3175" s="25" t="s">
        <v>8108</v>
      </c>
      <c r="E3175" s="26">
        <v>1</v>
      </c>
    </row>
    <row r="3176" spans="1:5" x14ac:dyDescent="0.25">
      <c r="A3176" s="24" t="s">
        <v>7</v>
      </c>
      <c r="B3176" s="24" t="s">
        <v>8109</v>
      </c>
      <c r="C3176" s="25" t="s">
        <v>8110</v>
      </c>
      <c r="D3176" s="25" t="s">
        <v>8111</v>
      </c>
      <c r="E3176" s="26">
        <v>12</v>
      </c>
    </row>
    <row r="3177" spans="1:5" x14ac:dyDescent="0.25">
      <c r="A3177" s="24" t="s">
        <v>7</v>
      </c>
      <c r="B3177" s="24" t="s">
        <v>8112</v>
      </c>
      <c r="C3177" s="25" t="s">
        <v>8113</v>
      </c>
      <c r="D3177" s="25" t="s">
        <v>8114</v>
      </c>
      <c r="E3177" s="26">
        <v>15</v>
      </c>
    </row>
    <row r="3178" spans="1:5" x14ac:dyDescent="0.25">
      <c r="A3178" s="24" t="s">
        <v>7</v>
      </c>
      <c r="B3178" s="24" t="s">
        <v>8115</v>
      </c>
      <c r="C3178" s="25" t="s">
        <v>8116</v>
      </c>
      <c r="D3178" s="25" t="s">
        <v>8117</v>
      </c>
      <c r="E3178" s="26">
        <v>12</v>
      </c>
    </row>
    <row r="3179" spans="1:5" x14ac:dyDescent="0.25">
      <c r="A3179" s="24" t="s">
        <v>7</v>
      </c>
      <c r="B3179" s="24" t="s">
        <v>8118</v>
      </c>
      <c r="C3179" s="25" t="s">
        <v>8119</v>
      </c>
      <c r="D3179" s="25" t="s">
        <v>8120</v>
      </c>
      <c r="E3179" s="26">
        <v>55</v>
      </c>
    </row>
    <row r="3180" spans="1:5" x14ac:dyDescent="0.25">
      <c r="A3180" s="24" t="s">
        <v>7</v>
      </c>
      <c r="B3180" s="24" t="s">
        <v>8121</v>
      </c>
      <c r="C3180" s="25" t="s">
        <v>8122</v>
      </c>
      <c r="D3180" s="25" t="s">
        <v>8123</v>
      </c>
      <c r="E3180" s="26">
        <v>17</v>
      </c>
    </row>
    <row r="3181" spans="1:5" x14ac:dyDescent="0.25">
      <c r="A3181" s="24" t="s">
        <v>7</v>
      </c>
      <c r="B3181" s="24" t="s">
        <v>8124</v>
      </c>
      <c r="C3181" s="25" t="s">
        <v>8125</v>
      </c>
      <c r="D3181" s="25" t="s">
        <v>8126</v>
      </c>
      <c r="E3181" s="26">
        <v>7</v>
      </c>
    </row>
    <row r="3182" spans="1:5" x14ac:dyDescent="0.25">
      <c r="A3182" s="24" t="s">
        <v>7</v>
      </c>
      <c r="B3182" s="24" t="s">
        <v>8127</v>
      </c>
      <c r="C3182" s="25" t="s">
        <v>8128</v>
      </c>
      <c r="D3182" s="25" t="s">
        <v>8129</v>
      </c>
      <c r="E3182" s="26">
        <v>10</v>
      </c>
    </row>
    <row r="3183" spans="1:5" x14ac:dyDescent="0.25">
      <c r="A3183" s="24" t="s">
        <v>7</v>
      </c>
      <c r="B3183" s="24" t="s">
        <v>8130</v>
      </c>
      <c r="C3183" s="25" t="s">
        <v>8131</v>
      </c>
      <c r="D3183" s="25" t="s">
        <v>8132</v>
      </c>
      <c r="E3183" s="26">
        <v>42</v>
      </c>
    </row>
    <row r="3184" spans="1:5" x14ac:dyDescent="0.25">
      <c r="A3184" s="24" t="s">
        <v>7</v>
      </c>
      <c r="B3184" s="24" t="s">
        <v>8133</v>
      </c>
      <c r="C3184" s="25" t="s">
        <v>8134</v>
      </c>
      <c r="D3184" s="25" t="s">
        <v>8135</v>
      </c>
      <c r="E3184" s="26">
        <v>1</v>
      </c>
    </row>
    <row r="3185" spans="1:5" x14ac:dyDescent="0.25">
      <c r="A3185" s="24" t="s">
        <v>7</v>
      </c>
      <c r="B3185" s="24" t="s">
        <v>8136</v>
      </c>
      <c r="C3185" s="25" t="s">
        <v>8137</v>
      </c>
      <c r="D3185" s="25" t="s">
        <v>8138</v>
      </c>
      <c r="E3185" s="26">
        <v>5</v>
      </c>
    </row>
    <row r="3186" spans="1:5" x14ac:dyDescent="0.25">
      <c r="A3186" s="24" t="s">
        <v>7</v>
      </c>
      <c r="B3186" s="24" t="s">
        <v>8139</v>
      </c>
      <c r="C3186" s="25" t="s">
        <v>8140</v>
      </c>
      <c r="D3186" s="25" t="s">
        <v>8141</v>
      </c>
      <c r="E3186" s="26">
        <v>1</v>
      </c>
    </row>
    <row r="3187" spans="1:5" x14ac:dyDescent="0.25">
      <c r="A3187" s="24" t="s">
        <v>7</v>
      </c>
      <c r="B3187" s="24" t="s">
        <v>8142</v>
      </c>
      <c r="C3187" s="25" t="s">
        <v>8143</v>
      </c>
      <c r="D3187" s="25" t="s">
        <v>8144</v>
      </c>
      <c r="E3187" s="26">
        <v>1</v>
      </c>
    </row>
    <row r="3188" spans="1:5" x14ac:dyDescent="0.25">
      <c r="A3188" s="24" t="s">
        <v>7</v>
      </c>
      <c r="B3188" s="24" t="s">
        <v>8145</v>
      </c>
      <c r="C3188" s="25" t="s">
        <v>8146</v>
      </c>
      <c r="D3188" s="25" t="s">
        <v>8147</v>
      </c>
      <c r="E3188" s="26">
        <v>124</v>
      </c>
    </row>
    <row r="3189" spans="1:5" x14ac:dyDescent="0.25">
      <c r="A3189" s="24" t="s">
        <v>7</v>
      </c>
      <c r="B3189" s="24" t="s">
        <v>8148</v>
      </c>
      <c r="C3189" s="25" t="s">
        <v>8149</v>
      </c>
      <c r="D3189" s="25" t="s">
        <v>8150</v>
      </c>
      <c r="E3189" s="26">
        <v>3</v>
      </c>
    </row>
    <row r="3190" spans="1:5" x14ac:dyDescent="0.25">
      <c r="A3190" s="24" t="s">
        <v>7</v>
      </c>
      <c r="B3190" s="24" t="s">
        <v>8151</v>
      </c>
      <c r="C3190" s="25" t="s">
        <v>8152</v>
      </c>
      <c r="D3190" s="25" t="s">
        <v>8153</v>
      </c>
      <c r="E3190" s="26">
        <v>33</v>
      </c>
    </row>
    <row r="3191" spans="1:5" x14ac:dyDescent="0.25">
      <c r="A3191" s="24" t="s">
        <v>7</v>
      </c>
      <c r="B3191" s="24" t="s">
        <v>8154</v>
      </c>
      <c r="C3191" s="25" t="s">
        <v>8155</v>
      </c>
      <c r="D3191" s="25" t="s">
        <v>8156</v>
      </c>
      <c r="E3191" s="26">
        <v>2</v>
      </c>
    </row>
    <row r="3192" spans="1:5" x14ac:dyDescent="0.25">
      <c r="A3192" s="24" t="s">
        <v>7</v>
      </c>
      <c r="B3192" s="24" t="s">
        <v>8157</v>
      </c>
      <c r="C3192" s="25" t="s">
        <v>8158</v>
      </c>
      <c r="D3192" s="25" t="s">
        <v>8159</v>
      </c>
      <c r="E3192" s="26">
        <v>2</v>
      </c>
    </row>
    <row r="3193" spans="1:5" x14ac:dyDescent="0.25">
      <c r="A3193" s="24" t="s">
        <v>7</v>
      </c>
      <c r="B3193" s="24" t="s">
        <v>8160</v>
      </c>
      <c r="C3193" s="25" t="s">
        <v>8161</v>
      </c>
      <c r="D3193" s="25" t="s">
        <v>8162</v>
      </c>
      <c r="E3193" s="26">
        <v>2</v>
      </c>
    </row>
    <row r="3194" spans="1:5" x14ac:dyDescent="0.25">
      <c r="A3194" s="24" t="s">
        <v>7</v>
      </c>
      <c r="B3194" s="24" t="s">
        <v>8163</v>
      </c>
      <c r="C3194" s="25" t="s">
        <v>8164</v>
      </c>
      <c r="D3194" s="25" t="s">
        <v>8165</v>
      </c>
      <c r="E3194" s="26">
        <v>1</v>
      </c>
    </row>
    <row r="3195" spans="1:5" x14ac:dyDescent="0.25">
      <c r="A3195" s="24" t="s">
        <v>7</v>
      </c>
      <c r="B3195" s="24" t="s">
        <v>8166</v>
      </c>
      <c r="C3195" s="25" t="s">
        <v>8167</v>
      </c>
      <c r="D3195" s="25" t="s">
        <v>8168</v>
      </c>
      <c r="E3195" s="26">
        <v>2</v>
      </c>
    </row>
    <row r="3196" spans="1:5" x14ac:dyDescent="0.25">
      <c r="A3196" s="24" t="s">
        <v>7</v>
      </c>
      <c r="B3196" s="24" t="s">
        <v>8169</v>
      </c>
      <c r="C3196" s="25" t="s">
        <v>8170</v>
      </c>
      <c r="D3196" s="25" t="s">
        <v>8171</v>
      </c>
      <c r="E3196" s="26">
        <v>1</v>
      </c>
    </row>
    <row r="3197" spans="1:5" x14ac:dyDescent="0.25">
      <c r="A3197" s="24" t="s">
        <v>7</v>
      </c>
      <c r="B3197" s="24" t="s">
        <v>8172</v>
      </c>
      <c r="C3197" s="25" t="s">
        <v>8173</v>
      </c>
      <c r="D3197" s="25" t="s">
        <v>8174</v>
      </c>
      <c r="E3197" s="26">
        <v>5</v>
      </c>
    </row>
    <row r="3198" spans="1:5" x14ac:dyDescent="0.25">
      <c r="A3198" s="24" t="s">
        <v>7</v>
      </c>
      <c r="B3198" s="24" t="s">
        <v>8175</v>
      </c>
      <c r="C3198" s="25" t="s">
        <v>8176</v>
      </c>
      <c r="D3198" s="25" t="s">
        <v>8177</v>
      </c>
      <c r="E3198" s="26">
        <v>1</v>
      </c>
    </row>
    <row r="3199" spans="1:5" x14ac:dyDescent="0.25">
      <c r="A3199" s="24" t="s">
        <v>7</v>
      </c>
      <c r="B3199" s="24" t="s">
        <v>8178</v>
      </c>
      <c r="C3199" s="25" t="s">
        <v>8179</v>
      </c>
      <c r="D3199" s="25" t="s">
        <v>8180</v>
      </c>
      <c r="E3199" s="26">
        <v>1</v>
      </c>
    </row>
    <row r="3200" spans="1:5" x14ac:dyDescent="0.25">
      <c r="A3200" s="24" t="s">
        <v>7</v>
      </c>
      <c r="B3200" s="24" t="s">
        <v>8181</v>
      </c>
      <c r="C3200" s="25" t="s">
        <v>8182</v>
      </c>
      <c r="D3200" s="25" t="s">
        <v>8183</v>
      </c>
      <c r="E3200" s="26">
        <v>731</v>
      </c>
    </row>
    <row r="3201" spans="1:5" x14ac:dyDescent="0.25">
      <c r="A3201" s="24" t="s">
        <v>7</v>
      </c>
      <c r="B3201" s="24" t="s">
        <v>8184</v>
      </c>
      <c r="C3201" s="25" t="s">
        <v>8185</v>
      </c>
      <c r="D3201" s="25" t="s">
        <v>8186</v>
      </c>
      <c r="E3201" s="26">
        <v>1</v>
      </c>
    </row>
    <row r="3202" spans="1:5" x14ac:dyDescent="0.25">
      <c r="A3202" s="24" t="s">
        <v>7</v>
      </c>
      <c r="B3202" s="24" t="s">
        <v>8187</v>
      </c>
      <c r="C3202" s="25" t="s">
        <v>8188</v>
      </c>
      <c r="D3202" s="25" t="s">
        <v>8189</v>
      </c>
      <c r="E3202" s="26">
        <v>22</v>
      </c>
    </row>
    <row r="3203" spans="1:5" x14ac:dyDescent="0.25">
      <c r="A3203" s="24" t="s">
        <v>7</v>
      </c>
      <c r="B3203" s="24" t="s">
        <v>8190</v>
      </c>
      <c r="C3203" s="25" t="s">
        <v>8191</v>
      </c>
      <c r="D3203" s="25" t="s">
        <v>8192</v>
      </c>
      <c r="E3203" s="26">
        <v>12</v>
      </c>
    </row>
    <row r="3204" spans="1:5" x14ac:dyDescent="0.25">
      <c r="A3204" s="24" t="s">
        <v>7</v>
      </c>
      <c r="B3204" s="24" t="s">
        <v>8193</v>
      </c>
      <c r="C3204" s="25" t="s">
        <v>8194</v>
      </c>
      <c r="D3204" s="25" t="s">
        <v>8195</v>
      </c>
      <c r="E3204" s="26">
        <v>15</v>
      </c>
    </row>
    <row r="3205" spans="1:5" x14ac:dyDescent="0.25">
      <c r="A3205" s="24" t="s">
        <v>7</v>
      </c>
      <c r="B3205" s="24" t="s">
        <v>8196</v>
      </c>
      <c r="C3205" s="25" t="s">
        <v>8197</v>
      </c>
      <c r="D3205" s="25" t="s">
        <v>8198</v>
      </c>
      <c r="E3205" s="26">
        <v>15</v>
      </c>
    </row>
    <row r="3206" spans="1:5" x14ac:dyDescent="0.25">
      <c r="A3206" s="24" t="s">
        <v>7</v>
      </c>
      <c r="B3206" s="24" t="s">
        <v>8199</v>
      </c>
      <c r="C3206" s="25" t="s">
        <v>8200</v>
      </c>
      <c r="D3206" s="25" t="s">
        <v>8201</v>
      </c>
      <c r="E3206" s="26">
        <v>79</v>
      </c>
    </row>
    <row r="3207" spans="1:5" x14ac:dyDescent="0.25">
      <c r="A3207" s="24" t="s">
        <v>7</v>
      </c>
      <c r="B3207" s="24" t="s">
        <v>8202</v>
      </c>
      <c r="C3207" s="25" t="s">
        <v>8203</v>
      </c>
      <c r="D3207" s="25" t="s">
        <v>8204</v>
      </c>
      <c r="E3207" s="26">
        <v>86</v>
      </c>
    </row>
    <row r="3208" spans="1:5" x14ac:dyDescent="0.25">
      <c r="A3208" s="24" t="s">
        <v>7</v>
      </c>
      <c r="B3208" s="24" t="s">
        <v>8205</v>
      </c>
      <c r="C3208" s="25" t="s">
        <v>8206</v>
      </c>
      <c r="D3208" s="25" t="s">
        <v>8207</v>
      </c>
      <c r="E3208" s="26">
        <v>12</v>
      </c>
    </row>
    <row r="3209" spans="1:5" x14ac:dyDescent="0.25">
      <c r="A3209" s="24" t="s">
        <v>7</v>
      </c>
      <c r="B3209" s="24" t="s">
        <v>8208</v>
      </c>
      <c r="C3209" s="25" t="s">
        <v>8209</v>
      </c>
      <c r="D3209" s="25" t="s">
        <v>8210</v>
      </c>
      <c r="E3209" s="26">
        <v>4</v>
      </c>
    </row>
    <row r="3210" spans="1:5" x14ac:dyDescent="0.25">
      <c r="A3210" s="24" t="s">
        <v>7</v>
      </c>
      <c r="B3210" s="24" t="s">
        <v>8211</v>
      </c>
      <c r="C3210" s="25" t="s">
        <v>8212</v>
      </c>
      <c r="D3210" s="25" t="s">
        <v>8213</v>
      </c>
      <c r="E3210" s="26">
        <v>1</v>
      </c>
    </row>
    <row r="3211" spans="1:5" x14ac:dyDescent="0.25">
      <c r="A3211" s="24" t="s">
        <v>7</v>
      </c>
      <c r="B3211" s="24" t="s">
        <v>8214</v>
      </c>
      <c r="C3211" s="25" t="s">
        <v>8215</v>
      </c>
      <c r="D3211" s="25" t="s">
        <v>8216</v>
      </c>
      <c r="E3211" s="26">
        <v>1</v>
      </c>
    </row>
    <row r="3212" spans="1:5" x14ac:dyDescent="0.25">
      <c r="A3212" s="24" t="s">
        <v>7</v>
      </c>
      <c r="B3212" s="24" t="s">
        <v>8217</v>
      </c>
      <c r="C3212" s="25" t="s">
        <v>8218</v>
      </c>
      <c r="D3212" s="25" t="s">
        <v>8219</v>
      </c>
      <c r="E3212" s="26">
        <v>24</v>
      </c>
    </row>
    <row r="3213" spans="1:5" x14ac:dyDescent="0.25">
      <c r="A3213" s="24" t="s">
        <v>7</v>
      </c>
      <c r="B3213" s="24" t="s">
        <v>8220</v>
      </c>
      <c r="C3213" s="25" t="s">
        <v>8221</v>
      </c>
      <c r="D3213" s="25" t="s">
        <v>8222</v>
      </c>
      <c r="E3213" s="26">
        <v>24</v>
      </c>
    </row>
    <row r="3214" spans="1:5" x14ac:dyDescent="0.25">
      <c r="A3214" s="24" t="s">
        <v>7</v>
      </c>
      <c r="B3214" s="24" t="s">
        <v>8223</v>
      </c>
      <c r="C3214" s="25" t="s">
        <v>8224</v>
      </c>
      <c r="D3214" s="25" t="s">
        <v>8225</v>
      </c>
      <c r="E3214" s="26">
        <v>19</v>
      </c>
    </row>
    <row r="3215" spans="1:5" x14ac:dyDescent="0.25">
      <c r="A3215" s="24" t="s">
        <v>7</v>
      </c>
      <c r="B3215" s="24" t="s">
        <v>8226</v>
      </c>
      <c r="C3215" s="25" t="s">
        <v>8227</v>
      </c>
      <c r="D3215" s="25" t="s">
        <v>8228</v>
      </c>
      <c r="E3215" s="26">
        <v>143</v>
      </c>
    </row>
    <row r="3216" spans="1:5" x14ac:dyDescent="0.25">
      <c r="A3216" s="24" t="s">
        <v>7</v>
      </c>
      <c r="B3216" s="24" t="s">
        <v>8229</v>
      </c>
      <c r="C3216" s="25" t="s">
        <v>8230</v>
      </c>
      <c r="D3216" s="25" t="s">
        <v>8231</v>
      </c>
      <c r="E3216" s="26">
        <v>53</v>
      </c>
    </row>
    <row r="3217" spans="1:5" x14ac:dyDescent="0.25">
      <c r="A3217" s="24" t="s">
        <v>7</v>
      </c>
      <c r="B3217" s="24" t="s">
        <v>8232</v>
      </c>
      <c r="C3217" s="25" t="s">
        <v>8233</v>
      </c>
      <c r="D3217" s="25" t="s">
        <v>8234</v>
      </c>
      <c r="E3217" s="26">
        <v>1</v>
      </c>
    </row>
    <row r="3218" spans="1:5" x14ac:dyDescent="0.25">
      <c r="A3218" s="24" t="s">
        <v>7</v>
      </c>
      <c r="B3218" s="24" t="s">
        <v>8235</v>
      </c>
      <c r="C3218" s="25" t="s">
        <v>8236</v>
      </c>
      <c r="D3218" s="25" t="s">
        <v>8237</v>
      </c>
      <c r="E3218" s="26">
        <v>19</v>
      </c>
    </row>
    <row r="3219" spans="1:5" x14ac:dyDescent="0.25">
      <c r="A3219" s="24" t="s">
        <v>7</v>
      </c>
      <c r="B3219" s="24" t="s">
        <v>8238</v>
      </c>
      <c r="C3219" s="25" t="s">
        <v>8239</v>
      </c>
      <c r="D3219" s="25" t="s">
        <v>8240</v>
      </c>
      <c r="E3219" s="26">
        <v>24</v>
      </c>
    </row>
    <row r="3220" spans="1:5" x14ac:dyDescent="0.25">
      <c r="A3220" s="24" t="s">
        <v>7</v>
      </c>
      <c r="B3220" s="24" t="s">
        <v>8241</v>
      </c>
      <c r="C3220" s="25" t="s">
        <v>8242</v>
      </c>
      <c r="D3220" s="25" t="s">
        <v>8243</v>
      </c>
      <c r="E3220" s="26">
        <v>642</v>
      </c>
    </row>
    <row r="3221" spans="1:5" x14ac:dyDescent="0.25">
      <c r="A3221" s="24" t="s">
        <v>7</v>
      </c>
      <c r="B3221" s="24" t="s">
        <v>8244</v>
      </c>
      <c r="C3221" s="25" t="s">
        <v>8245</v>
      </c>
      <c r="D3221" s="25" t="s">
        <v>8246</v>
      </c>
      <c r="E3221" s="26">
        <v>183</v>
      </c>
    </row>
    <row r="3222" spans="1:5" x14ac:dyDescent="0.25">
      <c r="A3222" s="24" t="s">
        <v>7</v>
      </c>
      <c r="B3222" s="24" t="s">
        <v>8247</v>
      </c>
      <c r="C3222" s="25" t="s">
        <v>8248</v>
      </c>
      <c r="D3222" s="25" t="s">
        <v>8249</v>
      </c>
      <c r="E3222" s="26">
        <v>12</v>
      </c>
    </row>
    <row r="3223" spans="1:5" x14ac:dyDescent="0.25">
      <c r="A3223" s="24" t="s">
        <v>7</v>
      </c>
      <c r="B3223" s="24" t="s">
        <v>8250</v>
      </c>
      <c r="C3223" s="25" t="s">
        <v>8251</v>
      </c>
      <c r="D3223" s="25" t="s">
        <v>8252</v>
      </c>
      <c r="E3223" s="26">
        <v>1</v>
      </c>
    </row>
    <row r="3224" spans="1:5" x14ac:dyDescent="0.25">
      <c r="A3224" s="24" t="s">
        <v>7</v>
      </c>
      <c r="B3224" s="24" t="s">
        <v>8253</v>
      </c>
      <c r="C3224" s="25" t="s">
        <v>8254</v>
      </c>
      <c r="D3224" s="25" t="s">
        <v>8255</v>
      </c>
      <c r="E3224" s="26">
        <v>1</v>
      </c>
    </row>
    <row r="3225" spans="1:5" x14ac:dyDescent="0.25">
      <c r="A3225" s="24" t="s">
        <v>7</v>
      </c>
      <c r="B3225" s="24" t="s">
        <v>8256</v>
      </c>
      <c r="C3225" s="25" t="s">
        <v>8257</v>
      </c>
      <c r="D3225" s="25" t="s">
        <v>8258</v>
      </c>
      <c r="E3225" s="26">
        <v>1</v>
      </c>
    </row>
    <row r="3226" spans="1:5" x14ac:dyDescent="0.25">
      <c r="A3226" s="24" t="s">
        <v>7</v>
      </c>
      <c r="B3226" s="24" t="s">
        <v>8259</v>
      </c>
      <c r="C3226" s="25" t="s">
        <v>8260</v>
      </c>
      <c r="D3226" s="25" t="s">
        <v>8261</v>
      </c>
      <c r="E3226" s="26">
        <v>1</v>
      </c>
    </row>
    <row r="3227" spans="1:5" x14ac:dyDescent="0.25">
      <c r="A3227" s="24" t="s">
        <v>7</v>
      </c>
      <c r="B3227" s="24" t="s">
        <v>8262</v>
      </c>
      <c r="C3227" s="25" t="s">
        <v>8263</v>
      </c>
      <c r="D3227" s="25" t="s">
        <v>8264</v>
      </c>
      <c r="E3227" s="26">
        <v>1</v>
      </c>
    </row>
    <row r="3228" spans="1:5" x14ac:dyDescent="0.25">
      <c r="A3228" s="24" t="s">
        <v>7</v>
      </c>
      <c r="B3228" s="24" t="s">
        <v>8265</v>
      </c>
      <c r="C3228" s="25" t="s">
        <v>8266</v>
      </c>
      <c r="D3228" s="25" t="s">
        <v>8267</v>
      </c>
      <c r="E3228" s="26">
        <v>1</v>
      </c>
    </row>
    <row r="3229" spans="1:5" x14ac:dyDescent="0.25">
      <c r="A3229" s="24" t="s">
        <v>7</v>
      </c>
      <c r="B3229" s="24" t="s">
        <v>8268</v>
      </c>
      <c r="C3229" s="25" t="s">
        <v>8269</v>
      </c>
      <c r="D3229" s="25" t="s">
        <v>8270</v>
      </c>
      <c r="E3229" s="26">
        <v>163</v>
      </c>
    </row>
    <row r="3230" spans="1:5" x14ac:dyDescent="0.25">
      <c r="A3230" s="24" t="s">
        <v>7</v>
      </c>
      <c r="B3230" s="24" t="s">
        <v>8271</v>
      </c>
      <c r="C3230" s="25" t="s">
        <v>8272</v>
      </c>
      <c r="D3230" s="25" t="s">
        <v>8273</v>
      </c>
      <c r="E3230" s="26">
        <v>4</v>
      </c>
    </row>
    <row r="3231" spans="1:5" x14ac:dyDescent="0.25">
      <c r="A3231" s="24" t="s">
        <v>7</v>
      </c>
      <c r="B3231" s="24" t="s">
        <v>8274</v>
      </c>
      <c r="C3231" s="25" t="s">
        <v>8275</v>
      </c>
      <c r="D3231" s="25" t="s">
        <v>8276</v>
      </c>
      <c r="E3231" s="26">
        <v>3</v>
      </c>
    </row>
    <row r="3232" spans="1:5" x14ac:dyDescent="0.25">
      <c r="A3232" s="24" t="s">
        <v>7</v>
      </c>
      <c r="B3232" s="24" t="s">
        <v>8277</v>
      </c>
      <c r="C3232" s="25" t="s">
        <v>8278</v>
      </c>
      <c r="D3232" s="25" t="s">
        <v>8279</v>
      </c>
      <c r="E3232" s="26">
        <v>15</v>
      </c>
    </row>
    <row r="3233" spans="1:5" x14ac:dyDescent="0.25">
      <c r="A3233" s="24" t="s">
        <v>7</v>
      </c>
      <c r="B3233" s="24" t="s">
        <v>8280</v>
      </c>
      <c r="C3233" s="25" t="s">
        <v>8281</v>
      </c>
      <c r="D3233" s="25" t="s">
        <v>8282</v>
      </c>
      <c r="E3233" s="26">
        <v>5</v>
      </c>
    </row>
    <row r="3234" spans="1:5" x14ac:dyDescent="0.25">
      <c r="A3234" s="24" t="s">
        <v>7</v>
      </c>
      <c r="B3234" s="24" t="s">
        <v>8283</v>
      </c>
      <c r="C3234" s="25" t="s">
        <v>8284</v>
      </c>
      <c r="D3234" s="25" t="s">
        <v>8285</v>
      </c>
      <c r="E3234" s="26">
        <v>5</v>
      </c>
    </row>
    <row r="3235" spans="1:5" x14ac:dyDescent="0.25">
      <c r="A3235" s="24" t="s">
        <v>7</v>
      </c>
      <c r="B3235" s="24" t="s">
        <v>8286</v>
      </c>
      <c r="C3235" s="25" t="s">
        <v>8287</v>
      </c>
      <c r="D3235" s="25" t="s">
        <v>8288</v>
      </c>
      <c r="E3235" s="26">
        <v>18</v>
      </c>
    </row>
    <row r="3236" spans="1:5" x14ac:dyDescent="0.25">
      <c r="A3236" s="24" t="s">
        <v>7</v>
      </c>
      <c r="B3236" s="24" t="s">
        <v>8289</v>
      </c>
      <c r="C3236" s="25" t="s">
        <v>8290</v>
      </c>
      <c r="D3236" s="25" t="s">
        <v>8291</v>
      </c>
      <c r="E3236" s="26">
        <v>2</v>
      </c>
    </row>
    <row r="3237" spans="1:5" x14ac:dyDescent="0.25">
      <c r="A3237" s="24" t="s">
        <v>7</v>
      </c>
      <c r="B3237" s="24" t="s">
        <v>8292</v>
      </c>
      <c r="C3237" s="25" t="s">
        <v>8293</v>
      </c>
      <c r="D3237" s="25" t="s">
        <v>8294</v>
      </c>
      <c r="E3237" s="26">
        <v>3</v>
      </c>
    </row>
    <row r="3238" spans="1:5" x14ac:dyDescent="0.25">
      <c r="A3238" s="24" t="s">
        <v>7</v>
      </c>
      <c r="B3238" s="24" t="s">
        <v>8295</v>
      </c>
      <c r="C3238" s="25" t="s">
        <v>8293</v>
      </c>
      <c r="D3238" s="25" t="s">
        <v>8296</v>
      </c>
      <c r="E3238" s="26">
        <v>6</v>
      </c>
    </row>
    <row r="3239" spans="1:5" x14ac:dyDescent="0.25">
      <c r="A3239" s="24" t="s">
        <v>7</v>
      </c>
      <c r="B3239" s="24" t="s">
        <v>8297</v>
      </c>
      <c r="C3239" s="25" t="s">
        <v>8298</v>
      </c>
      <c r="D3239" s="25" t="s">
        <v>8299</v>
      </c>
      <c r="E3239" s="26">
        <v>17</v>
      </c>
    </row>
    <row r="3240" spans="1:5" x14ac:dyDescent="0.25">
      <c r="A3240" s="24" t="s">
        <v>7</v>
      </c>
      <c r="B3240" s="24" t="s">
        <v>8300</v>
      </c>
      <c r="C3240" s="25" t="s">
        <v>8301</v>
      </c>
      <c r="D3240" s="25" t="s">
        <v>8302</v>
      </c>
      <c r="E3240" s="26">
        <v>3</v>
      </c>
    </row>
    <row r="3241" spans="1:5" x14ac:dyDescent="0.25">
      <c r="A3241" s="24" t="s">
        <v>7</v>
      </c>
      <c r="B3241" s="24" t="s">
        <v>8303</v>
      </c>
      <c r="C3241" s="25" t="s">
        <v>8304</v>
      </c>
      <c r="D3241" s="25" t="s">
        <v>8305</v>
      </c>
      <c r="E3241" s="26">
        <v>24</v>
      </c>
    </row>
    <row r="3242" spans="1:5" x14ac:dyDescent="0.25">
      <c r="A3242" s="24" t="s">
        <v>7</v>
      </c>
      <c r="B3242" s="24" t="s">
        <v>8306</v>
      </c>
      <c r="C3242" s="25" t="s">
        <v>8307</v>
      </c>
      <c r="D3242" s="25" t="s">
        <v>8308</v>
      </c>
      <c r="E3242" s="26">
        <v>22</v>
      </c>
    </row>
    <row r="3243" spans="1:5" x14ac:dyDescent="0.25">
      <c r="A3243" s="24" t="s">
        <v>7</v>
      </c>
      <c r="B3243" s="24" t="s">
        <v>8309</v>
      </c>
      <c r="C3243" s="25" t="s">
        <v>8310</v>
      </c>
      <c r="D3243" s="25" t="s">
        <v>8311</v>
      </c>
      <c r="E3243" s="26">
        <v>18</v>
      </c>
    </row>
    <row r="3244" spans="1:5" x14ac:dyDescent="0.25">
      <c r="A3244" s="24" t="s">
        <v>7</v>
      </c>
      <c r="B3244" s="24" t="s">
        <v>8312</v>
      </c>
      <c r="C3244" s="25" t="s">
        <v>8313</v>
      </c>
      <c r="D3244" s="25" t="s">
        <v>8314</v>
      </c>
      <c r="E3244" s="26">
        <v>22</v>
      </c>
    </row>
    <row r="3245" spans="1:5" x14ac:dyDescent="0.25">
      <c r="A3245" s="24" t="s">
        <v>7</v>
      </c>
      <c r="B3245" s="24" t="s">
        <v>8315</v>
      </c>
      <c r="C3245" s="25" t="s">
        <v>8316</v>
      </c>
      <c r="D3245" s="25" t="s">
        <v>8317</v>
      </c>
      <c r="E3245" s="26">
        <v>2</v>
      </c>
    </row>
    <row r="3246" spans="1:5" x14ac:dyDescent="0.25">
      <c r="A3246" s="24" t="s">
        <v>7</v>
      </c>
      <c r="B3246" s="24" t="s">
        <v>8318</v>
      </c>
      <c r="C3246" s="25" t="s">
        <v>8319</v>
      </c>
      <c r="D3246" s="25" t="s">
        <v>8320</v>
      </c>
      <c r="E3246" s="26">
        <v>1</v>
      </c>
    </row>
    <row r="3247" spans="1:5" x14ac:dyDescent="0.25">
      <c r="A3247" s="24" t="s">
        <v>7</v>
      </c>
      <c r="B3247" s="24" t="s">
        <v>8321</v>
      </c>
      <c r="C3247" s="25" t="s">
        <v>8322</v>
      </c>
      <c r="D3247" s="25" t="s">
        <v>8323</v>
      </c>
      <c r="E3247" s="26">
        <v>7</v>
      </c>
    </row>
    <row r="3248" spans="1:5" x14ac:dyDescent="0.25">
      <c r="A3248" s="24" t="s">
        <v>7</v>
      </c>
      <c r="B3248" s="24" t="s">
        <v>8324</v>
      </c>
      <c r="C3248" s="25" t="s">
        <v>8325</v>
      </c>
      <c r="D3248" s="25" t="s">
        <v>8326</v>
      </c>
      <c r="E3248" s="26">
        <v>5</v>
      </c>
    </row>
    <row r="3249" spans="1:5" x14ac:dyDescent="0.25">
      <c r="A3249" s="24" t="s">
        <v>7</v>
      </c>
      <c r="B3249" s="24" t="s">
        <v>8327</v>
      </c>
      <c r="C3249" s="25" t="s">
        <v>8328</v>
      </c>
      <c r="D3249" s="25" t="s">
        <v>8329</v>
      </c>
      <c r="E3249" s="26">
        <v>24</v>
      </c>
    </row>
    <row r="3250" spans="1:5" x14ac:dyDescent="0.25">
      <c r="A3250" s="24" t="s">
        <v>7</v>
      </c>
      <c r="B3250" s="24" t="s">
        <v>8330</v>
      </c>
      <c r="C3250" s="25" t="s">
        <v>8331</v>
      </c>
      <c r="D3250" s="25" t="s">
        <v>8332</v>
      </c>
      <c r="E3250" s="26">
        <v>3</v>
      </c>
    </row>
    <row r="3251" spans="1:5" x14ac:dyDescent="0.25">
      <c r="A3251" s="24" t="s">
        <v>7</v>
      </c>
      <c r="B3251" s="24" t="s">
        <v>8333</v>
      </c>
      <c r="C3251" s="25" t="s">
        <v>8334</v>
      </c>
      <c r="D3251" s="25" t="s">
        <v>8335</v>
      </c>
      <c r="E3251" s="26">
        <v>4</v>
      </c>
    </row>
    <row r="3252" spans="1:5" x14ac:dyDescent="0.25">
      <c r="A3252" s="24" t="s">
        <v>7</v>
      </c>
      <c r="B3252" s="24" t="s">
        <v>8336</v>
      </c>
      <c r="C3252" s="25" t="s">
        <v>8337</v>
      </c>
      <c r="D3252" s="25" t="s">
        <v>8338</v>
      </c>
      <c r="E3252" s="26">
        <v>2</v>
      </c>
    </row>
    <row r="3253" spans="1:5" x14ac:dyDescent="0.25">
      <c r="A3253" s="24" t="s">
        <v>7</v>
      </c>
      <c r="B3253" s="24" t="s">
        <v>8339</v>
      </c>
      <c r="C3253" s="25" t="s">
        <v>8340</v>
      </c>
      <c r="D3253" s="25" t="s">
        <v>8341</v>
      </c>
      <c r="E3253" s="26">
        <v>5</v>
      </c>
    </row>
    <row r="3254" spans="1:5" x14ac:dyDescent="0.25">
      <c r="A3254" s="24" t="s">
        <v>7</v>
      </c>
      <c r="B3254" s="24" t="s">
        <v>8342</v>
      </c>
      <c r="C3254" s="25" t="s">
        <v>8343</v>
      </c>
      <c r="D3254" s="25" t="s">
        <v>8344</v>
      </c>
      <c r="E3254" s="26">
        <v>11</v>
      </c>
    </row>
    <row r="3255" spans="1:5" x14ac:dyDescent="0.25">
      <c r="A3255" s="24" t="s">
        <v>7</v>
      </c>
      <c r="B3255" s="24" t="s">
        <v>8345</v>
      </c>
      <c r="C3255" s="25" t="s">
        <v>8346</v>
      </c>
      <c r="D3255" s="25" t="s">
        <v>8347</v>
      </c>
      <c r="E3255" s="26">
        <v>1</v>
      </c>
    </row>
    <row r="3256" spans="1:5" x14ac:dyDescent="0.25">
      <c r="A3256" s="24" t="s">
        <v>7</v>
      </c>
      <c r="B3256" s="24" t="s">
        <v>8348</v>
      </c>
      <c r="C3256" s="25" t="s">
        <v>8349</v>
      </c>
      <c r="D3256" s="25" t="s">
        <v>8350</v>
      </c>
      <c r="E3256" s="26">
        <v>11</v>
      </c>
    </row>
    <row r="3257" spans="1:5" x14ac:dyDescent="0.25">
      <c r="A3257" s="24" t="s">
        <v>7</v>
      </c>
      <c r="B3257" s="24" t="s">
        <v>8351</v>
      </c>
      <c r="C3257" s="25" t="s">
        <v>8352</v>
      </c>
      <c r="D3257" s="25" t="s">
        <v>8353</v>
      </c>
      <c r="E3257" s="26">
        <v>1</v>
      </c>
    </row>
    <row r="3258" spans="1:5" x14ac:dyDescent="0.25">
      <c r="A3258" s="24" t="s">
        <v>7</v>
      </c>
      <c r="B3258" s="24" t="s">
        <v>8354</v>
      </c>
      <c r="C3258" s="25" t="s">
        <v>8355</v>
      </c>
      <c r="D3258" s="25" t="s">
        <v>8356</v>
      </c>
      <c r="E3258" s="26">
        <v>1</v>
      </c>
    </row>
    <row r="3259" spans="1:5" x14ac:dyDescent="0.25">
      <c r="A3259" s="24" t="s">
        <v>7</v>
      </c>
      <c r="B3259" s="24" t="s">
        <v>8357</v>
      </c>
      <c r="C3259" s="25" t="s">
        <v>8358</v>
      </c>
      <c r="D3259" s="25" t="s">
        <v>8359</v>
      </c>
      <c r="E3259" s="26">
        <v>12</v>
      </c>
    </row>
    <row r="3260" spans="1:5" x14ac:dyDescent="0.25">
      <c r="A3260" s="24" t="s">
        <v>7</v>
      </c>
      <c r="B3260" s="24" t="s">
        <v>8360</v>
      </c>
      <c r="C3260" s="25" t="s">
        <v>8361</v>
      </c>
      <c r="D3260" s="25" t="s">
        <v>8362</v>
      </c>
      <c r="E3260" s="26">
        <v>1</v>
      </c>
    </row>
    <row r="3261" spans="1:5" x14ac:dyDescent="0.25">
      <c r="A3261" s="24" t="s">
        <v>7</v>
      </c>
      <c r="B3261" s="24" t="s">
        <v>8363</v>
      </c>
      <c r="C3261" s="25" t="s">
        <v>8364</v>
      </c>
      <c r="D3261" s="25" t="s">
        <v>8365</v>
      </c>
      <c r="E3261" s="26">
        <v>1</v>
      </c>
    </row>
    <row r="3262" spans="1:5" x14ac:dyDescent="0.25">
      <c r="A3262" s="24" t="s">
        <v>7</v>
      </c>
      <c r="B3262" s="24" t="s">
        <v>8366</v>
      </c>
      <c r="C3262" s="25" t="s">
        <v>8367</v>
      </c>
      <c r="D3262" s="25" t="s">
        <v>8368</v>
      </c>
      <c r="E3262" s="26">
        <v>2</v>
      </c>
    </row>
    <row r="3263" spans="1:5" x14ac:dyDescent="0.25">
      <c r="A3263" s="24" t="s">
        <v>7</v>
      </c>
      <c r="B3263" s="24" t="s">
        <v>8369</v>
      </c>
      <c r="C3263" s="25" t="s">
        <v>8370</v>
      </c>
      <c r="D3263" s="25" t="s">
        <v>8371</v>
      </c>
      <c r="E3263" s="26">
        <v>2</v>
      </c>
    </row>
    <row r="3264" spans="1:5" x14ac:dyDescent="0.25">
      <c r="A3264" s="24" t="s">
        <v>7</v>
      </c>
      <c r="B3264" s="24" t="s">
        <v>8372</v>
      </c>
      <c r="C3264" s="25" t="s">
        <v>8373</v>
      </c>
      <c r="D3264" s="25" t="s">
        <v>8374</v>
      </c>
      <c r="E3264" s="26">
        <v>3</v>
      </c>
    </row>
    <row r="3265" spans="1:5" x14ac:dyDescent="0.25">
      <c r="A3265" s="24" t="s">
        <v>7</v>
      </c>
      <c r="B3265" s="24" t="s">
        <v>8375</v>
      </c>
      <c r="C3265" s="25" t="s">
        <v>8376</v>
      </c>
      <c r="D3265" s="25" t="s">
        <v>8377</v>
      </c>
      <c r="E3265" s="26">
        <v>3</v>
      </c>
    </row>
    <row r="3266" spans="1:5" x14ac:dyDescent="0.25">
      <c r="A3266" s="24" t="s">
        <v>7</v>
      </c>
      <c r="B3266" s="24" t="s">
        <v>8378</v>
      </c>
      <c r="C3266" s="25" t="s">
        <v>8379</v>
      </c>
      <c r="D3266" s="25" t="s">
        <v>8380</v>
      </c>
      <c r="E3266" s="26">
        <v>4</v>
      </c>
    </row>
    <row r="3267" spans="1:5" x14ac:dyDescent="0.25">
      <c r="A3267" s="24" t="s">
        <v>7</v>
      </c>
      <c r="B3267" s="24" t="s">
        <v>8381</v>
      </c>
      <c r="C3267" s="25" t="s">
        <v>8382</v>
      </c>
      <c r="D3267" s="25" t="s">
        <v>8383</v>
      </c>
      <c r="E3267" s="26">
        <v>7</v>
      </c>
    </row>
    <row r="3268" spans="1:5" x14ac:dyDescent="0.25">
      <c r="A3268" s="24" t="s">
        <v>7</v>
      </c>
      <c r="B3268" s="24" t="s">
        <v>8384</v>
      </c>
      <c r="C3268" s="25" t="s">
        <v>8385</v>
      </c>
      <c r="D3268" s="25" t="s">
        <v>8386</v>
      </c>
      <c r="E3268" s="26">
        <v>1</v>
      </c>
    </row>
    <row r="3269" spans="1:5" x14ac:dyDescent="0.25">
      <c r="A3269" s="24" t="s">
        <v>7</v>
      </c>
      <c r="B3269" s="24" t="s">
        <v>8387</v>
      </c>
      <c r="C3269" s="25" t="s">
        <v>8388</v>
      </c>
      <c r="D3269" s="25" t="s">
        <v>8389</v>
      </c>
      <c r="E3269" s="26">
        <v>2</v>
      </c>
    </row>
    <row r="3270" spans="1:5" x14ac:dyDescent="0.25">
      <c r="A3270" s="24" t="s">
        <v>7</v>
      </c>
      <c r="B3270" s="24" t="s">
        <v>8390</v>
      </c>
      <c r="C3270" s="25" t="s">
        <v>8391</v>
      </c>
      <c r="D3270" s="25" t="s">
        <v>8392</v>
      </c>
      <c r="E3270" s="26">
        <v>1</v>
      </c>
    </row>
    <row r="3271" spans="1:5" x14ac:dyDescent="0.25">
      <c r="A3271" s="24" t="s">
        <v>7</v>
      </c>
      <c r="B3271" s="24" t="s">
        <v>8393</v>
      </c>
      <c r="C3271" s="25" t="s">
        <v>8394</v>
      </c>
      <c r="D3271" s="25" t="s">
        <v>8395</v>
      </c>
      <c r="E3271" s="26">
        <v>1</v>
      </c>
    </row>
    <row r="3272" spans="1:5" x14ac:dyDescent="0.25">
      <c r="A3272" s="24" t="s">
        <v>7</v>
      </c>
      <c r="B3272" s="24" t="s">
        <v>8396</v>
      </c>
      <c r="C3272" s="25" t="s">
        <v>8397</v>
      </c>
      <c r="D3272" s="25" t="s">
        <v>8398</v>
      </c>
      <c r="E3272" s="26">
        <v>1</v>
      </c>
    </row>
    <row r="3273" spans="1:5" x14ac:dyDescent="0.25">
      <c r="A3273" s="24" t="s">
        <v>7</v>
      </c>
      <c r="B3273" s="24" t="s">
        <v>8399</v>
      </c>
      <c r="C3273" s="25" t="s">
        <v>8400</v>
      </c>
      <c r="D3273" s="25" t="s">
        <v>8401</v>
      </c>
      <c r="E3273" s="26">
        <v>2</v>
      </c>
    </row>
    <row r="3274" spans="1:5" x14ac:dyDescent="0.25">
      <c r="A3274" s="24" t="s">
        <v>7</v>
      </c>
      <c r="B3274" s="24" t="s">
        <v>8402</v>
      </c>
      <c r="C3274" s="25" t="s">
        <v>8403</v>
      </c>
      <c r="D3274" s="25" t="s">
        <v>8404</v>
      </c>
      <c r="E3274" s="26">
        <v>1</v>
      </c>
    </row>
    <row r="3275" spans="1:5" x14ac:dyDescent="0.25">
      <c r="A3275" s="24" t="s">
        <v>7</v>
      </c>
      <c r="B3275" s="24" t="s">
        <v>8405</v>
      </c>
      <c r="C3275" s="25" t="s">
        <v>8406</v>
      </c>
      <c r="D3275" s="25" t="s">
        <v>8407</v>
      </c>
      <c r="E3275" s="26">
        <v>885</v>
      </c>
    </row>
    <row r="3276" spans="1:5" x14ac:dyDescent="0.25">
      <c r="A3276" s="24" t="s">
        <v>7</v>
      </c>
      <c r="B3276" s="24" t="s">
        <v>8408</v>
      </c>
      <c r="C3276" s="25" t="s">
        <v>8409</v>
      </c>
      <c r="D3276" s="25" t="s">
        <v>8410</v>
      </c>
      <c r="E3276" s="26">
        <v>1248</v>
      </c>
    </row>
    <row r="3277" spans="1:5" x14ac:dyDescent="0.25">
      <c r="A3277" s="24" t="s">
        <v>7</v>
      </c>
      <c r="B3277" s="24" t="s">
        <v>8411</v>
      </c>
      <c r="C3277" s="25" t="s">
        <v>8412</v>
      </c>
      <c r="D3277" s="25" t="s">
        <v>8413</v>
      </c>
      <c r="E3277" s="26">
        <v>18</v>
      </c>
    </row>
    <row r="3278" spans="1:5" x14ac:dyDescent="0.25">
      <c r="A3278" s="24" t="s">
        <v>7</v>
      </c>
      <c r="B3278" s="24" t="s">
        <v>8414</v>
      </c>
      <c r="C3278" s="25" t="s">
        <v>8415</v>
      </c>
      <c r="D3278" s="25" t="s">
        <v>8416</v>
      </c>
      <c r="E3278" s="26">
        <v>1</v>
      </c>
    </row>
    <row r="3279" spans="1:5" x14ac:dyDescent="0.25">
      <c r="A3279" s="24" t="s">
        <v>7</v>
      </c>
      <c r="B3279" s="24" t="s">
        <v>8417</v>
      </c>
      <c r="C3279" s="25" t="s">
        <v>8418</v>
      </c>
      <c r="D3279" s="25" t="s">
        <v>8419</v>
      </c>
      <c r="E3279" s="26">
        <v>24</v>
      </c>
    </row>
    <row r="3280" spans="1:5" x14ac:dyDescent="0.25">
      <c r="A3280" s="24" t="s">
        <v>7</v>
      </c>
      <c r="B3280" s="24" t="s">
        <v>8420</v>
      </c>
      <c r="C3280" s="25" t="s">
        <v>8421</v>
      </c>
      <c r="D3280" s="25" t="s">
        <v>8422</v>
      </c>
      <c r="E3280" s="26">
        <v>17</v>
      </c>
    </row>
    <row r="3281" spans="1:5" x14ac:dyDescent="0.25">
      <c r="A3281" s="24" t="s">
        <v>7</v>
      </c>
      <c r="B3281" s="24" t="s">
        <v>8423</v>
      </c>
      <c r="C3281" s="25" t="s">
        <v>8424</v>
      </c>
      <c r="D3281" s="25" t="s">
        <v>8425</v>
      </c>
      <c r="E3281" s="26">
        <v>3</v>
      </c>
    </row>
    <row r="3282" spans="1:5" x14ac:dyDescent="0.25">
      <c r="A3282" s="24" t="s">
        <v>7</v>
      </c>
      <c r="B3282" s="24" t="s">
        <v>8426</v>
      </c>
      <c r="C3282" s="25" t="s">
        <v>8427</v>
      </c>
      <c r="D3282" s="25" t="s">
        <v>8428</v>
      </c>
      <c r="E3282" s="26">
        <v>3</v>
      </c>
    </row>
    <row r="3283" spans="1:5" x14ac:dyDescent="0.25">
      <c r="A3283" s="24" t="s">
        <v>7</v>
      </c>
      <c r="B3283" s="24" t="s">
        <v>8429</v>
      </c>
      <c r="C3283" s="25" t="s">
        <v>8430</v>
      </c>
      <c r="D3283" s="25" t="s">
        <v>8431</v>
      </c>
      <c r="E3283" s="26">
        <v>18</v>
      </c>
    </row>
    <row r="3284" spans="1:5" x14ac:dyDescent="0.25">
      <c r="A3284" s="24" t="s">
        <v>7</v>
      </c>
      <c r="B3284" s="24" t="s">
        <v>8432</v>
      </c>
      <c r="C3284" s="25" t="s">
        <v>8433</v>
      </c>
      <c r="D3284" s="25" t="s">
        <v>8434</v>
      </c>
      <c r="E3284" s="26">
        <v>3</v>
      </c>
    </row>
    <row r="3285" spans="1:5" x14ac:dyDescent="0.25">
      <c r="A3285" s="24" t="s">
        <v>7</v>
      </c>
      <c r="B3285" s="24" t="s">
        <v>8435</v>
      </c>
      <c r="C3285" s="25" t="s">
        <v>8436</v>
      </c>
      <c r="D3285" s="25" t="s">
        <v>8437</v>
      </c>
      <c r="E3285" s="26">
        <v>7</v>
      </c>
    </row>
    <row r="3286" spans="1:5" x14ac:dyDescent="0.25">
      <c r="A3286" s="24" t="s">
        <v>7</v>
      </c>
      <c r="B3286" s="24" t="s">
        <v>8438</v>
      </c>
      <c r="C3286" s="25" t="s">
        <v>8439</v>
      </c>
      <c r="D3286" s="25" t="s">
        <v>8440</v>
      </c>
      <c r="E3286" s="26">
        <v>15</v>
      </c>
    </row>
    <row r="3287" spans="1:5" x14ac:dyDescent="0.25">
      <c r="A3287" s="24" t="s">
        <v>7</v>
      </c>
      <c r="B3287" s="24" t="s">
        <v>8441</v>
      </c>
      <c r="C3287" s="25" t="s">
        <v>8442</v>
      </c>
      <c r="D3287" s="25" t="s">
        <v>8443</v>
      </c>
      <c r="E3287" s="26">
        <v>17</v>
      </c>
    </row>
    <row r="3288" spans="1:5" x14ac:dyDescent="0.25">
      <c r="A3288" s="24" t="s">
        <v>7</v>
      </c>
      <c r="B3288" s="24" t="s">
        <v>8444</v>
      </c>
      <c r="C3288" s="25" t="s">
        <v>8445</v>
      </c>
      <c r="D3288" s="25" t="s">
        <v>8446</v>
      </c>
      <c r="E3288" s="26">
        <v>4</v>
      </c>
    </row>
    <row r="3289" spans="1:5" x14ac:dyDescent="0.25">
      <c r="A3289" s="24" t="s">
        <v>7</v>
      </c>
      <c r="B3289" s="24" t="s">
        <v>8447</v>
      </c>
      <c r="C3289" s="25" t="s">
        <v>8448</v>
      </c>
      <c r="D3289" s="25" t="s">
        <v>8449</v>
      </c>
      <c r="E3289" s="26">
        <v>5</v>
      </c>
    </row>
    <row r="3290" spans="1:5" x14ac:dyDescent="0.25">
      <c r="A3290" s="24" t="s">
        <v>7</v>
      </c>
      <c r="B3290" s="24" t="s">
        <v>8450</v>
      </c>
      <c r="C3290" s="25" t="s">
        <v>8451</v>
      </c>
      <c r="D3290" s="25" t="s">
        <v>8452</v>
      </c>
      <c r="E3290" s="26">
        <v>17</v>
      </c>
    </row>
    <row r="3291" spans="1:5" x14ac:dyDescent="0.25">
      <c r="A3291" s="24" t="s">
        <v>7</v>
      </c>
      <c r="B3291" s="24" t="s">
        <v>8453</v>
      </c>
      <c r="C3291" s="25" t="s">
        <v>8454</v>
      </c>
      <c r="D3291" s="25" t="s">
        <v>8455</v>
      </c>
      <c r="E3291" s="26">
        <v>5</v>
      </c>
    </row>
    <row r="3292" spans="1:5" x14ac:dyDescent="0.25">
      <c r="A3292" s="24" t="s">
        <v>7</v>
      </c>
      <c r="B3292" s="24" t="s">
        <v>8456</v>
      </c>
      <c r="C3292" s="25" t="s">
        <v>8457</v>
      </c>
      <c r="D3292" s="25" t="s">
        <v>8458</v>
      </c>
      <c r="E3292" s="26">
        <v>2</v>
      </c>
    </row>
    <row r="3293" spans="1:5" x14ac:dyDescent="0.25">
      <c r="A3293" s="24" t="s">
        <v>7</v>
      </c>
      <c r="B3293" s="24" t="s">
        <v>8459</v>
      </c>
      <c r="C3293" s="25" t="s">
        <v>8460</v>
      </c>
      <c r="D3293" s="25" t="s">
        <v>8461</v>
      </c>
      <c r="E3293" s="26">
        <v>3</v>
      </c>
    </row>
    <row r="3294" spans="1:5" x14ac:dyDescent="0.25">
      <c r="A3294" s="24" t="s">
        <v>7</v>
      </c>
      <c r="B3294" s="24" t="s">
        <v>8462</v>
      </c>
      <c r="C3294" s="25" t="s">
        <v>8463</v>
      </c>
      <c r="D3294" s="25" t="s">
        <v>8464</v>
      </c>
      <c r="E3294" s="26">
        <v>2</v>
      </c>
    </row>
    <row r="3295" spans="1:5" x14ac:dyDescent="0.25">
      <c r="A3295" s="24" t="s">
        <v>7</v>
      </c>
      <c r="B3295" s="24" t="s">
        <v>8465</v>
      </c>
      <c r="C3295" s="25" t="s">
        <v>8466</v>
      </c>
      <c r="D3295" s="25" t="s">
        <v>8467</v>
      </c>
      <c r="E3295" s="26">
        <v>25</v>
      </c>
    </row>
    <row r="3296" spans="1:5" x14ac:dyDescent="0.25">
      <c r="A3296" s="24" t="s">
        <v>7</v>
      </c>
      <c r="B3296" s="24" t="s">
        <v>8468</v>
      </c>
      <c r="C3296" s="25" t="s">
        <v>8469</v>
      </c>
      <c r="D3296" s="25" t="s">
        <v>8470</v>
      </c>
      <c r="E3296" s="26">
        <v>40</v>
      </c>
    </row>
    <row r="3297" spans="1:5" x14ac:dyDescent="0.25">
      <c r="A3297" s="24" t="s">
        <v>7</v>
      </c>
      <c r="B3297" s="24" t="s">
        <v>8471</v>
      </c>
      <c r="C3297" s="25" t="s">
        <v>8472</v>
      </c>
      <c r="D3297" s="25" t="s">
        <v>8473</v>
      </c>
      <c r="E3297" s="26">
        <v>32</v>
      </c>
    </row>
    <row r="3298" spans="1:5" x14ac:dyDescent="0.25">
      <c r="A3298" s="24" t="s">
        <v>7</v>
      </c>
      <c r="B3298" s="24" t="s">
        <v>8474</v>
      </c>
      <c r="C3298" s="25" t="s">
        <v>8475</v>
      </c>
      <c r="D3298" s="25" t="s">
        <v>8476</v>
      </c>
      <c r="E3298" s="26">
        <v>10</v>
      </c>
    </row>
    <row r="3299" spans="1:5" x14ac:dyDescent="0.25">
      <c r="A3299" s="24" t="s">
        <v>7</v>
      </c>
      <c r="B3299" s="24" t="s">
        <v>8477</v>
      </c>
      <c r="C3299" s="25" t="s">
        <v>8478</v>
      </c>
      <c r="D3299" s="25" t="s">
        <v>8479</v>
      </c>
      <c r="E3299" s="26">
        <v>2</v>
      </c>
    </row>
    <row r="3300" spans="1:5" x14ac:dyDescent="0.25">
      <c r="A3300" s="24" t="s">
        <v>7</v>
      </c>
      <c r="B3300" s="24" t="s">
        <v>8480</v>
      </c>
      <c r="C3300" s="25" t="s">
        <v>8481</v>
      </c>
      <c r="D3300" s="25" t="s">
        <v>8482</v>
      </c>
      <c r="E3300" s="26">
        <v>4</v>
      </c>
    </row>
    <row r="3301" spans="1:5" x14ac:dyDescent="0.25">
      <c r="A3301" s="24" t="s">
        <v>7</v>
      </c>
      <c r="B3301" s="24" t="s">
        <v>8483</v>
      </c>
      <c r="C3301" s="25" t="s">
        <v>8484</v>
      </c>
      <c r="D3301" s="25" t="s">
        <v>8485</v>
      </c>
      <c r="E3301" s="26">
        <v>405</v>
      </c>
    </row>
    <row r="3302" spans="1:5" x14ac:dyDescent="0.25">
      <c r="A3302" s="24" t="s">
        <v>7</v>
      </c>
      <c r="B3302" s="24" t="s">
        <v>8486</v>
      </c>
      <c r="C3302" s="25" t="s">
        <v>8487</v>
      </c>
      <c r="D3302" s="25" t="s">
        <v>8488</v>
      </c>
      <c r="E3302" s="26">
        <v>102</v>
      </c>
    </row>
    <row r="3303" spans="1:5" x14ac:dyDescent="0.25">
      <c r="A3303" s="24" t="s">
        <v>7</v>
      </c>
      <c r="B3303" s="24" t="s">
        <v>8489</v>
      </c>
      <c r="C3303" s="25" t="s">
        <v>8490</v>
      </c>
      <c r="D3303" s="25" t="s">
        <v>8491</v>
      </c>
      <c r="E3303" s="26">
        <v>2</v>
      </c>
    </row>
    <row r="3304" spans="1:5" x14ac:dyDescent="0.25">
      <c r="A3304" s="24" t="s">
        <v>7</v>
      </c>
      <c r="B3304" s="24" t="s">
        <v>8492</v>
      </c>
      <c r="C3304" s="25" t="s">
        <v>8493</v>
      </c>
      <c r="D3304" s="25" t="s">
        <v>8494</v>
      </c>
      <c r="E3304" s="26">
        <v>12</v>
      </c>
    </row>
    <row r="3305" spans="1:5" x14ac:dyDescent="0.25">
      <c r="A3305" s="24" t="s">
        <v>7</v>
      </c>
      <c r="B3305" s="24" t="s">
        <v>8495</v>
      </c>
      <c r="C3305" s="25" t="s">
        <v>8496</v>
      </c>
      <c r="D3305" s="25" t="s">
        <v>8497</v>
      </c>
      <c r="E3305" s="26">
        <v>138</v>
      </c>
    </row>
    <row r="3306" spans="1:5" x14ac:dyDescent="0.25">
      <c r="A3306" s="24" t="s">
        <v>7</v>
      </c>
      <c r="B3306" s="24" t="s">
        <v>8498</v>
      </c>
      <c r="C3306" s="25" t="s">
        <v>8499</v>
      </c>
      <c r="D3306" s="25" t="s">
        <v>8500</v>
      </c>
      <c r="E3306" s="26">
        <v>2</v>
      </c>
    </row>
    <row r="3307" spans="1:5" x14ac:dyDescent="0.25">
      <c r="A3307" s="24" t="s">
        <v>7</v>
      </c>
      <c r="B3307" s="24" t="s">
        <v>8501</v>
      </c>
      <c r="C3307" s="25" t="s">
        <v>8502</v>
      </c>
      <c r="D3307" s="25" t="s">
        <v>8503</v>
      </c>
      <c r="E3307" s="26">
        <v>2</v>
      </c>
    </row>
    <row r="3308" spans="1:5" x14ac:dyDescent="0.25">
      <c r="A3308" s="24" t="s">
        <v>7</v>
      </c>
      <c r="B3308" s="24" t="s">
        <v>8504</v>
      </c>
      <c r="C3308" s="25" t="s">
        <v>8505</v>
      </c>
      <c r="D3308" s="25" t="s">
        <v>8506</v>
      </c>
      <c r="E3308" s="26">
        <v>53</v>
      </c>
    </row>
    <row r="3309" spans="1:5" x14ac:dyDescent="0.25">
      <c r="A3309" s="24" t="s">
        <v>7</v>
      </c>
      <c r="B3309" s="24" t="s">
        <v>8507</v>
      </c>
      <c r="C3309" s="25" t="s">
        <v>8508</v>
      </c>
      <c r="D3309" s="25" t="s">
        <v>8509</v>
      </c>
      <c r="E3309" s="26">
        <v>104</v>
      </c>
    </row>
    <row r="3310" spans="1:5" x14ac:dyDescent="0.25">
      <c r="A3310" s="24" t="s">
        <v>7</v>
      </c>
      <c r="B3310" s="24" t="s">
        <v>8510</v>
      </c>
      <c r="C3310" s="25" t="s">
        <v>8511</v>
      </c>
      <c r="D3310" s="25" t="s">
        <v>8512</v>
      </c>
      <c r="E3310" s="26">
        <v>41</v>
      </c>
    </row>
    <row r="3311" spans="1:5" x14ac:dyDescent="0.25">
      <c r="A3311" s="24" t="s">
        <v>7</v>
      </c>
      <c r="B3311" s="24" t="s">
        <v>8513</v>
      </c>
      <c r="C3311" s="25" t="s">
        <v>8514</v>
      </c>
      <c r="D3311" s="25" t="s">
        <v>8515</v>
      </c>
      <c r="E3311" s="26">
        <v>54</v>
      </c>
    </row>
    <row r="3312" spans="1:5" x14ac:dyDescent="0.25">
      <c r="A3312" s="24" t="s">
        <v>7</v>
      </c>
      <c r="B3312" s="24" t="s">
        <v>8516</v>
      </c>
      <c r="C3312" s="25" t="s">
        <v>8517</v>
      </c>
      <c r="D3312" s="25" t="s">
        <v>8518</v>
      </c>
      <c r="E3312" s="26">
        <v>5</v>
      </c>
    </row>
    <row r="3313" spans="1:5" x14ac:dyDescent="0.25">
      <c r="A3313" s="24" t="s">
        <v>7</v>
      </c>
      <c r="B3313" s="24" t="s">
        <v>8519</v>
      </c>
      <c r="C3313" s="25" t="s">
        <v>8520</v>
      </c>
      <c r="D3313" s="25" t="s">
        <v>8521</v>
      </c>
      <c r="E3313" s="26">
        <v>6</v>
      </c>
    </row>
    <row r="3314" spans="1:5" x14ac:dyDescent="0.25">
      <c r="A3314" s="24" t="s">
        <v>7</v>
      </c>
      <c r="B3314" s="24" t="s">
        <v>8522</v>
      </c>
      <c r="C3314" s="25" t="s">
        <v>8523</v>
      </c>
      <c r="D3314" s="25" t="s">
        <v>8524</v>
      </c>
      <c r="E3314" s="26">
        <v>2</v>
      </c>
    </row>
    <row r="3315" spans="1:5" x14ac:dyDescent="0.25">
      <c r="A3315" s="24" t="s">
        <v>7</v>
      </c>
      <c r="B3315" s="24" t="s">
        <v>8525</v>
      </c>
      <c r="C3315" s="25" t="s">
        <v>8526</v>
      </c>
      <c r="D3315" s="25" t="s">
        <v>8527</v>
      </c>
      <c r="E3315" s="26">
        <v>72</v>
      </c>
    </row>
    <row r="3316" spans="1:5" x14ac:dyDescent="0.25">
      <c r="A3316" s="24" t="s">
        <v>7</v>
      </c>
      <c r="B3316" s="24" t="s">
        <v>8528</v>
      </c>
      <c r="C3316" s="25" t="s">
        <v>8529</v>
      </c>
      <c r="D3316" s="25" t="s">
        <v>8530</v>
      </c>
      <c r="E3316" s="26">
        <v>51</v>
      </c>
    </row>
    <row r="3317" spans="1:5" x14ac:dyDescent="0.25">
      <c r="A3317" s="24" t="s">
        <v>7</v>
      </c>
      <c r="B3317" s="24" t="s">
        <v>8531</v>
      </c>
      <c r="C3317" s="25" t="s">
        <v>8532</v>
      </c>
      <c r="D3317" s="25" t="s">
        <v>8533</v>
      </c>
      <c r="E3317" s="26">
        <v>39</v>
      </c>
    </row>
    <row r="3318" spans="1:5" x14ac:dyDescent="0.25">
      <c r="A3318" s="24" t="s">
        <v>7</v>
      </c>
      <c r="B3318" s="24" t="s">
        <v>8534</v>
      </c>
      <c r="C3318" s="25" t="s">
        <v>8535</v>
      </c>
      <c r="D3318" s="25" t="s">
        <v>8536</v>
      </c>
      <c r="E3318" s="26">
        <v>2</v>
      </c>
    </row>
    <row r="3319" spans="1:5" x14ac:dyDescent="0.25">
      <c r="A3319" s="24" t="s">
        <v>7</v>
      </c>
      <c r="B3319" s="24" t="s">
        <v>8537</v>
      </c>
      <c r="C3319" s="25" t="s">
        <v>8538</v>
      </c>
      <c r="D3319" s="25" t="s">
        <v>8539</v>
      </c>
      <c r="E3319" s="26">
        <v>2</v>
      </c>
    </row>
    <row r="3320" spans="1:5" x14ac:dyDescent="0.25">
      <c r="A3320" s="24" t="s">
        <v>7</v>
      </c>
      <c r="B3320" s="24" t="s">
        <v>8540</v>
      </c>
      <c r="C3320" s="25" t="s">
        <v>8541</v>
      </c>
      <c r="D3320" s="25" t="s">
        <v>8542</v>
      </c>
      <c r="E3320" s="26">
        <v>49</v>
      </c>
    </row>
    <row r="3321" spans="1:5" x14ac:dyDescent="0.25">
      <c r="A3321" s="24" t="s">
        <v>7</v>
      </c>
      <c r="B3321" s="24" t="s">
        <v>8543</v>
      </c>
      <c r="C3321" s="25" t="s">
        <v>8544</v>
      </c>
      <c r="D3321" s="25" t="s">
        <v>8545</v>
      </c>
      <c r="E3321" s="26">
        <v>3</v>
      </c>
    </row>
    <row r="3322" spans="1:5" x14ac:dyDescent="0.25">
      <c r="A3322" s="24" t="s">
        <v>7</v>
      </c>
      <c r="B3322" s="24" t="s">
        <v>8546</v>
      </c>
      <c r="C3322" s="25" t="s">
        <v>8547</v>
      </c>
      <c r="D3322" s="25" t="s">
        <v>8548</v>
      </c>
      <c r="E3322" s="26">
        <v>2</v>
      </c>
    </row>
    <row r="3323" spans="1:5" x14ac:dyDescent="0.25">
      <c r="A3323" s="24" t="s">
        <v>7</v>
      </c>
      <c r="B3323" s="24" t="s">
        <v>8549</v>
      </c>
      <c r="C3323" s="25" t="s">
        <v>8550</v>
      </c>
      <c r="D3323" s="25" t="s">
        <v>8551</v>
      </c>
      <c r="E3323" s="26">
        <v>2</v>
      </c>
    </row>
    <row r="3324" spans="1:5" x14ac:dyDescent="0.25">
      <c r="A3324" s="24" t="s">
        <v>7</v>
      </c>
      <c r="B3324" s="24" t="s">
        <v>8552</v>
      </c>
      <c r="C3324" s="25" t="s">
        <v>8553</v>
      </c>
      <c r="D3324" s="25" t="s">
        <v>8554</v>
      </c>
      <c r="E3324" s="26">
        <v>4</v>
      </c>
    </row>
    <row r="3325" spans="1:5" x14ac:dyDescent="0.25">
      <c r="A3325" s="24" t="s">
        <v>7</v>
      </c>
      <c r="B3325" s="24" t="s">
        <v>8555</v>
      </c>
      <c r="C3325" s="25" t="s">
        <v>8556</v>
      </c>
      <c r="D3325" s="25" t="s">
        <v>8557</v>
      </c>
      <c r="E3325" s="26">
        <v>1</v>
      </c>
    </row>
    <row r="3326" spans="1:5" x14ac:dyDescent="0.25">
      <c r="A3326" s="24" t="s">
        <v>7</v>
      </c>
      <c r="B3326" s="24" t="s">
        <v>8558</v>
      </c>
      <c r="C3326" s="25" t="s">
        <v>8559</v>
      </c>
      <c r="D3326" s="25" t="s">
        <v>8560</v>
      </c>
      <c r="E3326" s="26">
        <v>1</v>
      </c>
    </row>
    <row r="3327" spans="1:5" x14ac:dyDescent="0.25">
      <c r="A3327" s="24" t="s">
        <v>7</v>
      </c>
      <c r="B3327" s="24" t="s">
        <v>8561</v>
      </c>
      <c r="C3327" s="25" t="s">
        <v>8562</v>
      </c>
      <c r="D3327" s="25" t="s">
        <v>8563</v>
      </c>
      <c r="E3327" s="26">
        <v>4</v>
      </c>
    </row>
    <row r="3328" spans="1:5" x14ac:dyDescent="0.25">
      <c r="A3328" s="24" t="s">
        <v>7</v>
      </c>
      <c r="B3328" s="24" t="s">
        <v>8564</v>
      </c>
      <c r="C3328" s="25" t="s">
        <v>8565</v>
      </c>
      <c r="D3328" s="25" t="s">
        <v>8566</v>
      </c>
      <c r="E3328" s="26">
        <v>5</v>
      </c>
    </row>
    <row r="3329" spans="1:5" x14ac:dyDescent="0.25">
      <c r="A3329" s="24" t="s">
        <v>7</v>
      </c>
      <c r="B3329" s="24" t="s">
        <v>8567</v>
      </c>
      <c r="C3329" s="25" t="s">
        <v>8568</v>
      </c>
      <c r="D3329" s="25" t="s">
        <v>8569</v>
      </c>
      <c r="E3329" s="26">
        <v>5</v>
      </c>
    </row>
    <row r="3330" spans="1:5" x14ac:dyDescent="0.25">
      <c r="A3330" s="24" t="s">
        <v>7</v>
      </c>
      <c r="B3330" s="24" t="s">
        <v>8570</v>
      </c>
      <c r="C3330" s="25" t="s">
        <v>8571</v>
      </c>
      <c r="D3330" s="25" t="s">
        <v>8572</v>
      </c>
      <c r="E3330" s="26">
        <v>4</v>
      </c>
    </row>
    <row r="3331" spans="1:5" x14ac:dyDescent="0.25">
      <c r="A3331" s="24" t="s">
        <v>7</v>
      </c>
      <c r="B3331" s="24" t="s">
        <v>8573</v>
      </c>
      <c r="C3331" s="25" t="s">
        <v>8574</v>
      </c>
      <c r="D3331" s="25" t="s">
        <v>8575</v>
      </c>
      <c r="E3331" s="26">
        <v>99</v>
      </c>
    </row>
    <row r="3332" spans="1:5" x14ac:dyDescent="0.25">
      <c r="A3332" s="24" t="s">
        <v>7</v>
      </c>
      <c r="B3332" s="24" t="s">
        <v>8576</v>
      </c>
      <c r="C3332" s="25" t="s">
        <v>8577</v>
      </c>
      <c r="D3332" s="25" t="s">
        <v>8578</v>
      </c>
      <c r="E3332" s="26">
        <v>17</v>
      </c>
    </row>
    <row r="3333" spans="1:5" x14ac:dyDescent="0.25">
      <c r="A3333" s="24" t="s">
        <v>7</v>
      </c>
      <c r="B3333" s="24" t="s">
        <v>8579</v>
      </c>
      <c r="C3333" s="25" t="s">
        <v>8580</v>
      </c>
      <c r="D3333" s="25" t="s">
        <v>8581</v>
      </c>
      <c r="E3333" s="26">
        <v>6</v>
      </c>
    </row>
    <row r="3334" spans="1:5" x14ac:dyDescent="0.25">
      <c r="A3334" s="24" t="s">
        <v>7</v>
      </c>
      <c r="B3334" s="24" t="s">
        <v>8582</v>
      </c>
      <c r="C3334" s="25" t="s">
        <v>8583</v>
      </c>
      <c r="D3334" s="25" t="s">
        <v>8584</v>
      </c>
      <c r="E3334" s="26">
        <v>5</v>
      </c>
    </row>
    <row r="3335" spans="1:5" x14ac:dyDescent="0.25">
      <c r="A3335" s="24" t="s">
        <v>7</v>
      </c>
      <c r="B3335" s="24" t="s">
        <v>8585</v>
      </c>
      <c r="C3335" s="25" t="s">
        <v>8586</v>
      </c>
      <c r="D3335" s="25" t="s">
        <v>8587</v>
      </c>
      <c r="E3335" s="26">
        <v>23</v>
      </c>
    </row>
    <row r="3336" spans="1:5" x14ac:dyDescent="0.25">
      <c r="A3336" s="24" t="s">
        <v>7</v>
      </c>
      <c r="B3336" s="24" t="s">
        <v>8588</v>
      </c>
      <c r="C3336" s="25" t="s">
        <v>8589</v>
      </c>
      <c r="D3336" s="25" t="s">
        <v>8590</v>
      </c>
      <c r="E3336" s="26">
        <v>1</v>
      </c>
    </row>
    <row r="3337" spans="1:5" x14ac:dyDescent="0.25">
      <c r="A3337" s="24" t="s">
        <v>7</v>
      </c>
      <c r="B3337" s="24" t="s">
        <v>8591</v>
      </c>
      <c r="C3337" s="25" t="s">
        <v>8592</v>
      </c>
      <c r="D3337" s="25" t="s">
        <v>8593</v>
      </c>
      <c r="E3337" s="26">
        <v>1</v>
      </c>
    </row>
    <row r="3338" spans="1:5" x14ac:dyDescent="0.25">
      <c r="A3338" s="24" t="s">
        <v>7</v>
      </c>
      <c r="B3338" s="24" t="s">
        <v>8594</v>
      </c>
      <c r="C3338" s="25" t="s">
        <v>8595</v>
      </c>
      <c r="D3338" s="25" t="s">
        <v>8596</v>
      </c>
      <c r="E3338" s="26">
        <v>1</v>
      </c>
    </row>
    <row r="3339" spans="1:5" x14ac:dyDescent="0.25">
      <c r="A3339" s="24" t="s">
        <v>7</v>
      </c>
      <c r="B3339" s="24" t="s">
        <v>8597</v>
      </c>
      <c r="C3339" s="25" t="s">
        <v>8598</v>
      </c>
      <c r="D3339" s="25" t="s">
        <v>8599</v>
      </c>
      <c r="E3339" s="26">
        <v>1</v>
      </c>
    </row>
    <row r="3340" spans="1:5" x14ac:dyDescent="0.25">
      <c r="A3340" s="24" t="s">
        <v>7</v>
      </c>
      <c r="B3340" s="24" t="s">
        <v>8600</v>
      </c>
      <c r="C3340" s="25" t="s">
        <v>8601</v>
      </c>
      <c r="D3340" s="25" t="s">
        <v>8602</v>
      </c>
      <c r="E3340" s="26">
        <v>3</v>
      </c>
    </row>
    <row r="3341" spans="1:5" x14ac:dyDescent="0.25">
      <c r="A3341" s="24" t="s">
        <v>7</v>
      </c>
      <c r="B3341" s="24" t="s">
        <v>8603</v>
      </c>
      <c r="C3341" s="25" t="s">
        <v>8604</v>
      </c>
      <c r="D3341" s="25" t="s">
        <v>8605</v>
      </c>
      <c r="E3341" s="26">
        <v>5</v>
      </c>
    </row>
    <row r="3342" spans="1:5" x14ac:dyDescent="0.25">
      <c r="A3342" s="24" t="s">
        <v>7</v>
      </c>
      <c r="B3342" s="24" t="s">
        <v>8606</v>
      </c>
      <c r="C3342" s="25" t="s">
        <v>8607</v>
      </c>
      <c r="D3342" s="25" t="s">
        <v>8608</v>
      </c>
      <c r="E3342" s="26">
        <v>4</v>
      </c>
    </row>
    <row r="3343" spans="1:5" x14ac:dyDescent="0.25">
      <c r="A3343" s="24" t="s">
        <v>7</v>
      </c>
      <c r="B3343" s="24" t="s">
        <v>8609</v>
      </c>
      <c r="C3343" s="25" t="s">
        <v>8610</v>
      </c>
      <c r="D3343" s="25" t="s">
        <v>8611</v>
      </c>
      <c r="E3343" s="26">
        <v>15</v>
      </c>
    </row>
    <row r="3344" spans="1:5" x14ac:dyDescent="0.25">
      <c r="A3344" s="24" t="s">
        <v>7</v>
      </c>
      <c r="B3344" s="24" t="s">
        <v>8612</v>
      </c>
      <c r="C3344" s="25" t="s">
        <v>8613</v>
      </c>
      <c r="D3344" s="25" t="s">
        <v>8614</v>
      </c>
      <c r="E3344" s="26">
        <v>7</v>
      </c>
    </row>
    <row r="3345" spans="1:5" x14ac:dyDescent="0.25">
      <c r="A3345" s="24" t="s">
        <v>7</v>
      </c>
      <c r="B3345" s="24" t="s">
        <v>8615</v>
      </c>
      <c r="C3345" s="25" t="s">
        <v>8616</v>
      </c>
      <c r="D3345" s="25" t="s">
        <v>8617</v>
      </c>
      <c r="E3345" s="26">
        <v>69</v>
      </c>
    </row>
    <row r="3346" spans="1:5" x14ac:dyDescent="0.25">
      <c r="A3346" s="24" t="s">
        <v>7</v>
      </c>
      <c r="B3346" s="24" t="s">
        <v>8618</v>
      </c>
      <c r="C3346" s="25" t="s">
        <v>8619</v>
      </c>
      <c r="D3346" s="25" t="s">
        <v>8620</v>
      </c>
      <c r="E3346" s="26">
        <v>44</v>
      </c>
    </row>
    <row r="3347" spans="1:5" x14ac:dyDescent="0.25">
      <c r="A3347" s="24" t="s">
        <v>7</v>
      </c>
      <c r="B3347" s="24" t="s">
        <v>8621</v>
      </c>
      <c r="C3347" s="25" t="s">
        <v>8622</v>
      </c>
      <c r="D3347" s="25" t="s">
        <v>8623</v>
      </c>
      <c r="E3347" s="26">
        <v>9</v>
      </c>
    </row>
    <row r="3348" spans="1:5" x14ac:dyDescent="0.25">
      <c r="A3348" s="24" t="s">
        <v>7</v>
      </c>
      <c r="B3348" s="24" t="s">
        <v>8624</v>
      </c>
      <c r="C3348" s="25" t="s">
        <v>8625</v>
      </c>
      <c r="D3348" s="25" t="s">
        <v>8626</v>
      </c>
      <c r="E3348" s="26">
        <v>2</v>
      </c>
    </row>
    <row r="3349" spans="1:5" x14ac:dyDescent="0.25">
      <c r="A3349" s="24" t="s">
        <v>7</v>
      </c>
      <c r="B3349" s="24" t="s">
        <v>8627</v>
      </c>
      <c r="C3349" s="25" t="s">
        <v>8628</v>
      </c>
      <c r="D3349" s="25" t="s">
        <v>8629</v>
      </c>
      <c r="E3349" s="26">
        <v>17</v>
      </c>
    </row>
    <row r="3350" spans="1:5" x14ac:dyDescent="0.25">
      <c r="A3350" s="24" t="s">
        <v>7</v>
      </c>
      <c r="B3350" s="24" t="s">
        <v>8630</v>
      </c>
      <c r="C3350" s="25" t="s">
        <v>8631</v>
      </c>
      <c r="D3350" s="25" t="s">
        <v>8632</v>
      </c>
      <c r="E3350" s="26">
        <v>1</v>
      </c>
    </row>
    <row r="3351" spans="1:5" x14ac:dyDescent="0.25">
      <c r="A3351" s="24" t="s">
        <v>7</v>
      </c>
      <c r="B3351" s="24" t="s">
        <v>8633</v>
      </c>
      <c r="C3351" s="25" t="s">
        <v>8634</v>
      </c>
      <c r="D3351" s="25" t="s">
        <v>8635</v>
      </c>
      <c r="E3351" s="26">
        <v>1</v>
      </c>
    </row>
    <row r="3352" spans="1:5" x14ac:dyDescent="0.25">
      <c r="A3352" s="24" t="s">
        <v>7</v>
      </c>
      <c r="B3352" s="24" t="s">
        <v>8636</v>
      </c>
      <c r="C3352" s="25" t="s">
        <v>8637</v>
      </c>
      <c r="D3352" s="25" t="s">
        <v>8638</v>
      </c>
      <c r="E3352" s="26">
        <v>1</v>
      </c>
    </row>
    <row r="3353" spans="1:5" x14ac:dyDescent="0.25">
      <c r="A3353" s="24" t="s">
        <v>7</v>
      </c>
      <c r="B3353" s="24" t="s">
        <v>8639</v>
      </c>
      <c r="C3353" s="25" t="s">
        <v>8640</v>
      </c>
      <c r="D3353" s="25" t="s">
        <v>8641</v>
      </c>
      <c r="E3353" s="26">
        <v>1</v>
      </c>
    </row>
    <row r="3354" spans="1:5" x14ac:dyDescent="0.25">
      <c r="A3354" s="24" t="s">
        <v>7</v>
      </c>
      <c r="B3354" s="24" t="s">
        <v>8642</v>
      </c>
      <c r="C3354" s="25" t="s">
        <v>8643</v>
      </c>
      <c r="D3354" s="25" t="s">
        <v>8644</v>
      </c>
      <c r="E3354" s="26">
        <v>3</v>
      </c>
    </row>
    <row r="3355" spans="1:5" x14ac:dyDescent="0.25">
      <c r="A3355" s="24" t="s">
        <v>7</v>
      </c>
      <c r="B3355" s="24" t="s">
        <v>8645</v>
      </c>
      <c r="C3355" s="25" t="s">
        <v>8646</v>
      </c>
      <c r="D3355" s="25" t="s">
        <v>8647</v>
      </c>
      <c r="E3355" s="26">
        <v>10</v>
      </c>
    </row>
    <row r="3356" spans="1:5" x14ac:dyDescent="0.25">
      <c r="A3356" s="24" t="s">
        <v>7</v>
      </c>
      <c r="B3356" s="24" t="s">
        <v>8648</v>
      </c>
      <c r="C3356" s="25" t="s">
        <v>8649</v>
      </c>
      <c r="D3356" s="25" t="s">
        <v>8650</v>
      </c>
      <c r="E3356" s="26">
        <v>10</v>
      </c>
    </row>
    <row r="3357" spans="1:5" x14ac:dyDescent="0.25">
      <c r="A3357" s="24" t="s">
        <v>7</v>
      </c>
      <c r="B3357" s="24" t="s">
        <v>8651</v>
      </c>
      <c r="C3357" s="25" t="s">
        <v>8652</v>
      </c>
      <c r="D3357" s="25" t="s">
        <v>8653</v>
      </c>
      <c r="E3357" s="26">
        <v>4</v>
      </c>
    </row>
    <row r="3358" spans="1:5" x14ac:dyDescent="0.25">
      <c r="A3358" s="24" t="s">
        <v>7</v>
      </c>
      <c r="B3358" s="24" t="s">
        <v>8654</v>
      </c>
      <c r="C3358" s="25" t="s">
        <v>8655</v>
      </c>
      <c r="D3358" s="25" t="s">
        <v>8656</v>
      </c>
      <c r="E3358" s="26">
        <v>2</v>
      </c>
    </row>
    <row r="3359" spans="1:5" x14ac:dyDescent="0.25">
      <c r="A3359" s="24" t="s">
        <v>7</v>
      </c>
      <c r="B3359" s="24" t="s">
        <v>8657</v>
      </c>
      <c r="C3359" s="25" t="s">
        <v>8658</v>
      </c>
      <c r="D3359" s="25" t="s">
        <v>8659</v>
      </c>
      <c r="E3359" s="26">
        <v>3</v>
      </c>
    </row>
    <row r="3360" spans="1:5" x14ac:dyDescent="0.25">
      <c r="A3360" s="24" t="s">
        <v>7</v>
      </c>
      <c r="B3360" s="24" t="s">
        <v>8660</v>
      </c>
      <c r="C3360" s="25" t="s">
        <v>8661</v>
      </c>
      <c r="D3360" s="25" t="s">
        <v>8662</v>
      </c>
      <c r="E3360" s="26">
        <v>1</v>
      </c>
    </row>
    <row r="3361" spans="1:5" x14ac:dyDescent="0.25">
      <c r="A3361" s="24" t="s">
        <v>7</v>
      </c>
      <c r="B3361" s="24" t="s">
        <v>8663</v>
      </c>
      <c r="C3361" s="25" t="s">
        <v>8664</v>
      </c>
      <c r="D3361" s="25" t="s">
        <v>8665</v>
      </c>
      <c r="E3361" s="26">
        <v>11</v>
      </c>
    </row>
    <row r="3362" spans="1:5" x14ac:dyDescent="0.25">
      <c r="A3362" s="24" t="s">
        <v>7</v>
      </c>
      <c r="B3362" s="24" t="s">
        <v>8666</v>
      </c>
      <c r="C3362" s="25" t="s">
        <v>8667</v>
      </c>
      <c r="D3362" s="25" t="s">
        <v>8668</v>
      </c>
      <c r="E3362" s="26">
        <v>1</v>
      </c>
    </row>
    <row r="3363" spans="1:5" x14ac:dyDescent="0.25">
      <c r="A3363" s="24" t="s">
        <v>7</v>
      </c>
      <c r="B3363" s="24" t="s">
        <v>8669</v>
      </c>
      <c r="C3363" s="25" t="s">
        <v>8670</v>
      </c>
      <c r="D3363" s="25" t="s">
        <v>8671</v>
      </c>
      <c r="E3363" s="26">
        <v>17</v>
      </c>
    </row>
    <row r="3364" spans="1:5" x14ac:dyDescent="0.25">
      <c r="A3364" s="24" t="s">
        <v>7</v>
      </c>
      <c r="B3364" s="24" t="s">
        <v>8672</v>
      </c>
      <c r="C3364" s="25" t="s">
        <v>8673</v>
      </c>
      <c r="D3364" s="25" t="s">
        <v>8674</v>
      </c>
      <c r="E3364" s="26">
        <v>11</v>
      </c>
    </row>
    <row r="3365" spans="1:5" x14ac:dyDescent="0.25">
      <c r="A3365" s="24" t="s">
        <v>7</v>
      </c>
      <c r="B3365" s="24" t="s">
        <v>8675</v>
      </c>
      <c r="C3365" s="25" t="s">
        <v>8676</v>
      </c>
      <c r="D3365" s="25" t="s">
        <v>8677</v>
      </c>
      <c r="E3365" s="26">
        <v>4</v>
      </c>
    </row>
    <row r="3366" spans="1:5" x14ac:dyDescent="0.25">
      <c r="A3366" s="24" t="s">
        <v>7</v>
      </c>
      <c r="B3366" s="24" t="s">
        <v>8678</v>
      </c>
      <c r="C3366" s="25" t="s">
        <v>8679</v>
      </c>
      <c r="D3366" s="25" t="s">
        <v>8680</v>
      </c>
      <c r="E3366" s="26">
        <v>2</v>
      </c>
    </row>
    <row r="3367" spans="1:5" x14ac:dyDescent="0.25">
      <c r="A3367" s="24" t="s">
        <v>7</v>
      </c>
      <c r="B3367" s="24" t="s">
        <v>8681</v>
      </c>
      <c r="C3367" s="25" t="s">
        <v>8682</v>
      </c>
      <c r="D3367" s="25" t="s">
        <v>8683</v>
      </c>
      <c r="E3367" s="26">
        <v>1</v>
      </c>
    </row>
    <row r="3368" spans="1:5" x14ac:dyDescent="0.25">
      <c r="A3368" s="24" t="s">
        <v>7</v>
      </c>
      <c r="B3368" s="24" t="s">
        <v>8684</v>
      </c>
      <c r="C3368" s="25" t="s">
        <v>8685</v>
      </c>
      <c r="D3368" s="25" t="s">
        <v>8686</v>
      </c>
      <c r="E3368" s="26">
        <v>28</v>
      </c>
    </row>
    <row r="3369" spans="1:5" x14ac:dyDescent="0.25">
      <c r="A3369" s="24" t="s">
        <v>7</v>
      </c>
      <c r="B3369" s="24" t="s">
        <v>8687</v>
      </c>
      <c r="C3369" s="25" t="s">
        <v>8688</v>
      </c>
      <c r="D3369" s="25" t="s">
        <v>8689</v>
      </c>
      <c r="E3369" s="26">
        <v>2</v>
      </c>
    </row>
    <row r="3370" spans="1:5" x14ac:dyDescent="0.25">
      <c r="A3370" s="24" t="s">
        <v>7</v>
      </c>
      <c r="B3370" s="24" t="s">
        <v>8690</v>
      </c>
      <c r="C3370" s="25" t="s">
        <v>8691</v>
      </c>
      <c r="D3370" s="25" t="s">
        <v>8692</v>
      </c>
      <c r="E3370" s="26">
        <v>2</v>
      </c>
    </row>
    <row r="3371" spans="1:5" x14ac:dyDescent="0.25">
      <c r="A3371" s="24" t="s">
        <v>7</v>
      </c>
      <c r="B3371" s="24" t="s">
        <v>8693</v>
      </c>
      <c r="C3371" s="25" t="s">
        <v>8694</v>
      </c>
      <c r="D3371" s="25" t="s">
        <v>8695</v>
      </c>
      <c r="E3371" s="26">
        <v>2</v>
      </c>
    </row>
    <row r="3372" spans="1:5" x14ac:dyDescent="0.25">
      <c r="A3372" s="24" t="s">
        <v>7</v>
      </c>
      <c r="B3372" s="24" t="s">
        <v>8696</v>
      </c>
      <c r="C3372" s="25" t="s">
        <v>8697</v>
      </c>
      <c r="D3372" s="25" t="s">
        <v>8698</v>
      </c>
      <c r="E3372" s="26">
        <v>1</v>
      </c>
    </row>
    <row r="3373" spans="1:5" x14ac:dyDescent="0.25">
      <c r="A3373" s="24" t="s">
        <v>7</v>
      </c>
      <c r="B3373" s="24" t="s">
        <v>8699</v>
      </c>
      <c r="C3373" s="25" t="s">
        <v>8700</v>
      </c>
      <c r="D3373" s="25" t="s">
        <v>8701</v>
      </c>
      <c r="E3373" s="26">
        <v>1</v>
      </c>
    </row>
    <row r="3374" spans="1:5" x14ac:dyDescent="0.25">
      <c r="A3374" s="24" t="s">
        <v>7</v>
      </c>
      <c r="B3374" s="24" t="s">
        <v>8702</v>
      </c>
      <c r="C3374" s="25" t="s">
        <v>8703</v>
      </c>
      <c r="D3374" s="25" t="s">
        <v>8704</v>
      </c>
      <c r="E3374" s="26">
        <v>1</v>
      </c>
    </row>
    <row r="3375" spans="1:5" x14ac:dyDescent="0.25">
      <c r="A3375" s="24" t="s">
        <v>7</v>
      </c>
      <c r="B3375" s="24" t="s">
        <v>8705</v>
      </c>
      <c r="C3375" s="25" t="s">
        <v>8706</v>
      </c>
      <c r="D3375" s="25" t="s">
        <v>8707</v>
      </c>
      <c r="E3375" s="26">
        <v>2</v>
      </c>
    </row>
    <row r="3376" spans="1:5" x14ac:dyDescent="0.25">
      <c r="A3376" s="24" t="s">
        <v>7</v>
      </c>
      <c r="B3376" s="24" t="s">
        <v>8708</v>
      </c>
      <c r="C3376" s="25" t="s">
        <v>8709</v>
      </c>
      <c r="D3376" s="25" t="s">
        <v>8710</v>
      </c>
      <c r="E3376" s="26">
        <v>1</v>
      </c>
    </row>
    <row r="3377" spans="1:5" x14ac:dyDescent="0.25">
      <c r="A3377" s="24" t="s">
        <v>7</v>
      </c>
      <c r="B3377" s="24" t="s">
        <v>8711</v>
      </c>
      <c r="C3377" s="25" t="s">
        <v>8712</v>
      </c>
      <c r="D3377" s="25" t="s">
        <v>8713</v>
      </c>
      <c r="E3377" s="26">
        <v>3</v>
      </c>
    </row>
    <row r="3378" spans="1:5" x14ac:dyDescent="0.25">
      <c r="A3378" s="24" t="s">
        <v>7</v>
      </c>
      <c r="B3378" s="24" t="s">
        <v>8714</v>
      </c>
      <c r="C3378" s="25" t="s">
        <v>8715</v>
      </c>
      <c r="D3378" s="25" t="s">
        <v>8716</v>
      </c>
      <c r="E3378" s="26">
        <v>15</v>
      </c>
    </row>
    <row r="3379" spans="1:5" x14ac:dyDescent="0.25">
      <c r="A3379" s="24" t="s">
        <v>7</v>
      </c>
      <c r="B3379" s="24" t="s">
        <v>8717</v>
      </c>
      <c r="C3379" s="25" t="s">
        <v>8718</v>
      </c>
      <c r="D3379" s="25" t="s">
        <v>8719</v>
      </c>
      <c r="E3379" s="26">
        <v>24</v>
      </c>
    </row>
    <row r="3380" spans="1:5" x14ac:dyDescent="0.25">
      <c r="A3380" s="24" t="s">
        <v>7</v>
      </c>
      <c r="B3380" s="24" t="s">
        <v>8720</v>
      </c>
      <c r="C3380" s="25" t="s">
        <v>8721</v>
      </c>
      <c r="D3380" s="25" t="s">
        <v>8722</v>
      </c>
      <c r="E3380" s="26">
        <v>65</v>
      </c>
    </row>
    <row r="3381" spans="1:5" x14ac:dyDescent="0.25">
      <c r="A3381" s="24" t="s">
        <v>7</v>
      </c>
      <c r="B3381" s="24" t="s">
        <v>8723</v>
      </c>
      <c r="C3381" s="25" t="s">
        <v>8724</v>
      </c>
      <c r="D3381" s="25" t="s">
        <v>8725</v>
      </c>
      <c r="E3381" s="26">
        <v>26</v>
      </c>
    </row>
    <row r="3382" spans="1:5" x14ac:dyDescent="0.25">
      <c r="A3382" s="24" t="s">
        <v>7</v>
      </c>
      <c r="B3382" s="24" t="s">
        <v>8726</v>
      </c>
      <c r="C3382" s="25" t="s">
        <v>8727</v>
      </c>
      <c r="D3382" s="25" t="s">
        <v>8728</v>
      </c>
      <c r="E3382" s="26">
        <v>17</v>
      </c>
    </row>
    <row r="3383" spans="1:5" x14ac:dyDescent="0.25">
      <c r="A3383" s="24" t="s">
        <v>7</v>
      </c>
      <c r="B3383" s="24" t="s">
        <v>8729</v>
      </c>
      <c r="C3383" s="25" t="s">
        <v>8730</v>
      </c>
      <c r="D3383" s="25" t="s">
        <v>8731</v>
      </c>
      <c r="E3383" s="26">
        <v>20</v>
      </c>
    </row>
    <row r="3384" spans="1:5" x14ac:dyDescent="0.25">
      <c r="A3384" s="24" t="s">
        <v>7</v>
      </c>
      <c r="B3384" s="24" t="s">
        <v>8732</v>
      </c>
      <c r="C3384" s="25" t="s">
        <v>8733</v>
      </c>
      <c r="D3384" s="25" t="s">
        <v>8734</v>
      </c>
      <c r="E3384" s="26">
        <v>22</v>
      </c>
    </row>
    <row r="3385" spans="1:5" x14ac:dyDescent="0.25">
      <c r="A3385" s="24" t="s">
        <v>7</v>
      </c>
      <c r="B3385" s="24" t="s">
        <v>8735</v>
      </c>
      <c r="C3385" s="25" t="s">
        <v>8736</v>
      </c>
      <c r="D3385" s="25" t="s">
        <v>8737</v>
      </c>
      <c r="E3385" s="26">
        <v>1</v>
      </c>
    </row>
    <row r="3386" spans="1:5" x14ac:dyDescent="0.25">
      <c r="A3386" s="24" t="s">
        <v>7</v>
      </c>
      <c r="B3386" s="24" t="s">
        <v>8738</v>
      </c>
      <c r="C3386" s="25" t="s">
        <v>8739</v>
      </c>
      <c r="D3386" s="25" t="s">
        <v>8740</v>
      </c>
      <c r="E3386" s="26">
        <v>1</v>
      </c>
    </row>
    <row r="3387" spans="1:5" x14ac:dyDescent="0.25">
      <c r="A3387" s="24" t="s">
        <v>7</v>
      </c>
      <c r="B3387" s="24" t="s">
        <v>8741</v>
      </c>
      <c r="C3387" s="25" t="s">
        <v>8742</v>
      </c>
      <c r="D3387" s="25" t="s">
        <v>8743</v>
      </c>
      <c r="E3387" s="26">
        <v>5</v>
      </c>
    </row>
    <row r="3388" spans="1:5" x14ac:dyDescent="0.25">
      <c r="A3388" s="24" t="s">
        <v>7</v>
      </c>
      <c r="B3388" s="24" t="s">
        <v>8744</v>
      </c>
      <c r="C3388" s="25" t="s">
        <v>8745</v>
      </c>
      <c r="D3388" s="25" t="s">
        <v>8746</v>
      </c>
      <c r="E3388" s="26">
        <v>15</v>
      </c>
    </row>
    <row r="3389" spans="1:5" x14ac:dyDescent="0.25">
      <c r="A3389" s="24" t="s">
        <v>7</v>
      </c>
      <c r="B3389" s="24" t="s">
        <v>8747</v>
      </c>
      <c r="C3389" s="25" t="s">
        <v>8748</v>
      </c>
      <c r="D3389" s="25" t="s">
        <v>8749</v>
      </c>
      <c r="E3389" s="26">
        <v>5</v>
      </c>
    </row>
    <row r="3390" spans="1:5" x14ac:dyDescent="0.25">
      <c r="A3390" s="24" t="s">
        <v>7</v>
      </c>
      <c r="B3390" s="24" t="s">
        <v>8750</v>
      </c>
      <c r="C3390" s="25" t="s">
        <v>8751</v>
      </c>
      <c r="D3390" s="25" t="s">
        <v>8752</v>
      </c>
      <c r="E3390" s="26">
        <v>7</v>
      </c>
    </row>
    <row r="3391" spans="1:5" x14ac:dyDescent="0.25">
      <c r="A3391" s="24" t="s">
        <v>7</v>
      </c>
      <c r="B3391" s="24" t="s">
        <v>8753</v>
      </c>
      <c r="C3391" s="25" t="s">
        <v>8754</v>
      </c>
      <c r="D3391" s="25" t="s">
        <v>8755</v>
      </c>
      <c r="E3391" s="26">
        <v>1</v>
      </c>
    </row>
    <row r="3392" spans="1:5" x14ac:dyDescent="0.25">
      <c r="A3392" s="24" t="s">
        <v>7</v>
      </c>
      <c r="B3392" s="24" t="s">
        <v>8756</v>
      </c>
      <c r="C3392" s="25" t="s">
        <v>8757</v>
      </c>
      <c r="D3392" s="25" t="s">
        <v>8758</v>
      </c>
      <c r="E3392" s="26">
        <v>1</v>
      </c>
    </row>
    <row r="3393" spans="1:5" x14ac:dyDescent="0.25">
      <c r="A3393" s="24" t="s">
        <v>7</v>
      </c>
      <c r="B3393" s="24" t="s">
        <v>8759</v>
      </c>
      <c r="C3393" s="25" t="s">
        <v>8760</v>
      </c>
      <c r="D3393" s="25" t="s">
        <v>8761</v>
      </c>
      <c r="E3393" s="26">
        <v>4</v>
      </c>
    </row>
    <row r="3394" spans="1:5" x14ac:dyDescent="0.25">
      <c r="A3394" s="24" t="s">
        <v>7</v>
      </c>
      <c r="B3394" s="24" t="s">
        <v>8762</v>
      </c>
      <c r="C3394" s="25" t="s">
        <v>8763</v>
      </c>
      <c r="D3394" s="25" t="s">
        <v>8764</v>
      </c>
      <c r="E3394" s="26">
        <v>111</v>
      </c>
    </row>
    <row r="3395" spans="1:5" x14ac:dyDescent="0.25">
      <c r="A3395" s="24" t="s">
        <v>7</v>
      </c>
      <c r="B3395" s="24" t="s">
        <v>8765</v>
      </c>
      <c r="C3395" s="25" t="s">
        <v>8766</v>
      </c>
      <c r="D3395" s="25" t="s">
        <v>8767</v>
      </c>
      <c r="E3395" s="26">
        <v>11</v>
      </c>
    </row>
    <row r="3396" spans="1:5" x14ac:dyDescent="0.25">
      <c r="A3396" s="24" t="s">
        <v>7</v>
      </c>
      <c r="B3396" s="24" t="s">
        <v>8768</v>
      </c>
      <c r="C3396" s="25" t="s">
        <v>8769</v>
      </c>
      <c r="D3396" s="25" t="s">
        <v>8770</v>
      </c>
      <c r="E3396" s="26">
        <v>5</v>
      </c>
    </row>
    <row r="3397" spans="1:5" x14ac:dyDescent="0.25">
      <c r="A3397" s="24" t="s">
        <v>7</v>
      </c>
      <c r="B3397" s="24" t="s">
        <v>8771</v>
      </c>
      <c r="C3397" s="25" t="s">
        <v>8772</v>
      </c>
      <c r="D3397" s="25" t="s">
        <v>8773</v>
      </c>
      <c r="E3397" s="26">
        <v>5</v>
      </c>
    </row>
    <row r="3398" spans="1:5" x14ac:dyDescent="0.25">
      <c r="A3398" s="24" t="s">
        <v>7</v>
      </c>
      <c r="B3398" s="24" t="s">
        <v>8774</v>
      </c>
      <c r="C3398" s="25" t="s">
        <v>8775</v>
      </c>
      <c r="D3398" s="25" t="s">
        <v>8776</v>
      </c>
      <c r="E3398" s="26">
        <v>4</v>
      </c>
    </row>
    <row r="3399" spans="1:5" x14ac:dyDescent="0.25">
      <c r="A3399" s="24" t="s">
        <v>7</v>
      </c>
      <c r="B3399" s="24" t="s">
        <v>8777</v>
      </c>
      <c r="C3399" s="25" t="s">
        <v>8778</v>
      </c>
      <c r="D3399" s="25" t="s">
        <v>8779</v>
      </c>
      <c r="E3399" s="26">
        <v>3</v>
      </c>
    </row>
    <row r="3400" spans="1:5" x14ac:dyDescent="0.25">
      <c r="A3400" s="24" t="s">
        <v>7</v>
      </c>
      <c r="B3400" s="24" t="s">
        <v>8780</v>
      </c>
      <c r="C3400" s="25" t="s">
        <v>8781</v>
      </c>
      <c r="D3400" s="25" t="s">
        <v>8782</v>
      </c>
      <c r="E3400" s="26">
        <v>1</v>
      </c>
    </row>
    <row r="3401" spans="1:5" x14ac:dyDescent="0.25">
      <c r="A3401" s="24" t="s">
        <v>7</v>
      </c>
      <c r="B3401" s="24" t="s">
        <v>8783</v>
      </c>
      <c r="C3401" s="25" t="s">
        <v>8784</v>
      </c>
      <c r="D3401" s="25" t="s">
        <v>8785</v>
      </c>
      <c r="E3401" s="26">
        <v>3</v>
      </c>
    </row>
    <row r="3402" spans="1:5" x14ac:dyDescent="0.25">
      <c r="A3402" s="24" t="s">
        <v>7</v>
      </c>
      <c r="B3402" s="24" t="s">
        <v>8786</v>
      </c>
      <c r="C3402" s="25" t="s">
        <v>8787</v>
      </c>
      <c r="D3402" s="25" t="s">
        <v>8788</v>
      </c>
      <c r="E3402" s="26">
        <v>4</v>
      </c>
    </row>
    <row r="3403" spans="1:5" x14ac:dyDescent="0.25">
      <c r="A3403" s="24" t="s">
        <v>7</v>
      </c>
      <c r="B3403" s="24" t="s">
        <v>8789</v>
      </c>
      <c r="C3403" s="25" t="s">
        <v>8790</v>
      </c>
      <c r="D3403" s="25" t="s">
        <v>8791</v>
      </c>
      <c r="E3403" s="26">
        <v>1</v>
      </c>
    </row>
    <row r="3404" spans="1:5" x14ac:dyDescent="0.25">
      <c r="A3404" s="24" t="s">
        <v>7</v>
      </c>
      <c r="B3404" s="24" t="s">
        <v>8792</v>
      </c>
      <c r="C3404" s="25" t="s">
        <v>8793</v>
      </c>
      <c r="D3404" s="25" t="s">
        <v>8794</v>
      </c>
      <c r="E3404" s="26">
        <v>2</v>
      </c>
    </row>
    <row r="3405" spans="1:5" x14ac:dyDescent="0.25">
      <c r="A3405" s="24" t="s">
        <v>7</v>
      </c>
      <c r="B3405" s="24" t="s">
        <v>8795</v>
      </c>
      <c r="C3405" s="25" t="s">
        <v>8796</v>
      </c>
      <c r="D3405" s="25" t="s">
        <v>8797</v>
      </c>
      <c r="E3405" s="26">
        <v>1</v>
      </c>
    </row>
    <row r="3406" spans="1:5" x14ac:dyDescent="0.25">
      <c r="A3406" s="24" t="s">
        <v>7</v>
      </c>
      <c r="B3406" s="24" t="s">
        <v>8798</v>
      </c>
      <c r="C3406" s="25" t="s">
        <v>8799</v>
      </c>
      <c r="D3406" s="25" t="s">
        <v>8800</v>
      </c>
      <c r="E3406" s="26">
        <v>1</v>
      </c>
    </row>
    <row r="3407" spans="1:5" x14ac:dyDescent="0.25">
      <c r="A3407" s="24" t="s">
        <v>7</v>
      </c>
      <c r="B3407" s="24" t="s">
        <v>8801</v>
      </c>
      <c r="C3407" s="25" t="s">
        <v>8802</v>
      </c>
      <c r="D3407" s="25" t="s">
        <v>8803</v>
      </c>
      <c r="E3407" s="26">
        <v>15</v>
      </c>
    </row>
    <row r="3408" spans="1:5" x14ac:dyDescent="0.25">
      <c r="A3408" s="24" t="s">
        <v>7</v>
      </c>
      <c r="B3408" s="24" t="s">
        <v>8804</v>
      </c>
      <c r="C3408" s="25" t="s">
        <v>8805</v>
      </c>
      <c r="D3408" s="25" t="s">
        <v>8806</v>
      </c>
      <c r="E3408" s="26">
        <v>11</v>
      </c>
    </row>
    <row r="3409" spans="1:5" x14ac:dyDescent="0.25">
      <c r="A3409" s="24" t="s">
        <v>7</v>
      </c>
      <c r="B3409" s="24" t="s">
        <v>8807</v>
      </c>
      <c r="C3409" s="25" t="s">
        <v>8808</v>
      </c>
      <c r="D3409" s="25" t="s">
        <v>8809</v>
      </c>
      <c r="E3409" s="26">
        <v>3</v>
      </c>
    </row>
    <row r="3410" spans="1:5" x14ac:dyDescent="0.25">
      <c r="A3410" s="24" t="s">
        <v>7</v>
      </c>
      <c r="B3410" s="24" t="s">
        <v>8810</v>
      </c>
      <c r="C3410" s="25" t="s">
        <v>8811</v>
      </c>
      <c r="D3410" s="25" t="s">
        <v>8812</v>
      </c>
      <c r="E3410" s="26">
        <v>3</v>
      </c>
    </row>
    <row r="3411" spans="1:5" x14ac:dyDescent="0.25">
      <c r="A3411" s="24" t="s">
        <v>7</v>
      </c>
      <c r="B3411" s="24" t="s">
        <v>8813</v>
      </c>
      <c r="C3411" s="25" t="s">
        <v>8814</v>
      </c>
      <c r="D3411" s="25" t="s">
        <v>8815</v>
      </c>
      <c r="E3411" s="26">
        <v>4</v>
      </c>
    </row>
    <row r="3412" spans="1:5" x14ac:dyDescent="0.25">
      <c r="A3412" s="24" t="s">
        <v>7</v>
      </c>
      <c r="B3412" s="24" t="s">
        <v>8816</v>
      </c>
      <c r="C3412" s="25" t="s">
        <v>8817</v>
      </c>
      <c r="D3412" s="25" t="s">
        <v>8818</v>
      </c>
      <c r="E3412" s="26">
        <v>19</v>
      </c>
    </row>
    <row r="3413" spans="1:5" x14ac:dyDescent="0.25">
      <c r="A3413" s="24" t="s">
        <v>7</v>
      </c>
      <c r="B3413" s="24" t="s">
        <v>8819</v>
      </c>
      <c r="C3413" s="25" t="s">
        <v>8820</v>
      </c>
      <c r="D3413" s="25" t="s">
        <v>8821</v>
      </c>
      <c r="E3413" s="26">
        <v>2</v>
      </c>
    </row>
    <row r="3414" spans="1:5" x14ac:dyDescent="0.25">
      <c r="A3414" s="24" t="s">
        <v>7</v>
      </c>
      <c r="B3414" s="24" t="s">
        <v>8822</v>
      </c>
      <c r="C3414" s="25" t="s">
        <v>8823</v>
      </c>
      <c r="D3414" s="25" t="s">
        <v>8824</v>
      </c>
      <c r="E3414" s="26">
        <v>2</v>
      </c>
    </row>
    <row r="3415" spans="1:5" x14ac:dyDescent="0.25">
      <c r="A3415" s="24" t="s">
        <v>7</v>
      </c>
      <c r="B3415" s="24" t="s">
        <v>8825</v>
      </c>
      <c r="C3415" s="25" t="s">
        <v>8826</v>
      </c>
      <c r="D3415" s="25" t="s">
        <v>8827</v>
      </c>
      <c r="E3415" s="26">
        <v>2</v>
      </c>
    </row>
    <row r="3416" spans="1:5" x14ac:dyDescent="0.25">
      <c r="A3416" s="24" t="s">
        <v>7</v>
      </c>
      <c r="B3416" s="24" t="s">
        <v>8828</v>
      </c>
      <c r="C3416" s="25" t="s">
        <v>8829</v>
      </c>
      <c r="D3416" s="25" t="s">
        <v>8830</v>
      </c>
      <c r="E3416" s="26">
        <v>9</v>
      </c>
    </row>
    <row r="3417" spans="1:5" x14ac:dyDescent="0.25">
      <c r="A3417" s="24" t="s">
        <v>7</v>
      </c>
      <c r="B3417" s="24" t="s">
        <v>8831</v>
      </c>
      <c r="C3417" s="25" t="s">
        <v>8832</v>
      </c>
      <c r="D3417" s="25" t="s">
        <v>8833</v>
      </c>
      <c r="E3417" s="26">
        <v>4</v>
      </c>
    </row>
    <row r="3418" spans="1:5" x14ac:dyDescent="0.25">
      <c r="A3418" s="24" t="s">
        <v>7</v>
      </c>
      <c r="B3418" s="24" t="s">
        <v>8834</v>
      </c>
      <c r="C3418" s="25" t="s">
        <v>8835</v>
      </c>
      <c r="D3418" s="25" t="s">
        <v>8836</v>
      </c>
      <c r="E3418" s="26">
        <v>28</v>
      </c>
    </row>
    <row r="3419" spans="1:5" x14ac:dyDescent="0.25">
      <c r="A3419" s="24" t="s">
        <v>7</v>
      </c>
      <c r="B3419" s="24" t="s">
        <v>8837</v>
      </c>
      <c r="C3419" s="25" t="s">
        <v>8838</v>
      </c>
      <c r="D3419" s="25" t="s">
        <v>8839</v>
      </c>
      <c r="E3419" s="26">
        <v>4</v>
      </c>
    </row>
    <row r="3420" spans="1:5" x14ac:dyDescent="0.25">
      <c r="A3420" s="24" t="s">
        <v>7</v>
      </c>
      <c r="B3420" s="24" t="s">
        <v>8840</v>
      </c>
      <c r="C3420" s="25" t="s">
        <v>8841</v>
      </c>
      <c r="D3420" s="25" t="s">
        <v>8842</v>
      </c>
      <c r="E3420" s="26">
        <v>2</v>
      </c>
    </row>
    <row r="3421" spans="1:5" x14ac:dyDescent="0.25">
      <c r="A3421" s="24" t="s">
        <v>7</v>
      </c>
      <c r="B3421" s="24" t="s">
        <v>8843</v>
      </c>
      <c r="C3421" s="25" t="s">
        <v>8844</v>
      </c>
      <c r="D3421" s="25" t="s">
        <v>8845</v>
      </c>
      <c r="E3421" s="26">
        <v>2</v>
      </c>
    </row>
    <row r="3422" spans="1:5" x14ac:dyDescent="0.25">
      <c r="A3422" s="24" t="s">
        <v>7</v>
      </c>
      <c r="B3422" s="24" t="s">
        <v>8846</v>
      </c>
      <c r="C3422" s="25" t="s">
        <v>8847</v>
      </c>
      <c r="D3422" s="25" t="s">
        <v>8848</v>
      </c>
      <c r="E3422" s="26">
        <v>5</v>
      </c>
    </row>
    <row r="3423" spans="1:5" x14ac:dyDescent="0.25">
      <c r="A3423" s="24" t="s">
        <v>7</v>
      </c>
      <c r="B3423" s="24" t="s">
        <v>8849</v>
      </c>
      <c r="C3423" s="25" t="s">
        <v>8850</v>
      </c>
      <c r="D3423" s="25" t="s">
        <v>8851</v>
      </c>
      <c r="E3423" s="26">
        <v>2</v>
      </c>
    </row>
    <row r="3424" spans="1:5" x14ac:dyDescent="0.25">
      <c r="A3424" s="24" t="s">
        <v>7</v>
      </c>
      <c r="B3424" s="24" t="s">
        <v>8852</v>
      </c>
      <c r="C3424" s="25" t="s">
        <v>8853</v>
      </c>
      <c r="D3424" s="25" t="s">
        <v>8854</v>
      </c>
      <c r="E3424" s="26">
        <v>3</v>
      </c>
    </row>
    <row r="3425" spans="1:5" x14ac:dyDescent="0.25">
      <c r="A3425" s="24" t="s">
        <v>7</v>
      </c>
      <c r="B3425" s="24" t="s">
        <v>8855</v>
      </c>
      <c r="C3425" s="25" t="s">
        <v>8856</v>
      </c>
      <c r="D3425" s="25" t="s">
        <v>8857</v>
      </c>
      <c r="E3425" s="26">
        <v>54</v>
      </c>
    </row>
    <row r="3426" spans="1:5" x14ac:dyDescent="0.25">
      <c r="A3426" s="24" t="s">
        <v>7</v>
      </c>
      <c r="B3426" s="24" t="s">
        <v>8858</v>
      </c>
      <c r="C3426" s="25" t="s">
        <v>8859</v>
      </c>
      <c r="D3426" s="25" t="s">
        <v>8860</v>
      </c>
      <c r="E3426" s="26">
        <v>11</v>
      </c>
    </row>
    <row r="3427" spans="1:5" x14ac:dyDescent="0.25">
      <c r="A3427" s="24" t="s">
        <v>7</v>
      </c>
      <c r="B3427" s="24" t="s">
        <v>8861</v>
      </c>
      <c r="C3427" s="25" t="s">
        <v>8862</v>
      </c>
      <c r="D3427" s="25" t="s">
        <v>8863</v>
      </c>
      <c r="E3427" s="26">
        <v>6</v>
      </c>
    </row>
    <row r="3428" spans="1:5" x14ac:dyDescent="0.25">
      <c r="A3428" s="24" t="s">
        <v>7</v>
      </c>
      <c r="B3428" s="24" t="s">
        <v>8864</v>
      </c>
      <c r="C3428" s="25" t="s">
        <v>8865</v>
      </c>
      <c r="D3428" s="25" t="s">
        <v>8866</v>
      </c>
      <c r="E3428" s="26">
        <v>5</v>
      </c>
    </row>
    <row r="3429" spans="1:5" x14ac:dyDescent="0.25">
      <c r="A3429" s="24" t="s">
        <v>7</v>
      </c>
      <c r="B3429" s="24" t="s">
        <v>8867</v>
      </c>
      <c r="C3429" s="25" t="s">
        <v>8868</v>
      </c>
      <c r="D3429" s="25" t="s">
        <v>8869</v>
      </c>
      <c r="E3429" s="26">
        <v>8</v>
      </c>
    </row>
    <row r="3430" spans="1:5" x14ac:dyDescent="0.25">
      <c r="A3430" s="24" t="s">
        <v>7</v>
      </c>
      <c r="B3430" s="24" t="s">
        <v>8870</v>
      </c>
      <c r="C3430" s="25" t="s">
        <v>8871</v>
      </c>
      <c r="D3430" s="25" t="s">
        <v>8872</v>
      </c>
      <c r="E3430" s="26">
        <v>3</v>
      </c>
    </row>
    <row r="3431" spans="1:5" x14ac:dyDescent="0.25">
      <c r="A3431" s="24" t="s">
        <v>7</v>
      </c>
      <c r="B3431" s="24" t="s">
        <v>8873</v>
      </c>
      <c r="C3431" s="25" t="s">
        <v>8874</v>
      </c>
      <c r="D3431" s="25" t="s">
        <v>8875</v>
      </c>
      <c r="E3431" s="26">
        <v>3</v>
      </c>
    </row>
    <row r="3432" spans="1:5" x14ac:dyDescent="0.25">
      <c r="A3432" s="24" t="s">
        <v>7</v>
      </c>
      <c r="B3432" s="24" t="s">
        <v>8876</v>
      </c>
      <c r="C3432" s="25" t="s">
        <v>8877</v>
      </c>
      <c r="D3432" s="25" t="s">
        <v>8878</v>
      </c>
      <c r="E3432" s="26">
        <v>7</v>
      </c>
    </row>
    <row r="3433" spans="1:5" x14ac:dyDescent="0.25">
      <c r="A3433" s="24" t="s">
        <v>7</v>
      </c>
      <c r="B3433" s="24" t="s">
        <v>8879</v>
      </c>
      <c r="C3433" s="25" t="s">
        <v>8880</v>
      </c>
      <c r="D3433" s="25" t="s">
        <v>8881</v>
      </c>
      <c r="E3433" s="26">
        <v>45</v>
      </c>
    </row>
    <row r="3434" spans="1:5" x14ac:dyDescent="0.25">
      <c r="A3434" s="24" t="s">
        <v>7</v>
      </c>
      <c r="B3434" s="24" t="s">
        <v>8882</v>
      </c>
      <c r="C3434" s="25" t="s">
        <v>8883</v>
      </c>
      <c r="D3434" s="25" t="s">
        <v>8884</v>
      </c>
      <c r="E3434" s="26">
        <v>148</v>
      </c>
    </row>
    <row r="3435" spans="1:5" x14ac:dyDescent="0.25">
      <c r="A3435" s="24" t="s">
        <v>7</v>
      </c>
      <c r="B3435" s="24" t="s">
        <v>8885</v>
      </c>
      <c r="C3435" s="25" t="s">
        <v>8886</v>
      </c>
      <c r="D3435" s="25" t="s">
        <v>8887</v>
      </c>
      <c r="E3435" s="26">
        <v>1</v>
      </c>
    </row>
    <row r="3436" spans="1:5" x14ac:dyDescent="0.25">
      <c r="A3436" s="24" t="s">
        <v>7</v>
      </c>
      <c r="B3436" s="24" t="s">
        <v>8888</v>
      </c>
      <c r="C3436" s="25" t="s">
        <v>8889</v>
      </c>
      <c r="D3436" s="25" t="s">
        <v>8890</v>
      </c>
      <c r="E3436" s="26">
        <v>12</v>
      </c>
    </row>
    <row r="3437" spans="1:5" x14ac:dyDescent="0.25">
      <c r="A3437" s="24" t="s">
        <v>7</v>
      </c>
      <c r="B3437" s="24" t="s">
        <v>8891</v>
      </c>
      <c r="C3437" s="25" t="s">
        <v>8892</v>
      </c>
      <c r="D3437" s="25" t="s">
        <v>8893</v>
      </c>
      <c r="E3437" s="26">
        <v>11</v>
      </c>
    </row>
    <row r="3438" spans="1:5" x14ac:dyDescent="0.25">
      <c r="A3438" s="24" t="s">
        <v>7</v>
      </c>
      <c r="B3438" s="24" t="s">
        <v>8894</v>
      </c>
      <c r="C3438" s="25" t="s">
        <v>8895</v>
      </c>
      <c r="D3438" s="25" t="s">
        <v>8896</v>
      </c>
      <c r="E3438" s="26">
        <v>2</v>
      </c>
    </row>
    <row r="3439" spans="1:5" x14ac:dyDescent="0.25">
      <c r="A3439" s="24" t="s">
        <v>7</v>
      </c>
      <c r="B3439" s="24" t="s">
        <v>8897</v>
      </c>
      <c r="C3439" s="25" t="s">
        <v>8898</v>
      </c>
      <c r="D3439" s="25" t="s">
        <v>8899</v>
      </c>
      <c r="E3439" s="26">
        <v>1</v>
      </c>
    </row>
    <row r="3440" spans="1:5" x14ac:dyDescent="0.25">
      <c r="A3440" s="24" t="s">
        <v>7</v>
      </c>
      <c r="B3440" s="24" t="s">
        <v>8900</v>
      </c>
      <c r="C3440" s="25" t="s">
        <v>8901</v>
      </c>
      <c r="D3440" s="25" t="s">
        <v>8902</v>
      </c>
      <c r="E3440" s="26">
        <v>2</v>
      </c>
    </row>
    <row r="3441" spans="1:5" x14ac:dyDescent="0.25">
      <c r="A3441" s="24" t="s">
        <v>7</v>
      </c>
      <c r="B3441" s="24" t="s">
        <v>8903</v>
      </c>
      <c r="C3441" s="25" t="s">
        <v>8904</v>
      </c>
      <c r="D3441" s="25" t="s">
        <v>8905</v>
      </c>
      <c r="E3441" s="26">
        <v>2</v>
      </c>
    </row>
    <row r="3442" spans="1:5" x14ac:dyDescent="0.25">
      <c r="A3442" s="24" t="s">
        <v>7</v>
      </c>
      <c r="B3442" s="24" t="s">
        <v>8906</v>
      </c>
      <c r="C3442" s="25" t="s">
        <v>8907</v>
      </c>
      <c r="D3442" s="25" t="s">
        <v>8908</v>
      </c>
      <c r="E3442" s="26">
        <v>4</v>
      </c>
    </row>
    <row r="3443" spans="1:5" x14ac:dyDescent="0.25">
      <c r="A3443" s="24" t="s">
        <v>7</v>
      </c>
      <c r="B3443" s="24" t="s">
        <v>8909</v>
      </c>
      <c r="C3443" s="25" t="s">
        <v>8910</v>
      </c>
      <c r="D3443" s="25" t="s">
        <v>8910</v>
      </c>
      <c r="E3443" s="26">
        <v>2</v>
      </c>
    </row>
    <row r="3444" spans="1:5" x14ac:dyDescent="0.25">
      <c r="A3444" s="24" t="s">
        <v>7</v>
      </c>
      <c r="B3444" s="24" t="s">
        <v>8911</v>
      </c>
      <c r="C3444" s="25" t="s">
        <v>8912</v>
      </c>
      <c r="D3444" s="25" t="s">
        <v>8912</v>
      </c>
      <c r="E3444" s="26">
        <v>17</v>
      </c>
    </row>
    <row r="3445" spans="1:5" x14ac:dyDescent="0.25">
      <c r="A3445" s="24" t="s">
        <v>7</v>
      </c>
      <c r="B3445" s="24" t="s">
        <v>8913</v>
      </c>
      <c r="C3445" s="25" t="s">
        <v>8914</v>
      </c>
      <c r="D3445" s="25" t="s">
        <v>8915</v>
      </c>
      <c r="E3445" s="26">
        <v>2</v>
      </c>
    </row>
    <row r="3446" spans="1:5" x14ac:dyDescent="0.25">
      <c r="A3446" s="24" t="s">
        <v>7</v>
      </c>
      <c r="B3446" s="24" t="s">
        <v>8916</v>
      </c>
      <c r="C3446" s="25" t="s">
        <v>8917</v>
      </c>
      <c r="D3446" s="25" t="s">
        <v>8918</v>
      </c>
      <c r="E3446" s="26">
        <v>1</v>
      </c>
    </row>
    <row r="3447" spans="1:5" x14ac:dyDescent="0.25">
      <c r="A3447" s="24" t="s">
        <v>7</v>
      </c>
      <c r="B3447" s="24" t="s">
        <v>8919</v>
      </c>
      <c r="C3447" s="25" t="s">
        <v>8920</v>
      </c>
      <c r="D3447" s="25" t="s">
        <v>8921</v>
      </c>
      <c r="E3447" s="26">
        <v>19</v>
      </c>
    </row>
    <row r="3448" spans="1:5" x14ac:dyDescent="0.25">
      <c r="A3448" s="24" t="s">
        <v>7</v>
      </c>
      <c r="B3448" s="24" t="s">
        <v>8922</v>
      </c>
      <c r="C3448" s="25" t="s">
        <v>8923</v>
      </c>
      <c r="D3448" s="25" t="s">
        <v>8924</v>
      </c>
      <c r="E3448" s="26">
        <v>2</v>
      </c>
    </row>
    <row r="3449" spans="1:5" x14ac:dyDescent="0.25">
      <c r="A3449" s="24" t="s">
        <v>7</v>
      </c>
      <c r="B3449" s="24" t="s">
        <v>8925</v>
      </c>
      <c r="C3449" s="25" t="s">
        <v>8926</v>
      </c>
      <c r="D3449" s="25" t="s">
        <v>8927</v>
      </c>
      <c r="E3449" s="26">
        <v>3</v>
      </c>
    </row>
    <row r="3450" spans="1:5" x14ac:dyDescent="0.25">
      <c r="A3450" s="24" t="s">
        <v>7</v>
      </c>
      <c r="B3450" s="24" t="s">
        <v>8928</v>
      </c>
      <c r="C3450" s="25" t="s">
        <v>8929</v>
      </c>
      <c r="D3450" s="25" t="s">
        <v>8930</v>
      </c>
      <c r="E3450" s="26">
        <v>50</v>
      </c>
    </row>
    <row r="3451" spans="1:5" x14ac:dyDescent="0.25">
      <c r="A3451" s="24" t="s">
        <v>7</v>
      </c>
      <c r="B3451" s="24" t="s">
        <v>8931</v>
      </c>
      <c r="C3451" s="25" t="s">
        <v>8932</v>
      </c>
      <c r="D3451" s="25" t="s">
        <v>8933</v>
      </c>
      <c r="E3451" s="26">
        <v>3</v>
      </c>
    </row>
    <row r="3452" spans="1:5" x14ac:dyDescent="0.25">
      <c r="A3452" s="24" t="s">
        <v>7</v>
      </c>
      <c r="B3452" s="24" t="s">
        <v>8934</v>
      </c>
      <c r="C3452" s="25" t="s">
        <v>8935</v>
      </c>
      <c r="D3452" s="25" t="s">
        <v>8936</v>
      </c>
      <c r="E3452" s="26">
        <v>2</v>
      </c>
    </row>
    <row r="3453" spans="1:5" x14ac:dyDescent="0.25">
      <c r="A3453" s="24" t="s">
        <v>7</v>
      </c>
      <c r="B3453" s="24" t="s">
        <v>8937</v>
      </c>
      <c r="C3453" s="25" t="s">
        <v>8938</v>
      </c>
      <c r="D3453" s="25" t="s">
        <v>8939</v>
      </c>
      <c r="E3453" s="26">
        <v>17</v>
      </c>
    </row>
    <row r="3454" spans="1:5" x14ac:dyDescent="0.25">
      <c r="A3454" s="24" t="s">
        <v>7</v>
      </c>
      <c r="B3454" s="24" t="s">
        <v>8940</v>
      </c>
      <c r="C3454" s="25" t="s">
        <v>8941</v>
      </c>
      <c r="D3454" s="25" t="s">
        <v>8942</v>
      </c>
      <c r="E3454" s="26">
        <v>22</v>
      </c>
    </row>
    <row r="3455" spans="1:5" x14ac:dyDescent="0.25">
      <c r="A3455" s="24" t="s">
        <v>7</v>
      </c>
      <c r="B3455" s="24" t="s">
        <v>8943</v>
      </c>
      <c r="C3455" s="25" t="s">
        <v>8944</v>
      </c>
      <c r="D3455" s="25" t="s">
        <v>8944</v>
      </c>
      <c r="E3455" s="26">
        <v>19</v>
      </c>
    </row>
    <row r="3456" spans="1:5" x14ac:dyDescent="0.25">
      <c r="A3456" s="24" t="s">
        <v>7</v>
      </c>
      <c r="B3456" s="24" t="s">
        <v>8945</v>
      </c>
      <c r="C3456" s="25" t="s">
        <v>8946</v>
      </c>
      <c r="D3456" s="25" t="s">
        <v>8946</v>
      </c>
      <c r="E3456" s="26">
        <v>1</v>
      </c>
    </row>
    <row r="3457" spans="1:5" x14ac:dyDescent="0.25">
      <c r="A3457" s="24" t="s">
        <v>7</v>
      </c>
      <c r="B3457" s="24" t="s">
        <v>8947</v>
      </c>
      <c r="C3457" s="25" t="s">
        <v>8948</v>
      </c>
      <c r="D3457" s="25" t="s">
        <v>8949</v>
      </c>
      <c r="E3457" s="26">
        <v>3</v>
      </c>
    </row>
    <row r="3458" spans="1:5" x14ac:dyDescent="0.25">
      <c r="A3458" s="24" t="s">
        <v>7</v>
      </c>
      <c r="B3458" s="24" t="s">
        <v>8950</v>
      </c>
      <c r="C3458" s="25" t="s">
        <v>8951</v>
      </c>
      <c r="D3458" s="25" t="s">
        <v>8952</v>
      </c>
      <c r="E3458" s="26">
        <v>57</v>
      </c>
    </row>
    <row r="3459" spans="1:5" x14ac:dyDescent="0.25">
      <c r="A3459" s="24" t="s">
        <v>7</v>
      </c>
      <c r="B3459" s="24" t="s">
        <v>8953</v>
      </c>
      <c r="C3459" s="25" t="s">
        <v>8954</v>
      </c>
      <c r="D3459" s="25" t="s">
        <v>8955</v>
      </c>
      <c r="E3459" s="26">
        <v>18</v>
      </c>
    </row>
    <row r="3460" spans="1:5" x14ac:dyDescent="0.25">
      <c r="A3460" s="24" t="s">
        <v>7</v>
      </c>
      <c r="B3460" s="24" t="s">
        <v>8956</v>
      </c>
      <c r="C3460" s="25" t="s">
        <v>8957</v>
      </c>
      <c r="D3460" s="25" t="s">
        <v>8958</v>
      </c>
      <c r="E3460" s="26">
        <v>26</v>
      </c>
    </row>
    <row r="3461" spans="1:5" x14ac:dyDescent="0.25">
      <c r="A3461" s="24" t="s">
        <v>7</v>
      </c>
      <c r="B3461" s="24" t="s">
        <v>8959</v>
      </c>
      <c r="C3461" s="25" t="s">
        <v>8960</v>
      </c>
      <c r="D3461" s="25" t="s">
        <v>8961</v>
      </c>
      <c r="E3461" s="26">
        <v>19</v>
      </c>
    </row>
    <row r="3462" spans="1:5" x14ac:dyDescent="0.25">
      <c r="A3462" s="24" t="s">
        <v>7</v>
      </c>
      <c r="B3462" s="24" t="s">
        <v>8962</v>
      </c>
      <c r="C3462" s="25" t="s">
        <v>8963</v>
      </c>
      <c r="D3462" s="25" t="s">
        <v>8964</v>
      </c>
      <c r="E3462" s="26">
        <v>14</v>
      </c>
    </row>
    <row r="3463" spans="1:5" x14ac:dyDescent="0.25">
      <c r="A3463" s="24" t="s">
        <v>7</v>
      </c>
      <c r="B3463" s="24" t="s">
        <v>8965</v>
      </c>
      <c r="C3463" s="25" t="s">
        <v>8966</v>
      </c>
      <c r="D3463" s="25" t="s">
        <v>8966</v>
      </c>
      <c r="E3463" s="26">
        <v>14</v>
      </c>
    </row>
    <row r="3464" spans="1:5" x14ac:dyDescent="0.25">
      <c r="A3464" s="24" t="s">
        <v>7</v>
      </c>
      <c r="B3464" s="24" t="s">
        <v>8967</v>
      </c>
      <c r="C3464" s="25" t="s">
        <v>8968</v>
      </c>
      <c r="D3464" s="25" t="s">
        <v>8968</v>
      </c>
      <c r="E3464" s="26">
        <v>15</v>
      </c>
    </row>
    <row r="3465" spans="1:5" x14ac:dyDescent="0.25">
      <c r="A3465" s="24" t="s">
        <v>7</v>
      </c>
      <c r="B3465" s="24" t="s">
        <v>8969</v>
      </c>
      <c r="C3465" s="25" t="s">
        <v>8970</v>
      </c>
      <c r="D3465" s="25" t="s">
        <v>8971</v>
      </c>
      <c r="E3465" s="26">
        <v>12</v>
      </c>
    </row>
    <row r="3466" spans="1:5" x14ac:dyDescent="0.25">
      <c r="A3466" s="24" t="s">
        <v>7</v>
      </c>
      <c r="B3466" s="24" t="s">
        <v>8972</v>
      </c>
      <c r="C3466" s="25" t="s">
        <v>8973</v>
      </c>
      <c r="D3466" s="25" t="s">
        <v>8974</v>
      </c>
      <c r="E3466" s="26">
        <v>13</v>
      </c>
    </row>
    <row r="3467" spans="1:5" x14ac:dyDescent="0.25">
      <c r="A3467" s="24" t="s">
        <v>7</v>
      </c>
      <c r="B3467" s="24" t="s">
        <v>8975</v>
      </c>
      <c r="C3467" s="25" t="s">
        <v>8976</v>
      </c>
      <c r="D3467" s="25" t="s">
        <v>8977</v>
      </c>
      <c r="E3467" s="26">
        <v>6</v>
      </c>
    </row>
    <row r="3468" spans="1:5" x14ac:dyDescent="0.25">
      <c r="A3468" s="24" t="s">
        <v>7</v>
      </c>
      <c r="B3468" s="24" t="s">
        <v>8978</v>
      </c>
      <c r="C3468" s="25" t="s">
        <v>8979</v>
      </c>
      <c r="D3468" s="25" t="s">
        <v>8980</v>
      </c>
      <c r="E3468" s="26">
        <v>4</v>
      </c>
    </row>
    <row r="3469" spans="1:5" x14ac:dyDescent="0.25">
      <c r="A3469" s="24" t="s">
        <v>7</v>
      </c>
      <c r="B3469" s="24" t="s">
        <v>8981</v>
      </c>
      <c r="C3469" s="25" t="s">
        <v>8982</v>
      </c>
      <c r="D3469" s="25" t="s">
        <v>8983</v>
      </c>
      <c r="E3469" s="26">
        <v>8</v>
      </c>
    </row>
    <row r="3470" spans="1:5" x14ac:dyDescent="0.25">
      <c r="A3470" s="24" t="s">
        <v>7</v>
      </c>
      <c r="B3470" s="24" t="s">
        <v>8984</v>
      </c>
      <c r="C3470" s="25" t="s">
        <v>8985</v>
      </c>
      <c r="D3470" s="25" t="s">
        <v>8986</v>
      </c>
      <c r="E3470" s="26">
        <v>12</v>
      </c>
    </row>
    <row r="3471" spans="1:5" x14ac:dyDescent="0.25">
      <c r="A3471" s="24" t="s">
        <v>7</v>
      </c>
      <c r="B3471" s="24" t="s">
        <v>8987</v>
      </c>
      <c r="C3471" s="25" t="s">
        <v>8988</v>
      </c>
      <c r="D3471" s="25" t="s">
        <v>8989</v>
      </c>
      <c r="E3471" s="26">
        <v>14</v>
      </c>
    </row>
    <row r="3472" spans="1:5" x14ac:dyDescent="0.25">
      <c r="A3472" s="24" t="s">
        <v>7</v>
      </c>
      <c r="B3472" s="24" t="s">
        <v>8990</v>
      </c>
      <c r="C3472" s="25" t="s">
        <v>8991</v>
      </c>
      <c r="D3472" s="25" t="s">
        <v>8992</v>
      </c>
      <c r="E3472" s="26">
        <v>7</v>
      </c>
    </row>
    <row r="3473" spans="1:5" x14ac:dyDescent="0.25">
      <c r="A3473" s="24" t="s">
        <v>7</v>
      </c>
      <c r="B3473" s="24" t="s">
        <v>8993</v>
      </c>
      <c r="C3473" s="25" t="s">
        <v>8994</v>
      </c>
      <c r="D3473" s="25" t="s">
        <v>8995</v>
      </c>
      <c r="E3473" s="26">
        <v>17</v>
      </c>
    </row>
    <row r="3474" spans="1:5" x14ac:dyDescent="0.25">
      <c r="A3474" s="24" t="s">
        <v>7</v>
      </c>
      <c r="B3474" s="24" t="s">
        <v>8996</v>
      </c>
      <c r="C3474" s="25" t="s">
        <v>8997</v>
      </c>
      <c r="D3474" s="25" t="s">
        <v>8998</v>
      </c>
      <c r="E3474" s="26">
        <v>19</v>
      </c>
    </row>
    <row r="3475" spans="1:5" x14ac:dyDescent="0.25">
      <c r="A3475" s="24" t="s">
        <v>7</v>
      </c>
      <c r="B3475" s="24" t="s">
        <v>8999</v>
      </c>
      <c r="C3475" s="25" t="s">
        <v>9000</v>
      </c>
      <c r="D3475" s="25" t="s">
        <v>9001</v>
      </c>
      <c r="E3475" s="26">
        <v>1</v>
      </c>
    </row>
    <row r="3476" spans="1:5" x14ac:dyDescent="0.25">
      <c r="A3476" s="24" t="s">
        <v>7</v>
      </c>
      <c r="B3476" s="24" t="s">
        <v>9002</v>
      </c>
      <c r="C3476" s="25" t="s">
        <v>9003</v>
      </c>
      <c r="D3476" s="25" t="s">
        <v>9004</v>
      </c>
      <c r="E3476" s="26">
        <v>1</v>
      </c>
    </row>
    <row r="3477" spans="1:5" x14ac:dyDescent="0.25">
      <c r="A3477" s="24" t="s">
        <v>7</v>
      </c>
      <c r="B3477" s="24" t="s">
        <v>9005</v>
      </c>
      <c r="C3477" s="25" t="s">
        <v>9006</v>
      </c>
      <c r="D3477" s="25" t="s">
        <v>9007</v>
      </c>
      <c r="E3477" s="26">
        <v>6</v>
      </c>
    </row>
    <row r="3478" spans="1:5" x14ac:dyDescent="0.25">
      <c r="A3478" s="24" t="s">
        <v>7</v>
      </c>
      <c r="B3478" s="24" t="s">
        <v>9008</v>
      </c>
      <c r="C3478" s="25" t="s">
        <v>9009</v>
      </c>
      <c r="D3478" s="25" t="s">
        <v>9010</v>
      </c>
      <c r="E3478" s="26">
        <v>1</v>
      </c>
    </row>
    <row r="3479" spans="1:5" x14ac:dyDescent="0.25">
      <c r="A3479" s="24" t="s">
        <v>7</v>
      </c>
      <c r="B3479" s="24" t="s">
        <v>9011</v>
      </c>
      <c r="C3479" s="25" t="s">
        <v>9012</v>
      </c>
      <c r="D3479" s="25" t="s">
        <v>9013</v>
      </c>
      <c r="E3479" s="26">
        <v>1</v>
      </c>
    </row>
    <row r="3480" spans="1:5" x14ac:dyDescent="0.25">
      <c r="A3480" s="24" t="s">
        <v>7</v>
      </c>
      <c r="B3480" s="24" t="s">
        <v>9014</v>
      </c>
      <c r="C3480" s="25" t="s">
        <v>9015</v>
      </c>
      <c r="D3480" s="25" t="s">
        <v>9016</v>
      </c>
      <c r="E3480" s="26">
        <v>9</v>
      </c>
    </row>
    <row r="3481" spans="1:5" x14ac:dyDescent="0.25">
      <c r="A3481" s="24" t="s">
        <v>7</v>
      </c>
      <c r="B3481" s="24" t="s">
        <v>9017</v>
      </c>
      <c r="C3481" s="25" t="s">
        <v>9018</v>
      </c>
      <c r="D3481" s="25" t="s">
        <v>9019</v>
      </c>
      <c r="E3481" s="26">
        <v>140</v>
      </c>
    </row>
    <row r="3482" spans="1:5" x14ac:dyDescent="0.25">
      <c r="A3482" s="24" t="s">
        <v>7</v>
      </c>
      <c r="B3482" s="24" t="s">
        <v>9020</v>
      </c>
      <c r="C3482" s="25" t="s">
        <v>9021</v>
      </c>
      <c r="D3482" s="25" t="s">
        <v>9022</v>
      </c>
      <c r="E3482" s="26">
        <v>4</v>
      </c>
    </row>
    <row r="3483" spans="1:5" x14ac:dyDescent="0.25">
      <c r="A3483" s="24" t="s">
        <v>7</v>
      </c>
      <c r="B3483" s="24" t="s">
        <v>9023</v>
      </c>
      <c r="C3483" s="25" t="s">
        <v>9024</v>
      </c>
      <c r="D3483" s="25" t="s">
        <v>9025</v>
      </c>
      <c r="E3483" s="26">
        <v>3</v>
      </c>
    </row>
    <row r="3484" spans="1:5" x14ac:dyDescent="0.25">
      <c r="A3484" s="24" t="s">
        <v>7</v>
      </c>
      <c r="B3484" s="24" t="s">
        <v>9026</v>
      </c>
      <c r="C3484" s="25" t="s">
        <v>9027</v>
      </c>
      <c r="D3484" s="25" t="s">
        <v>9028</v>
      </c>
      <c r="E3484" s="26">
        <v>3</v>
      </c>
    </row>
    <row r="3485" spans="1:5" x14ac:dyDescent="0.25">
      <c r="A3485" s="24" t="s">
        <v>7</v>
      </c>
      <c r="B3485" s="24" t="s">
        <v>9029</v>
      </c>
      <c r="C3485" s="25" t="s">
        <v>9030</v>
      </c>
      <c r="D3485" s="25" t="s">
        <v>9031</v>
      </c>
      <c r="E3485" s="26">
        <v>5</v>
      </c>
    </row>
    <row r="3486" spans="1:5" x14ac:dyDescent="0.25">
      <c r="A3486" s="24" t="s">
        <v>7</v>
      </c>
      <c r="B3486" s="24" t="s">
        <v>9032</v>
      </c>
      <c r="C3486" s="25" t="s">
        <v>9033</v>
      </c>
      <c r="D3486" s="25" t="s">
        <v>9034</v>
      </c>
      <c r="E3486" s="26">
        <v>3</v>
      </c>
    </row>
    <row r="3487" spans="1:5" x14ac:dyDescent="0.25">
      <c r="A3487" s="24" t="s">
        <v>7</v>
      </c>
      <c r="B3487" s="24" t="s">
        <v>9035</v>
      </c>
      <c r="C3487" s="25" t="s">
        <v>9036</v>
      </c>
      <c r="D3487" s="25" t="s">
        <v>9037</v>
      </c>
      <c r="E3487" s="26">
        <v>9</v>
      </c>
    </row>
    <row r="3488" spans="1:5" x14ac:dyDescent="0.25">
      <c r="A3488" s="24" t="s">
        <v>7</v>
      </c>
      <c r="B3488" s="24" t="s">
        <v>9038</v>
      </c>
      <c r="C3488" s="25" t="s">
        <v>9039</v>
      </c>
      <c r="D3488" s="25" t="s">
        <v>9040</v>
      </c>
      <c r="E3488" s="26">
        <v>6</v>
      </c>
    </row>
    <row r="3489" spans="1:5" x14ac:dyDescent="0.25">
      <c r="A3489" s="24" t="s">
        <v>7</v>
      </c>
      <c r="B3489" s="24" t="s">
        <v>9041</v>
      </c>
      <c r="C3489" s="25" t="s">
        <v>9042</v>
      </c>
      <c r="D3489" s="25" t="s">
        <v>9043</v>
      </c>
      <c r="E3489" s="26">
        <v>2</v>
      </c>
    </row>
    <row r="3490" spans="1:5" x14ac:dyDescent="0.25">
      <c r="A3490" s="24" t="s">
        <v>7</v>
      </c>
      <c r="B3490" s="24" t="s">
        <v>9044</v>
      </c>
      <c r="C3490" s="25" t="s">
        <v>9045</v>
      </c>
      <c r="D3490" s="25" t="s">
        <v>9046</v>
      </c>
      <c r="E3490" s="26">
        <v>2</v>
      </c>
    </row>
    <row r="3491" spans="1:5" x14ac:dyDescent="0.25">
      <c r="A3491" s="24" t="s">
        <v>7</v>
      </c>
      <c r="B3491" s="24" t="s">
        <v>9047</v>
      </c>
      <c r="C3491" s="25" t="s">
        <v>9048</v>
      </c>
      <c r="D3491" s="25" t="s">
        <v>9049</v>
      </c>
      <c r="E3491" s="26">
        <v>2</v>
      </c>
    </row>
    <row r="3492" spans="1:5" x14ac:dyDescent="0.25">
      <c r="A3492" s="24" t="s">
        <v>7</v>
      </c>
      <c r="B3492" s="24" t="s">
        <v>9050</v>
      </c>
      <c r="C3492" s="25" t="s">
        <v>9051</v>
      </c>
      <c r="D3492" s="25" t="s">
        <v>9052</v>
      </c>
      <c r="E3492" s="26">
        <v>19</v>
      </c>
    </row>
    <row r="3493" spans="1:5" x14ac:dyDescent="0.25">
      <c r="A3493" s="24" t="s">
        <v>7</v>
      </c>
      <c r="B3493" s="24" t="s">
        <v>9053</v>
      </c>
      <c r="C3493" s="25" t="s">
        <v>9054</v>
      </c>
      <c r="D3493" s="25" t="s">
        <v>9055</v>
      </c>
      <c r="E3493" s="26">
        <v>1</v>
      </c>
    </row>
    <row r="3494" spans="1:5" x14ac:dyDescent="0.25">
      <c r="A3494" s="24" t="s">
        <v>7</v>
      </c>
      <c r="B3494" s="24" t="s">
        <v>9056</v>
      </c>
      <c r="C3494" s="25" t="s">
        <v>9057</v>
      </c>
      <c r="D3494" s="25" t="s">
        <v>9058</v>
      </c>
      <c r="E3494" s="26">
        <v>2</v>
      </c>
    </row>
    <row r="3495" spans="1:5" x14ac:dyDescent="0.25">
      <c r="A3495" s="24" t="s">
        <v>7</v>
      </c>
      <c r="B3495" s="24" t="s">
        <v>9059</v>
      </c>
      <c r="C3495" s="25" t="s">
        <v>9060</v>
      </c>
      <c r="D3495" s="25" t="s">
        <v>9061</v>
      </c>
      <c r="E3495" s="26">
        <v>1</v>
      </c>
    </row>
    <row r="3496" spans="1:5" x14ac:dyDescent="0.25">
      <c r="A3496" s="24" t="s">
        <v>7</v>
      </c>
      <c r="B3496" s="24" t="s">
        <v>9062</v>
      </c>
      <c r="C3496" s="25" t="s">
        <v>9063</v>
      </c>
      <c r="D3496" s="25" t="s">
        <v>9064</v>
      </c>
      <c r="E3496" s="26">
        <v>1</v>
      </c>
    </row>
    <row r="3497" spans="1:5" x14ac:dyDescent="0.25">
      <c r="A3497" s="24" t="s">
        <v>7</v>
      </c>
      <c r="B3497" s="24" t="s">
        <v>9065</v>
      </c>
      <c r="C3497" s="25" t="s">
        <v>9066</v>
      </c>
      <c r="D3497" s="25" t="s">
        <v>9067</v>
      </c>
      <c r="E3497" s="26">
        <v>10</v>
      </c>
    </row>
    <row r="3498" spans="1:5" x14ac:dyDescent="0.25">
      <c r="A3498" s="24" t="s">
        <v>7</v>
      </c>
      <c r="B3498" s="24" t="s">
        <v>9068</v>
      </c>
      <c r="C3498" s="25" t="s">
        <v>9069</v>
      </c>
      <c r="D3498" s="25" t="s">
        <v>9070</v>
      </c>
      <c r="E3498" s="26">
        <v>96</v>
      </c>
    </row>
    <row r="3499" spans="1:5" x14ac:dyDescent="0.25">
      <c r="A3499" s="24" t="s">
        <v>7</v>
      </c>
      <c r="B3499" s="24" t="s">
        <v>9071</v>
      </c>
      <c r="C3499" s="25" t="s">
        <v>9072</v>
      </c>
      <c r="D3499" s="25" t="s">
        <v>9073</v>
      </c>
      <c r="E3499" s="26">
        <v>4</v>
      </c>
    </row>
    <row r="3500" spans="1:5" x14ac:dyDescent="0.25">
      <c r="A3500" s="24" t="s">
        <v>7</v>
      </c>
      <c r="B3500" s="24" t="s">
        <v>9074</v>
      </c>
      <c r="C3500" s="25" t="s">
        <v>9075</v>
      </c>
      <c r="D3500" s="25" t="s">
        <v>9076</v>
      </c>
      <c r="E3500" s="26">
        <v>2</v>
      </c>
    </row>
    <row r="3501" spans="1:5" x14ac:dyDescent="0.25">
      <c r="A3501" s="24" t="s">
        <v>7</v>
      </c>
      <c r="B3501" s="24" t="s">
        <v>9077</v>
      </c>
      <c r="C3501" s="25" t="s">
        <v>9078</v>
      </c>
      <c r="D3501" s="25" t="s">
        <v>9079</v>
      </c>
      <c r="E3501" s="26">
        <v>41</v>
      </c>
    </row>
    <row r="3502" spans="1:5" x14ac:dyDescent="0.25">
      <c r="A3502" s="24" t="s">
        <v>7</v>
      </c>
      <c r="B3502" s="24" t="s">
        <v>9080</v>
      </c>
      <c r="C3502" s="25" t="s">
        <v>9081</v>
      </c>
      <c r="D3502" s="25" t="s">
        <v>9082</v>
      </c>
      <c r="E3502" s="26">
        <v>748</v>
      </c>
    </row>
    <row r="3503" spans="1:5" x14ac:dyDescent="0.25">
      <c r="A3503" s="24" t="s">
        <v>7</v>
      </c>
      <c r="B3503" s="24" t="s">
        <v>9083</v>
      </c>
      <c r="C3503" s="25" t="s">
        <v>9084</v>
      </c>
      <c r="D3503" s="25" t="s">
        <v>9085</v>
      </c>
      <c r="E3503" s="26">
        <v>1</v>
      </c>
    </row>
    <row r="3504" spans="1:5" x14ac:dyDescent="0.25">
      <c r="A3504" s="24" t="s">
        <v>7</v>
      </c>
      <c r="B3504" s="24" t="s">
        <v>9086</v>
      </c>
      <c r="C3504" s="25" t="s">
        <v>9087</v>
      </c>
      <c r="D3504" s="25" t="s">
        <v>9088</v>
      </c>
      <c r="E3504" s="26">
        <v>17</v>
      </c>
    </row>
    <row r="3505" spans="1:5" x14ac:dyDescent="0.25">
      <c r="A3505" s="24" t="s">
        <v>7</v>
      </c>
      <c r="B3505" s="24" t="s">
        <v>9089</v>
      </c>
      <c r="C3505" s="25" t="s">
        <v>9090</v>
      </c>
      <c r="D3505" s="25" t="s">
        <v>9091</v>
      </c>
      <c r="E3505" s="26">
        <v>3</v>
      </c>
    </row>
    <row r="3506" spans="1:5" x14ac:dyDescent="0.25">
      <c r="A3506" s="24" t="s">
        <v>7</v>
      </c>
      <c r="B3506" s="24" t="s">
        <v>9092</v>
      </c>
      <c r="C3506" s="25" t="s">
        <v>9093</v>
      </c>
      <c r="D3506" s="25" t="s">
        <v>9094</v>
      </c>
      <c r="E3506" s="26">
        <v>24</v>
      </c>
    </row>
    <row r="3507" spans="1:5" x14ac:dyDescent="0.25">
      <c r="A3507" s="24" t="s">
        <v>7</v>
      </c>
      <c r="B3507" s="24" t="s">
        <v>9095</v>
      </c>
      <c r="C3507" s="25" t="s">
        <v>9096</v>
      </c>
      <c r="D3507" s="25" t="s">
        <v>9097</v>
      </c>
      <c r="E3507" s="26">
        <v>9</v>
      </c>
    </row>
    <row r="3508" spans="1:5" x14ac:dyDescent="0.25">
      <c r="A3508" s="24" t="s">
        <v>7</v>
      </c>
      <c r="B3508" s="24" t="s">
        <v>9098</v>
      </c>
      <c r="C3508" s="25" t="s">
        <v>9099</v>
      </c>
      <c r="D3508" s="25" t="s">
        <v>9100</v>
      </c>
      <c r="E3508" s="26">
        <v>2</v>
      </c>
    </row>
    <row r="3509" spans="1:5" x14ac:dyDescent="0.25">
      <c r="A3509" s="24" t="s">
        <v>7</v>
      </c>
      <c r="B3509" s="24" t="s">
        <v>9101</v>
      </c>
      <c r="C3509" s="25" t="s">
        <v>9102</v>
      </c>
      <c r="D3509" s="25" t="s">
        <v>9103</v>
      </c>
      <c r="E3509" s="26">
        <v>3</v>
      </c>
    </row>
    <row r="3510" spans="1:5" x14ac:dyDescent="0.25">
      <c r="A3510" s="24" t="s">
        <v>7</v>
      </c>
      <c r="B3510" s="24" t="s">
        <v>9104</v>
      </c>
      <c r="C3510" s="25" t="s">
        <v>9105</v>
      </c>
      <c r="D3510" s="25" t="s">
        <v>9106</v>
      </c>
      <c r="E3510" s="26">
        <v>22</v>
      </c>
    </row>
    <row r="3511" spans="1:5" x14ac:dyDescent="0.25">
      <c r="A3511" s="24" t="s">
        <v>7</v>
      </c>
      <c r="B3511" s="24" t="s">
        <v>9107</v>
      </c>
      <c r="C3511" s="25" t="s">
        <v>9108</v>
      </c>
      <c r="D3511" s="25" t="s">
        <v>9109</v>
      </c>
      <c r="E3511" s="26">
        <v>19</v>
      </c>
    </row>
    <row r="3512" spans="1:5" x14ac:dyDescent="0.25">
      <c r="A3512" s="24" t="s">
        <v>7</v>
      </c>
      <c r="B3512" s="24" t="s">
        <v>9110</v>
      </c>
      <c r="C3512" s="25" t="s">
        <v>9111</v>
      </c>
      <c r="D3512" s="25" t="s">
        <v>9112</v>
      </c>
      <c r="E3512" s="26">
        <v>17</v>
      </c>
    </row>
    <row r="3513" spans="1:5" x14ac:dyDescent="0.25">
      <c r="A3513" s="24" t="s">
        <v>7</v>
      </c>
      <c r="B3513" s="24" t="s">
        <v>9113</v>
      </c>
      <c r="C3513" s="25" t="s">
        <v>9114</v>
      </c>
      <c r="D3513" s="25" t="s">
        <v>9115</v>
      </c>
      <c r="E3513" s="26">
        <v>2</v>
      </c>
    </row>
    <row r="3514" spans="1:5" x14ac:dyDescent="0.25">
      <c r="A3514" s="24" t="s">
        <v>7</v>
      </c>
      <c r="B3514" s="24" t="s">
        <v>9116</v>
      </c>
      <c r="C3514" s="25" t="s">
        <v>9117</v>
      </c>
      <c r="D3514" s="25" t="s">
        <v>9118</v>
      </c>
      <c r="E3514" s="26">
        <v>4</v>
      </c>
    </row>
    <row r="3515" spans="1:5" x14ac:dyDescent="0.25">
      <c r="A3515" s="24" t="s">
        <v>7</v>
      </c>
      <c r="B3515" s="24" t="s">
        <v>9119</v>
      </c>
      <c r="C3515" s="25" t="s">
        <v>9120</v>
      </c>
      <c r="D3515" s="25" t="s">
        <v>9121</v>
      </c>
      <c r="E3515" s="26">
        <v>1</v>
      </c>
    </row>
    <row r="3516" spans="1:5" x14ac:dyDescent="0.25">
      <c r="A3516" s="24" t="s">
        <v>7</v>
      </c>
      <c r="B3516" s="24" t="s">
        <v>9122</v>
      </c>
      <c r="C3516" s="25" t="s">
        <v>9123</v>
      </c>
      <c r="D3516" s="25" t="s">
        <v>9124</v>
      </c>
      <c r="E3516" s="26">
        <v>2</v>
      </c>
    </row>
    <row r="3517" spans="1:5" x14ac:dyDescent="0.25">
      <c r="A3517" s="24" t="s">
        <v>7</v>
      </c>
      <c r="B3517" s="24" t="s">
        <v>9125</v>
      </c>
      <c r="C3517" s="25" t="s">
        <v>9126</v>
      </c>
      <c r="D3517" s="25" t="s">
        <v>9127</v>
      </c>
      <c r="E3517" s="26">
        <v>4265</v>
      </c>
    </row>
    <row r="3518" spans="1:5" x14ac:dyDescent="0.25">
      <c r="A3518" s="24" t="s">
        <v>7</v>
      </c>
      <c r="B3518" s="24" t="s">
        <v>9128</v>
      </c>
      <c r="C3518" s="25" t="s">
        <v>9129</v>
      </c>
      <c r="D3518" s="25" t="s">
        <v>9130</v>
      </c>
      <c r="E3518" s="26">
        <v>199</v>
      </c>
    </row>
    <row r="3519" spans="1:5" x14ac:dyDescent="0.25">
      <c r="A3519" s="24" t="s">
        <v>7</v>
      </c>
      <c r="B3519" s="24" t="s">
        <v>9131</v>
      </c>
      <c r="C3519" s="25" t="s">
        <v>9132</v>
      </c>
      <c r="D3519" s="25" t="s">
        <v>9133</v>
      </c>
      <c r="E3519" s="26">
        <v>2</v>
      </c>
    </row>
    <row r="3520" spans="1:5" x14ac:dyDescent="0.25">
      <c r="A3520" s="24" t="s">
        <v>7</v>
      </c>
      <c r="B3520" s="24" t="s">
        <v>9134</v>
      </c>
      <c r="C3520" s="25" t="s">
        <v>9135</v>
      </c>
      <c r="D3520" s="25" t="s">
        <v>9136</v>
      </c>
      <c r="E3520" s="26">
        <v>2</v>
      </c>
    </row>
    <row r="3521" spans="1:5" x14ac:dyDescent="0.25">
      <c r="A3521" s="24" t="s">
        <v>7</v>
      </c>
      <c r="B3521" s="24" t="s">
        <v>9137</v>
      </c>
      <c r="C3521" s="25" t="s">
        <v>9138</v>
      </c>
      <c r="D3521" s="25" t="s">
        <v>9139</v>
      </c>
      <c r="E3521" s="26">
        <v>3</v>
      </c>
    </row>
    <row r="3522" spans="1:5" x14ac:dyDescent="0.25">
      <c r="A3522" s="24" t="s">
        <v>7</v>
      </c>
      <c r="B3522" s="24" t="s">
        <v>9140</v>
      </c>
      <c r="C3522" s="25" t="s">
        <v>9141</v>
      </c>
      <c r="D3522" s="25" t="s">
        <v>9142</v>
      </c>
      <c r="E3522" s="26">
        <v>19</v>
      </c>
    </row>
    <row r="3523" spans="1:5" x14ac:dyDescent="0.25">
      <c r="A3523" s="24" t="s">
        <v>7</v>
      </c>
      <c r="B3523" s="24" t="s">
        <v>9143</v>
      </c>
      <c r="C3523" s="25" t="s">
        <v>9144</v>
      </c>
      <c r="D3523" s="25" t="s">
        <v>9145</v>
      </c>
      <c r="E3523" s="26">
        <v>3</v>
      </c>
    </row>
    <row r="3524" spans="1:5" x14ac:dyDescent="0.25">
      <c r="A3524" s="24" t="s">
        <v>7</v>
      </c>
      <c r="B3524" s="24" t="s">
        <v>9146</v>
      </c>
      <c r="C3524" s="25" t="s">
        <v>9147</v>
      </c>
      <c r="D3524" s="25" t="s">
        <v>9148</v>
      </c>
      <c r="E3524" s="26">
        <v>28</v>
      </c>
    </row>
    <row r="3525" spans="1:5" x14ac:dyDescent="0.25">
      <c r="A3525" s="24" t="s">
        <v>7</v>
      </c>
      <c r="B3525" s="24" t="s">
        <v>9149</v>
      </c>
      <c r="C3525" s="25" t="s">
        <v>9150</v>
      </c>
      <c r="D3525" s="25" t="s">
        <v>9151</v>
      </c>
      <c r="E3525" s="26">
        <v>4</v>
      </c>
    </row>
    <row r="3526" spans="1:5" x14ac:dyDescent="0.25">
      <c r="A3526" s="24" t="s">
        <v>7</v>
      </c>
      <c r="B3526" s="24" t="s">
        <v>9152</v>
      </c>
      <c r="C3526" s="25" t="s">
        <v>9153</v>
      </c>
      <c r="D3526" s="25" t="s">
        <v>9154</v>
      </c>
      <c r="E3526" s="26">
        <v>1</v>
      </c>
    </row>
    <row r="3527" spans="1:5" x14ac:dyDescent="0.25">
      <c r="A3527" s="24" t="s">
        <v>7</v>
      </c>
      <c r="B3527" s="24" t="s">
        <v>9155</v>
      </c>
      <c r="C3527" s="25" t="s">
        <v>9156</v>
      </c>
      <c r="D3527" s="25" t="s">
        <v>9157</v>
      </c>
      <c r="E3527" s="26">
        <v>1</v>
      </c>
    </row>
    <row r="3528" spans="1:5" x14ac:dyDescent="0.25">
      <c r="A3528" s="24" t="s">
        <v>7</v>
      </c>
      <c r="B3528" s="24" t="s">
        <v>9158</v>
      </c>
      <c r="C3528" s="25" t="s">
        <v>9159</v>
      </c>
      <c r="D3528" s="25" t="s">
        <v>9160</v>
      </c>
      <c r="E3528" s="26">
        <v>1</v>
      </c>
    </row>
    <row r="3529" spans="1:5" x14ac:dyDescent="0.25">
      <c r="A3529" s="24" t="s">
        <v>7</v>
      </c>
      <c r="B3529" s="24" t="s">
        <v>9161</v>
      </c>
      <c r="C3529" s="25" t="s">
        <v>9162</v>
      </c>
      <c r="D3529" s="25" t="s">
        <v>9163</v>
      </c>
      <c r="E3529" s="26">
        <v>4</v>
      </c>
    </row>
    <row r="3530" spans="1:5" x14ac:dyDescent="0.25">
      <c r="A3530" s="24" t="s">
        <v>7</v>
      </c>
      <c r="B3530" s="24" t="s">
        <v>9164</v>
      </c>
      <c r="C3530" s="25" t="s">
        <v>9165</v>
      </c>
      <c r="D3530" s="25" t="s">
        <v>9166</v>
      </c>
      <c r="E3530" s="26">
        <v>3</v>
      </c>
    </row>
    <row r="3531" spans="1:5" x14ac:dyDescent="0.25">
      <c r="A3531" s="24" t="s">
        <v>7</v>
      </c>
      <c r="B3531" s="24" t="s">
        <v>9167</v>
      </c>
      <c r="C3531" s="25" t="s">
        <v>9168</v>
      </c>
      <c r="D3531" s="25" t="s">
        <v>9168</v>
      </c>
      <c r="E3531" s="26">
        <v>2</v>
      </c>
    </row>
    <row r="3532" spans="1:5" x14ac:dyDescent="0.25">
      <c r="A3532" s="24" t="s">
        <v>7</v>
      </c>
      <c r="B3532" s="24" t="s">
        <v>9169</v>
      </c>
      <c r="C3532" s="25" t="s">
        <v>9170</v>
      </c>
      <c r="D3532" s="25" t="s">
        <v>9170</v>
      </c>
      <c r="E3532" s="26">
        <v>1</v>
      </c>
    </row>
    <row r="3533" spans="1:5" x14ac:dyDescent="0.25">
      <c r="A3533" s="24" t="s">
        <v>7</v>
      </c>
      <c r="B3533" s="24" t="s">
        <v>9171</v>
      </c>
      <c r="C3533" s="25" t="s">
        <v>9172</v>
      </c>
      <c r="D3533" s="25" t="s">
        <v>9172</v>
      </c>
      <c r="E3533" s="26">
        <v>3</v>
      </c>
    </row>
    <row r="3534" spans="1:5" x14ac:dyDescent="0.25">
      <c r="A3534" s="24" t="s">
        <v>7</v>
      </c>
      <c r="B3534" s="24" t="s">
        <v>9173</v>
      </c>
      <c r="C3534" s="25" t="s">
        <v>9174</v>
      </c>
      <c r="D3534" s="25" t="s">
        <v>9175</v>
      </c>
      <c r="E3534" s="26">
        <v>1</v>
      </c>
    </row>
    <row r="3535" spans="1:5" x14ac:dyDescent="0.25">
      <c r="A3535" s="24" t="s">
        <v>7</v>
      </c>
      <c r="B3535" s="24" t="s">
        <v>9176</v>
      </c>
      <c r="C3535" s="25" t="s">
        <v>9177</v>
      </c>
      <c r="D3535" s="25" t="s">
        <v>9178</v>
      </c>
      <c r="E3535" s="26">
        <v>1</v>
      </c>
    </row>
    <row r="3536" spans="1:5" x14ac:dyDescent="0.25">
      <c r="A3536" s="24" t="s">
        <v>7</v>
      </c>
      <c r="B3536" s="24" t="s">
        <v>9179</v>
      </c>
      <c r="C3536" s="25" t="s">
        <v>9180</v>
      </c>
      <c r="D3536" s="25" t="s">
        <v>9181</v>
      </c>
      <c r="E3536" s="26">
        <v>1</v>
      </c>
    </row>
    <row r="3537" spans="1:5" x14ac:dyDescent="0.25">
      <c r="A3537" s="24" t="s">
        <v>7</v>
      </c>
      <c r="B3537" s="24" t="s">
        <v>9182</v>
      </c>
      <c r="C3537" s="25" t="s">
        <v>9183</v>
      </c>
      <c r="D3537" s="25" t="s">
        <v>9184</v>
      </c>
      <c r="E3537" s="26">
        <v>4</v>
      </c>
    </row>
    <row r="3538" spans="1:5" x14ac:dyDescent="0.25">
      <c r="A3538" s="24" t="s">
        <v>7</v>
      </c>
      <c r="B3538" s="24" t="s">
        <v>9185</v>
      </c>
      <c r="C3538" s="25" t="s">
        <v>9186</v>
      </c>
      <c r="D3538" s="25" t="s">
        <v>9187</v>
      </c>
      <c r="E3538" s="26">
        <v>18</v>
      </c>
    </row>
    <row r="3539" spans="1:5" x14ac:dyDescent="0.25">
      <c r="A3539" s="24" t="s">
        <v>7</v>
      </c>
      <c r="B3539" s="24" t="s">
        <v>9188</v>
      </c>
      <c r="C3539" s="25" t="s">
        <v>9189</v>
      </c>
      <c r="D3539" s="25" t="s">
        <v>9190</v>
      </c>
      <c r="E3539" s="26">
        <v>17</v>
      </c>
    </row>
    <row r="3540" spans="1:5" x14ac:dyDescent="0.25">
      <c r="A3540" s="24" t="s">
        <v>7</v>
      </c>
      <c r="B3540" s="24" t="s">
        <v>9191</v>
      </c>
      <c r="C3540" s="25" t="s">
        <v>9192</v>
      </c>
      <c r="D3540" s="25" t="s">
        <v>9193</v>
      </c>
      <c r="E3540" s="26">
        <v>1</v>
      </c>
    </row>
    <row r="3541" spans="1:5" x14ac:dyDescent="0.25">
      <c r="A3541" s="24" t="s">
        <v>7</v>
      </c>
      <c r="B3541" s="24" t="s">
        <v>9194</v>
      </c>
      <c r="C3541" s="25" t="s">
        <v>9195</v>
      </c>
      <c r="D3541" s="25" t="s">
        <v>9196</v>
      </c>
      <c r="E3541" s="26">
        <v>6</v>
      </c>
    </row>
    <row r="3542" spans="1:5" x14ac:dyDescent="0.25">
      <c r="A3542" s="24" t="s">
        <v>7</v>
      </c>
      <c r="B3542" s="24" t="s">
        <v>9197</v>
      </c>
      <c r="C3542" s="25" t="s">
        <v>9198</v>
      </c>
      <c r="D3542" s="25" t="s">
        <v>9199</v>
      </c>
      <c r="E3542" s="26">
        <v>19</v>
      </c>
    </row>
    <row r="3543" spans="1:5" x14ac:dyDescent="0.25">
      <c r="A3543" s="24" t="s">
        <v>7</v>
      </c>
      <c r="B3543" s="24" t="s">
        <v>9200</v>
      </c>
      <c r="C3543" s="25" t="s">
        <v>9201</v>
      </c>
      <c r="D3543" s="25" t="s">
        <v>9202</v>
      </c>
      <c r="E3543" s="26">
        <v>24</v>
      </c>
    </row>
    <row r="3544" spans="1:5" x14ac:dyDescent="0.25">
      <c r="A3544" s="24" t="s">
        <v>7</v>
      </c>
      <c r="B3544" s="24" t="s">
        <v>9203</v>
      </c>
      <c r="C3544" s="25" t="s">
        <v>9204</v>
      </c>
      <c r="D3544" s="25" t="s">
        <v>9205</v>
      </c>
      <c r="E3544" s="26">
        <v>24</v>
      </c>
    </row>
    <row r="3545" spans="1:5" x14ac:dyDescent="0.25">
      <c r="A3545" s="24" t="s">
        <v>7</v>
      </c>
      <c r="B3545" s="24" t="s">
        <v>9206</v>
      </c>
      <c r="C3545" s="25" t="s">
        <v>9207</v>
      </c>
      <c r="D3545" s="25" t="s">
        <v>9208</v>
      </c>
      <c r="E3545" s="26">
        <v>806</v>
      </c>
    </row>
    <row r="3546" spans="1:5" x14ac:dyDescent="0.25">
      <c r="A3546" s="24" t="s">
        <v>7</v>
      </c>
      <c r="B3546" s="24" t="s">
        <v>9209</v>
      </c>
      <c r="C3546" s="25" t="s">
        <v>9210</v>
      </c>
      <c r="D3546" s="25" t="s">
        <v>9211</v>
      </c>
      <c r="E3546" s="26">
        <v>9</v>
      </c>
    </row>
    <row r="3547" spans="1:5" x14ac:dyDescent="0.25">
      <c r="A3547" s="24" t="s">
        <v>7</v>
      </c>
      <c r="B3547" s="24" t="s">
        <v>9212</v>
      </c>
      <c r="C3547" s="25" t="s">
        <v>9213</v>
      </c>
      <c r="D3547" s="25" t="s">
        <v>9214</v>
      </c>
      <c r="E3547" s="26">
        <v>10</v>
      </c>
    </row>
    <row r="3548" spans="1:5" x14ac:dyDescent="0.25">
      <c r="A3548" s="24" t="s">
        <v>7</v>
      </c>
      <c r="B3548" s="24" t="s">
        <v>9215</v>
      </c>
      <c r="C3548" s="25" t="s">
        <v>9216</v>
      </c>
      <c r="D3548" s="25" t="s">
        <v>9217</v>
      </c>
      <c r="E3548" s="26">
        <v>2</v>
      </c>
    </row>
    <row r="3549" spans="1:5" x14ac:dyDescent="0.25">
      <c r="A3549" s="24" t="s">
        <v>7</v>
      </c>
      <c r="B3549" s="24" t="s">
        <v>9218</v>
      </c>
      <c r="C3549" s="25" t="s">
        <v>9219</v>
      </c>
      <c r="D3549" s="25" t="s">
        <v>9220</v>
      </c>
      <c r="E3549" s="26">
        <v>1</v>
      </c>
    </row>
    <row r="3550" spans="1:5" x14ac:dyDescent="0.25">
      <c r="A3550" s="24" t="s">
        <v>7</v>
      </c>
      <c r="B3550" s="24" t="s">
        <v>9221</v>
      </c>
      <c r="C3550" s="25" t="s">
        <v>9222</v>
      </c>
      <c r="D3550" s="25" t="s">
        <v>9223</v>
      </c>
      <c r="E3550" s="26">
        <v>2</v>
      </c>
    </row>
    <row r="3551" spans="1:5" x14ac:dyDescent="0.25">
      <c r="A3551" s="24" t="s">
        <v>7</v>
      </c>
      <c r="B3551" s="24" t="s">
        <v>9224</v>
      </c>
      <c r="C3551" s="25" t="s">
        <v>9225</v>
      </c>
      <c r="D3551" s="25" t="s">
        <v>9226</v>
      </c>
      <c r="E3551" s="26">
        <v>19</v>
      </c>
    </row>
    <row r="3552" spans="1:5" x14ac:dyDescent="0.25">
      <c r="A3552" s="24" t="s">
        <v>7</v>
      </c>
      <c r="B3552" s="24" t="s">
        <v>9227</v>
      </c>
      <c r="C3552" s="25" t="s">
        <v>9228</v>
      </c>
      <c r="D3552" s="25" t="s">
        <v>9229</v>
      </c>
      <c r="E3552" s="26">
        <v>2</v>
      </c>
    </row>
    <row r="3553" spans="1:5" x14ac:dyDescent="0.25">
      <c r="A3553" s="24" t="s">
        <v>7</v>
      </c>
      <c r="B3553" s="24" t="s">
        <v>9230</v>
      </c>
      <c r="C3553" s="25" t="s">
        <v>9231</v>
      </c>
      <c r="D3553" s="25" t="s">
        <v>9232</v>
      </c>
      <c r="E3553" s="26">
        <v>45</v>
      </c>
    </row>
    <row r="3554" spans="1:5" x14ac:dyDescent="0.25">
      <c r="A3554" s="24" t="s">
        <v>7</v>
      </c>
      <c r="B3554" s="24" t="s">
        <v>9233</v>
      </c>
      <c r="C3554" s="25" t="s">
        <v>9234</v>
      </c>
      <c r="D3554" s="25" t="s">
        <v>9235</v>
      </c>
      <c r="E3554" s="26">
        <v>14</v>
      </c>
    </row>
    <row r="3555" spans="1:5" x14ac:dyDescent="0.25">
      <c r="A3555" s="24" t="s">
        <v>7</v>
      </c>
      <c r="B3555" s="24" t="s">
        <v>9236</v>
      </c>
      <c r="C3555" s="25" t="s">
        <v>9237</v>
      </c>
      <c r="D3555" s="25" t="s">
        <v>9238</v>
      </c>
      <c r="E3555" s="26">
        <v>2</v>
      </c>
    </row>
    <row r="3556" spans="1:5" x14ac:dyDescent="0.25">
      <c r="A3556" s="24" t="s">
        <v>7</v>
      </c>
      <c r="B3556" s="24" t="s">
        <v>9239</v>
      </c>
      <c r="C3556" s="25" t="s">
        <v>9240</v>
      </c>
      <c r="D3556" s="25" t="s">
        <v>9241</v>
      </c>
      <c r="E3556" s="26">
        <v>1</v>
      </c>
    </row>
    <row r="3557" spans="1:5" x14ac:dyDescent="0.25">
      <c r="A3557" s="24" t="s">
        <v>7</v>
      </c>
      <c r="B3557" s="24" t="s">
        <v>9242</v>
      </c>
      <c r="C3557" s="25" t="s">
        <v>9243</v>
      </c>
      <c r="D3557" s="25" t="s">
        <v>9244</v>
      </c>
      <c r="E3557" s="26">
        <v>2</v>
      </c>
    </row>
    <row r="3558" spans="1:5" x14ac:dyDescent="0.25">
      <c r="A3558" s="24" t="s">
        <v>7</v>
      </c>
      <c r="B3558" s="24" t="s">
        <v>9245</v>
      </c>
      <c r="C3558" s="25" t="s">
        <v>9246</v>
      </c>
      <c r="D3558" s="25" t="s">
        <v>9247</v>
      </c>
      <c r="E3558" s="26">
        <v>11</v>
      </c>
    </row>
    <row r="3559" spans="1:5" x14ac:dyDescent="0.25">
      <c r="A3559" s="24" t="s">
        <v>7</v>
      </c>
      <c r="B3559" s="24" t="s">
        <v>9248</v>
      </c>
      <c r="C3559" s="25" t="s">
        <v>9249</v>
      </c>
      <c r="D3559" s="25" t="s">
        <v>9250</v>
      </c>
      <c r="E3559" s="26">
        <v>2</v>
      </c>
    </row>
    <row r="3560" spans="1:5" x14ac:dyDescent="0.25">
      <c r="A3560" s="24" t="s">
        <v>7</v>
      </c>
      <c r="B3560" s="24" t="s">
        <v>9251</v>
      </c>
      <c r="C3560" s="25" t="s">
        <v>9252</v>
      </c>
      <c r="D3560" s="25" t="s">
        <v>9253</v>
      </c>
      <c r="E3560" s="26">
        <v>3</v>
      </c>
    </row>
    <row r="3561" spans="1:5" x14ac:dyDescent="0.25">
      <c r="A3561" s="24" t="s">
        <v>7</v>
      </c>
      <c r="B3561" s="24" t="s">
        <v>9254</v>
      </c>
      <c r="C3561" s="25" t="s">
        <v>9255</v>
      </c>
      <c r="D3561" s="25" t="s">
        <v>9256</v>
      </c>
      <c r="E3561" s="26">
        <v>24</v>
      </c>
    </row>
    <row r="3562" spans="1:5" x14ac:dyDescent="0.25">
      <c r="A3562" s="24" t="s">
        <v>7</v>
      </c>
      <c r="B3562" s="24" t="s">
        <v>9257</v>
      </c>
      <c r="C3562" s="25" t="s">
        <v>9258</v>
      </c>
      <c r="D3562" s="25" t="s">
        <v>9259</v>
      </c>
      <c r="E3562" s="26">
        <v>4</v>
      </c>
    </row>
    <row r="3563" spans="1:5" x14ac:dyDescent="0.25">
      <c r="A3563" s="24" t="s">
        <v>7</v>
      </c>
      <c r="B3563" s="24" t="s">
        <v>9260</v>
      </c>
      <c r="C3563" s="25" t="s">
        <v>9261</v>
      </c>
      <c r="D3563" s="25" t="s">
        <v>9262</v>
      </c>
      <c r="E3563" s="26">
        <v>1</v>
      </c>
    </row>
    <row r="3564" spans="1:5" x14ac:dyDescent="0.25">
      <c r="A3564" s="24" t="s">
        <v>7</v>
      </c>
      <c r="B3564" s="24" t="s">
        <v>9263</v>
      </c>
      <c r="C3564" s="25" t="s">
        <v>9264</v>
      </c>
      <c r="D3564" s="25" t="s">
        <v>9265</v>
      </c>
      <c r="E3564" s="26">
        <v>19</v>
      </c>
    </row>
    <row r="3565" spans="1:5" x14ac:dyDescent="0.25">
      <c r="A3565" s="24" t="s">
        <v>7</v>
      </c>
      <c r="B3565" s="24" t="s">
        <v>9266</v>
      </c>
      <c r="C3565" s="25" t="s">
        <v>9267</v>
      </c>
      <c r="D3565" s="25" t="s">
        <v>9268</v>
      </c>
      <c r="E3565" s="26">
        <v>19</v>
      </c>
    </row>
    <row r="3566" spans="1:5" x14ac:dyDescent="0.25">
      <c r="A3566" s="24" t="s">
        <v>7</v>
      </c>
      <c r="B3566" s="24" t="s">
        <v>9269</v>
      </c>
      <c r="C3566" s="25" t="s">
        <v>9270</v>
      </c>
      <c r="D3566" s="25" t="s">
        <v>9271</v>
      </c>
      <c r="E3566" s="26">
        <v>16</v>
      </c>
    </row>
    <row r="3567" spans="1:5" x14ac:dyDescent="0.25">
      <c r="A3567" s="24" t="s">
        <v>7</v>
      </c>
      <c r="B3567" s="24" t="s">
        <v>9272</v>
      </c>
      <c r="C3567" s="25" t="s">
        <v>9273</v>
      </c>
      <c r="D3567" s="25" t="s">
        <v>9274</v>
      </c>
      <c r="E3567" s="26">
        <v>4</v>
      </c>
    </row>
    <row r="3568" spans="1:5" x14ac:dyDescent="0.25">
      <c r="A3568" s="24" t="s">
        <v>7</v>
      </c>
      <c r="B3568" s="24" t="s">
        <v>9275</v>
      </c>
      <c r="C3568" s="25" t="s">
        <v>9276</v>
      </c>
      <c r="D3568" s="25" t="s">
        <v>9277</v>
      </c>
      <c r="E3568" s="26">
        <v>30</v>
      </c>
    </row>
    <row r="3569" spans="1:5" x14ac:dyDescent="0.25">
      <c r="A3569" s="24" t="s">
        <v>7</v>
      </c>
      <c r="B3569" s="24" t="s">
        <v>9278</v>
      </c>
      <c r="C3569" s="25" t="s">
        <v>9279</v>
      </c>
      <c r="D3569" s="25" t="s">
        <v>9280</v>
      </c>
      <c r="E3569" s="26">
        <v>1</v>
      </c>
    </row>
    <row r="3570" spans="1:5" x14ac:dyDescent="0.25">
      <c r="A3570" s="24" t="s">
        <v>7</v>
      </c>
      <c r="B3570" s="24" t="s">
        <v>9281</v>
      </c>
      <c r="C3570" s="25" t="s">
        <v>9282</v>
      </c>
      <c r="D3570" s="25" t="s">
        <v>9283</v>
      </c>
      <c r="E3570" s="26">
        <v>2</v>
      </c>
    </row>
    <row r="3571" spans="1:5" x14ac:dyDescent="0.25">
      <c r="A3571" s="24" t="s">
        <v>7</v>
      </c>
      <c r="B3571" s="24" t="s">
        <v>9284</v>
      </c>
      <c r="C3571" s="25" t="s">
        <v>9285</v>
      </c>
      <c r="D3571" s="25" t="s">
        <v>9286</v>
      </c>
      <c r="E3571" s="26">
        <v>8828</v>
      </c>
    </row>
    <row r="3572" spans="1:5" x14ac:dyDescent="0.25">
      <c r="A3572" s="24" t="s">
        <v>7</v>
      </c>
      <c r="B3572" s="24" t="s">
        <v>9287</v>
      </c>
      <c r="C3572" s="25" t="s">
        <v>9288</v>
      </c>
      <c r="D3572" s="25" t="s">
        <v>9289</v>
      </c>
      <c r="E3572" s="26">
        <v>1</v>
      </c>
    </row>
    <row r="3573" spans="1:5" x14ac:dyDescent="0.25">
      <c r="A3573" s="24" t="s">
        <v>7</v>
      </c>
      <c r="B3573" s="24" t="s">
        <v>9290</v>
      </c>
      <c r="C3573" s="25" t="s">
        <v>9291</v>
      </c>
      <c r="D3573" s="25" t="s">
        <v>9292</v>
      </c>
      <c r="E3573" s="26">
        <v>17</v>
      </c>
    </row>
    <row r="3574" spans="1:5" x14ac:dyDescent="0.25">
      <c r="A3574" s="24" t="s">
        <v>7</v>
      </c>
      <c r="B3574" s="24" t="s">
        <v>9293</v>
      </c>
      <c r="C3574" s="25" t="s">
        <v>9294</v>
      </c>
      <c r="D3574" s="25" t="s">
        <v>9295</v>
      </c>
      <c r="E3574" s="26">
        <v>1</v>
      </c>
    </row>
    <row r="3575" spans="1:5" x14ac:dyDescent="0.25">
      <c r="A3575" s="24" t="s">
        <v>7</v>
      </c>
      <c r="B3575" s="24" t="s">
        <v>9296</v>
      </c>
      <c r="C3575" s="25" t="s">
        <v>9297</v>
      </c>
      <c r="D3575" s="25" t="s">
        <v>9298</v>
      </c>
      <c r="E3575" s="26">
        <v>2</v>
      </c>
    </row>
    <row r="3576" spans="1:5" x14ac:dyDescent="0.25">
      <c r="A3576" s="24" t="s">
        <v>7</v>
      </c>
      <c r="B3576" s="24" t="s">
        <v>9299</v>
      </c>
      <c r="C3576" s="25" t="s">
        <v>9300</v>
      </c>
      <c r="D3576" s="25" t="s">
        <v>9301</v>
      </c>
      <c r="E3576" s="26">
        <v>1</v>
      </c>
    </row>
    <row r="3577" spans="1:5" x14ac:dyDescent="0.25">
      <c r="A3577" s="24" t="s">
        <v>7</v>
      </c>
      <c r="B3577" s="24" t="s">
        <v>9302</v>
      </c>
      <c r="C3577" s="25" t="s">
        <v>9303</v>
      </c>
      <c r="D3577" s="25" t="s">
        <v>9304</v>
      </c>
      <c r="E3577" s="26">
        <v>3</v>
      </c>
    </row>
    <row r="3578" spans="1:5" x14ac:dyDescent="0.25">
      <c r="A3578" s="24" t="s">
        <v>7</v>
      </c>
      <c r="B3578" s="24" t="s">
        <v>9305</v>
      </c>
      <c r="C3578" s="25" t="s">
        <v>9306</v>
      </c>
      <c r="D3578" s="25" t="s">
        <v>9307</v>
      </c>
      <c r="E3578" s="26">
        <v>2</v>
      </c>
    </row>
    <row r="3579" spans="1:5" x14ac:dyDescent="0.25">
      <c r="A3579" s="24" t="s">
        <v>7</v>
      </c>
      <c r="B3579" s="24" t="s">
        <v>9308</v>
      </c>
      <c r="C3579" s="25" t="s">
        <v>9309</v>
      </c>
      <c r="D3579" s="25" t="s">
        <v>9310</v>
      </c>
      <c r="E3579" s="26">
        <v>33</v>
      </c>
    </row>
    <row r="3580" spans="1:5" x14ac:dyDescent="0.25">
      <c r="A3580" s="24" t="s">
        <v>7</v>
      </c>
      <c r="B3580" s="24" t="s">
        <v>9311</v>
      </c>
      <c r="C3580" s="25" t="s">
        <v>9312</v>
      </c>
      <c r="D3580" s="25" t="s">
        <v>9313</v>
      </c>
      <c r="E3580" s="26">
        <v>33</v>
      </c>
    </row>
    <row r="3581" spans="1:5" x14ac:dyDescent="0.25">
      <c r="A3581" s="24" t="s">
        <v>7</v>
      </c>
      <c r="B3581" s="24" t="s">
        <v>9314</v>
      </c>
      <c r="C3581" s="25" t="s">
        <v>9315</v>
      </c>
      <c r="D3581" s="25" t="s">
        <v>9316</v>
      </c>
      <c r="E3581" s="26">
        <v>235</v>
      </c>
    </row>
    <row r="3582" spans="1:5" x14ac:dyDescent="0.25">
      <c r="A3582" s="24" t="s">
        <v>7</v>
      </c>
      <c r="B3582" s="24" t="s">
        <v>9317</v>
      </c>
      <c r="C3582" s="25" t="s">
        <v>9318</v>
      </c>
      <c r="D3582" s="25" t="s">
        <v>9319</v>
      </c>
      <c r="E3582" s="26">
        <v>27</v>
      </c>
    </row>
    <row r="3583" spans="1:5" x14ac:dyDescent="0.25">
      <c r="A3583" s="24" t="s">
        <v>7</v>
      </c>
      <c r="B3583" s="24" t="s">
        <v>9320</v>
      </c>
      <c r="C3583" s="25" t="s">
        <v>9321</v>
      </c>
      <c r="D3583" s="25" t="s">
        <v>9322</v>
      </c>
      <c r="E3583" s="26">
        <v>2</v>
      </c>
    </row>
    <row r="3584" spans="1:5" x14ac:dyDescent="0.25">
      <c r="A3584" s="24" t="s">
        <v>7</v>
      </c>
      <c r="B3584" s="24" t="s">
        <v>9323</v>
      </c>
      <c r="C3584" s="25" t="s">
        <v>9324</v>
      </c>
      <c r="D3584" s="25" t="s">
        <v>9325</v>
      </c>
      <c r="E3584" s="26">
        <v>20</v>
      </c>
    </row>
    <row r="3585" spans="1:5" x14ac:dyDescent="0.25">
      <c r="A3585" s="24" t="s">
        <v>7</v>
      </c>
      <c r="B3585" s="24" t="s">
        <v>9326</v>
      </c>
      <c r="C3585" s="25" t="s">
        <v>9327</v>
      </c>
      <c r="D3585" s="25" t="s">
        <v>9328</v>
      </c>
      <c r="E3585" s="26">
        <v>2</v>
      </c>
    </row>
    <row r="3586" spans="1:5" x14ac:dyDescent="0.25">
      <c r="A3586" s="24" t="s">
        <v>7</v>
      </c>
      <c r="B3586" s="24" t="s">
        <v>9329</v>
      </c>
      <c r="C3586" s="25" t="s">
        <v>9330</v>
      </c>
      <c r="D3586" s="25" t="s">
        <v>9331</v>
      </c>
      <c r="E3586" s="26">
        <v>1</v>
      </c>
    </row>
    <row r="3587" spans="1:5" x14ac:dyDescent="0.25">
      <c r="A3587" s="24" t="s">
        <v>7</v>
      </c>
      <c r="B3587" s="24" t="s">
        <v>9332</v>
      </c>
      <c r="C3587" s="25" t="s">
        <v>9333</v>
      </c>
      <c r="D3587" s="25" t="s">
        <v>9334</v>
      </c>
      <c r="E3587" s="26">
        <v>15</v>
      </c>
    </row>
    <row r="3588" spans="1:5" x14ac:dyDescent="0.25">
      <c r="A3588" s="24" t="s">
        <v>7</v>
      </c>
      <c r="B3588" s="24" t="s">
        <v>9335</v>
      </c>
      <c r="C3588" s="25" t="s">
        <v>9336</v>
      </c>
      <c r="D3588" s="25" t="s">
        <v>9337</v>
      </c>
      <c r="E3588" s="26">
        <v>99</v>
      </c>
    </row>
    <row r="3589" spans="1:5" x14ac:dyDescent="0.25">
      <c r="A3589" s="24" t="s">
        <v>7</v>
      </c>
      <c r="B3589" s="24" t="s">
        <v>9338</v>
      </c>
      <c r="C3589" s="25" t="s">
        <v>9339</v>
      </c>
      <c r="D3589" s="25" t="s">
        <v>9340</v>
      </c>
      <c r="E3589" s="26">
        <v>77</v>
      </c>
    </row>
    <row r="3590" spans="1:5" x14ac:dyDescent="0.25">
      <c r="A3590" s="24" t="s">
        <v>7</v>
      </c>
      <c r="B3590" s="24" t="s">
        <v>9341</v>
      </c>
      <c r="C3590" s="25" t="s">
        <v>9342</v>
      </c>
      <c r="D3590" s="25" t="s">
        <v>9343</v>
      </c>
      <c r="E3590" s="26">
        <v>131</v>
      </c>
    </row>
    <row r="3591" spans="1:5" x14ac:dyDescent="0.25">
      <c r="A3591" s="24" t="s">
        <v>7</v>
      </c>
      <c r="B3591" s="24" t="s">
        <v>9344</v>
      </c>
      <c r="C3591" s="25" t="s">
        <v>9345</v>
      </c>
      <c r="D3591" s="25" t="s">
        <v>9346</v>
      </c>
      <c r="E3591" s="26">
        <v>351</v>
      </c>
    </row>
    <row r="3592" spans="1:5" x14ac:dyDescent="0.25">
      <c r="A3592" s="24" t="s">
        <v>7</v>
      </c>
      <c r="B3592" s="24" t="s">
        <v>9347</v>
      </c>
      <c r="C3592" s="25" t="s">
        <v>9348</v>
      </c>
      <c r="D3592" s="25" t="s">
        <v>9349</v>
      </c>
      <c r="E3592" s="26">
        <v>90</v>
      </c>
    </row>
    <row r="3593" spans="1:5" x14ac:dyDescent="0.25">
      <c r="A3593" s="24" t="s">
        <v>7</v>
      </c>
      <c r="B3593" s="24" t="s">
        <v>9350</v>
      </c>
      <c r="C3593" s="25" t="s">
        <v>9351</v>
      </c>
      <c r="D3593" s="25" t="s">
        <v>9352</v>
      </c>
      <c r="E3593" s="26">
        <v>9</v>
      </c>
    </row>
    <row r="3594" spans="1:5" x14ac:dyDescent="0.25">
      <c r="A3594" s="24" t="s">
        <v>7</v>
      </c>
      <c r="B3594" s="24" t="s">
        <v>9353</v>
      </c>
      <c r="C3594" s="25" t="s">
        <v>9354</v>
      </c>
      <c r="D3594" s="25" t="s">
        <v>9355</v>
      </c>
      <c r="E3594" s="26">
        <v>13</v>
      </c>
    </row>
    <row r="3595" spans="1:5" x14ac:dyDescent="0.25">
      <c r="A3595" s="24" t="s">
        <v>7</v>
      </c>
      <c r="B3595" s="24" t="s">
        <v>9356</v>
      </c>
      <c r="C3595" s="25" t="s">
        <v>9357</v>
      </c>
      <c r="D3595" s="25" t="s">
        <v>9358</v>
      </c>
      <c r="E3595" s="26">
        <v>11</v>
      </c>
    </row>
    <row r="3596" spans="1:5" x14ac:dyDescent="0.25">
      <c r="A3596" s="24" t="s">
        <v>7</v>
      </c>
      <c r="B3596" s="24" t="s">
        <v>9359</v>
      </c>
      <c r="C3596" s="25" t="s">
        <v>9360</v>
      </c>
      <c r="D3596" s="25" t="s">
        <v>9361</v>
      </c>
      <c r="E3596" s="26">
        <v>15</v>
      </c>
    </row>
    <row r="3597" spans="1:5" x14ac:dyDescent="0.25">
      <c r="A3597" s="24" t="s">
        <v>7</v>
      </c>
      <c r="B3597" s="24" t="s">
        <v>9362</v>
      </c>
      <c r="C3597" s="25" t="s">
        <v>9363</v>
      </c>
      <c r="D3597" s="25" t="s">
        <v>9364</v>
      </c>
      <c r="E3597" s="26">
        <v>117</v>
      </c>
    </row>
    <row r="3598" spans="1:5" x14ac:dyDescent="0.25">
      <c r="A3598" s="24" t="s">
        <v>7</v>
      </c>
      <c r="B3598" s="24" t="s">
        <v>9365</v>
      </c>
      <c r="C3598" s="25" t="s">
        <v>9366</v>
      </c>
      <c r="D3598" s="25" t="s">
        <v>9367</v>
      </c>
      <c r="E3598" s="26">
        <v>153</v>
      </c>
    </row>
    <row r="3599" spans="1:5" x14ac:dyDescent="0.25">
      <c r="A3599" s="24" t="s">
        <v>7</v>
      </c>
      <c r="B3599" s="24" t="s">
        <v>9368</v>
      </c>
      <c r="C3599" s="25" t="s">
        <v>9369</v>
      </c>
      <c r="D3599" s="25" t="s">
        <v>9370</v>
      </c>
      <c r="E3599" s="26">
        <v>4</v>
      </c>
    </row>
    <row r="3600" spans="1:5" x14ac:dyDescent="0.25">
      <c r="A3600" s="24" t="s">
        <v>7</v>
      </c>
      <c r="B3600" s="24" t="s">
        <v>9371</v>
      </c>
      <c r="C3600" s="25" t="s">
        <v>9372</v>
      </c>
      <c r="D3600" s="25" t="s">
        <v>9373</v>
      </c>
      <c r="E3600" s="26">
        <v>1</v>
      </c>
    </row>
    <row r="3601" spans="1:5" x14ac:dyDescent="0.25">
      <c r="A3601" s="24" t="s">
        <v>7</v>
      </c>
      <c r="B3601" s="24" t="s">
        <v>9374</v>
      </c>
      <c r="C3601" s="25" t="s">
        <v>9375</v>
      </c>
      <c r="D3601" s="25" t="s">
        <v>9376</v>
      </c>
      <c r="E3601" s="26">
        <v>3</v>
      </c>
    </row>
    <row r="3602" spans="1:5" x14ac:dyDescent="0.25">
      <c r="A3602" s="24" t="s">
        <v>7</v>
      </c>
      <c r="B3602" s="24" t="s">
        <v>9377</v>
      </c>
      <c r="C3602" s="25" t="s">
        <v>9378</v>
      </c>
      <c r="D3602" s="25" t="s">
        <v>9379</v>
      </c>
      <c r="E3602" s="26">
        <v>2</v>
      </c>
    </row>
    <row r="3603" spans="1:5" x14ac:dyDescent="0.25">
      <c r="A3603" s="24" t="s">
        <v>7</v>
      </c>
      <c r="B3603" s="24" t="s">
        <v>9380</v>
      </c>
      <c r="C3603" s="25" t="s">
        <v>9381</v>
      </c>
      <c r="D3603" s="25" t="s">
        <v>9382</v>
      </c>
      <c r="E3603" s="26">
        <v>3</v>
      </c>
    </row>
    <row r="3604" spans="1:5" x14ac:dyDescent="0.25">
      <c r="A3604" s="24" t="s">
        <v>7</v>
      </c>
      <c r="B3604" s="24" t="s">
        <v>9383</v>
      </c>
      <c r="C3604" s="25" t="s">
        <v>9384</v>
      </c>
      <c r="D3604" s="25" t="s">
        <v>9385</v>
      </c>
      <c r="E3604" s="26">
        <v>68</v>
      </c>
    </row>
    <row r="3605" spans="1:5" x14ac:dyDescent="0.25">
      <c r="A3605" s="24" t="s">
        <v>7</v>
      </c>
      <c r="B3605" s="24" t="s">
        <v>9386</v>
      </c>
      <c r="C3605" s="25" t="s">
        <v>9387</v>
      </c>
      <c r="D3605" s="25" t="s">
        <v>9388</v>
      </c>
      <c r="E3605" s="26">
        <v>3</v>
      </c>
    </row>
    <row r="3606" spans="1:5" x14ac:dyDescent="0.25">
      <c r="A3606" s="24" t="s">
        <v>7</v>
      </c>
      <c r="B3606" s="24" t="s">
        <v>9389</v>
      </c>
      <c r="C3606" s="25" t="s">
        <v>9390</v>
      </c>
      <c r="D3606" s="25" t="s">
        <v>9391</v>
      </c>
      <c r="E3606" s="26">
        <v>1</v>
      </c>
    </row>
    <row r="3607" spans="1:5" x14ac:dyDescent="0.25">
      <c r="A3607" s="24" t="s">
        <v>7</v>
      </c>
      <c r="B3607" s="24" t="s">
        <v>9392</v>
      </c>
      <c r="C3607" s="25" t="s">
        <v>9393</v>
      </c>
      <c r="D3607" s="25" t="s">
        <v>9394</v>
      </c>
      <c r="E3607" s="26">
        <v>24</v>
      </c>
    </row>
    <row r="3608" spans="1:5" x14ac:dyDescent="0.25">
      <c r="A3608" s="24" t="s">
        <v>7</v>
      </c>
      <c r="B3608" s="24" t="s">
        <v>9395</v>
      </c>
      <c r="C3608" s="25" t="s">
        <v>9396</v>
      </c>
      <c r="D3608" s="25" t="s">
        <v>9397</v>
      </c>
      <c r="E3608" s="26">
        <v>24</v>
      </c>
    </row>
    <row r="3609" spans="1:5" x14ac:dyDescent="0.25">
      <c r="A3609" s="24" t="s">
        <v>7</v>
      </c>
      <c r="B3609" s="24" t="s">
        <v>9398</v>
      </c>
      <c r="C3609" s="25" t="s">
        <v>9399</v>
      </c>
      <c r="D3609" s="25" t="s">
        <v>9400</v>
      </c>
      <c r="E3609" s="26">
        <v>8</v>
      </c>
    </row>
    <row r="3610" spans="1:5" x14ac:dyDescent="0.25">
      <c r="A3610" s="24" t="s">
        <v>7</v>
      </c>
      <c r="B3610" s="24" t="s">
        <v>9401</v>
      </c>
      <c r="C3610" s="25" t="s">
        <v>9402</v>
      </c>
      <c r="D3610" s="25" t="s">
        <v>9403</v>
      </c>
      <c r="E3610" s="26">
        <v>87</v>
      </c>
    </row>
    <row r="3611" spans="1:5" x14ac:dyDescent="0.25">
      <c r="A3611" s="24" t="s">
        <v>7</v>
      </c>
      <c r="B3611" s="24" t="s">
        <v>9404</v>
      </c>
      <c r="C3611" s="25" t="s">
        <v>9405</v>
      </c>
      <c r="D3611" s="25" t="s">
        <v>9406</v>
      </c>
      <c r="E3611" s="26">
        <v>1</v>
      </c>
    </row>
    <row r="3612" spans="1:5" x14ac:dyDescent="0.25">
      <c r="A3612" s="24" t="s">
        <v>7</v>
      </c>
      <c r="B3612" s="24" t="s">
        <v>9407</v>
      </c>
      <c r="C3612" s="25" t="s">
        <v>9408</v>
      </c>
      <c r="D3612" s="25" t="s">
        <v>9409</v>
      </c>
      <c r="E3612" s="26">
        <v>42</v>
      </c>
    </row>
    <row r="3613" spans="1:5" x14ac:dyDescent="0.25">
      <c r="A3613" s="24" t="s">
        <v>7</v>
      </c>
      <c r="B3613" s="24" t="s">
        <v>9410</v>
      </c>
      <c r="C3613" s="25" t="s">
        <v>9411</v>
      </c>
      <c r="D3613" s="25" t="s">
        <v>9412</v>
      </c>
      <c r="E3613" s="26">
        <v>3</v>
      </c>
    </row>
    <row r="3614" spans="1:5" x14ac:dyDescent="0.25">
      <c r="A3614" s="24" t="s">
        <v>7</v>
      </c>
      <c r="B3614" s="24" t="s">
        <v>9413</v>
      </c>
      <c r="C3614" s="25" t="s">
        <v>9414</v>
      </c>
      <c r="D3614" s="25" t="s">
        <v>9415</v>
      </c>
      <c r="E3614" s="26">
        <v>68</v>
      </c>
    </row>
    <row r="3615" spans="1:5" x14ac:dyDescent="0.25">
      <c r="A3615" s="24" t="s">
        <v>7</v>
      </c>
      <c r="B3615" s="24" t="s">
        <v>9416</v>
      </c>
      <c r="C3615" s="25" t="s">
        <v>9417</v>
      </c>
      <c r="D3615" s="25" t="s">
        <v>9415</v>
      </c>
      <c r="E3615" s="26">
        <v>136</v>
      </c>
    </row>
    <row r="3616" spans="1:5" x14ac:dyDescent="0.25">
      <c r="A3616" s="24" t="s">
        <v>7</v>
      </c>
      <c r="B3616" s="24" t="s">
        <v>9418</v>
      </c>
      <c r="C3616" s="25" t="s">
        <v>9419</v>
      </c>
      <c r="D3616" s="25" t="s">
        <v>9415</v>
      </c>
      <c r="E3616" s="26">
        <v>129</v>
      </c>
    </row>
    <row r="3617" spans="1:5" x14ac:dyDescent="0.25">
      <c r="A3617" s="24" t="s">
        <v>7</v>
      </c>
      <c r="B3617" s="24" t="s">
        <v>9420</v>
      </c>
      <c r="C3617" s="25" t="s">
        <v>9421</v>
      </c>
      <c r="D3617" s="25" t="s">
        <v>9422</v>
      </c>
      <c r="E3617" s="26">
        <v>9</v>
      </c>
    </row>
    <row r="3618" spans="1:5" x14ac:dyDescent="0.25">
      <c r="A3618" s="24" t="s">
        <v>7</v>
      </c>
      <c r="B3618" s="24" t="s">
        <v>9423</v>
      </c>
      <c r="C3618" s="25" t="s">
        <v>9424</v>
      </c>
      <c r="D3618" s="25" t="s">
        <v>9425</v>
      </c>
      <c r="E3618" s="26">
        <v>1</v>
      </c>
    </row>
    <row r="3619" spans="1:5" x14ac:dyDescent="0.25">
      <c r="A3619" s="24" t="s">
        <v>7</v>
      </c>
      <c r="B3619" s="24" t="s">
        <v>9426</v>
      </c>
      <c r="C3619" s="25" t="s">
        <v>9427</v>
      </c>
      <c r="D3619" s="25" t="s">
        <v>9428</v>
      </c>
      <c r="E3619" s="26">
        <v>1</v>
      </c>
    </row>
    <row r="3620" spans="1:5" x14ac:dyDescent="0.25">
      <c r="A3620" s="24" t="s">
        <v>7</v>
      </c>
      <c r="B3620" s="24" t="s">
        <v>9429</v>
      </c>
      <c r="C3620" s="25" t="s">
        <v>9430</v>
      </c>
      <c r="D3620" s="25" t="s">
        <v>9431</v>
      </c>
      <c r="E3620" s="26">
        <v>3</v>
      </c>
    </row>
    <row r="3621" spans="1:5" x14ac:dyDescent="0.25">
      <c r="A3621" s="24" t="s">
        <v>7</v>
      </c>
      <c r="B3621" s="24" t="s">
        <v>9432</v>
      </c>
      <c r="C3621" s="25" t="s">
        <v>9433</v>
      </c>
      <c r="D3621" s="25" t="s">
        <v>9434</v>
      </c>
      <c r="E3621" s="26">
        <v>2</v>
      </c>
    </row>
    <row r="3622" spans="1:5" x14ac:dyDescent="0.25">
      <c r="A3622" s="24" t="s">
        <v>7</v>
      </c>
      <c r="B3622" s="24" t="s">
        <v>9435</v>
      </c>
      <c r="C3622" s="25" t="s">
        <v>9436</v>
      </c>
      <c r="D3622" s="25" t="s">
        <v>9437</v>
      </c>
      <c r="E3622" s="26">
        <v>1</v>
      </c>
    </row>
    <row r="3623" spans="1:5" x14ac:dyDescent="0.25">
      <c r="A3623" s="24" t="s">
        <v>7</v>
      </c>
      <c r="B3623" s="24" t="s">
        <v>9438</v>
      </c>
      <c r="C3623" s="25" t="s">
        <v>9439</v>
      </c>
      <c r="D3623" s="25" t="s">
        <v>9440</v>
      </c>
      <c r="E3623" s="26">
        <v>3</v>
      </c>
    </row>
    <row r="3624" spans="1:5" x14ac:dyDescent="0.25">
      <c r="A3624" s="24" t="s">
        <v>7</v>
      </c>
      <c r="B3624" s="24" t="s">
        <v>9441</v>
      </c>
      <c r="C3624" s="25" t="s">
        <v>9442</v>
      </c>
      <c r="D3624" s="25" t="s">
        <v>9443</v>
      </c>
      <c r="E3624" s="26">
        <v>27</v>
      </c>
    </row>
    <row r="3625" spans="1:5" x14ac:dyDescent="0.25">
      <c r="A3625" s="24" t="s">
        <v>7</v>
      </c>
      <c r="B3625" s="24" t="s">
        <v>9444</v>
      </c>
      <c r="C3625" s="25" t="s">
        <v>9445</v>
      </c>
      <c r="D3625" s="25" t="s">
        <v>9446</v>
      </c>
      <c r="E3625" s="26">
        <v>211</v>
      </c>
    </row>
    <row r="3626" spans="1:5" x14ac:dyDescent="0.25">
      <c r="A3626" s="24" t="s">
        <v>7</v>
      </c>
      <c r="B3626" s="24" t="s">
        <v>9447</v>
      </c>
      <c r="C3626" s="25" t="s">
        <v>9448</v>
      </c>
      <c r="D3626" s="25" t="s">
        <v>9449</v>
      </c>
      <c r="E3626" s="26">
        <v>2</v>
      </c>
    </row>
    <row r="3627" spans="1:5" x14ac:dyDescent="0.25">
      <c r="A3627" s="24" t="s">
        <v>7</v>
      </c>
      <c r="B3627" s="24" t="s">
        <v>9450</v>
      </c>
      <c r="C3627" s="25" t="s">
        <v>9451</v>
      </c>
      <c r="D3627" s="25" t="s">
        <v>9452</v>
      </c>
      <c r="E3627" s="26">
        <v>73</v>
      </c>
    </row>
    <row r="3628" spans="1:5" x14ac:dyDescent="0.25">
      <c r="A3628" s="24" t="s">
        <v>7</v>
      </c>
      <c r="B3628" s="24" t="s">
        <v>9453</v>
      </c>
      <c r="C3628" s="25" t="s">
        <v>9454</v>
      </c>
      <c r="D3628" s="25" t="s">
        <v>9455</v>
      </c>
      <c r="E3628" s="26">
        <v>1</v>
      </c>
    </row>
    <row r="3629" spans="1:5" x14ac:dyDescent="0.25">
      <c r="A3629" s="24" t="s">
        <v>7</v>
      </c>
      <c r="B3629" s="24" t="s">
        <v>9456</v>
      </c>
      <c r="C3629" s="25" t="s">
        <v>9457</v>
      </c>
      <c r="D3629" s="25" t="s">
        <v>9458</v>
      </c>
      <c r="E3629" s="26">
        <v>14</v>
      </c>
    </row>
    <row r="3630" spans="1:5" x14ac:dyDescent="0.25">
      <c r="A3630" s="24" t="s">
        <v>7</v>
      </c>
      <c r="B3630" s="24" t="s">
        <v>9459</v>
      </c>
      <c r="C3630" s="25" t="s">
        <v>9460</v>
      </c>
      <c r="D3630" s="25" t="s">
        <v>9461</v>
      </c>
      <c r="E3630" s="26">
        <v>65</v>
      </c>
    </row>
    <row r="3631" spans="1:5" x14ac:dyDescent="0.25">
      <c r="A3631" s="24" t="s">
        <v>7</v>
      </c>
      <c r="B3631" s="24" t="s">
        <v>9462</v>
      </c>
      <c r="C3631" s="25" t="s">
        <v>9463</v>
      </c>
      <c r="D3631" s="25" t="s">
        <v>9464</v>
      </c>
      <c r="E3631" s="26">
        <v>42</v>
      </c>
    </row>
    <row r="3632" spans="1:5" x14ac:dyDescent="0.25">
      <c r="A3632" s="24" t="s">
        <v>7</v>
      </c>
      <c r="B3632" s="24" t="s">
        <v>9465</v>
      </c>
      <c r="C3632" s="25" t="s">
        <v>9466</v>
      </c>
      <c r="D3632" s="25" t="s">
        <v>9467</v>
      </c>
      <c r="E3632" s="26">
        <v>120</v>
      </c>
    </row>
    <row r="3633" spans="1:5" x14ac:dyDescent="0.25">
      <c r="A3633" s="24" t="s">
        <v>7</v>
      </c>
      <c r="B3633" s="24" t="s">
        <v>9468</v>
      </c>
      <c r="C3633" s="25" t="s">
        <v>9469</v>
      </c>
      <c r="D3633" s="25" t="s">
        <v>9470</v>
      </c>
      <c r="E3633" s="26">
        <v>118</v>
      </c>
    </row>
    <row r="3634" spans="1:5" x14ac:dyDescent="0.25">
      <c r="A3634" s="24" t="s">
        <v>7</v>
      </c>
      <c r="B3634" s="24" t="s">
        <v>9471</v>
      </c>
      <c r="C3634" s="25" t="s">
        <v>9472</v>
      </c>
      <c r="D3634" s="25" t="s">
        <v>9473</v>
      </c>
      <c r="E3634" s="26">
        <v>64</v>
      </c>
    </row>
    <row r="3635" spans="1:5" x14ac:dyDescent="0.25">
      <c r="A3635" s="24" t="s">
        <v>7</v>
      </c>
      <c r="B3635" s="24" t="s">
        <v>9474</v>
      </c>
      <c r="C3635" s="25" t="s">
        <v>9475</v>
      </c>
      <c r="D3635" s="25" t="s">
        <v>9476</v>
      </c>
      <c r="E3635" s="26">
        <v>147</v>
      </c>
    </row>
    <row r="3636" spans="1:5" x14ac:dyDescent="0.25">
      <c r="A3636" s="24" t="s">
        <v>7</v>
      </c>
      <c r="B3636" s="24" t="s">
        <v>9477</v>
      </c>
      <c r="C3636" s="25" t="s">
        <v>9478</v>
      </c>
      <c r="D3636" s="25" t="s">
        <v>9479</v>
      </c>
      <c r="E3636" s="26">
        <v>1</v>
      </c>
    </row>
    <row r="3637" spans="1:5" x14ac:dyDescent="0.25">
      <c r="A3637" s="24" t="s">
        <v>7</v>
      </c>
      <c r="B3637" s="24" t="s">
        <v>9480</v>
      </c>
      <c r="C3637" s="25" t="s">
        <v>9481</v>
      </c>
      <c r="D3637" s="25" t="s">
        <v>9482</v>
      </c>
      <c r="E3637" s="26">
        <v>2</v>
      </c>
    </row>
    <row r="3638" spans="1:5" x14ac:dyDescent="0.25">
      <c r="A3638" s="24" t="s">
        <v>7</v>
      </c>
      <c r="B3638" s="24" t="s">
        <v>9483</v>
      </c>
      <c r="C3638" s="25" t="s">
        <v>9484</v>
      </c>
      <c r="D3638" s="25" t="s">
        <v>9485</v>
      </c>
      <c r="E3638" s="26">
        <v>1</v>
      </c>
    </row>
    <row r="3639" spans="1:5" x14ac:dyDescent="0.25">
      <c r="A3639" s="24" t="s">
        <v>7</v>
      </c>
      <c r="B3639" s="24" t="s">
        <v>9486</v>
      </c>
      <c r="C3639" s="25" t="s">
        <v>9487</v>
      </c>
      <c r="D3639" s="25" t="s">
        <v>9488</v>
      </c>
      <c r="E3639" s="26">
        <v>1211</v>
      </c>
    </row>
    <row r="3640" spans="1:5" x14ac:dyDescent="0.25">
      <c r="A3640" s="24" t="s">
        <v>7</v>
      </c>
      <c r="B3640" s="24" t="s">
        <v>9489</v>
      </c>
      <c r="C3640" s="25" t="s">
        <v>9490</v>
      </c>
      <c r="D3640" s="25" t="s">
        <v>9491</v>
      </c>
      <c r="E3640" s="26">
        <v>2</v>
      </c>
    </row>
    <row r="3641" spans="1:5" x14ac:dyDescent="0.25">
      <c r="A3641" s="24" t="s">
        <v>7</v>
      </c>
      <c r="B3641" s="24" t="s">
        <v>9492</v>
      </c>
      <c r="C3641" s="25" t="s">
        <v>9493</v>
      </c>
      <c r="D3641" s="25" t="s">
        <v>9493</v>
      </c>
      <c r="E3641" s="26">
        <v>1</v>
      </c>
    </row>
    <row r="3642" spans="1:5" x14ac:dyDescent="0.25">
      <c r="A3642" s="24" t="s">
        <v>7</v>
      </c>
      <c r="B3642" s="24" t="s">
        <v>9494</v>
      </c>
      <c r="C3642" s="25" t="s">
        <v>9495</v>
      </c>
      <c r="D3642" s="25" t="s">
        <v>9496</v>
      </c>
      <c r="E3642" s="26">
        <v>1</v>
      </c>
    </row>
    <row r="3643" spans="1:5" x14ac:dyDescent="0.25">
      <c r="A3643" s="24" t="s">
        <v>7</v>
      </c>
      <c r="B3643" s="24" t="s">
        <v>9497</v>
      </c>
      <c r="C3643" s="25" t="s">
        <v>9498</v>
      </c>
      <c r="D3643" s="25" t="s">
        <v>9499</v>
      </c>
      <c r="E3643" s="26">
        <v>2</v>
      </c>
    </row>
    <row r="3644" spans="1:5" x14ac:dyDescent="0.25">
      <c r="A3644" s="24" t="s">
        <v>7</v>
      </c>
      <c r="B3644" s="24" t="s">
        <v>9500</v>
      </c>
      <c r="C3644" s="25" t="s">
        <v>9501</v>
      </c>
      <c r="D3644" s="25" t="s">
        <v>9502</v>
      </c>
      <c r="E3644" s="26">
        <v>5</v>
      </c>
    </row>
    <row r="3645" spans="1:5" x14ac:dyDescent="0.25">
      <c r="A3645" s="24" t="s">
        <v>7</v>
      </c>
      <c r="B3645" s="24" t="s">
        <v>9503</v>
      </c>
      <c r="C3645" s="25" t="s">
        <v>9504</v>
      </c>
      <c r="D3645" s="25" t="s">
        <v>9505</v>
      </c>
      <c r="E3645" s="26">
        <v>150</v>
      </c>
    </row>
    <row r="3646" spans="1:5" x14ac:dyDescent="0.25">
      <c r="A3646" s="24" t="s">
        <v>7</v>
      </c>
      <c r="B3646" s="24" t="s">
        <v>9506</v>
      </c>
      <c r="C3646" s="25" t="s">
        <v>9507</v>
      </c>
      <c r="D3646" s="25" t="s">
        <v>9508</v>
      </c>
      <c r="E3646" s="26">
        <v>109</v>
      </c>
    </row>
    <row r="3647" spans="1:5" x14ac:dyDescent="0.25">
      <c r="A3647" s="24" t="s">
        <v>7</v>
      </c>
      <c r="B3647" s="24" t="s">
        <v>9509</v>
      </c>
      <c r="C3647" s="25" t="s">
        <v>9510</v>
      </c>
      <c r="D3647" s="25" t="s">
        <v>9511</v>
      </c>
      <c r="E3647" s="26">
        <v>1</v>
      </c>
    </row>
    <row r="3648" spans="1:5" x14ac:dyDescent="0.25">
      <c r="A3648" s="24" t="s">
        <v>7</v>
      </c>
      <c r="B3648" s="24" t="s">
        <v>9512</v>
      </c>
      <c r="C3648" s="25" t="s">
        <v>9513</v>
      </c>
      <c r="D3648" s="25" t="s">
        <v>9514</v>
      </c>
      <c r="E3648" s="26">
        <v>3</v>
      </c>
    </row>
    <row r="3649" spans="1:5" x14ac:dyDescent="0.25">
      <c r="A3649" s="24" t="s">
        <v>7</v>
      </c>
      <c r="B3649" s="24" t="s">
        <v>9515</v>
      </c>
      <c r="C3649" s="25" t="s">
        <v>9516</v>
      </c>
      <c r="D3649" s="25" t="s">
        <v>9517</v>
      </c>
      <c r="E3649" s="26">
        <v>26</v>
      </c>
    </row>
    <row r="3650" spans="1:5" x14ac:dyDescent="0.25">
      <c r="A3650" s="24" t="s">
        <v>7</v>
      </c>
      <c r="B3650" s="24" t="s">
        <v>9518</v>
      </c>
      <c r="C3650" s="25" t="s">
        <v>9519</v>
      </c>
      <c r="D3650" s="25" t="s">
        <v>9520</v>
      </c>
      <c r="E3650" s="26">
        <v>1</v>
      </c>
    </row>
    <row r="3651" spans="1:5" x14ac:dyDescent="0.25">
      <c r="A3651" s="24" t="s">
        <v>7</v>
      </c>
      <c r="B3651" s="24" t="s">
        <v>9521</v>
      </c>
      <c r="C3651" s="25" t="s">
        <v>9522</v>
      </c>
      <c r="D3651" s="25" t="s">
        <v>9523</v>
      </c>
      <c r="E3651" s="26">
        <v>1</v>
      </c>
    </row>
    <row r="3652" spans="1:5" x14ac:dyDescent="0.25">
      <c r="A3652" s="24" t="s">
        <v>7</v>
      </c>
      <c r="B3652" s="24" t="s">
        <v>9524</v>
      </c>
      <c r="C3652" s="25" t="s">
        <v>9525</v>
      </c>
      <c r="D3652" s="25" t="s">
        <v>9526</v>
      </c>
      <c r="E3652" s="26">
        <v>2</v>
      </c>
    </row>
    <row r="3653" spans="1:5" x14ac:dyDescent="0.25">
      <c r="A3653" s="24" t="s">
        <v>7</v>
      </c>
      <c r="B3653" s="24" t="s">
        <v>9527</v>
      </c>
      <c r="C3653" s="25" t="s">
        <v>9528</v>
      </c>
      <c r="D3653" s="25" t="s">
        <v>9529</v>
      </c>
      <c r="E3653" s="26">
        <v>24</v>
      </c>
    </row>
    <row r="3654" spans="1:5" x14ac:dyDescent="0.25">
      <c r="A3654" s="24" t="s">
        <v>7</v>
      </c>
      <c r="B3654" s="24" t="s">
        <v>9530</v>
      </c>
      <c r="C3654" s="25" t="s">
        <v>9531</v>
      </c>
      <c r="D3654" s="25" t="s">
        <v>9532</v>
      </c>
      <c r="E3654" s="26">
        <v>4</v>
      </c>
    </row>
    <row r="3655" spans="1:5" x14ac:dyDescent="0.25">
      <c r="A3655" s="24" t="s">
        <v>7</v>
      </c>
      <c r="B3655" s="24" t="s">
        <v>9533</v>
      </c>
      <c r="C3655" s="25" t="s">
        <v>9534</v>
      </c>
      <c r="D3655" s="25" t="s">
        <v>9535</v>
      </c>
      <c r="E3655" s="26">
        <v>5</v>
      </c>
    </row>
    <row r="3656" spans="1:5" x14ac:dyDescent="0.25">
      <c r="A3656" s="24" t="s">
        <v>7</v>
      </c>
      <c r="B3656" s="24" t="s">
        <v>9536</v>
      </c>
      <c r="C3656" s="25" t="s">
        <v>9537</v>
      </c>
      <c r="D3656" s="25" t="s">
        <v>9538</v>
      </c>
      <c r="E3656" s="26">
        <v>10</v>
      </c>
    </row>
    <row r="3657" spans="1:5" x14ac:dyDescent="0.25">
      <c r="A3657" s="24" t="s">
        <v>7</v>
      </c>
      <c r="B3657" s="24" t="s">
        <v>9539</v>
      </c>
      <c r="C3657" s="25" t="s">
        <v>9540</v>
      </c>
      <c r="D3657" s="25" t="s">
        <v>9541</v>
      </c>
      <c r="E3657" s="26">
        <v>7</v>
      </c>
    </row>
    <row r="3658" spans="1:5" x14ac:dyDescent="0.25">
      <c r="A3658" s="24" t="s">
        <v>7</v>
      </c>
      <c r="B3658" s="24" t="s">
        <v>9542</v>
      </c>
      <c r="C3658" s="25" t="s">
        <v>9543</v>
      </c>
      <c r="D3658" s="25" t="s">
        <v>9544</v>
      </c>
      <c r="E3658" s="26">
        <v>2</v>
      </c>
    </row>
    <row r="3659" spans="1:5" x14ac:dyDescent="0.25">
      <c r="A3659" s="24" t="s">
        <v>7</v>
      </c>
      <c r="B3659" s="24" t="s">
        <v>9545</v>
      </c>
      <c r="C3659" s="25" t="s">
        <v>9546</v>
      </c>
      <c r="D3659" s="25" t="s">
        <v>9547</v>
      </c>
      <c r="E3659" s="26">
        <v>1</v>
      </c>
    </row>
    <row r="3660" spans="1:5" x14ac:dyDescent="0.25">
      <c r="A3660" s="24" t="s">
        <v>7</v>
      </c>
      <c r="B3660" s="24" t="s">
        <v>9548</v>
      </c>
      <c r="C3660" s="25" t="s">
        <v>9549</v>
      </c>
      <c r="D3660" s="25" t="s">
        <v>9550</v>
      </c>
      <c r="E3660" s="26">
        <v>1</v>
      </c>
    </row>
    <row r="3661" spans="1:5" x14ac:dyDescent="0.25">
      <c r="A3661" s="24" t="s">
        <v>7</v>
      </c>
      <c r="B3661" s="24" t="s">
        <v>9551</v>
      </c>
      <c r="C3661" s="25" t="s">
        <v>9552</v>
      </c>
      <c r="D3661" s="25" t="s">
        <v>9553</v>
      </c>
      <c r="E3661" s="26">
        <v>6</v>
      </c>
    </row>
    <row r="3662" spans="1:5" x14ac:dyDescent="0.25">
      <c r="A3662" s="24" t="s">
        <v>7</v>
      </c>
      <c r="B3662" s="24" t="s">
        <v>9554</v>
      </c>
      <c r="C3662" s="25" t="s">
        <v>9555</v>
      </c>
      <c r="D3662" s="25" t="s">
        <v>9556</v>
      </c>
      <c r="E3662" s="26">
        <v>7</v>
      </c>
    </row>
    <row r="3663" spans="1:5" x14ac:dyDescent="0.25">
      <c r="A3663" s="24" t="s">
        <v>7</v>
      </c>
      <c r="B3663" s="24" t="s">
        <v>9557</v>
      </c>
      <c r="C3663" s="25" t="s">
        <v>9558</v>
      </c>
      <c r="D3663" s="25" t="s">
        <v>9559</v>
      </c>
      <c r="E3663" s="26">
        <v>2</v>
      </c>
    </row>
    <row r="3664" spans="1:5" x14ac:dyDescent="0.25">
      <c r="A3664" s="24" t="s">
        <v>7</v>
      </c>
      <c r="B3664" s="24" t="s">
        <v>9560</v>
      </c>
      <c r="C3664" s="25" t="s">
        <v>9561</v>
      </c>
      <c r="D3664" s="25" t="s">
        <v>9562</v>
      </c>
      <c r="E3664" s="26">
        <v>2</v>
      </c>
    </row>
    <row r="3665" spans="1:7" x14ac:dyDescent="0.25">
      <c r="A3665" s="24" t="s">
        <v>7</v>
      </c>
      <c r="B3665" s="24" t="s">
        <v>9563</v>
      </c>
      <c r="C3665" s="25" t="s">
        <v>9564</v>
      </c>
      <c r="D3665" s="25" t="s">
        <v>9565</v>
      </c>
      <c r="E3665" s="26">
        <v>2</v>
      </c>
    </row>
    <row r="3666" spans="1:7" x14ac:dyDescent="0.25">
      <c r="A3666" s="24" t="s">
        <v>7</v>
      </c>
      <c r="B3666" s="24" t="s">
        <v>9566</v>
      </c>
      <c r="C3666" s="25" t="s">
        <v>9567</v>
      </c>
      <c r="D3666" s="25" t="s">
        <v>9568</v>
      </c>
      <c r="E3666" s="26">
        <v>207</v>
      </c>
    </row>
    <row r="3667" spans="1:7" x14ac:dyDescent="0.25">
      <c r="A3667" s="24" t="s">
        <v>7</v>
      </c>
      <c r="B3667" s="24" t="s">
        <v>9569</v>
      </c>
      <c r="C3667" s="25" t="s">
        <v>9570</v>
      </c>
      <c r="D3667" s="25" t="s">
        <v>9571</v>
      </c>
      <c r="E3667" s="26">
        <v>24</v>
      </c>
    </row>
    <row r="3668" spans="1:7" x14ac:dyDescent="0.25">
      <c r="A3668" s="24" t="s">
        <v>7</v>
      </c>
      <c r="B3668" s="24" t="s">
        <v>9572</v>
      </c>
      <c r="C3668" s="25" t="s">
        <v>9573</v>
      </c>
      <c r="D3668" s="25" t="s">
        <v>9574</v>
      </c>
      <c r="E3668" s="26">
        <v>18</v>
      </c>
    </row>
    <row r="3669" spans="1:7" x14ac:dyDescent="0.25">
      <c r="A3669" s="24" t="s">
        <v>7</v>
      </c>
      <c r="B3669" s="24" t="s">
        <v>9575</v>
      </c>
      <c r="C3669" s="25" t="s">
        <v>9576</v>
      </c>
      <c r="D3669" s="25" t="s">
        <v>9577</v>
      </c>
      <c r="E3669" s="26">
        <v>0</v>
      </c>
      <c r="F3669" s="24" t="s">
        <v>9578</v>
      </c>
      <c r="G3669" s="27" t="s">
        <v>22610</v>
      </c>
    </row>
    <row r="3670" spans="1:7" x14ac:dyDescent="0.25">
      <c r="A3670" s="24" t="s">
        <v>7</v>
      </c>
      <c r="B3670" s="24" t="s">
        <v>9579</v>
      </c>
      <c r="C3670" s="25" t="s">
        <v>9580</v>
      </c>
      <c r="D3670" s="25" t="s">
        <v>9581</v>
      </c>
      <c r="E3670" s="26">
        <v>19</v>
      </c>
    </row>
    <row r="3671" spans="1:7" x14ac:dyDescent="0.25">
      <c r="A3671" s="24" t="s">
        <v>7</v>
      </c>
      <c r="B3671" s="24" t="s">
        <v>9582</v>
      </c>
      <c r="C3671" s="25" t="s">
        <v>9583</v>
      </c>
      <c r="D3671" s="25" t="s">
        <v>9584</v>
      </c>
      <c r="E3671" s="26">
        <v>17</v>
      </c>
    </row>
    <row r="3672" spans="1:7" x14ac:dyDescent="0.25">
      <c r="A3672" s="24" t="s">
        <v>7</v>
      </c>
      <c r="B3672" s="24" t="s">
        <v>9585</v>
      </c>
      <c r="C3672" s="25" t="s">
        <v>9586</v>
      </c>
      <c r="D3672" s="25" t="s">
        <v>9587</v>
      </c>
      <c r="E3672" s="26">
        <v>33</v>
      </c>
    </row>
    <row r="3673" spans="1:7" x14ac:dyDescent="0.25">
      <c r="A3673" s="24" t="s">
        <v>7</v>
      </c>
      <c r="B3673" s="24" t="s">
        <v>9588</v>
      </c>
      <c r="C3673" s="25" t="s">
        <v>9589</v>
      </c>
      <c r="D3673" s="25" t="s">
        <v>9590</v>
      </c>
      <c r="E3673" s="26">
        <v>41</v>
      </c>
    </row>
    <row r="3674" spans="1:7" x14ac:dyDescent="0.25">
      <c r="A3674" s="24" t="s">
        <v>7</v>
      </c>
      <c r="B3674" s="24" t="s">
        <v>9591</v>
      </c>
      <c r="C3674" s="25" t="s">
        <v>9592</v>
      </c>
      <c r="D3674" s="25" t="s">
        <v>9593</v>
      </c>
      <c r="E3674" s="26">
        <v>10</v>
      </c>
    </row>
    <row r="3675" spans="1:7" x14ac:dyDescent="0.25">
      <c r="A3675" s="24" t="s">
        <v>7</v>
      </c>
      <c r="B3675" s="24" t="s">
        <v>9594</v>
      </c>
      <c r="C3675" s="25" t="s">
        <v>9595</v>
      </c>
      <c r="D3675" s="25" t="s">
        <v>9596</v>
      </c>
      <c r="E3675" s="26">
        <v>1</v>
      </c>
    </row>
    <row r="3676" spans="1:7" x14ac:dyDescent="0.25">
      <c r="A3676" s="24" t="s">
        <v>7</v>
      </c>
      <c r="B3676" s="24" t="s">
        <v>9597</v>
      </c>
      <c r="C3676" s="25" t="s">
        <v>9598</v>
      </c>
      <c r="D3676" s="25" t="s">
        <v>9599</v>
      </c>
      <c r="E3676" s="26">
        <v>2</v>
      </c>
    </row>
    <row r="3677" spans="1:7" x14ac:dyDescent="0.25">
      <c r="A3677" s="24" t="s">
        <v>7</v>
      </c>
      <c r="B3677" s="24" t="s">
        <v>9600</v>
      </c>
      <c r="C3677" s="25" t="s">
        <v>9601</v>
      </c>
      <c r="D3677" s="25" t="s">
        <v>9602</v>
      </c>
      <c r="E3677" s="26">
        <v>46</v>
      </c>
    </row>
    <row r="3678" spans="1:7" x14ac:dyDescent="0.25">
      <c r="A3678" s="24" t="s">
        <v>7</v>
      </c>
      <c r="B3678" s="24" t="s">
        <v>9603</v>
      </c>
      <c r="C3678" s="25" t="s">
        <v>9604</v>
      </c>
      <c r="D3678" s="25" t="s">
        <v>9605</v>
      </c>
      <c r="E3678" s="26">
        <v>18</v>
      </c>
    </row>
    <row r="3679" spans="1:7" x14ac:dyDescent="0.25">
      <c r="A3679" s="24" t="s">
        <v>7</v>
      </c>
      <c r="B3679" s="24" t="s">
        <v>9606</v>
      </c>
      <c r="C3679" s="25" t="s">
        <v>9607</v>
      </c>
      <c r="D3679" s="25" t="s">
        <v>9608</v>
      </c>
      <c r="E3679" s="26">
        <v>5</v>
      </c>
    </row>
    <row r="3680" spans="1:7" x14ac:dyDescent="0.25">
      <c r="A3680" s="24" t="s">
        <v>7</v>
      </c>
      <c r="B3680" s="24" t="s">
        <v>9609</v>
      </c>
      <c r="C3680" s="25" t="s">
        <v>9610</v>
      </c>
      <c r="D3680" s="25" t="s">
        <v>9611</v>
      </c>
      <c r="E3680" s="26">
        <v>26</v>
      </c>
    </row>
    <row r="3681" spans="1:5" x14ac:dyDescent="0.25">
      <c r="A3681" s="24" t="s">
        <v>7</v>
      </c>
      <c r="B3681" s="24" t="s">
        <v>9612</v>
      </c>
      <c r="C3681" s="25" t="s">
        <v>9613</v>
      </c>
      <c r="D3681" s="25" t="s">
        <v>9614</v>
      </c>
      <c r="E3681" s="26">
        <v>24</v>
      </c>
    </row>
    <row r="3682" spans="1:5" x14ac:dyDescent="0.25">
      <c r="A3682" s="24" t="s">
        <v>7</v>
      </c>
      <c r="B3682" s="24" t="s">
        <v>9615</v>
      </c>
      <c r="C3682" s="25" t="s">
        <v>9616</v>
      </c>
      <c r="D3682" s="25" t="s">
        <v>9617</v>
      </c>
      <c r="E3682" s="26">
        <v>24</v>
      </c>
    </row>
    <row r="3683" spans="1:5" x14ac:dyDescent="0.25">
      <c r="A3683" s="24" t="s">
        <v>7</v>
      </c>
      <c r="B3683" s="24" t="s">
        <v>9618</v>
      </c>
      <c r="C3683" s="25" t="s">
        <v>9619</v>
      </c>
      <c r="D3683" s="25" t="s">
        <v>9620</v>
      </c>
      <c r="E3683" s="26">
        <v>12</v>
      </c>
    </row>
    <row r="3684" spans="1:5" x14ac:dyDescent="0.25">
      <c r="A3684" s="24" t="s">
        <v>7</v>
      </c>
      <c r="B3684" s="24" t="s">
        <v>9621</v>
      </c>
      <c r="C3684" s="25" t="s">
        <v>9622</v>
      </c>
      <c r="D3684" s="25" t="s">
        <v>9623</v>
      </c>
      <c r="E3684" s="26">
        <v>31</v>
      </c>
    </row>
    <row r="3685" spans="1:5" x14ac:dyDescent="0.25">
      <c r="A3685" s="24" t="s">
        <v>7</v>
      </c>
      <c r="B3685" s="24" t="s">
        <v>9624</v>
      </c>
      <c r="C3685" s="25" t="s">
        <v>9625</v>
      </c>
      <c r="D3685" s="25" t="s">
        <v>9626</v>
      </c>
      <c r="E3685" s="26">
        <v>24</v>
      </c>
    </row>
    <row r="3686" spans="1:5" x14ac:dyDescent="0.25">
      <c r="A3686" s="24" t="s">
        <v>7</v>
      </c>
      <c r="B3686" s="24" t="s">
        <v>9627</v>
      </c>
      <c r="C3686" s="25" t="s">
        <v>9628</v>
      </c>
      <c r="D3686" s="25" t="s">
        <v>9629</v>
      </c>
      <c r="E3686" s="26">
        <v>7</v>
      </c>
    </row>
    <row r="3687" spans="1:5" x14ac:dyDescent="0.25">
      <c r="A3687" s="24" t="s">
        <v>7</v>
      </c>
      <c r="B3687" s="24" t="s">
        <v>9630</v>
      </c>
      <c r="C3687" s="25" t="s">
        <v>9631</v>
      </c>
      <c r="D3687" s="25" t="s">
        <v>9632</v>
      </c>
      <c r="E3687" s="26">
        <v>11</v>
      </c>
    </row>
    <row r="3688" spans="1:5" x14ac:dyDescent="0.25">
      <c r="A3688" s="24" t="s">
        <v>7</v>
      </c>
      <c r="B3688" s="24" t="s">
        <v>9633</v>
      </c>
      <c r="C3688" s="25" t="s">
        <v>9634</v>
      </c>
      <c r="D3688" s="25" t="s">
        <v>9635</v>
      </c>
      <c r="E3688" s="26">
        <v>15</v>
      </c>
    </row>
    <row r="3689" spans="1:5" x14ac:dyDescent="0.25">
      <c r="A3689" s="24" t="s">
        <v>7</v>
      </c>
      <c r="B3689" s="24" t="s">
        <v>9636</v>
      </c>
      <c r="C3689" s="25" t="s">
        <v>9637</v>
      </c>
      <c r="D3689" s="25" t="s">
        <v>9638</v>
      </c>
      <c r="E3689" s="26">
        <v>90</v>
      </c>
    </row>
    <row r="3690" spans="1:5" x14ac:dyDescent="0.25">
      <c r="A3690" s="24" t="s">
        <v>7</v>
      </c>
      <c r="B3690" s="24" t="s">
        <v>9639</v>
      </c>
      <c r="C3690" s="25" t="s">
        <v>9640</v>
      </c>
      <c r="D3690" s="25" t="s">
        <v>9641</v>
      </c>
      <c r="E3690" s="26">
        <v>19</v>
      </c>
    </row>
    <row r="3691" spans="1:5" x14ac:dyDescent="0.25">
      <c r="A3691" s="24" t="s">
        <v>7</v>
      </c>
      <c r="B3691" s="24" t="s">
        <v>9642</v>
      </c>
      <c r="C3691" s="25" t="s">
        <v>9643</v>
      </c>
      <c r="D3691" s="25" t="s">
        <v>9644</v>
      </c>
      <c r="E3691" s="26">
        <v>82</v>
      </c>
    </row>
    <row r="3692" spans="1:5" x14ac:dyDescent="0.25">
      <c r="A3692" s="24" t="s">
        <v>7</v>
      </c>
      <c r="B3692" s="24" t="s">
        <v>9645</v>
      </c>
      <c r="C3692" s="25" t="s">
        <v>9646</v>
      </c>
      <c r="D3692" s="25" t="s">
        <v>9647</v>
      </c>
      <c r="E3692" s="26">
        <v>24</v>
      </c>
    </row>
    <row r="3693" spans="1:5" x14ac:dyDescent="0.25">
      <c r="A3693" s="24" t="s">
        <v>7</v>
      </c>
      <c r="B3693" s="24" t="s">
        <v>9648</v>
      </c>
      <c r="C3693" s="25" t="s">
        <v>9649</v>
      </c>
      <c r="D3693" s="25" t="s">
        <v>9650</v>
      </c>
      <c r="E3693" s="26">
        <v>1</v>
      </c>
    </row>
    <row r="3694" spans="1:5" x14ac:dyDescent="0.25">
      <c r="A3694" s="24" t="s">
        <v>7</v>
      </c>
      <c r="B3694" s="24" t="s">
        <v>9651</v>
      </c>
      <c r="C3694" s="25" t="s">
        <v>9652</v>
      </c>
      <c r="D3694" s="25" t="s">
        <v>9653</v>
      </c>
      <c r="E3694" s="26">
        <v>1</v>
      </c>
    </row>
    <row r="3695" spans="1:5" x14ac:dyDescent="0.25">
      <c r="A3695" s="24" t="s">
        <v>7</v>
      </c>
      <c r="B3695" s="24" t="s">
        <v>9654</v>
      </c>
      <c r="C3695" s="25" t="s">
        <v>9655</v>
      </c>
      <c r="D3695" s="25" t="s">
        <v>9656</v>
      </c>
      <c r="E3695" s="26">
        <v>574</v>
      </c>
    </row>
    <row r="3696" spans="1:5" x14ac:dyDescent="0.25">
      <c r="A3696" s="24" t="s">
        <v>7</v>
      </c>
      <c r="B3696" s="24" t="s">
        <v>9657</v>
      </c>
      <c r="C3696" s="25" t="s">
        <v>9658</v>
      </c>
      <c r="D3696" s="25" t="s">
        <v>9659</v>
      </c>
      <c r="E3696" s="26">
        <v>693</v>
      </c>
    </row>
    <row r="3697" spans="1:5" x14ac:dyDescent="0.25">
      <c r="A3697" s="24" t="s">
        <v>7</v>
      </c>
      <c r="B3697" s="24" t="s">
        <v>9660</v>
      </c>
      <c r="C3697" s="25" t="s">
        <v>9661</v>
      </c>
      <c r="D3697" s="25" t="s">
        <v>9662</v>
      </c>
      <c r="E3697" s="26">
        <v>5</v>
      </c>
    </row>
    <row r="3698" spans="1:5" x14ac:dyDescent="0.25">
      <c r="A3698" s="24" t="s">
        <v>7</v>
      </c>
      <c r="B3698" s="24" t="s">
        <v>9663</v>
      </c>
      <c r="C3698" s="25" t="s">
        <v>9664</v>
      </c>
      <c r="D3698" s="25" t="s">
        <v>9665</v>
      </c>
      <c r="E3698" s="26">
        <v>11</v>
      </c>
    </row>
    <row r="3699" spans="1:5" x14ac:dyDescent="0.25">
      <c r="A3699" s="24" t="s">
        <v>7</v>
      </c>
      <c r="B3699" s="24" t="s">
        <v>9666</v>
      </c>
      <c r="C3699" s="25" t="s">
        <v>9667</v>
      </c>
      <c r="D3699" s="25" t="s">
        <v>9668</v>
      </c>
      <c r="E3699" s="26">
        <v>4</v>
      </c>
    </row>
    <row r="3700" spans="1:5" x14ac:dyDescent="0.25">
      <c r="A3700" s="24" t="s">
        <v>7</v>
      </c>
      <c r="B3700" s="24" t="s">
        <v>9669</v>
      </c>
      <c r="C3700" s="25" t="s">
        <v>9670</v>
      </c>
      <c r="D3700" s="25" t="s">
        <v>9671</v>
      </c>
      <c r="E3700" s="26">
        <v>3</v>
      </c>
    </row>
    <row r="3701" spans="1:5" x14ac:dyDescent="0.25">
      <c r="A3701" s="24" t="s">
        <v>7</v>
      </c>
      <c r="B3701" s="24" t="s">
        <v>9672</v>
      </c>
      <c r="C3701" s="25" t="s">
        <v>9673</v>
      </c>
      <c r="D3701" s="25" t="s">
        <v>9674</v>
      </c>
      <c r="E3701" s="26">
        <v>4</v>
      </c>
    </row>
    <row r="3702" spans="1:5" x14ac:dyDescent="0.25">
      <c r="A3702" s="24" t="s">
        <v>7</v>
      </c>
      <c r="B3702" s="24" t="s">
        <v>9675</v>
      </c>
      <c r="C3702" s="25" t="s">
        <v>9676</v>
      </c>
      <c r="D3702" s="25" t="s">
        <v>9677</v>
      </c>
      <c r="E3702" s="26">
        <v>55</v>
      </c>
    </row>
    <row r="3703" spans="1:5" x14ac:dyDescent="0.25">
      <c r="A3703" s="24" t="s">
        <v>7</v>
      </c>
      <c r="B3703" s="24" t="s">
        <v>9678</v>
      </c>
      <c r="C3703" s="25" t="s">
        <v>9679</v>
      </c>
      <c r="D3703" s="25" t="s">
        <v>9680</v>
      </c>
      <c r="E3703" s="26">
        <v>28</v>
      </c>
    </row>
    <row r="3704" spans="1:5" x14ac:dyDescent="0.25">
      <c r="A3704" s="24" t="s">
        <v>7</v>
      </c>
      <c r="B3704" s="24" t="s">
        <v>9681</v>
      </c>
      <c r="C3704" s="25" t="s">
        <v>9682</v>
      </c>
      <c r="D3704" s="25" t="s">
        <v>9683</v>
      </c>
      <c r="E3704" s="26">
        <v>3</v>
      </c>
    </row>
    <row r="3705" spans="1:5" x14ac:dyDescent="0.25">
      <c r="A3705" s="24" t="s">
        <v>7</v>
      </c>
      <c r="B3705" s="24" t="s">
        <v>9684</v>
      </c>
      <c r="C3705" s="25" t="s">
        <v>9685</v>
      </c>
      <c r="D3705" s="25" t="s">
        <v>9686</v>
      </c>
      <c r="E3705" s="26">
        <v>4</v>
      </c>
    </row>
    <row r="3706" spans="1:5" x14ac:dyDescent="0.25">
      <c r="A3706" s="24" t="s">
        <v>7</v>
      </c>
      <c r="B3706" s="24" t="s">
        <v>9687</v>
      </c>
      <c r="C3706" s="25" t="s">
        <v>9688</v>
      </c>
      <c r="D3706" s="25" t="s">
        <v>9689</v>
      </c>
      <c r="E3706" s="26">
        <v>4</v>
      </c>
    </row>
    <row r="3707" spans="1:5" x14ac:dyDescent="0.25">
      <c r="A3707" s="24" t="s">
        <v>7</v>
      </c>
      <c r="B3707" s="24" t="s">
        <v>9690</v>
      </c>
      <c r="C3707" s="25" t="s">
        <v>9691</v>
      </c>
      <c r="D3707" s="25" t="s">
        <v>9692</v>
      </c>
      <c r="E3707" s="26">
        <v>1</v>
      </c>
    </row>
    <row r="3708" spans="1:5" x14ac:dyDescent="0.25">
      <c r="A3708" s="24" t="s">
        <v>7</v>
      </c>
      <c r="B3708" s="24" t="s">
        <v>9693</v>
      </c>
      <c r="C3708" s="25" t="s">
        <v>9694</v>
      </c>
      <c r="D3708" s="25" t="s">
        <v>9695</v>
      </c>
      <c r="E3708" s="26">
        <v>36</v>
      </c>
    </row>
    <row r="3709" spans="1:5" x14ac:dyDescent="0.25">
      <c r="A3709" s="24" t="s">
        <v>7</v>
      </c>
      <c r="B3709" s="24" t="s">
        <v>9696</v>
      </c>
      <c r="C3709" s="25" t="s">
        <v>9697</v>
      </c>
      <c r="D3709" s="25" t="s">
        <v>9698</v>
      </c>
      <c r="E3709" s="26">
        <v>19</v>
      </c>
    </row>
    <row r="3710" spans="1:5" x14ac:dyDescent="0.25">
      <c r="A3710" s="24" t="s">
        <v>7</v>
      </c>
      <c r="B3710" s="24" t="s">
        <v>9699</v>
      </c>
      <c r="C3710" s="25" t="s">
        <v>9700</v>
      </c>
      <c r="D3710" s="25" t="s">
        <v>9701</v>
      </c>
      <c r="E3710" s="26">
        <v>1</v>
      </c>
    </row>
    <row r="3711" spans="1:5" x14ac:dyDescent="0.25">
      <c r="A3711" s="24" t="s">
        <v>7</v>
      </c>
      <c r="B3711" s="24" t="s">
        <v>9702</v>
      </c>
      <c r="C3711" s="25" t="s">
        <v>9703</v>
      </c>
      <c r="D3711" s="25" t="s">
        <v>9704</v>
      </c>
      <c r="E3711" s="26">
        <v>78</v>
      </c>
    </row>
    <row r="3712" spans="1:5" x14ac:dyDescent="0.25">
      <c r="A3712" s="24" t="s">
        <v>7</v>
      </c>
      <c r="B3712" s="24" t="s">
        <v>9705</v>
      </c>
      <c r="C3712" s="25" t="s">
        <v>9706</v>
      </c>
      <c r="D3712" s="25" t="s">
        <v>9707</v>
      </c>
      <c r="E3712" s="26">
        <v>26</v>
      </c>
    </row>
    <row r="3713" spans="1:5" x14ac:dyDescent="0.25">
      <c r="A3713" s="24" t="s">
        <v>7</v>
      </c>
      <c r="B3713" s="24" t="s">
        <v>9708</v>
      </c>
      <c r="C3713" s="25" t="s">
        <v>9709</v>
      </c>
      <c r="D3713" s="25" t="s">
        <v>9710</v>
      </c>
      <c r="E3713" s="26">
        <v>24</v>
      </c>
    </row>
    <row r="3714" spans="1:5" x14ac:dyDescent="0.25">
      <c r="A3714" s="24" t="s">
        <v>7</v>
      </c>
      <c r="B3714" s="24" t="s">
        <v>9711</v>
      </c>
      <c r="C3714" s="25" t="s">
        <v>9712</v>
      </c>
      <c r="D3714" s="25" t="s">
        <v>9713</v>
      </c>
      <c r="E3714" s="26">
        <v>2</v>
      </c>
    </row>
    <row r="3715" spans="1:5" x14ac:dyDescent="0.25">
      <c r="A3715" s="24" t="s">
        <v>7</v>
      </c>
      <c r="B3715" s="24" t="s">
        <v>9714</v>
      </c>
      <c r="C3715" s="25" t="s">
        <v>9715</v>
      </c>
      <c r="D3715" s="25" t="s">
        <v>9716</v>
      </c>
      <c r="E3715" s="26">
        <v>2</v>
      </c>
    </row>
    <row r="3716" spans="1:5" x14ac:dyDescent="0.25">
      <c r="A3716" s="24" t="s">
        <v>7</v>
      </c>
      <c r="B3716" s="24" t="s">
        <v>9717</v>
      </c>
      <c r="C3716" s="25" t="s">
        <v>9718</v>
      </c>
      <c r="D3716" s="25" t="s">
        <v>9719</v>
      </c>
      <c r="E3716" s="26">
        <v>1</v>
      </c>
    </row>
    <row r="3717" spans="1:5" x14ac:dyDescent="0.25">
      <c r="A3717" s="24" t="s">
        <v>7</v>
      </c>
      <c r="B3717" s="24" t="s">
        <v>9720</v>
      </c>
      <c r="C3717" s="25" t="s">
        <v>9721</v>
      </c>
      <c r="D3717" s="25" t="s">
        <v>9722</v>
      </c>
      <c r="E3717" s="26">
        <v>24</v>
      </c>
    </row>
    <row r="3718" spans="1:5" x14ac:dyDescent="0.25">
      <c r="A3718" s="24" t="s">
        <v>7</v>
      </c>
      <c r="B3718" s="24" t="s">
        <v>9723</v>
      </c>
      <c r="C3718" s="25" t="s">
        <v>9724</v>
      </c>
      <c r="D3718" s="25" t="s">
        <v>9725</v>
      </c>
      <c r="E3718" s="26">
        <v>24</v>
      </c>
    </row>
    <row r="3719" spans="1:5" x14ac:dyDescent="0.25">
      <c r="A3719" s="24" t="s">
        <v>7</v>
      </c>
      <c r="B3719" s="24" t="s">
        <v>9726</v>
      </c>
      <c r="C3719" s="25" t="s">
        <v>9727</v>
      </c>
      <c r="D3719" s="25" t="s">
        <v>9728</v>
      </c>
      <c r="E3719" s="26">
        <v>24</v>
      </c>
    </row>
    <row r="3720" spans="1:5" x14ac:dyDescent="0.25">
      <c r="A3720" s="24" t="s">
        <v>7</v>
      </c>
      <c r="B3720" s="24" t="s">
        <v>9729</v>
      </c>
      <c r="C3720" s="25" t="s">
        <v>9730</v>
      </c>
      <c r="D3720" s="25" t="s">
        <v>9731</v>
      </c>
      <c r="E3720" s="26">
        <v>1</v>
      </c>
    </row>
    <row r="3721" spans="1:5" x14ac:dyDescent="0.25">
      <c r="A3721" s="24" t="s">
        <v>7</v>
      </c>
      <c r="B3721" s="24" t="s">
        <v>9732</v>
      </c>
      <c r="C3721" s="25" t="s">
        <v>9733</v>
      </c>
      <c r="D3721" s="25" t="s">
        <v>9734</v>
      </c>
      <c r="E3721" s="26">
        <v>18</v>
      </c>
    </row>
    <row r="3722" spans="1:5" x14ac:dyDescent="0.25">
      <c r="A3722" s="24" t="s">
        <v>7</v>
      </c>
      <c r="B3722" s="24" t="s">
        <v>9735</v>
      </c>
      <c r="C3722" s="25" t="s">
        <v>9736</v>
      </c>
      <c r="D3722" s="25" t="s">
        <v>9737</v>
      </c>
      <c r="E3722" s="26">
        <v>24</v>
      </c>
    </row>
    <row r="3723" spans="1:5" x14ac:dyDescent="0.25">
      <c r="A3723" s="24" t="s">
        <v>7</v>
      </c>
      <c r="B3723" s="24" t="s">
        <v>9738</v>
      </c>
      <c r="C3723" s="25" t="s">
        <v>9739</v>
      </c>
      <c r="D3723" s="25" t="s">
        <v>9740</v>
      </c>
      <c r="E3723" s="26">
        <v>24</v>
      </c>
    </row>
    <row r="3724" spans="1:5" x14ac:dyDescent="0.25">
      <c r="A3724" s="24" t="s">
        <v>7</v>
      </c>
      <c r="B3724" s="24" t="s">
        <v>9741</v>
      </c>
      <c r="C3724" s="25" t="s">
        <v>9742</v>
      </c>
      <c r="D3724" s="25" t="s">
        <v>9743</v>
      </c>
      <c r="E3724" s="26">
        <v>19</v>
      </c>
    </row>
    <row r="3725" spans="1:5" x14ac:dyDescent="0.25">
      <c r="A3725" s="24" t="s">
        <v>7</v>
      </c>
      <c r="B3725" s="24" t="s">
        <v>9744</v>
      </c>
      <c r="C3725" s="25" t="s">
        <v>9745</v>
      </c>
      <c r="D3725" s="25" t="s">
        <v>9746</v>
      </c>
      <c r="E3725" s="26">
        <v>51</v>
      </c>
    </row>
    <row r="3726" spans="1:5" x14ac:dyDescent="0.25">
      <c r="A3726" s="24" t="s">
        <v>7</v>
      </c>
      <c r="B3726" s="24" t="s">
        <v>9747</v>
      </c>
      <c r="C3726" s="25" t="s">
        <v>9748</v>
      </c>
      <c r="D3726" s="25" t="s">
        <v>9749</v>
      </c>
      <c r="E3726" s="26">
        <v>24</v>
      </c>
    </row>
    <row r="3727" spans="1:5" x14ac:dyDescent="0.25">
      <c r="A3727" s="24" t="s">
        <v>7</v>
      </c>
      <c r="B3727" s="24" t="s">
        <v>9750</v>
      </c>
      <c r="C3727" s="25" t="s">
        <v>9751</v>
      </c>
      <c r="D3727" s="25" t="s">
        <v>9752</v>
      </c>
      <c r="E3727" s="26">
        <v>16</v>
      </c>
    </row>
    <row r="3728" spans="1:5" x14ac:dyDescent="0.25">
      <c r="A3728" s="24" t="s">
        <v>7</v>
      </c>
      <c r="B3728" s="24" t="s">
        <v>9753</v>
      </c>
      <c r="C3728" s="25" t="s">
        <v>9754</v>
      </c>
      <c r="D3728" s="25" t="s">
        <v>9755</v>
      </c>
      <c r="E3728" s="26">
        <v>11</v>
      </c>
    </row>
    <row r="3729" spans="1:5" x14ac:dyDescent="0.25">
      <c r="A3729" s="24" t="s">
        <v>7</v>
      </c>
      <c r="B3729" s="24" t="s">
        <v>9756</v>
      </c>
      <c r="C3729" s="25" t="s">
        <v>9757</v>
      </c>
      <c r="D3729" s="25" t="s">
        <v>9758</v>
      </c>
      <c r="E3729" s="26">
        <v>17</v>
      </c>
    </row>
    <row r="3730" spans="1:5" x14ac:dyDescent="0.25">
      <c r="A3730" s="24" t="s">
        <v>7</v>
      </c>
      <c r="B3730" s="24" t="s">
        <v>9759</v>
      </c>
      <c r="C3730" s="25" t="s">
        <v>9760</v>
      </c>
      <c r="D3730" s="25" t="s">
        <v>9761</v>
      </c>
      <c r="E3730" s="26">
        <v>7</v>
      </c>
    </row>
    <row r="3731" spans="1:5" x14ac:dyDescent="0.25">
      <c r="A3731" s="24" t="s">
        <v>7</v>
      </c>
      <c r="B3731" s="24" t="s">
        <v>9762</v>
      </c>
      <c r="C3731" s="25" t="s">
        <v>9763</v>
      </c>
      <c r="D3731" s="25" t="s">
        <v>9764</v>
      </c>
      <c r="E3731" s="26">
        <v>3</v>
      </c>
    </row>
    <row r="3732" spans="1:5" x14ac:dyDescent="0.25">
      <c r="A3732" s="24" t="s">
        <v>7</v>
      </c>
      <c r="B3732" s="24" t="s">
        <v>9765</v>
      </c>
      <c r="C3732" s="25" t="s">
        <v>9766</v>
      </c>
      <c r="D3732" s="25" t="s">
        <v>9767</v>
      </c>
      <c r="E3732" s="26">
        <v>4</v>
      </c>
    </row>
    <row r="3733" spans="1:5" x14ac:dyDescent="0.25">
      <c r="A3733" s="24" t="s">
        <v>7</v>
      </c>
      <c r="B3733" s="24" t="s">
        <v>9768</v>
      </c>
      <c r="C3733" s="25" t="s">
        <v>9769</v>
      </c>
      <c r="D3733" s="25" t="s">
        <v>9770</v>
      </c>
      <c r="E3733" s="26">
        <v>2</v>
      </c>
    </row>
    <row r="3734" spans="1:5" x14ac:dyDescent="0.25">
      <c r="A3734" s="24" t="s">
        <v>7</v>
      </c>
      <c r="B3734" s="24" t="s">
        <v>9771</v>
      </c>
      <c r="C3734" s="25" t="s">
        <v>9772</v>
      </c>
      <c r="D3734" s="25" t="s">
        <v>9773</v>
      </c>
      <c r="E3734" s="26">
        <v>2</v>
      </c>
    </row>
    <row r="3735" spans="1:5" x14ac:dyDescent="0.25">
      <c r="A3735" s="24" t="s">
        <v>7</v>
      </c>
      <c r="B3735" s="24" t="s">
        <v>9774</v>
      </c>
      <c r="C3735" s="25" t="s">
        <v>9775</v>
      </c>
      <c r="D3735" s="25" t="s">
        <v>9776</v>
      </c>
      <c r="E3735" s="26">
        <v>30</v>
      </c>
    </row>
    <row r="3736" spans="1:5" x14ac:dyDescent="0.25">
      <c r="A3736" s="24" t="s">
        <v>7</v>
      </c>
      <c r="B3736" s="24" t="s">
        <v>9777</v>
      </c>
      <c r="C3736" s="25" t="s">
        <v>9778</v>
      </c>
      <c r="D3736" s="25" t="s">
        <v>9779</v>
      </c>
      <c r="E3736" s="26">
        <v>1</v>
      </c>
    </row>
    <row r="3737" spans="1:5" x14ac:dyDescent="0.25">
      <c r="A3737" s="24" t="s">
        <v>7</v>
      </c>
      <c r="B3737" s="24" t="s">
        <v>9780</v>
      </c>
      <c r="C3737" s="25" t="s">
        <v>9781</v>
      </c>
      <c r="D3737" s="25" t="s">
        <v>9782</v>
      </c>
      <c r="E3737" s="26">
        <v>10</v>
      </c>
    </row>
    <row r="3738" spans="1:5" x14ac:dyDescent="0.25">
      <c r="A3738" s="24" t="s">
        <v>7</v>
      </c>
      <c r="B3738" s="24" t="s">
        <v>9783</v>
      </c>
      <c r="C3738" s="25" t="s">
        <v>9784</v>
      </c>
      <c r="D3738" s="25" t="s">
        <v>9785</v>
      </c>
      <c r="E3738" s="26">
        <v>5</v>
      </c>
    </row>
    <row r="3739" spans="1:5" x14ac:dyDescent="0.25">
      <c r="A3739" s="24" t="s">
        <v>7</v>
      </c>
      <c r="B3739" s="24" t="s">
        <v>9786</v>
      </c>
      <c r="C3739" s="25" t="s">
        <v>9787</v>
      </c>
      <c r="D3739" s="25" t="s">
        <v>9788</v>
      </c>
      <c r="E3739" s="26">
        <v>2</v>
      </c>
    </row>
    <row r="3740" spans="1:5" x14ac:dyDescent="0.25">
      <c r="A3740" s="24" t="s">
        <v>7</v>
      </c>
      <c r="B3740" s="24" t="s">
        <v>9789</v>
      </c>
      <c r="C3740" s="25" t="s">
        <v>9790</v>
      </c>
      <c r="D3740" s="25" t="s">
        <v>9791</v>
      </c>
      <c r="E3740" s="26">
        <v>2</v>
      </c>
    </row>
    <row r="3741" spans="1:5" x14ac:dyDescent="0.25">
      <c r="A3741" s="24" t="s">
        <v>7</v>
      </c>
      <c r="B3741" s="24" t="s">
        <v>9792</v>
      </c>
      <c r="C3741" s="25" t="s">
        <v>9793</v>
      </c>
      <c r="D3741" s="25" t="s">
        <v>9794</v>
      </c>
      <c r="E3741" s="26">
        <v>5</v>
      </c>
    </row>
    <row r="3742" spans="1:5" x14ac:dyDescent="0.25">
      <c r="A3742" s="24" t="s">
        <v>7</v>
      </c>
      <c r="B3742" s="24" t="s">
        <v>9795</v>
      </c>
      <c r="C3742" s="25" t="s">
        <v>9796</v>
      </c>
      <c r="D3742" s="25" t="s">
        <v>9797</v>
      </c>
      <c r="E3742" s="26">
        <v>2</v>
      </c>
    </row>
    <row r="3743" spans="1:5" x14ac:dyDescent="0.25">
      <c r="A3743" s="24" t="s">
        <v>7</v>
      </c>
      <c r="B3743" s="24" t="s">
        <v>9798</v>
      </c>
      <c r="C3743" s="25" t="s">
        <v>9799</v>
      </c>
      <c r="D3743" s="25" t="s">
        <v>9800</v>
      </c>
      <c r="E3743" s="26">
        <v>1</v>
      </c>
    </row>
    <row r="3744" spans="1:5" x14ac:dyDescent="0.25">
      <c r="A3744" s="24" t="s">
        <v>7</v>
      </c>
      <c r="B3744" s="24" t="s">
        <v>9801</v>
      </c>
      <c r="C3744" s="25" t="s">
        <v>9802</v>
      </c>
      <c r="D3744" s="25" t="s">
        <v>9803</v>
      </c>
      <c r="E3744" s="26">
        <v>51</v>
      </c>
    </row>
    <row r="3745" spans="1:5" x14ac:dyDescent="0.25">
      <c r="A3745" s="24" t="s">
        <v>7</v>
      </c>
      <c r="B3745" s="24" t="s">
        <v>9804</v>
      </c>
      <c r="C3745" s="25" t="s">
        <v>9805</v>
      </c>
      <c r="D3745" s="25" t="s">
        <v>9806</v>
      </c>
      <c r="E3745" s="26">
        <v>1</v>
      </c>
    </row>
    <row r="3746" spans="1:5" x14ac:dyDescent="0.25">
      <c r="A3746" s="24" t="s">
        <v>7</v>
      </c>
      <c r="B3746" s="24" t="s">
        <v>9807</v>
      </c>
      <c r="C3746" s="25" t="s">
        <v>9808</v>
      </c>
      <c r="D3746" s="25" t="s">
        <v>9809</v>
      </c>
      <c r="E3746" s="26">
        <v>2</v>
      </c>
    </row>
    <row r="3747" spans="1:5" x14ac:dyDescent="0.25">
      <c r="A3747" s="24" t="s">
        <v>7</v>
      </c>
      <c r="B3747" s="24" t="s">
        <v>9810</v>
      </c>
      <c r="C3747" s="25" t="s">
        <v>9811</v>
      </c>
      <c r="D3747" s="25" t="s">
        <v>9812</v>
      </c>
      <c r="E3747" s="26">
        <v>2</v>
      </c>
    </row>
    <row r="3748" spans="1:5" x14ac:dyDescent="0.25">
      <c r="A3748" s="24" t="s">
        <v>7</v>
      </c>
      <c r="B3748" s="24" t="s">
        <v>9813</v>
      </c>
      <c r="C3748" s="25" t="s">
        <v>9814</v>
      </c>
      <c r="D3748" s="25" t="s">
        <v>9815</v>
      </c>
      <c r="E3748" s="26">
        <v>3</v>
      </c>
    </row>
    <row r="3749" spans="1:5" x14ac:dyDescent="0.25">
      <c r="A3749" s="24" t="s">
        <v>7</v>
      </c>
      <c r="B3749" s="24" t="s">
        <v>9816</v>
      </c>
      <c r="C3749" s="25" t="s">
        <v>9817</v>
      </c>
      <c r="D3749" s="25" t="s">
        <v>9818</v>
      </c>
      <c r="E3749" s="26">
        <v>10</v>
      </c>
    </row>
    <row r="3750" spans="1:5" x14ac:dyDescent="0.25">
      <c r="A3750" s="24" t="s">
        <v>7</v>
      </c>
      <c r="B3750" s="24" t="s">
        <v>9819</v>
      </c>
      <c r="C3750" s="25" t="s">
        <v>9820</v>
      </c>
      <c r="D3750" s="25" t="s">
        <v>9821</v>
      </c>
      <c r="E3750" s="26">
        <v>1</v>
      </c>
    </row>
    <row r="3751" spans="1:5" x14ac:dyDescent="0.25">
      <c r="A3751" s="24" t="s">
        <v>7</v>
      </c>
      <c r="B3751" s="24" t="s">
        <v>9822</v>
      </c>
      <c r="C3751" s="25" t="s">
        <v>9823</v>
      </c>
      <c r="D3751" s="25" t="s">
        <v>9824</v>
      </c>
      <c r="E3751" s="26">
        <v>1</v>
      </c>
    </row>
    <row r="3752" spans="1:5" x14ac:dyDescent="0.25">
      <c r="A3752" s="24" t="s">
        <v>7</v>
      </c>
      <c r="B3752" s="24" t="s">
        <v>9825</v>
      </c>
      <c r="C3752" s="25" t="s">
        <v>9826</v>
      </c>
      <c r="D3752" s="25" t="s">
        <v>9827</v>
      </c>
      <c r="E3752" s="26">
        <v>2</v>
      </c>
    </row>
    <row r="3753" spans="1:5" x14ac:dyDescent="0.25">
      <c r="A3753" s="24" t="s">
        <v>7</v>
      </c>
      <c r="B3753" s="24" t="s">
        <v>9828</v>
      </c>
      <c r="C3753" s="25" t="s">
        <v>9829</v>
      </c>
      <c r="D3753" s="25" t="s">
        <v>9830</v>
      </c>
      <c r="E3753" s="26">
        <v>2</v>
      </c>
    </row>
    <row r="3754" spans="1:5" x14ac:dyDescent="0.25">
      <c r="A3754" s="24" t="s">
        <v>7</v>
      </c>
      <c r="B3754" s="24" t="s">
        <v>9831</v>
      </c>
      <c r="C3754" s="25" t="s">
        <v>9832</v>
      </c>
      <c r="D3754" s="25" t="s">
        <v>9833</v>
      </c>
      <c r="E3754" s="26">
        <v>2</v>
      </c>
    </row>
    <row r="3755" spans="1:5" x14ac:dyDescent="0.25">
      <c r="A3755" s="24" t="s">
        <v>7</v>
      </c>
      <c r="B3755" s="24" t="s">
        <v>9834</v>
      </c>
      <c r="C3755" s="25" t="s">
        <v>9835</v>
      </c>
      <c r="D3755" s="25" t="s">
        <v>9836</v>
      </c>
      <c r="E3755" s="26">
        <v>1</v>
      </c>
    </row>
    <row r="3756" spans="1:5" x14ac:dyDescent="0.25">
      <c r="A3756" s="24" t="s">
        <v>7</v>
      </c>
      <c r="B3756" s="24" t="s">
        <v>9837</v>
      </c>
      <c r="C3756" s="25" t="s">
        <v>9838</v>
      </c>
      <c r="D3756" s="25" t="s">
        <v>9839</v>
      </c>
      <c r="E3756" s="26">
        <v>1</v>
      </c>
    </row>
    <row r="3757" spans="1:5" x14ac:dyDescent="0.25">
      <c r="A3757" s="24" t="s">
        <v>7</v>
      </c>
      <c r="B3757" s="24" t="s">
        <v>9840</v>
      </c>
      <c r="C3757" s="25" t="s">
        <v>9841</v>
      </c>
      <c r="D3757" s="25" t="s">
        <v>9842</v>
      </c>
      <c r="E3757" s="26">
        <v>2</v>
      </c>
    </row>
    <row r="3758" spans="1:5" x14ac:dyDescent="0.25">
      <c r="A3758" s="24" t="s">
        <v>7</v>
      </c>
      <c r="B3758" s="24" t="s">
        <v>9843</v>
      </c>
      <c r="C3758" s="25" t="s">
        <v>9844</v>
      </c>
      <c r="D3758" s="25" t="s">
        <v>9845</v>
      </c>
      <c r="E3758" s="26">
        <v>19</v>
      </c>
    </row>
    <row r="3759" spans="1:5" x14ac:dyDescent="0.25">
      <c r="A3759" s="24" t="s">
        <v>7</v>
      </c>
      <c r="B3759" s="24" t="s">
        <v>9846</v>
      </c>
      <c r="C3759" s="25" t="s">
        <v>9847</v>
      </c>
      <c r="D3759" s="25" t="s">
        <v>9848</v>
      </c>
      <c r="E3759" s="26">
        <v>2</v>
      </c>
    </row>
    <row r="3760" spans="1:5" x14ac:dyDescent="0.25">
      <c r="A3760" s="24" t="s">
        <v>7</v>
      </c>
      <c r="B3760" s="24" t="s">
        <v>9849</v>
      </c>
      <c r="C3760" s="25" t="s">
        <v>9850</v>
      </c>
      <c r="D3760" s="25" t="s">
        <v>9851</v>
      </c>
      <c r="E3760" s="26">
        <v>1</v>
      </c>
    </row>
    <row r="3761" spans="1:5" x14ac:dyDescent="0.25">
      <c r="A3761" s="24" t="s">
        <v>7</v>
      </c>
      <c r="B3761" s="24" t="s">
        <v>9852</v>
      </c>
      <c r="C3761" s="25" t="s">
        <v>9853</v>
      </c>
      <c r="D3761" s="25" t="s">
        <v>9854</v>
      </c>
      <c r="E3761" s="26">
        <v>6</v>
      </c>
    </row>
    <row r="3762" spans="1:5" x14ac:dyDescent="0.25">
      <c r="A3762" s="24" t="s">
        <v>7</v>
      </c>
      <c r="B3762" s="24" t="s">
        <v>9855</v>
      </c>
      <c r="C3762" s="25" t="s">
        <v>9856</v>
      </c>
      <c r="D3762" s="25" t="s">
        <v>9857</v>
      </c>
      <c r="E3762" s="26">
        <v>56</v>
      </c>
    </row>
    <row r="3763" spans="1:5" x14ac:dyDescent="0.25">
      <c r="A3763" s="24" t="s">
        <v>7</v>
      </c>
      <c r="B3763" s="24" t="s">
        <v>9858</v>
      </c>
      <c r="C3763" s="25" t="s">
        <v>9859</v>
      </c>
      <c r="D3763" s="25" t="s">
        <v>9860</v>
      </c>
      <c r="E3763" s="26">
        <v>12</v>
      </c>
    </row>
    <row r="3764" spans="1:5" x14ac:dyDescent="0.25">
      <c r="A3764" s="24" t="s">
        <v>7</v>
      </c>
      <c r="B3764" s="24" t="s">
        <v>9861</v>
      </c>
      <c r="C3764" s="25" t="s">
        <v>9862</v>
      </c>
      <c r="D3764" s="25" t="s">
        <v>9863</v>
      </c>
      <c r="E3764" s="26">
        <v>3</v>
      </c>
    </row>
    <row r="3765" spans="1:5" x14ac:dyDescent="0.25">
      <c r="A3765" s="24" t="s">
        <v>7</v>
      </c>
      <c r="B3765" s="24" t="s">
        <v>9864</v>
      </c>
      <c r="C3765" s="25" t="s">
        <v>9865</v>
      </c>
      <c r="D3765" s="25" t="s">
        <v>9866</v>
      </c>
      <c r="E3765" s="26">
        <v>2</v>
      </c>
    </row>
    <row r="3766" spans="1:5" x14ac:dyDescent="0.25">
      <c r="A3766" s="24" t="s">
        <v>7</v>
      </c>
      <c r="B3766" s="24" t="s">
        <v>9867</v>
      </c>
      <c r="C3766" s="25" t="s">
        <v>9868</v>
      </c>
      <c r="D3766" s="25" t="s">
        <v>9869</v>
      </c>
      <c r="E3766" s="26">
        <v>2</v>
      </c>
    </row>
    <row r="3767" spans="1:5" x14ac:dyDescent="0.25">
      <c r="A3767" s="24" t="s">
        <v>7</v>
      </c>
      <c r="B3767" s="24" t="s">
        <v>9870</v>
      </c>
      <c r="C3767" s="25" t="s">
        <v>9871</v>
      </c>
      <c r="D3767" s="25" t="s">
        <v>9872</v>
      </c>
      <c r="E3767" s="26">
        <v>2</v>
      </c>
    </row>
    <row r="3768" spans="1:5" x14ac:dyDescent="0.25">
      <c r="A3768" s="24" t="s">
        <v>7</v>
      </c>
      <c r="B3768" s="24" t="s">
        <v>9873</v>
      </c>
      <c r="C3768" s="25" t="s">
        <v>9874</v>
      </c>
      <c r="D3768" s="25" t="s">
        <v>9875</v>
      </c>
      <c r="E3768" s="26">
        <v>22</v>
      </c>
    </row>
    <row r="3769" spans="1:5" x14ac:dyDescent="0.25">
      <c r="A3769" s="24" t="s">
        <v>7</v>
      </c>
      <c r="B3769" s="24" t="s">
        <v>9876</v>
      </c>
      <c r="C3769" s="25" t="s">
        <v>9877</v>
      </c>
      <c r="D3769" s="25" t="s">
        <v>9878</v>
      </c>
      <c r="E3769" s="26">
        <v>2</v>
      </c>
    </row>
    <row r="3770" spans="1:5" x14ac:dyDescent="0.25">
      <c r="A3770" s="24" t="s">
        <v>7</v>
      </c>
      <c r="B3770" s="24" t="s">
        <v>9879</v>
      </c>
      <c r="C3770" s="25" t="s">
        <v>9880</v>
      </c>
      <c r="D3770" s="25" t="s">
        <v>9881</v>
      </c>
      <c r="E3770" s="26">
        <v>26</v>
      </c>
    </row>
    <row r="3771" spans="1:5" x14ac:dyDescent="0.25">
      <c r="A3771" s="24" t="s">
        <v>7</v>
      </c>
      <c r="B3771" s="24" t="s">
        <v>9882</v>
      </c>
      <c r="C3771" s="25" t="s">
        <v>9883</v>
      </c>
      <c r="D3771" s="25" t="s">
        <v>9884</v>
      </c>
      <c r="E3771" s="26">
        <v>2</v>
      </c>
    </row>
    <row r="3772" spans="1:5" x14ac:dyDescent="0.25">
      <c r="A3772" s="24" t="s">
        <v>7</v>
      </c>
      <c r="B3772" s="24" t="s">
        <v>9885</v>
      </c>
      <c r="C3772" s="25" t="s">
        <v>9886</v>
      </c>
      <c r="D3772" s="25" t="s">
        <v>9887</v>
      </c>
      <c r="E3772" s="26">
        <v>3</v>
      </c>
    </row>
    <row r="3773" spans="1:5" x14ac:dyDescent="0.25">
      <c r="A3773" s="24" t="s">
        <v>7</v>
      </c>
      <c r="B3773" s="24" t="s">
        <v>9888</v>
      </c>
      <c r="C3773" s="25" t="s">
        <v>9889</v>
      </c>
      <c r="D3773" s="25" t="s">
        <v>9890</v>
      </c>
      <c r="E3773" s="26">
        <v>110</v>
      </c>
    </row>
    <row r="3774" spans="1:5" x14ac:dyDescent="0.25">
      <c r="A3774" s="24" t="s">
        <v>7</v>
      </c>
      <c r="B3774" s="24" t="s">
        <v>9891</v>
      </c>
      <c r="C3774" s="25" t="s">
        <v>9892</v>
      </c>
      <c r="D3774" s="25" t="s">
        <v>9893</v>
      </c>
      <c r="E3774" s="26">
        <v>41</v>
      </c>
    </row>
    <row r="3775" spans="1:5" x14ac:dyDescent="0.25">
      <c r="A3775" s="24" t="s">
        <v>7</v>
      </c>
      <c r="B3775" s="24" t="s">
        <v>9894</v>
      </c>
      <c r="C3775" s="25" t="s">
        <v>9895</v>
      </c>
      <c r="D3775" s="25" t="s">
        <v>9896</v>
      </c>
      <c r="E3775" s="26">
        <v>2</v>
      </c>
    </row>
    <row r="3776" spans="1:5" x14ac:dyDescent="0.25">
      <c r="A3776" s="24" t="s">
        <v>7</v>
      </c>
      <c r="B3776" s="24" t="s">
        <v>9897</v>
      </c>
      <c r="C3776" s="25" t="s">
        <v>9898</v>
      </c>
      <c r="D3776" s="25" t="s">
        <v>9899</v>
      </c>
      <c r="E3776" s="26">
        <v>42</v>
      </c>
    </row>
    <row r="3777" spans="1:5" x14ac:dyDescent="0.25">
      <c r="A3777" s="24" t="s">
        <v>7</v>
      </c>
      <c r="B3777" s="24" t="s">
        <v>9900</v>
      </c>
      <c r="C3777" s="25" t="s">
        <v>9901</v>
      </c>
      <c r="D3777" s="25" t="s">
        <v>9902</v>
      </c>
      <c r="E3777" s="26">
        <v>1</v>
      </c>
    </row>
    <row r="3778" spans="1:5" x14ac:dyDescent="0.25">
      <c r="A3778" s="24" t="s">
        <v>7</v>
      </c>
      <c r="B3778" s="24" t="s">
        <v>9903</v>
      </c>
      <c r="C3778" s="25" t="s">
        <v>9904</v>
      </c>
      <c r="D3778" s="25" t="s">
        <v>9905</v>
      </c>
      <c r="E3778" s="26">
        <v>7</v>
      </c>
    </row>
    <row r="3779" spans="1:5" x14ac:dyDescent="0.25">
      <c r="A3779" s="24" t="s">
        <v>7</v>
      </c>
      <c r="B3779" s="24" t="s">
        <v>9906</v>
      </c>
      <c r="C3779" s="25" t="s">
        <v>9907</v>
      </c>
      <c r="D3779" s="25" t="s">
        <v>9908</v>
      </c>
      <c r="E3779" s="26">
        <v>2</v>
      </c>
    </row>
    <row r="3780" spans="1:5" x14ac:dyDescent="0.25">
      <c r="A3780" s="24" t="s">
        <v>7</v>
      </c>
      <c r="B3780" s="24" t="s">
        <v>9909</v>
      </c>
      <c r="C3780" s="25" t="s">
        <v>9910</v>
      </c>
      <c r="D3780" s="25" t="s">
        <v>9911</v>
      </c>
      <c r="E3780" s="26">
        <v>1</v>
      </c>
    </row>
    <row r="3781" spans="1:5" x14ac:dyDescent="0.25">
      <c r="A3781" s="24" t="s">
        <v>7</v>
      </c>
      <c r="B3781" s="24" t="s">
        <v>9912</v>
      </c>
      <c r="C3781" s="25" t="s">
        <v>9913</v>
      </c>
      <c r="D3781" s="25" t="s">
        <v>9914</v>
      </c>
      <c r="E3781" s="26">
        <v>8</v>
      </c>
    </row>
    <row r="3782" spans="1:5" x14ac:dyDescent="0.25">
      <c r="A3782" s="24" t="s">
        <v>7</v>
      </c>
      <c r="B3782" s="24" t="s">
        <v>9915</v>
      </c>
      <c r="C3782" s="25" t="s">
        <v>9916</v>
      </c>
      <c r="D3782" s="25" t="s">
        <v>9917</v>
      </c>
      <c r="E3782" s="26">
        <v>15</v>
      </c>
    </row>
    <row r="3783" spans="1:5" x14ac:dyDescent="0.25">
      <c r="A3783" s="24" t="s">
        <v>7</v>
      </c>
      <c r="B3783" s="24" t="s">
        <v>9918</v>
      </c>
      <c r="C3783" s="25" t="s">
        <v>9919</v>
      </c>
      <c r="D3783" s="25" t="s">
        <v>9920</v>
      </c>
      <c r="E3783" s="26">
        <v>20</v>
      </c>
    </row>
    <row r="3784" spans="1:5" x14ac:dyDescent="0.25">
      <c r="A3784" s="24" t="s">
        <v>7</v>
      </c>
      <c r="B3784" s="24" t="s">
        <v>9921</v>
      </c>
      <c r="C3784" s="25" t="s">
        <v>9922</v>
      </c>
      <c r="D3784" s="25" t="s">
        <v>9923</v>
      </c>
      <c r="E3784" s="26">
        <v>3</v>
      </c>
    </row>
    <row r="3785" spans="1:5" x14ac:dyDescent="0.25">
      <c r="A3785" s="24" t="s">
        <v>7</v>
      </c>
      <c r="B3785" s="24" t="s">
        <v>9924</v>
      </c>
      <c r="C3785" s="25" t="s">
        <v>9925</v>
      </c>
      <c r="D3785" s="25" t="s">
        <v>9926</v>
      </c>
      <c r="E3785" s="26">
        <v>79</v>
      </c>
    </row>
    <row r="3786" spans="1:5" x14ac:dyDescent="0.25">
      <c r="A3786" s="24" t="s">
        <v>7</v>
      </c>
      <c r="B3786" s="24" t="s">
        <v>9927</v>
      </c>
      <c r="C3786" s="25" t="s">
        <v>9928</v>
      </c>
      <c r="D3786" s="25" t="s">
        <v>9929</v>
      </c>
      <c r="E3786" s="26">
        <v>753</v>
      </c>
    </row>
    <row r="3787" spans="1:5" x14ac:dyDescent="0.25">
      <c r="A3787" s="24" t="s">
        <v>7</v>
      </c>
      <c r="B3787" s="24" t="s">
        <v>9930</v>
      </c>
      <c r="C3787" s="25" t="s">
        <v>9931</v>
      </c>
      <c r="D3787" s="25" t="s">
        <v>9932</v>
      </c>
      <c r="E3787" s="26">
        <v>128</v>
      </c>
    </row>
    <row r="3788" spans="1:5" x14ac:dyDescent="0.25">
      <c r="A3788" s="24" t="s">
        <v>7</v>
      </c>
      <c r="B3788" s="24" t="s">
        <v>9933</v>
      </c>
      <c r="C3788" s="25" t="s">
        <v>9934</v>
      </c>
      <c r="D3788" s="25" t="s">
        <v>9935</v>
      </c>
      <c r="E3788" s="26">
        <v>19</v>
      </c>
    </row>
    <row r="3789" spans="1:5" x14ac:dyDescent="0.25">
      <c r="A3789" s="24" t="s">
        <v>7</v>
      </c>
      <c r="B3789" s="24" t="s">
        <v>9936</v>
      </c>
      <c r="C3789" s="25" t="s">
        <v>9937</v>
      </c>
      <c r="D3789" s="25" t="s">
        <v>9938</v>
      </c>
      <c r="E3789" s="26">
        <v>27</v>
      </c>
    </row>
    <row r="3790" spans="1:5" x14ac:dyDescent="0.25">
      <c r="A3790" s="24" t="s">
        <v>7</v>
      </c>
      <c r="B3790" s="24" t="s">
        <v>9939</v>
      </c>
      <c r="C3790" s="25" t="s">
        <v>9940</v>
      </c>
      <c r="D3790" s="25" t="s">
        <v>9941</v>
      </c>
      <c r="E3790" s="26">
        <v>5.39</v>
      </c>
    </row>
    <row r="3791" spans="1:5" x14ac:dyDescent="0.25">
      <c r="A3791" s="24" t="s">
        <v>7</v>
      </c>
      <c r="B3791" s="24" t="s">
        <v>9942</v>
      </c>
      <c r="C3791" s="25" t="s">
        <v>9943</v>
      </c>
      <c r="D3791" s="25" t="s">
        <v>9944</v>
      </c>
      <c r="E3791" s="26">
        <v>19</v>
      </c>
    </row>
    <row r="3792" spans="1:5" x14ac:dyDescent="0.25">
      <c r="A3792" s="24" t="s">
        <v>7</v>
      </c>
      <c r="B3792" s="24" t="s">
        <v>9945</v>
      </c>
      <c r="C3792" s="25" t="s">
        <v>9946</v>
      </c>
      <c r="D3792" s="25" t="s">
        <v>9947</v>
      </c>
      <c r="E3792" s="26">
        <v>27</v>
      </c>
    </row>
    <row r="3793" spans="1:5" x14ac:dyDescent="0.25">
      <c r="A3793" s="24" t="s">
        <v>7</v>
      </c>
      <c r="B3793" s="24" t="s">
        <v>9948</v>
      </c>
      <c r="C3793" s="25" t="s">
        <v>9949</v>
      </c>
      <c r="D3793" s="25" t="s">
        <v>9950</v>
      </c>
      <c r="E3793" s="26">
        <v>11</v>
      </c>
    </row>
    <row r="3794" spans="1:5" x14ac:dyDescent="0.25">
      <c r="A3794" s="24" t="s">
        <v>7</v>
      </c>
      <c r="B3794" s="24" t="s">
        <v>9951</v>
      </c>
      <c r="C3794" s="25" t="s">
        <v>9952</v>
      </c>
      <c r="D3794" s="25" t="s">
        <v>9953</v>
      </c>
      <c r="E3794" s="26">
        <v>540</v>
      </c>
    </row>
    <row r="3795" spans="1:5" x14ac:dyDescent="0.25">
      <c r="A3795" s="24" t="s">
        <v>7</v>
      </c>
      <c r="B3795" s="24" t="s">
        <v>9954</v>
      </c>
      <c r="C3795" s="25" t="s">
        <v>9955</v>
      </c>
      <c r="D3795" s="25" t="s">
        <v>9956</v>
      </c>
      <c r="E3795" s="26">
        <v>401</v>
      </c>
    </row>
    <row r="3796" spans="1:5" x14ac:dyDescent="0.25">
      <c r="A3796" s="24" t="s">
        <v>7</v>
      </c>
      <c r="B3796" s="24" t="s">
        <v>9957</v>
      </c>
      <c r="C3796" s="25" t="s">
        <v>9958</v>
      </c>
      <c r="D3796" s="25" t="s">
        <v>9959</v>
      </c>
      <c r="E3796" s="26">
        <v>270</v>
      </c>
    </row>
    <row r="3797" spans="1:5" x14ac:dyDescent="0.25">
      <c r="A3797" s="24" t="s">
        <v>7</v>
      </c>
      <c r="B3797" s="24" t="s">
        <v>9960</v>
      </c>
      <c r="C3797" s="25" t="s">
        <v>9961</v>
      </c>
      <c r="D3797" s="25" t="s">
        <v>9962</v>
      </c>
      <c r="E3797" s="26">
        <v>496</v>
      </c>
    </row>
    <row r="3798" spans="1:5" x14ac:dyDescent="0.25">
      <c r="A3798" s="24" t="s">
        <v>7</v>
      </c>
      <c r="B3798" s="24" t="s">
        <v>9963</v>
      </c>
      <c r="C3798" s="25" t="s">
        <v>9964</v>
      </c>
      <c r="D3798" s="25" t="s">
        <v>9965</v>
      </c>
      <c r="E3798" s="26">
        <v>496</v>
      </c>
    </row>
    <row r="3799" spans="1:5" x14ac:dyDescent="0.25">
      <c r="A3799" s="24" t="s">
        <v>7</v>
      </c>
      <c r="B3799" s="24" t="s">
        <v>9966</v>
      </c>
      <c r="C3799" s="25" t="s">
        <v>9967</v>
      </c>
      <c r="D3799" s="25" t="s">
        <v>9968</v>
      </c>
      <c r="E3799" s="26">
        <v>28</v>
      </c>
    </row>
    <row r="3800" spans="1:5" x14ac:dyDescent="0.25">
      <c r="A3800" s="24" t="s">
        <v>7</v>
      </c>
      <c r="B3800" s="24" t="s">
        <v>9969</v>
      </c>
      <c r="C3800" s="25" t="s">
        <v>9970</v>
      </c>
      <c r="D3800" s="25" t="s">
        <v>9971</v>
      </c>
      <c r="E3800" s="26">
        <v>19</v>
      </c>
    </row>
    <row r="3801" spans="1:5" x14ac:dyDescent="0.25">
      <c r="A3801" s="24" t="s">
        <v>7</v>
      </c>
      <c r="B3801" s="24" t="s">
        <v>9972</v>
      </c>
      <c r="C3801" s="25" t="s">
        <v>9973</v>
      </c>
      <c r="D3801" s="25" t="s">
        <v>9974</v>
      </c>
      <c r="E3801" s="26">
        <v>25</v>
      </c>
    </row>
    <row r="3802" spans="1:5" x14ac:dyDescent="0.25">
      <c r="A3802" s="24" t="s">
        <v>7</v>
      </c>
      <c r="B3802" s="24" t="s">
        <v>9975</v>
      </c>
      <c r="C3802" s="25" t="s">
        <v>9976</v>
      </c>
      <c r="D3802" s="25" t="s">
        <v>9977</v>
      </c>
      <c r="E3802" s="26">
        <v>13</v>
      </c>
    </row>
    <row r="3803" spans="1:5" x14ac:dyDescent="0.25">
      <c r="A3803" s="24" t="s">
        <v>7</v>
      </c>
      <c r="B3803" s="24" t="s">
        <v>9978</v>
      </c>
      <c r="C3803" s="25" t="s">
        <v>9979</v>
      </c>
      <c r="D3803" s="25" t="s">
        <v>9980</v>
      </c>
      <c r="E3803" s="26">
        <v>16</v>
      </c>
    </row>
    <row r="3804" spans="1:5" x14ac:dyDescent="0.25">
      <c r="A3804" s="24" t="s">
        <v>7</v>
      </c>
      <c r="B3804" s="24" t="s">
        <v>9981</v>
      </c>
      <c r="C3804" s="25" t="s">
        <v>9982</v>
      </c>
      <c r="D3804" s="25" t="s">
        <v>9983</v>
      </c>
      <c r="E3804" s="26">
        <v>120</v>
      </c>
    </row>
    <row r="3805" spans="1:5" x14ac:dyDescent="0.25">
      <c r="A3805" s="24" t="s">
        <v>7</v>
      </c>
      <c r="B3805" s="24" t="s">
        <v>9984</v>
      </c>
      <c r="C3805" s="25" t="s">
        <v>9985</v>
      </c>
      <c r="D3805" s="25" t="s">
        <v>9986</v>
      </c>
      <c r="E3805" s="26">
        <v>166</v>
      </c>
    </row>
    <row r="3806" spans="1:5" x14ac:dyDescent="0.25">
      <c r="A3806" s="24" t="s">
        <v>7</v>
      </c>
      <c r="B3806" s="24" t="s">
        <v>9987</v>
      </c>
      <c r="C3806" s="25" t="s">
        <v>9988</v>
      </c>
      <c r="D3806" s="25" t="s">
        <v>9989</v>
      </c>
      <c r="E3806" s="26">
        <v>753</v>
      </c>
    </row>
    <row r="3807" spans="1:5" x14ac:dyDescent="0.25">
      <c r="A3807" s="24" t="s">
        <v>7</v>
      </c>
      <c r="B3807" s="24" t="s">
        <v>9990</v>
      </c>
      <c r="C3807" s="25" t="s">
        <v>9991</v>
      </c>
      <c r="D3807" s="25" t="s">
        <v>9992</v>
      </c>
      <c r="E3807" s="26">
        <v>645</v>
      </c>
    </row>
    <row r="3808" spans="1:5" x14ac:dyDescent="0.25">
      <c r="A3808" s="24" t="s">
        <v>7</v>
      </c>
      <c r="B3808" s="24" t="s">
        <v>9993</v>
      </c>
      <c r="C3808" s="25" t="s">
        <v>9994</v>
      </c>
      <c r="D3808" s="25" t="s">
        <v>9995</v>
      </c>
      <c r="E3808" s="26">
        <v>132</v>
      </c>
    </row>
    <row r="3809" spans="1:5" x14ac:dyDescent="0.25">
      <c r="A3809" s="24" t="s">
        <v>7</v>
      </c>
      <c r="B3809" s="24" t="s">
        <v>9996</v>
      </c>
      <c r="C3809" s="25" t="s">
        <v>9997</v>
      </c>
      <c r="D3809" s="25" t="s">
        <v>9998</v>
      </c>
      <c r="E3809" s="26">
        <v>50</v>
      </c>
    </row>
    <row r="3810" spans="1:5" x14ac:dyDescent="0.25">
      <c r="A3810" s="24" t="s">
        <v>7</v>
      </c>
      <c r="B3810" s="24" t="s">
        <v>9999</v>
      </c>
      <c r="C3810" s="25" t="s">
        <v>10000</v>
      </c>
      <c r="D3810" s="25" t="s">
        <v>10001</v>
      </c>
      <c r="E3810" s="26">
        <v>11</v>
      </c>
    </row>
    <row r="3811" spans="1:5" x14ac:dyDescent="0.25">
      <c r="A3811" s="24" t="s">
        <v>7</v>
      </c>
      <c r="B3811" s="24" t="s">
        <v>10002</v>
      </c>
      <c r="C3811" s="25" t="s">
        <v>10003</v>
      </c>
      <c r="D3811" s="25" t="s">
        <v>10004</v>
      </c>
      <c r="E3811" s="26">
        <v>357</v>
      </c>
    </row>
    <row r="3812" spans="1:5" x14ac:dyDescent="0.25">
      <c r="A3812" s="24" t="s">
        <v>7</v>
      </c>
      <c r="B3812" s="24" t="s">
        <v>10005</v>
      </c>
      <c r="C3812" s="25" t="s">
        <v>10006</v>
      </c>
      <c r="D3812" s="25" t="s">
        <v>10007</v>
      </c>
      <c r="E3812" s="26">
        <v>37</v>
      </c>
    </row>
    <row r="3813" spans="1:5" x14ac:dyDescent="0.25">
      <c r="A3813" s="24" t="s">
        <v>7</v>
      </c>
      <c r="B3813" s="24" t="s">
        <v>10008</v>
      </c>
      <c r="C3813" s="25" t="s">
        <v>10009</v>
      </c>
      <c r="D3813" s="25" t="s">
        <v>10010</v>
      </c>
      <c r="E3813" s="26">
        <v>183</v>
      </c>
    </row>
    <row r="3814" spans="1:5" x14ac:dyDescent="0.25">
      <c r="A3814" s="24" t="s">
        <v>7</v>
      </c>
      <c r="B3814" s="24" t="s">
        <v>10011</v>
      </c>
      <c r="C3814" s="25" t="s">
        <v>10012</v>
      </c>
      <c r="D3814" s="25" t="s">
        <v>10013</v>
      </c>
      <c r="E3814" s="26">
        <v>68</v>
      </c>
    </row>
    <row r="3815" spans="1:5" x14ac:dyDescent="0.25">
      <c r="A3815" s="24" t="s">
        <v>7</v>
      </c>
      <c r="B3815" s="24" t="s">
        <v>10014</v>
      </c>
      <c r="C3815" s="25" t="s">
        <v>10015</v>
      </c>
      <c r="D3815" s="25" t="s">
        <v>10016</v>
      </c>
      <c r="E3815" s="26">
        <v>387</v>
      </c>
    </row>
    <row r="3816" spans="1:5" x14ac:dyDescent="0.25">
      <c r="A3816" s="24" t="s">
        <v>7</v>
      </c>
      <c r="B3816" s="24" t="s">
        <v>10017</v>
      </c>
      <c r="C3816" s="25" t="s">
        <v>10018</v>
      </c>
      <c r="D3816" s="25" t="s">
        <v>10019</v>
      </c>
      <c r="E3816" s="26">
        <v>2</v>
      </c>
    </row>
    <row r="3817" spans="1:5" x14ac:dyDescent="0.25">
      <c r="A3817" s="24" t="s">
        <v>7</v>
      </c>
      <c r="B3817" s="24" t="s">
        <v>10020</v>
      </c>
      <c r="C3817" s="25" t="s">
        <v>10021</v>
      </c>
      <c r="D3817" s="25" t="s">
        <v>10022</v>
      </c>
      <c r="E3817" s="26">
        <v>15</v>
      </c>
    </row>
    <row r="3818" spans="1:5" x14ac:dyDescent="0.25">
      <c r="A3818" s="24" t="s">
        <v>7</v>
      </c>
      <c r="B3818" s="24" t="s">
        <v>10023</v>
      </c>
      <c r="C3818" s="25" t="s">
        <v>10024</v>
      </c>
      <c r="D3818" s="25" t="s">
        <v>10025</v>
      </c>
      <c r="E3818" s="26">
        <v>15</v>
      </c>
    </row>
    <row r="3819" spans="1:5" x14ac:dyDescent="0.25">
      <c r="A3819" s="24" t="s">
        <v>7</v>
      </c>
      <c r="B3819" s="24" t="s">
        <v>10026</v>
      </c>
      <c r="C3819" s="25" t="s">
        <v>10027</v>
      </c>
      <c r="D3819" s="25" t="s">
        <v>10028</v>
      </c>
      <c r="E3819" s="26">
        <v>695</v>
      </c>
    </row>
    <row r="3820" spans="1:5" x14ac:dyDescent="0.25">
      <c r="A3820" s="24" t="s">
        <v>7</v>
      </c>
      <c r="B3820" s="24" t="s">
        <v>10029</v>
      </c>
      <c r="C3820" s="25" t="s">
        <v>10030</v>
      </c>
      <c r="D3820" s="25" t="s">
        <v>10031</v>
      </c>
      <c r="E3820" s="26">
        <v>14</v>
      </c>
    </row>
    <row r="3821" spans="1:5" x14ac:dyDescent="0.25">
      <c r="A3821" s="24" t="s">
        <v>7</v>
      </c>
      <c r="B3821" s="24" t="s">
        <v>10032</v>
      </c>
      <c r="C3821" s="25" t="s">
        <v>10033</v>
      </c>
      <c r="D3821" s="25" t="s">
        <v>10034</v>
      </c>
      <c r="E3821" s="26">
        <v>466</v>
      </c>
    </row>
    <row r="3822" spans="1:5" x14ac:dyDescent="0.25">
      <c r="A3822" s="24" t="s">
        <v>7</v>
      </c>
      <c r="B3822" s="24" t="s">
        <v>10035</v>
      </c>
      <c r="C3822" s="25" t="s">
        <v>10036</v>
      </c>
      <c r="D3822" s="25" t="s">
        <v>10037</v>
      </c>
      <c r="E3822" s="26">
        <v>22</v>
      </c>
    </row>
    <row r="3823" spans="1:5" x14ac:dyDescent="0.25">
      <c r="A3823" s="24" t="s">
        <v>7</v>
      </c>
      <c r="B3823" s="24" t="s">
        <v>10038</v>
      </c>
      <c r="C3823" s="25" t="s">
        <v>10039</v>
      </c>
      <c r="D3823" s="25" t="s">
        <v>10040</v>
      </c>
      <c r="E3823" s="26">
        <v>65</v>
      </c>
    </row>
    <row r="3824" spans="1:5" x14ac:dyDescent="0.25">
      <c r="A3824" s="24" t="s">
        <v>7</v>
      </c>
      <c r="B3824" s="24" t="s">
        <v>10041</v>
      </c>
      <c r="C3824" s="25" t="s">
        <v>10042</v>
      </c>
      <c r="D3824" s="25" t="s">
        <v>10043</v>
      </c>
      <c r="E3824" s="26">
        <v>19</v>
      </c>
    </row>
    <row r="3825" spans="1:5" x14ac:dyDescent="0.25">
      <c r="A3825" s="24" t="s">
        <v>7</v>
      </c>
      <c r="B3825" s="24" t="s">
        <v>10044</v>
      </c>
      <c r="C3825" s="25" t="s">
        <v>10045</v>
      </c>
      <c r="D3825" s="25" t="s">
        <v>10046</v>
      </c>
      <c r="E3825" s="26">
        <v>265</v>
      </c>
    </row>
    <row r="3826" spans="1:5" x14ac:dyDescent="0.25">
      <c r="A3826" s="24" t="s">
        <v>7</v>
      </c>
      <c r="B3826" s="24" t="s">
        <v>10047</v>
      </c>
      <c r="C3826" s="25" t="s">
        <v>10048</v>
      </c>
      <c r="D3826" s="25" t="s">
        <v>10049</v>
      </c>
      <c r="E3826" s="26">
        <v>128</v>
      </c>
    </row>
    <row r="3827" spans="1:5" x14ac:dyDescent="0.25">
      <c r="A3827" s="24" t="s">
        <v>7</v>
      </c>
      <c r="B3827" s="24" t="s">
        <v>10050</v>
      </c>
      <c r="C3827" s="25" t="s">
        <v>10051</v>
      </c>
      <c r="D3827" s="25" t="s">
        <v>10052</v>
      </c>
      <c r="E3827" s="26">
        <v>355</v>
      </c>
    </row>
    <row r="3828" spans="1:5" x14ac:dyDescent="0.25">
      <c r="A3828" s="24" t="s">
        <v>7</v>
      </c>
      <c r="B3828" s="24" t="s">
        <v>10053</v>
      </c>
      <c r="C3828" s="25" t="s">
        <v>10054</v>
      </c>
      <c r="D3828" s="25" t="s">
        <v>10055</v>
      </c>
      <c r="E3828" s="26">
        <v>42</v>
      </c>
    </row>
    <row r="3829" spans="1:5" x14ac:dyDescent="0.25">
      <c r="A3829" s="24" t="s">
        <v>7</v>
      </c>
      <c r="B3829" s="24" t="s">
        <v>10056</v>
      </c>
      <c r="C3829" s="25" t="s">
        <v>10057</v>
      </c>
      <c r="D3829" s="25" t="s">
        <v>10058</v>
      </c>
      <c r="E3829" s="26">
        <v>5</v>
      </c>
    </row>
    <row r="3830" spans="1:5" x14ac:dyDescent="0.25">
      <c r="A3830" s="24" t="s">
        <v>7</v>
      </c>
      <c r="B3830" s="24" t="s">
        <v>10059</v>
      </c>
      <c r="C3830" s="25" t="s">
        <v>10060</v>
      </c>
      <c r="D3830" s="25" t="s">
        <v>10061</v>
      </c>
      <c r="E3830" s="26">
        <v>24</v>
      </c>
    </row>
    <row r="3831" spans="1:5" x14ac:dyDescent="0.25">
      <c r="A3831" s="24" t="s">
        <v>7</v>
      </c>
      <c r="B3831" s="24" t="s">
        <v>10062</v>
      </c>
      <c r="C3831" s="25" t="s">
        <v>10063</v>
      </c>
      <c r="D3831" s="25" t="s">
        <v>10064</v>
      </c>
      <c r="E3831" s="26">
        <v>24</v>
      </c>
    </row>
    <row r="3832" spans="1:5" x14ac:dyDescent="0.25">
      <c r="A3832" s="24" t="s">
        <v>7</v>
      </c>
      <c r="B3832" s="24" t="s">
        <v>10065</v>
      </c>
      <c r="C3832" s="25" t="s">
        <v>10066</v>
      </c>
      <c r="D3832" s="25" t="s">
        <v>10067</v>
      </c>
      <c r="E3832" s="26">
        <v>10</v>
      </c>
    </row>
    <row r="3833" spans="1:5" x14ac:dyDescent="0.25">
      <c r="A3833" s="24" t="s">
        <v>7</v>
      </c>
      <c r="B3833" s="24" t="s">
        <v>10068</v>
      </c>
      <c r="C3833" s="25" t="s">
        <v>10069</v>
      </c>
      <c r="D3833" s="25" t="s">
        <v>10070</v>
      </c>
      <c r="E3833" s="26">
        <v>17</v>
      </c>
    </row>
    <row r="3834" spans="1:5" x14ac:dyDescent="0.25">
      <c r="A3834" s="24" t="s">
        <v>7</v>
      </c>
      <c r="B3834" s="24" t="s">
        <v>10071</v>
      </c>
      <c r="C3834" s="25" t="s">
        <v>10072</v>
      </c>
      <c r="D3834" s="25" t="s">
        <v>10073</v>
      </c>
      <c r="E3834" s="26">
        <v>10</v>
      </c>
    </row>
    <row r="3835" spans="1:5" x14ac:dyDescent="0.25">
      <c r="A3835" s="24" t="s">
        <v>7</v>
      </c>
      <c r="B3835" s="24" t="s">
        <v>10074</v>
      </c>
      <c r="C3835" s="25" t="s">
        <v>10075</v>
      </c>
      <c r="D3835" s="25" t="s">
        <v>10076</v>
      </c>
      <c r="E3835" s="26">
        <v>29</v>
      </c>
    </row>
    <row r="3836" spans="1:5" x14ac:dyDescent="0.25">
      <c r="A3836" s="24" t="s">
        <v>7</v>
      </c>
      <c r="B3836" s="24" t="s">
        <v>10077</v>
      </c>
      <c r="C3836" s="25" t="s">
        <v>10078</v>
      </c>
      <c r="D3836" s="25" t="s">
        <v>10079</v>
      </c>
      <c r="E3836" s="26">
        <v>19</v>
      </c>
    </row>
    <row r="3837" spans="1:5" x14ac:dyDescent="0.25">
      <c r="A3837" s="24" t="s">
        <v>7</v>
      </c>
      <c r="B3837" s="24" t="s">
        <v>10080</v>
      </c>
      <c r="C3837" s="25" t="s">
        <v>10081</v>
      </c>
      <c r="D3837" s="25" t="s">
        <v>10082</v>
      </c>
      <c r="E3837" s="26">
        <v>14</v>
      </c>
    </row>
    <row r="3838" spans="1:5" x14ac:dyDescent="0.25">
      <c r="A3838" s="24" t="s">
        <v>7</v>
      </c>
      <c r="B3838" s="24" t="s">
        <v>10083</v>
      </c>
      <c r="C3838" s="25" t="s">
        <v>10084</v>
      </c>
      <c r="D3838" s="25" t="s">
        <v>10085</v>
      </c>
      <c r="E3838" s="26">
        <v>25</v>
      </c>
    </row>
    <row r="3839" spans="1:5" x14ac:dyDescent="0.25">
      <c r="A3839" s="24" t="s">
        <v>7</v>
      </c>
      <c r="B3839" s="24" t="s">
        <v>10086</v>
      </c>
      <c r="C3839" s="25" t="s">
        <v>10087</v>
      </c>
      <c r="D3839" s="25" t="s">
        <v>10088</v>
      </c>
      <c r="E3839" s="26">
        <v>156</v>
      </c>
    </row>
    <row r="3840" spans="1:5" x14ac:dyDescent="0.25">
      <c r="A3840" s="24" t="s">
        <v>7</v>
      </c>
      <c r="B3840" s="24" t="s">
        <v>10089</v>
      </c>
      <c r="C3840" s="25" t="s">
        <v>10090</v>
      </c>
      <c r="D3840" s="25" t="s">
        <v>10091</v>
      </c>
      <c r="E3840" s="26">
        <v>5.47</v>
      </c>
    </row>
    <row r="3841" spans="1:5" x14ac:dyDescent="0.25">
      <c r="A3841" s="24" t="s">
        <v>7</v>
      </c>
      <c r="B3841" s="24" t="s">
        <v>10092</v>
      </c>
      <c r="C3841" s="25" t="s">
        <v>10093</v>
      </c>
      <c r="D3841" s="25" t="s">
        <v>10094</v>
      </c>
      <c r="E3841" s="26">
        <v>27</v>
      </c>
    </row>
    <row r="3842" spans="1:5" x14ac:dyDescent="0.25">
      <c r="A3842" s="24" t="s">
        <v>7</v>
      </c>
      <c r="B3842" s="24" t="s">
        <v>10095</v>
      </c>
      <c r="C3842" s="25" t="s">
        <v>10096</v>
      </c>
      <c r="D3842" s="25" t="s">
        <v>10097</v>
      </c>
      <c r="E3842" s="26">
        <v>53</v>
      </c>
    </row>
    <row r="3843" spans="1:5" x14ac:dyDescent="0.25">
      <c r="A3843" s="24" t="s">
        <v>7</v>
      </c>
      <c r="B3843" s="24" t="s">
        <v>10098</v>
      </c>
      <c r="C3843" s="25" t="s">
        <v>10099</v>
      </c>
      <c r="D3843" s="25" t="s">
        <v>10100</v>
      </c>
      <c r="E3843" s="26">
        <v>17</v>
      </c>
    </row>
    <row r="3844" spans="1:5" x14ac:dyDescent="0.25">
      <c r="A3844" s="24" t="s">
        <v>7</v>
      </c>
      <c r="B3844" s="24" t="s">
        <v>10101</v>
      </c>
      <c r="C3844" s="25" t="s">
        <v>10102</v>
      </c>
      <c r="D3844" s="25" t="s">
        <v>10103</v>
      </c>
      <c r="E3844" s="26">
        <v>342</v>
      </c>
    </row>
    <row r="3845" spans="1:5" x14ac:dyDescent="0.25">
      <c r="A3845" s="24" t="s">
        <v>7</v>
      </c>
      <c r="B3845" s="24" t="s">
        <v>10104</v>
      </c>
      <c r="C3845" s="25" t="s">
        <v>10105</v>
      </c>
      <c r="D3845" s="25" t="s">
        <v>10106</v>
      </c>
      <c r="E3845" s="26">
        <v>46</v>
      </c>
    </row>
    <row r="3846" spans="1:5" x14ac:dyDescent="0.25">
      <c r="A3846" s="24" t="s">
        <v>7</v>
      </c>
      <c r="B3846" s="24" t="s">
        <v>10107</v>
      </c>
      <c r="C3846" s="25" t="s">
        <v>10108</v>
      </c>
      <c r="D3846" s="25" t="s">
        <v>10109</v>
      </c>
      <c r="E3846" s="26">
        <v>24</v>
      </c>
    </row>
    <row r="3847" spans="1:5" x14ac:dyDescent="0.25">
      <c r="A3847" s="24" t="s">
        <v>7</v>
      </c>
      <c r="B3847" s="24" t="s">
        <v>10110</v>
      </c>
      <c r="C3847" s="25" t="s">
        <v>10111</v>
      </c>
      <c r="D3847" s="25" t="s">
        <v>10112</v>
      </c>
      <c r="E3847" s="26">
        <v>22</v>
      </c>
    </row>
    <row r="3848" spans="1:5" x14ac:dyDescent="0.25">
      <c r="A3848" s="24" t="s">
        <v>7</v>
      </c>
      <c r="B3848" s="24" t="s">
        <v>10113</v>
      </c>
      <c r="C3848" s="25" t="s">
        <v>10114</v>
      </c>
      <c r="D3848" s="25" t="s">
        <v>10115</v>
      </c>
      <c r="E3848" s="26">
        <v>56</v>
      </c>
    </row>
    <row r="3849" spans="1:5" x14ac:dyDescent="0.25">
      <c r="A3849" s="24" t="s">
        <v>7</v>
      </c>
      <c r="B3849" s="24" t="s">
        <v>10116</v>
      </c>
      <c r="C3849" s="25" t="s">
        <v>10117</v>
      </c>
      <c r="D3849" s="25" t="s">
        <v>10118</v>
      </c>
      <c r="E3849" s="26">
        <v>33</v>
      </c>
    </row>
    <row r="3850" spans="1:5" x14ac:dyDescent="0.25">
      <c r="A3850" s="24" t="s">
        <v>7</v>
      </c>
      <c r="B3850" s="24" t="s">
        <v>10119</v>
      </c>
      <c r="C3850" s="25" t="s">
        <v>10120</v>
      </c>
      <c r="D3850" s="25" t="s">
        <v>10121</v>
      </c>
      <c r="E3850" s="26">
        <v>18</v>
      </c>
    </row>
    <row r="3851" spans="1:5" x14ac:dyDescent="0.25">
      <c r="A3851" s="24" t="s">
        <v>7</v>
      </c>
      <c r="B3851" s="24" t="s">
        <v>10122</v>
      </c>
      <c r="C3851" s="25" t="s">
        <v>10123</v>
      </c>
      <c r="D3851" s="25" t="s">
        <v>10124</v>
      </c>
      <c r="E3851" s="26">
        <v>226</v>
      </c>
    </row>
    <row r="3852" spans="1:5" x14ac:dyDescent="0.25">
      <c r="A3852" s="24" t="s">
        <v>7</v>
      </c>
      <c r="B3852" s="24" t="s">
        <v>10125</v>
      </c>
      <c r="C3852" s="25" t="s">
        <v>10126</v>
      </c>
      <c r="D3852" s="25" t="s">
        <v>10127</v>
      </c>
      <c r="E3852" s="26">
        <v>19</v>
      </c>
    </row>
    <row r="3853" spans="1:5" x14ac:dyDescent="0.25">
      <c r="A3853" s="24" t="s">
        <v>7</v>
      </c>
      <c r="B3853" s="24" t="s">
        <v>10128</v>
      </c>
      <c r="C3853" s="25" t="s">
        <v>10129</v>
      </c>
      <c r="D3853" s="25" t="s">
        <v>10130</v>
      </c>
      <c r="E3853" s="26">
        <v>36</v>
      </c>
    </row>
    <row r="3854" spans="1:5" x14ac:dyDescent="0.25">
      <c r="A3854" s="24" t="s">
        <v>7</v>
      </c>
      <c r="B3854" s="24" t="s">
        <v>10131</v>
      </c>
      <c r="C3854" s="25" t="s">
        <v>10132</v>
      </c>
      <c r="D3854" s="25" t="s">
        <v>10133</v>
      </c>
      <c r="E3854" s="26">
        <v>569</v>
      </c>
    </row>
    <row r="3855" spans="1:5" x14ac:dyDescent="0.25">
      <c r="A3855" s="24" t="s">
        <v>7</v>
      </c>
      <c r="B3855" s="24" t="s">
        <v>10134</v>
      </c>
      <c r="C3855" s="25" t="s">
        <v>10135</v>
      </c>
      <c r="D3855" s="25" t="s">
        <v>10136</v>
      </c>
      <c r="E3855" s="26">
        <v>15</v>
      </c>
    </row>
    <row r="3856" spans="1:5" x14ac:dyDescent="0.25">
      <c r="A3856" s="24" t="s">
        <v>7</v>
      </c>
      <c r="B3856" s="24" t="s">
        <v>10137</v>
      </c>
      <c r="C3856" s="25" t="s">
        <v>10138</v>
      </c>
      <c r="D3856" s="25" t="s">
        <v>10139</v>
      </c>
      <c r="E3856" s="26">
        <v>5</v>
      </c>
    </row>
    <row r="3857" spans="1:5" x14ac:dyDescent="0.25">
      <c r="A3857" s="24" t="s">
        <v>7</v>
      </c>
      <c r="B3857" s="24" t="s">
        <v>10140</v>
      </c>
      <c r="C3857" s="25" t="s">
        <v>10141</v>
      </c>
      <c r="D3857" s="25" t="s">
        <v>10142</v>
      </c>
      <c r="E3857" s="26">
        <v>21</v>
      </c>
    </row>
    <row r="3858" spans="1:5" x14ac:dyDescent="0.25">
      <c r="A3858" s="24" t="s">
        <v>7</v>
      </c>
      <c r="B3858" s="24" t="s">
        <v>10143</v>
      </c>
      <c r="C3858" s="25" t="s">
        <v>10144</v>
      </c>
      <c r="D3858" s="25" t="s">
        <v>10145</v>
      </c>
      <c r="E3858" s="26">
        <v>22</v>
      </c>
    </row>
    <row r="3859" spans="1:5" x14ac:dyDescent="0.25">
      <c r="A3859" s="24" t="s">
        <v>7</v>
      </c>
      <c r="B3859" s="24" t="s">
        <v>10146</v>
      </c>
      <c r="C3859" s="25" t="s">
        <v>10147</v>
      </c>
      <c r="D3859" s="25" t="s">
        <v>10148</v>
      </c>
      <c r="E3859" s="26">
        <v>17</v>
      </c>
    </row>
    <row r="3860" spans="1:5" x14ac:dyDescent="0.25">
      <c r="A3860" s="24" t="s">
        <v>7</v>
      </c>
      <c r="B3860" s="24" t="s">
        <v>10149</v>
      </c>
      <c r="C3860" s="25" t="s">
        <v>10150</v>
      </c>
      <c r="D3860" s="25" t="s">
        <v>10151</v>
      </c>
      <c r="E3860" s="26">
        <v>11</v>
      </c>
    </row>
    <row r="3861" spans="1:5" x14ac:dyDescent="0.25">
      <c r="A3861" s="24" t="s">
        <v>7</v>
      </c>
      <c r="B3861" s="24" t="s">
        <v>10152</v>
      </c>
      <c r="C3861" s="25" t="s">
        <v>10153</v>
      </c>
      <c r="D3861" s="25" t="s">
        <v>10154</v>
      </c>
      <c r="E3861" s="26">
        <v>279</v>
      </c>
    </row>
    <row r="3862" spans="1:5" x14ac:dyDescent="0.25">
      <c r="A3862" s="24" t="s">
        <v>7</v>
      </c>
      <c r="B3862" s="24" t="s">
        <v>10155</v>
      </c>
      <c r="C3862" s="25" t="s">
        <v>10156</v>
      </c>
      <c r="D3862" s="25" t="s">
        <v>10157</v>
      </c>
      <c r="E3862" s="26">
        <v>18</v>
      </c>
    </row>
    <row r="3863" spans="1:5" x14ac:dyDescent="0.25">
      <c r="A3863" s="24" t="s">
        <v>7</v>
      </c>
      <c r="B3863" s="24" t="s">
        <v>10158</v>
      </c>
      <c r="C3863" s="25" t="s">
        <v>10159</v>
      </c>
      <c r="D3863" s="25" t="s">
        <v>10160</v>
      </c>
      <c r="E3863" s="26">
        <v>26</v>
      </c>
    </row>
    <row r="3864" spans="1:5" x14ac:dyDescent="0.25">
      <c r="A3864" s="24" t="s">
        <v>7</v>
      </c>
      <c r="B3864" s="24" t="s">
        <v>10161</v>
      </c>
      <c r="C3864" s="25" t="s">
        <v>10162</v>
      </c>
      <c r="D3864" s="25" t="s">
        <v>10163</v>
      </c>
      <c r="E3864" s="26">
        <v>12</v>
      </c>
    </row>
    <row r="3865" spans="1:5" x14ac:dyDescent="0.25">
      <c r="A3865" s="24" t="s">
        <v>7</v>
      </c>
      <c r="B3865" s="24" t="s">
        <v>10164</v>
      </c>
      <c r="C3865" s="25" t="s">
        <v>10165</v>
      </c>
      <c r="D3865" s="25" t="s">
        <v>10166</v>
      </c>
      <c r="E3865" s="26">
        <v>211</v>
      </c>
    </row>
    <row r="3866" spans="1:5" x14ac:dyDescent="0.25">
      <c r="A3866" s="24" t="s">
        <v>7</v>
      </c>
      <c r="B3866" s="24" t="s">
        <v>10167</v>
      </c>
      <c r="C3866" s="25" t="s">
        <v>10168</v>
      </c>
      <c r="D3866" s="25" t="s">
        <v>10169</v>
      </c>
      <c r="E3866" s="26">
        <v>65</v>
      </c>
    </row>
    <row r="3867" spans="1:5" x14ac:dyDescent="0.25">
      <c r="A3867" s="24" t="s">
        <v>7</v>
      </c>
      <c r="B3867" s="24" t="s">
        <v>10170</v>
      </c>
      <c r="C3867" s="25" t="s">
        <v>10171</v>
      </c>
      <c r="D3867" s="25" t="s">
        <v>10172</v>
      </c>
      <c r="E3867" s="26">
        <v>25</v>
      </c>
    </row>
    <row r="3868" spans="1:5" x14ac:dyDescent="0.25">
      <c r="A3868" s="24" t="s">
        <v>7</v>
      </c>
      <c r="B3868" s="24" t="s">
        <v>10173</v>
      </c>
      <c r="C3868" s="25" t="s">
        <v>10174</v>
      </c>
      <c r="D3868" s="25" t="s">
        <v>10175</v>
      </c>
      <c r="E3868" s="26">
        <v>15</v>
      </c>
    </row>
    <row r="3869" spans="1:5" x14ac:dyDescent="0.25">
      <c r="A3869" s="24" t="s">
        <v>7</v>
      </c>
      <c r="B3869" s="24" t="s">
        <v>10176</v>
      </c>
      <c r="C3869" s="25" t="s">
        <v>10177</v>
      </c>
      <c r="D3869" s="25" t="s">
        <v>10178</v>
      </c>
      <c r="E3869" s="26">
        <v>18</v>
      </c>
    </row>
    <row r="3870" spans="1:5" x14ac:dyDescent="0.25">
      <c r="A3870" s="24" t="s">
        <v>7</v>
      </c>
      <c r="B3870" s="24" t="s">
        <v>10179</v>
      </c>
      <c r="C3870" s="25" t="s">
        <v>10180</v>
      </c>
      <c r="D3870" s="25" t="s">
        <v>10181</v>
      </c>
      <c r="E3870" s="26">
        <v>45</v>
      </c>
    </row>
    <row r="3871" spans="1:5" x14ac:dyDescent="0.25">
      <c r="A3871" s="24" t="s">
        <v>7</v>
      </c>
      <c r="B3871" s="24" t="s">
        <v>10182</v>
      </c>
      <c r="C3871" s="25" t="s">
        <v>10183</v>
      </c>
      <c r="D3871" s="25" t="s">
        <v>10184</v>
      </c>
      <c r="E3871" s="26">
        <v>404</v>
      </c>
    </row>
    <row r="3872" spans="1:5" x14ac:dyDescent="0.25">
      <c r="A3872" s="24" t="s">
        <v>7</v>
      </c>
      <c r="B3872" s="24" t="s">
        <v>10185</v>
      </c>
      <c r="C3872" s="25" t="s">
        <v>10186</v>
      </c>
      <c r="D3872" s="25" t="s">
        <v>10187</v>
      </c>
      <c r="E3872" s="26">
        <v>91</v>
      </c>
    </row>
    <row r="3873" spans="1:5" x14ac:dyDescent="0.25">
      <c r="A3873" s="24" t="s">
        <v>7</v>
      </c>
      <c r="B3873" s="24" t="s">
        <v>10188</v>
      </c>
      <c r="C3873" s="25" t="s">
        <v>10189</v>
      </c>
      <c r="D3873" s="25" t="s">
        <v>10190</v>
      </c>
      <c r="E3873" s="26">
        <v>24</v>
      </c>
    </row>
    <row r="3874" spans="1:5" x14ac:dyDescent="0.25">
      <c r="A3874" s="24" t="s">
        <v>7</v>
      </c>
      <c r="B3874" s="24" t="s">
        <v>10191</v>
      </c>
      <c r="C3874" s="25" t="s">
        <v>10192</v>
      </c>
      <c r="D3874" s="25" t="s">
        <v>10193</v>
      </c>
      <c r="E3874" s="26">
        <v>33</v>
      </c>
    </row>
    <row r="3875" spans="1:5" x14ac:dyDescent="0.25">
      <c r="A3875" s="24" t="s">
        <v>7</v>
      </c>
      <c r="B3875" s="24" t="s">
        <v>10194</v>
      </c>
      <c r="C3875" s="25" t="s">
        <v>10195</v>
      </c>
      <c r="D3875" s="25" t="s">
        <v>10196</v>
      </c>
      <c r="E3875" s="26">
        <v>107</v>
      </c>
    </row>
    <row r="3876" spans="1:5" x14ac:dyDescent="0.25">
      <c r="A3876" s="24" t="s">
        <v>7</v>
      </c>
      <c r="B3876" s="24" t="s">
        <v>10197</v>
      </c>
      <c r="C3876" s="25" t="s">
        <v>10198</v>
      </c>
      <c r="D3876" s="25" t="s">
        <v>10199</v>
      </c>
      <c r="E3876" s="26">
        <v>33</v>
      </c>
    </row>
    <row r="3877" spans="1:5" x14ac:dyDescent="0.25">
      <c r="A3877" s="24" t="s">
        <v>7</v>
      </c>
      <c r="B3877" s="24" t="s">
        <v>10200</v>
      </c>
      <c r="C3877" s="25" t="s">
        <v>10201</v>
      </c>
      <c r="D3877" s="25" t="s">
        <v>10202</v>
      </c>
      <c r="E3877" s="26">
        <v>398</v>
      </c>
    </row>
    <row r="3878" spans="1:5" x14ac:dyDescent="0.25">
      <c r="A3878" s="24" t="s">
        <v>7</v>
      </c>
      <c r="B3878" s="24" t="s">
        <v>10203</v>
      </c>
      <c r="C3878" s="25" t="s">
        <v>10204</v>
      </c>
      <c r="D3878" s="25" t="s">
        <v>10205</v>
      </c>
      <c r="E3878" s="26">
        <v>387</v>
      </c>
    </row>
    <row r="3879" spans="1:5" x14ac:dyDescent="0.25">
      <c r="A3879" s="24" t="s">
        <v>7</v>
      </c>
      <c r="B3879" s="24" t="s">
        <v>10206</v>
      </c>
      <c r="C3879" s="25" t="s">
        <v>10207</v>
      </c>
      <c r="D3879" s="25" t="s">
        <v>10208</v>
      </c>
      <c r="E3879" s="26">
        <v>24</v>
      </c>
    </row>
    <row r="3880" spans="1:5" x14ac:dyDescent="0.25">
      <c r="A3880" s="24" t="s">
        <v>7</v>
      </c>
      <c r="B3880" s="24" t="s">
        <v>10209</v>
      </c>
      <c r="C3880" s="25" t="s">
        <v>10210</v>
      </c>
      <c r="D3880" s="25" t="s">
        <v>10211</v>
      </c>
      <c r="E3880" s="26">
        <v>16</v>
      </c>
    </row>
    <row r="3881" spans="1:5" x14ac:dyDescent="0.25">
      <c r="A3881" s="24" t="s">
        <v>7</v>
      </c>
      <c r="B3881" s="24" t="s">
        <v>10212</v>
      </c>
      <c r="C3881" s="25" t="s">
        <v>10213</v>
      </c>
      <c r="D3881" s="25" t="s">
        <v>10214</v>
      </c>
      <c r="E3881" s="26">
        <v>33</v>
      </c>
    </row>
    <row r="3882" spans="1:5" x14ac:dyDescent="0.25">
      <c r="A3882" s="24" t="s">
        <v>7</v>
      </c>
      <c r="B3882" s="24" t="s">
        <v>10215</v>
      </c>
      <c r="C3882" s="25" t="s">
        <v>10216</v>
      </c>
      <c r="D3882" s="25" t="s">
        <v>10217</v>
      </c>
      <c r="E3882" s="26">
        <v>20</v>
      </c>
    </row>
    <row r="3883" spans="1:5" x14ac:dyDescent="0.25">
      <c r="A3883" s="24" t="s">
        <v>7</v>
      </c>
      <c r="B3883" s="24" t="s">
        <v>10218</v>
      </c>
      <c r="C3883" s="25" t="s">
        <v>10219</v>
      </c>
      <c r="D3883" s="25" t="s">
        <v>10220</v>
      </c>
      <c r="E3883" s="26">
        <v>71</v>
      </c>
    </row>
    <row r="3884" spans="1:5" x14ac:dyDescent="0.25">
      <c r="A3884" s="24" t="s">
        <v>7</v>
      </c>
      <c r="B3884" s="24" t="s">
        <v>10221</v>
      </c>
      <c r="C3884" s="25" t="s">
        <v>10222</v>
      </c>
      <c r="D3884" s="25" t="s">
        <v>10223</v>
      </c>
      <c r="E3884" s="26">
        <v>164</v>
      </c>
    </row>
    <row r="3885" spans="1:5" x14ac:dyDescent="0.25">
      <c r="A3885" s="24" t="s">
        <v>7</v>
      </c>
      <c r="B3885" s="24" t="s">
        <v>10224</v>
      </c>
      <c r="C3885" s="25" t="s">
        <v>10225</v>
      </c>
      <c r="D3885" s="25" t="s">
        <v>10226</v>
      </c>
      <c r="E3885" s="26">
        <v>220</v>
      </c>
    </row>
    <row r="3886" spans="1:5" x14ac:dyDescent="0.25">
      <c r="A3886" s="24" t="s">
        <v>7</v>
      </c>
      <c r="B3886" s="24" t="s">
        <v>10227</v>
      </c>
      <c r="C3886" s="25" t="s">
        <v>10228</v>
      </c>
      <c r="D3886" s="25" t="s">
        <v>10229</v>
      </c>
      <c r="E3886" s="26">
        <v>5</v>
      </c>
    </row>
    <row r="3887" spans="1:5" x14ac:dyDescent="0.25">
      <c r="A3887" s="24" t="s">
        <v>7</v>
      </c>
      <c r="B3887" s="24" t="s">
        <v>10230</v>
      </c>
      <c r="C3887" s="25" t="s">
        <v>10231</v>
      </c>
      <c r="D3887" s="25" t="s">
        <v>10232</v>
      </c>
      <c r="E3887" s="26">
        <v>54</v>
      </c>
    </row>
    <row r="3888" spans="1:5" x14ac:dyDescent="0.25">
      <c r="A3888" s="24" t="s">
        <v>7</v>
      </c>
      <c r="B3888" s="24" t="s">
        <v>10233</v>
      </c>
      <c r="C3888" s="25" t="s">
        <v>10234</v>
      </c>
      <c r="D3888" s="25" t="s">
        <v>10235</v>
      </c>
      <c r="E3888" s="26">
        <v>31</v>
      </c>
    </row>
    <row r="3889" spans="1:5" x14ac:dyDescent="0.25">
      <c r="A3889" s="24" t="s">
        <v>7</v>
      </c>
      <c r="B3889" s="24" t="s">
        <v>10236</v>
      </c>
      <c r="C3889" s="25" t="s">
        <v>10237</v>
      </c>
      <c r="D3889" s="25" t="s">
        <v>10238</v>
      </c>
      <c r="E3889" s="26">
        <v>125</v>
      </c>
    </row>
    <row r="3890" spans="1:5" x14ac:dyDescent="0.25">
      <c r="A3890" s="24" t="s">
        <v>7</v>
      </c>
      <c r="B3890" s="24" t="s">
        <v>10239</v>
      </c>
      <c r="C3890" s="25" t="s">
        <v>10240</v>
      </c>
      <c r="D3890" s="25" t="s">
        <v>10241</v>
      </c>
      <c r="E3890" s="26">
        <v>406</v>
      </c>
    </row>
    <row r="3891" spans="1:5" x14ac:dyDescent="0.25">
      <c r="A3891" s="24" t="s">
        <v>7</v>
      </c>
      <c r="B3891" s="24" t="s">
        <v>10242</v>
      </c>
      <c r="C3891" s="25" t="s">
        <v>10243</v>
      </c>
      <c r="D3891" s="25" t="s">
        <v>10244</v>
      </c>
      <c r="E3891" s="26">
        <v>3</v>
      </c>
    </row>
    <row r="3892" spans="1:5" x14ac:dyDescent="0.25">
      <c r="A3892" s="24" t="s">
        <v>7</v>
      </c>
      <c r="B3892" s="24" t="s">
        <v>10245</v>
      </c>
      <c r="C3892" s="25" t="s">
        <v>10246</v>
      </c>
      <c r="D3892" s="25" t="s">
        <v>10247</v>
      </c>
      <c r="E3892" s="26">
        <v>175</v>
      </c>
    </row>
    <row r="3893" spans="1:5" x14ac:dyDescent="0.25">
      <c r="A3893" s="24" t="s">
        <v>7</v>
      </c>
      <c r="B3893" s="24" t="s">
        <v>10248</v>
      </c>
      <c r="C3893" s="25" t="s">
        <v>10249</v>
      </c>
      <c r="D3893" s="25" t="s">
        <v>10250</v>
      </c>
      <c r="E3893" s="26">
        <v>24</v>
      </c>
    </row>
    <row r="3894" spans="1:5" x14ac:dyDescent="0.25">
      <c r="A3894" s="24" t="s">
        <v>7</v>
      </c>
      <c r="B3894" s="24" t="s">
        <v>10251</v>
      </c>
      <c r="C3894" s="25" t="s">
        <v>10252</v>
      </c>
      <c r="D3894" s="25" t="s">
        <v>10253</v>
      </c>
      <c r="E3894" s="26">
        <v>68</v>
      </c>
    </row>
    <row r="3895" spans="1:5" x14ac:dyDescent="0.25">
      <c r="A3895" s="24" t="s">
        <v>7</v>
      </c>
      <c r="B3895" s="24" t="s">
        <v>10254</v>
      </c>
      <c r="C3895" s="25" t="s">
        <v>10255</v>
      </c>
      <c r="D3895" s="25" t="s">
        <v>10256</v>
      </c>
      <c r="E3895" s="26">
        <v>3</v>
      </c>
    </row>
    <row r="3896" spans="1:5" x14ac:dyDescent="0.25">
      <c r="A3896" s="24" t="s">
        <v>7</v>
      </c>
      <c r="B3896" s="24" t="s">
        <v>10257</v>
      </c>
      <c r="C3896" s="25" t="s">
        <v>10258</v>
      </c>
      <c r="D3896" s="25" t="s">
        <v>10259</v>
      </c>
      <c r="E3896" s="26">
        <v>13</v>
      </c>
    </row>
    <row r="3897" spans="1:5" x14ac:dyDescent="0.25">
      <c r="A3897" s="24" t="s">
        <v>7</v>
      </c>
      <c r="B3897" s="24" t="s">
        <v>10260</v>
      </c>
      <c r="C3897" s="25" t="s">
        <v>10261</v>
      </c>
      <c r="D3897" s="25" t="s">
        <v>10262</v>
      </c>
      <c r="E3897" s="26">
        <v>10</v>
      </c>
    </row>
    <row r="3898" spans="1:5" x14ac:dyDescent="0.25">
      <c r="A3898" s="24" t="s">
        <v>7</v>
      </c>
      <c r="B3898" s="24" t="s">
        <v>10263</v>
      </c>
      <c r="C3898" s="25" t="s">
        <v>10264</v>
      </c>
      <c r="D3898" s="25" t="s">
        <v>10265</v>
      </c>
      <c r="E3898" s="26">
        <v>26</v>
      </c>
    </row>
    <row r="3899" spans="1:5" x14ac:dyDescent="0.25">
      <c r="A3899" s="24" t="s">
        <v>7</v>
      </c>
      <c r="B3899" s="24" t="s">
        <v>10266</v>
      </c>
      <c r="C3899" s="25" t="s">
        <v>10267</v>
      </c>
      <c r="D3899" s="25" t="s">
        <v>10268</v>
      </c>
      <c r="E3899" s="26">
        <v>4</v>
      </c>
    </row>
    <row r="3900" spans="1:5" x14ac:dyDescent="0.25">
      <c r="A3900" s="24" t="s">
        <v>7</v>
      </c>
      <c r="B3900" s="24" t="s">
        <v>10269</v>
      </c>
      <c r="C3900" s="25" t="s">
        <v>10270</v>
      </c>
      <c r="D3900" s="25" t="s">
        <v>10271</v>
      </c>
      <c r="E3900" s="26">
        <v>18</v>
      </c>
    </row>
    <row r="3901" spans="1:5" x14ac:dyDescent="0.25">
      <c r="A3901" s="24" t="s">
        <v>7</v>
      </c>
      <c r="B3901" s="24" t="s">
        <v>10272</v>
      </c>
      <c r="C3901" s="25" t="s">
        <v>10273</v>
      </c>
      <c r="D3901" s="25" t="s">
        <v>10274</v>
      </c>
      <c r="E3901" s="26">
        <v>5</v>
      </c>
    </row>
    <row r="3902" spans="1:5" x14ac:dyDescent="0.25">
      <c r="A3902" s="24" t="s">
        <v>7</v>
      </c>
      <c r="B3902" s="24" t="s">
        <v>10275</v>
      </c>
      <c r="C3902" s="25" t="s">
        <v>10276</v>
      </c>
      <c r="D3902" s="25" t="s">
        <v>10277</v>
      </c>
      <c r="E3902" s="26">
        <v>23</v>
      </c>
    </row>
    <row r="3903" spans="1:5" x14ac:dyDescent="0.25">
      <c r="A3903" s="24" t="s">
        <v>7</v>
      </c>
      <c r="B3903" s="24" t="s">
        <v>10278</v>
      </c>
      <c r="C3903" s="25" t="s">
        <v>10279</v>
      </c>
      <c r="D3903" s="25" t="s">
        <v>10280</v>
      </c>
      <c r="E3903" s="26">
        <v>1653</v>
      </c>
    </row>
    <row r="3904" spans="1:5" x14ac:dyDescent="0.25">
      <c r="A3904" s="24" t="s">
        <v>7</v>
      </c>
      <c r="B3904" s="24" t="s">
        <v>10281</v>
      </c>
      <c r="C3904" s="25" t="s">
        <v>10282</v>
      </c>
      <c r="D3904" s="25" t="s">
        <v>10283</v>
      </c>
      <c r="E3904" s="26">
        <v>15</v>
      </c>
    </row>
    <row r="3905" spans="1:5" x14ac:dyDescent="0.25">
      <c r="A3905" s="24" t="s">
        <v>7</v>
      </c>
      <c r="B3905" s="24" t="s">
        <v>10284</v>
      </c>
      <c r="C3905" s="25" t="s">
        <v>10285</v>
      </c>
      <c r="D3905" s="25" t="s">
        <v>10286</v>
      </c>
      <c r="E3905" s="26">
        <v>1</v>
      </c>
    </row>
    <row r="3906" spans="1:5" x14ac:dyDescent="0.25">
      <c r="A3906" s="24" t="s">
        <v>7</v>
      </c>
      <c r="B3906" s="24" t="s">
        <v>10287</v>
      </c>
      <c r="C3906" s="25" t="s">
        <v>10288</v>
      </c>
      <c r="D3906" s="25" t="s">
        <v>10289</v>
      </c>
      <c r="E3906" s="26">
        <v>39</v>
      </c>
    </row>
    <row r="3907" spans="1:5" x14ac:dyDescent="0.25">
      <c r="A3907" s="24" t="s">
        <v>7</v>
      </c>
      <c r="B3907" s="24" t="s">
        <v>10290</v>
      </c>
      <c r="C3907" s="25" t="s">
        <v>10291</v>
      </c>
      <c r="D3907" s="25" t="s">
        <v>10292</v>
      </c>
      <c r="E3907" s="26">
        <v>170</v>
      </c>
    </row>
    <row r="3908" spans="1:5" x14ac:dyDescent="0.25">
      <c r="A3908" s="24" t="s">
        <v>7</v>
      </c>
      <c r="B3908" s="24" t="s">
        <v>10293</v>
      </c>
      <c r="C3908" s="25" t="s">
        <v>10294</v>
      </c>
      <c r="D3908" s="25" t="s">
        <v>10295</v>
      </c>
      <c r="E3908" s="26">
        <v>46</v>
      </c>
    </row>
    <row r="3909" spans="1:5" x14ac:dyDescent="0.25">
      <c r="A3909" s="24" t="s">
        <v>7</v>
      </c>
      <c r="B3909" s="24" t="s">
        <v>10296</v>
      </c>
      <c r="C3909" s="25" t="s">
        <v>10297</v>
      </c>
      <c r="D3909" s="25" t="s">
        <v>10298</v>
      </c>
      <c r="E3909" s="26">
        <v>140</v>
      </c>
    </row>
    <row r="3910" spans="1:5" x14ac:dyDescent="0.25">
      <c r="A3910" s="24" t="s">
        <v>7</v>
      </c>
      <c r="B3910" s="24" t="s">
        <v>10299</v>
      </c>
      <c r="C3910" s="25" t="s">
        <v>10300</v>
      </c>
      <c r="D3910" s="25" t="s">
        <v>10301</v>
      </c>
      <c r="E3910" s="26">
        <v>59</v>
      </c>
    </row>
    <row r="3911" spans="1:5" x14ac:dyDescent="0.25">
      <c r="A3911" s="24" t="s">
        <v>7</v>
      </c>
      <c r="B3911" s="24" t="s">
        <v>10302</v>
      </c>
      <c r="C3911" s="25" t="s">
        <v>10303</v>
      </c>
      <c r="D3911" s="25" t="s">
        <v>10304</v>
      </c>
      <c r="E3911" s="26">
        <v>26</v>
      </c>
    </row>
    <row r="3912" spans="1:5" x14ac:dyDescent="0.25">
      <c r="A3912" s="24" t="s">
        <v>7</v>
      </c>
      <c r="B3912" s="24" t="s">
        <v>10305</v>
      </c>
      <c r="C3912" s="25" t="s">
        <v>10306</v>
      </c>
      <c r="D3912" s="25" t="s">
        <v>10307</v>
      </c>
      <c r="E3912" s="26">
        <v>4892</v>
      </c>
    </row>
    <row r="3913" spans="1:5" x14ac:dyDescent="0.25">
      <c r="A3913" s="24" t="s">
        <v>7</v>
      </c>
      <c r="B3913" s="24" t="s">
        <v>10308</v>
      </c>
      <c r="C3913" s="25" t="s">
        <v>10309</v>
      </c>
      <c r="D3913" s="25" t="s">
        <v>10310</v>
      </c>
      <c r="E3913" s="26">
        <v>153</v>
      </c>
    </row>
    <row r="3914" spans="1:5" x14ac:dyDescent="0.25">
      <c r="A3914" s="24" t="s">
        <v>7</v>
      </c>
      <c r="B3914" s="24" t="s">
        <v>10311</v>
      </c>
      <c r="C3914" s="25" t="s">
        <v>10312</v>
      </c>
      <c r="D3914" s="25" t="s">
        <v>10313</v>
      </c>
      <c r="E3914" s="26">
        <v>17</v>
      </c>
    </row>
    <row r="3915" spans="1:5" x14ac:dyDescent="0.25">
      <c r="A3915" s="24" t="s">
        <v>7</v>
      </c>
      <c r="B3915" s="24" t="s">
        <v>10314</v>
      </c>
      <c r="C3915" s="25" t="s">
        <v>10315</v>
      </c>
      <c r="D3915" s="25" t="s">
        <v>10316</v>
      </c>
      <c r="E3915" s="26">
        <v>17</v>
      </c>
    </row>
    <row r="3916" spans="1:5" x14ac:dyDescent="0.25">
      <c r="A3916" s="24" t="s">
        <v>7</v>
      </c>
      <c r="B3916" s="24" t="s">
        <v>10317</v>
      </c>
      <c r="C3916" s="25" t="s">
        <v>10318</v>
      </c>
      <c r="D3916" s="25" t="s">
        <v>10319</v>
      </c>
      <c r="E3916" s="26">
        <v>10</v>
      </c>
    </row>
    <row r="3917" spans="1:5" x14ac:dyDescent="0.25">
      <c r="A3917" s="24" t="s">
        <v>7</v>
      </c>
      <c r="B3917" s="24" t="s">
        <v>10320</v>
      </c>
      <c r="C3917" s="25" t="s">
        <v>10321</v>
      </c>
      <c r="D3917" s="25" t="s">
        <v>10322</v>
      </c>
      <c r="E3917" s="26">
        <v>17</v>
      </c>
    </row>
    <row r="3918" spans="1:5" x14ac:dyDescent="0.25">
      <c r="A3918" s="24" t="s">
        <v>7</v>
      </c>
      <c r="B3918" s="24" t="s">
        <v>10323</v>
      </c>
      <c r="C3918" s="25" t="s">
        <v>10324</v>
      </c>
      <c r="D3918" s="25" t="s">
        <v>10325</v>
      </c>
      <c r="E3918" s="26">
        <v>83</v>
      </c>
    </row>
    <row r="3919" spans="1:5" x14ac:dyDescent="0.25">
      <c r="A3919" s="24" t="s">
        <v>7</v>
      </c>
      <c r="B3919" s="24" t="s">
        <v>10326</v>
      </c>
      <c r="C3919" s="25" t="s">
        <v>10327</v>
      </c>
      <c r="D3919" s="25" t="s">
        <v>10328</v>
      </c>
      <c r="E3919" s="26">
        <v>39</v>
      </c>
    </row>
    <row r="3920" spans="1:5" x14ac:dyDescent="0.25">
      <c r="A3920" s="24" t="s">
        <v>7</v>
      </c>
      <c r="B3920" s="24" t="s">
        <v>10329</v>
      </c>
      <c r="C3920" s="25" t="s">
        <v>10330</v>
      </c>
      <c r="D3920" s="25" t="s">
        <v>10331</v>
      </c>
      <c r="E3920" s="26">
        <v>2</v>
      </c>
    </row>
    <row r="3921" spans="1:5" x14ac:dyDescent="0.25">
      <c r="A3921" s="24" t="s">
        <v>7</v>
      </c>
      <c r="B3921" s="24" t="s">
        <v>10332</v>
      </c>
      <c r="C3921" s="25" t="s">
        <v>10333</v>
      </c>
      <c r="D3921" s="25" t="s">
        <v>10334</v>
      </c>
      <c r="E3921" s="26">
        <v>37</v>
      </c>
    </row>
    <row r="3922" spans="1:5" x14ac:dyDescent="0.25">
      <c r="A3922" s="24" t="s">
        <v>7</v>
      </c>
      <c r="B3922" s="24" t="s">
        <v>10335</v>
      </c>
      <c r="C3922" s="25" t="s">
        <v>10336</v>
      </c>
      <c r="D3922" s="25" t="s">
        <v>10337</v>
      </c>
      <c r="E3922" s="26">
        <v>39</v>
      </c>
    </row>
    <row r="3923" spans="1:5" x14ac:dyDescent="0.25">
      <c r="A3923" s="24" t="s">
        <v>7</v>
      </c>
      <c r="B3923" s="24" t="s">
        <v>10338</v>
      </c>
      <c r="C3923" s="25" t="s">
        <v>10339</v>
      </c>
      <c r="D3923" s="25" t="s">
        <v>10340</v>
      </c>
      <c r="E3923" s="26">
        <v>45</v>
      </c>
    </row>
    <row r="3924" spans="1:5" x14ac:dyDescent="0.25">
      <c r="A3924" s="24" t="s">
        <v>7</v>
      </c>
      <c r="B3924" s="24" t="s">
        <v>10341</v>
      </c>
      <c r="C3924" s="25" t="s">
        <v>10342</v>
      </c>
      <c r="D3924" s="25" t="s">
        <v>10343</v>
      </c>
      <c r="E3924" s="26">
        <v>2</v>
      </c>
    </row>
    <row r="3925" spans="1:5" x14ac:dyDescent="0.25">
      <c r="A3925" s="24" t="s">
        <v>7</v>
      </c>
      <c r="B3925" s="24" t="s">
        <v>10344</v>
      </c>
      <c r="C3925" s="25" t="s">
        <v>10345</v>
      </c>
      <c r="D3925" s="25" t="s">
        <v>10346</v>
      </c>
      <c r="E3925" s="26">
        <v>30</v>
      </c>
    </row>
    <row r="3926" spans="1:5" x14ac:dyDescent="0.25">
      <c r="A3926" s="24" t="s">
        <v>7</v>
      </c>
      <c r="B3926" s="24" t="s">
        <v>10347</v>
      </c>
      <c r="C3926" s="25" t="s">
        <v>10348</v>
      </c>
      <c r="D3926" s="25" t="s">
        <v>10349</v>
      </c>
      <c r="E3926" s="26">
        <v>29</v>
      </c>
    </row>
    <row r="3927" spans="1:5" x14ac:dyDescent="0.25">
      <c r="A3927" s="24" t="s">
        <v>7</v>
      </c>
      <c r="B3927" s="24" t="s">
        <v>10350</v>
      </c>
      <c r="C3927" s="25" t="s">
        <v>10351</v>
      </c>
      <c r="D3927" s="25" t="s">
        <v>10352</v>
      </c>
      <c r="E3927" s="26">
        <v>17</v>
      </c>
    </row>
    <row r="3928" spans="1:5" x14ac:dyDescent="0.25">
      <c r="A3928" s="24" t="s">
        <v>7</v>
      </c>
      <c r="B3928" s="24" t="s">
        <v>10353</v>
      </c>
      <c r="C3928" s="25" t="s">
        <v>10354</v>
      </c>
      <c r="D3928" s="25" t="s">
        <v>10355</v>
      </c>
      <c r="E3928" s="26">
        <v>11</v>
      </c>
    </row>
    <row r="3929" spans="1:5" x14ac:dyDescent="0.25">
      <c r="A3929" s="24" t="s">
        <v>7</v>
      </c>
      <c r="B3929" s="24" t="s">
        <v>10356</v>
      </c>
      <c r="C3929" s="25" t="s">
        <v>10357</v>
      </c>
      <c r="D3929" s="25" t="s">
        <v>10358</v>
      </c>
      <c r="E3929" s="26">
        <v>593</v>
      </c>
    </row>
    <row r="3930" spans="1:5" x14ac:dyDescent="0.25">
      <c r="A3930" s="24" t="s">
        <v>7</v>
      </c>
      <c r="B3930" s="24" t="s">
        <v>10359</v>
      </c>
      <c r="C3930" s="25" t="s">
        <v>10360</v>
      </c>
      <c r="D3930" s="25" t="s">
        <v>10361</v>
      </c>
      <c r="E3930" s="26">
        <v>18</v>
      </c>
    </row>
    <row r="3931" spans="1:5" x14ac:dyDescent="0.25">
      <c r="A3931" s="24" t="s">
        <v>7</v>
      </c>
      <c r="B3931" s="24" t="s">
        <v>10362</v>
      </c>
      <c r="C3931" s="25" t="s">
        <v>10363</v>
      </c>
      <c r="D3931" s="25" t="s">
        <v>10364</v>
      </c>
      <c r="E3931" s="26">
        <v>31</v>
      </c>
    </row>
    <row r="3932" spans="1:5" x14ac:dyDescent="0.25">
      <c r="A3932" s="24" t="s">
        <v>7</v>
      </c>
      <c r="B3932" s="24" t="s">
        <v>10365</v>
      </c>
      <c r="C3932" s="25" t="s">
        <v>10366</v>
      </c>
      <c r="D3932" s="25" t="s">
        <v>10367</v>
      </c>
      <c r="E3932" s="26">
        <v>30</v>
      </c>
    </row>
    <row r="3933" spans="1:5" x14ac:dyDescent="0.25">
      <c r="A3933" s="24" t="s">
        <v>7</v>
      </c>
      <c r="B3933" s="24" t="s">
        <v>10368</v>
      </c>
      <c r="C3933" s="25" t="s">
        <v>10369</v>
      </c>
      <c r="D3933" s="25" t="s">
        <v>10370</v>
      </c>
      <c r="E3933" s="26">
        <v>10</v>
      </c>
    </row>
    <row r="3934" spans="1:5" x14ac:dyDescent="0.25">
      <c r="A3934" s="24" t="s">
        <v>7</v>
      </c>
      <c r="B3934" s="24" t="s">
        <v>10371</v>
      </c>
      <c r="C3934" s="25" t="s">
        <v>10372</v>
      </c>
      <c r="D3934" s="25" t="s">
        <v>10373</v>
      </c>
      <c r="E3934" s="26">
        <v>31</v>
      </c>
    </row>
    <row r="3935" spans="1:5" x14ac:dyDescent="0.25">
      <c r="A3935" s="24" t="s">
        <v>7</v>
      </c>
      <c r="B3935" s="24" t="s">
        <v>10374</v>
      </c>
      <c r="C3935" s="25" t="s">
        <v>10375</v>
      </c>
      <c r="D3935" s="25" t="s">
        <v>10376</v>
      </c>
      <c r="E3935" s="26">
        <v>29</v>
      </c>
    </row>
    <row r="3936" spans="1:5" x14ac:dyDescent="0.25">
      <c r="A3936" s="24" t="s">
        <v>7</v>
      </c>
      <c r="B3936" s="24" t="s">
        <v>10377</v>
      </c>
      <c r="C3936" s="25" t="s">
        <v>10378</v>
      </c>
      <c r="D3936" s="25" t="s">
        <v>10379</v>
      </c>
      <c r="E3936" s="26">
        <v>18</v>
      </c>
    </row>
    <row r="3937" spans="1:5" x14ac:dyDescent="0.25">
      <c r="A3937" s="24" t="s">
        <v>7</v>
      </c>
      <c r="B3937" s="24" t="s">
        <v>10380</v>
      </c>
      <c r="C3937" s="25" t="s">
        <v>10381</v>
      </c>
      <c r="D3937" s="25" t="s">
        <v>10382</v>
      </c>
      <c r="E3937" s="26">
        <v>342</v>
      </c>
    </row>
    <row r="3938" spans="1:5" x14ac:dyDescent="0.25">
      <c r="A3938" s="24" t="s">
        <v>7</v>
      </c>
      <c r="B3938" s="24" t="s">
        <v>10383</v>
      </c>
      <c r="C3938" s="25" t="s">
        <v>10384</v>
      </c>
      <c r="D3938" s="25" t="s">
        <v>10385</v>
      </c>
      <c r="E3938" s="26">
        <v>269</v>
      </c>
    </row>
    <row r="3939" spans="1:5" x14ac:dyDescent="0.25">
      <c r="A3939" s="24" t="s">
        <v>7</v>
      </c>
      <c r="B3939" s="24" t="s">
        <v>10386</v>
      </c>
      <c r="C3939" s="25" t="s">
        <v>10387</v>
      </c>
      <c r="D3939" s="25" t="s">
        <v>10388</v>
      </c>
      <c r="E3939" s="26">
        <v>26</v>
      </c>
    </row>
    <row r="3940" spans="1:5" x14ac:dyDescent="0.25">
      <c r="A3940" s="24" t="s">
        <v>7</v>
      </c>
      <c r="B3940" s="24" t="s">
        <v>10389</v>
      </c>
      <c r="C3940" s="25" t="s">
        <v>10390</v>
      </c>
      <c r="D3940" s="25" t="s">
        <v>10390</v>
      </c>
      <c r="E3940" s="26">
        <v>12</v>
      </c>
    </row>
    <row r="3941" spans="1:5" x14ac:dyDescent="0.25">
      <c r="A3941" s="24" t="s">
        <v>7</v>
      </c>
      <c r="B3941" s="24" t="s">
        <v>10391</v>
      </c>
      <c r="C3941" s="25" t="s">
        <v>10392</v>
      </c>
      <c r="D3941" s="25" t="s">
        <v>10392</v>
      </c>
      <c r="E3941" s="26">
        <v>18</v>
      </c>
    </row>
    <row r="3942" spans="1:5" x14ac:dyDescent="0.25">
      <c r="A3942" s="24" t="s">
        <v>7</v>
      </c>
      <c r="B3942" s="24" t="s">
        <v>10393</v>
      </c>
      <c r="C3942" s="25" t="s">
        <v>10394</v>
      </c>
      <c r="D3942" s="25" t="s">
        <v>10395</v>
      </c>
      <c r="E3942" s="26">
        <v>229</v>
      </c>
    </row>
    <row r="3943" spans="1:5" x14ac:dyDescent="0.25">
      <c r="A3943" s="24" t="s">
        <v>7</v>
      </c>
      <c r="B3943" s="24" t="s">
        <v>10396</v>
      </c>
      <c r="C3943" s="25" t="s">
        <v>10397</v>
      </c>
      <c r="D3943" s="25" t="s">
        <v>10398</v>
      </c>
      <c r="E3943" s="26">
        <v>2</v>
      </c>
    </row>
    <row r="3944" spans="1:5" x14ac:dyDescent="0.25">
      <c r="A3944" s="24" t="s">
        <v>7</v>
      </c>
      <c r="B3944" s="24" t="s">
        <v>10399</v>
      </c>
      <c r="C3944" s="25" t="s">
        <v>10400</v>
      </c>
      <c r="D3944" s="25" t="s">
        <v>10401</v>
      </c>
      <c r="E3944" s="26">
        <v>31</v>
      </c>
    </row>
    <row r="3945" spans="1:5" x14ac:dyDescent="0.25">
      <c r="A3945" s="24" t="s">
        <v>7</v>
      </c>
      <c r="B3945" s="24" t="s">
        <v>10402</v>
      </c>
      <c r="C3945" s="25" t="s">
        <v>10403</v>
      </c>
      <c r="D3945" s="25" t="s">
        <v>10404</v>
      </c>
      <c r="E3945" s="26">
        <v>315</v>
      </c>
    </row>
    <row r="3946" spans="1:5" x14ac:dyDescent="0.25">
      <c r="A3946" s="24" t="s">
        <v>7</v>
      </c>
      <c r="B3946" s="24" t="s">
        <v>10405</v>
      </c>
      <c r="C3946" s="25" t="s">
        <v>10406</v>
      </c>
      <c r="D3946" s="25" t="s">
        <v>10407</v>
      </c>
      <c r="E3946" s="26">
        <v>985</v>
      </c>
    </row>
    <row r="3947" spans="1:5" x14ac:dyDescent="0.25">
      <c r="A3947" s="24" t="s">
        <v>7</v>
      </c>
      <c r="B3947" s="24" t="s">
        <v>10408</v>
      </c>
      <c r="C3947" s="25" t="s">
        <v>10409</v>
      </c>
      <c r="D3947" s="25" t="s">
        <v>10410</v>
      </c>
      <c r="E3947" s="26">
        <v>69</v>
      </c>
    </row>
    <row r="3948" spans="1:5" x14ac:dyDescent="0.25">
      <c r="A3948" s="24" t="s">
        <v>7</v>
      </c>
      <c r="B3948" s="24" t="s">
        <v>10411</v>
      </c>
      <c r="C3948" s="25" t="s">
        <v>10412</v>
      </c>
      <c r="D3948" s="25" t="s">
        <v>10413</v>
      </c>
      <c r="E3948" s="26">
        <v>2</v>
      </c>
    </row>
    <row r="3949" spans="1:5" x14ac:dyDescent="0.25">
      <c r="A3949" s="24" t="s">
        <v>7</v>
      </c>
      <c r="B3949" s="24" t="s">
        <v>10414</v>
      </c>
      <c r="C3949" s="25" t="s">
        <v>10415</v>
      </c>
      <c r="D3949" s="25" t="s">
        <v>10416</v>
      </c>
      <c r="E3949" s="26">
        <v>24</v>
      </c>
    </row>
    <row r="3950" spans="1:5" x14ac:dyDescent="0.25">
      <c r="A3950" s="24" t="s">
        <v>7</v>
      </c>
      <c r="B3950" s="24" t="s">
        <v>10417</v>
      </c>
      <c r="C3950" s="25" t="s">
        <v>10418</v>
      </c>
      <c r="D3950" s="25" t="s">
        <v>10419</v>
      </c>
      <c r="E3950" s="26">
        <v>24</v>
      </c>
    </row>
    <row r="3951" spans="1:5" x14ac:dyDescent="0.25">
      <c r="A3951" s="24" t="s">
        <v>7</v>
      </c>
      <c r="B3951" s="24" t="s">
        <v>10420</v>
      </c>
      <c r="C3951" s="25" t="s">
        <v>10421</v>
      </c>
      <c r="D3951" s="25" t="s">
        <v>10422</v>
      </c>
      <c r="E3951" s="26">
        <v>24</v>
      </c>
    </row>
    <row r="3952" spans="1:5" x14ac:dyDescent="0.25">
      <c r="A3952" s="24" t="s">
        <v>7</v>
      </c>
      <c r="B3952" s="24" t="s">
        <v>10423</v>
      </c>
      <c r="C3952" s="25" t="s">
        <v>10424</v>
      </c>
      <c r="D3952" s="25" t="s">
        <v>10425</v>
      </c>
      <c r="E3952" s="26">
        <v>30</v>
      </c>
    </row>
    <row r="3953" spans="1:5" x14ac:dyDescent="0.25">
      <c r="A3953" s="24" t="s">
        <v>7</v>
      </c>
      <c r="B3953" s="24" t="s">
        <v>10426</v>
      </c>
      <c r="C3953" s="25" t="s">
        <v>10427</v>
      </c>
      <c r="D3953" s="25" t="s">
        <v>10428</v>
      </c>
      <c r="E3953" s="26">
        <v>113</v>
      </c>
    </row>
    <row r="3954" spans="1:5" x14ac:dyDescent="0.25">
      <c r="A3954" s="24" t="s">
        <v>7</v>
      </c>
      <c r="B3954" s="24" t="s">
        <v>10429</v>
      </c>
      <c r="C3954" s="25" t="s">
        <v>10430</v>
      </c>
      <c r="D3954" s="25" t="s">
        <v>10431</v>
      </c>
      <c r="E3954" s="26">
        <v>4</v>
      </c>
    </row>
    <row r="3955" spans="1:5" x14ac:dyDescent="0.25">
      <c r="A3955" s="24" t="s">
        <v>7</v>
      </c>
      <c r="B3955" s="24" t="s">
        <v>10432</v>
      </c>
      <c r="C3955" s="25" t="s">
        <v>10433</v>
      </c>
      <c r="D3955" s="25" t="s">
        <v>10434</v>
      </c>
      <c r="E3955" s="26">
        <v>47</v>
      </c>
    </row>
    <row r="3956" spans="1:5" x14ac:dyDescent="0.25">
      <c r="A3956" s="24" t="s">
        <v>7</v>
      </c>
      <c r="B3956" s="24" t="s">
        <v>10435</v>
      </c>
      <c r="C3956" s="25" t="s">
        <v>10436</v>
      </c>
      <c r="D3956" s="25" t="s">
        <v>10437</v>
      </c>
      <c r="E3956" s="26">
        <v>109</v>
      </c>
    </row>
    <row r="3957" spans="1:5" x14ac:dyDescent="0.25">
      <c r="A3957" s="24" t="s">
        <v>7</v>
      </c>
      <c r="B3957" s="24" t="s">
        <v>10438</v>
      </c>
      <c r="C3957" s="25" t="s">
        <v>10439</v>
      </c>
      <c r="D3957" s="25" t="s">
        <v>10440</v>
      </c>
      <c r="E3957" s="26">
        <v>45</v>
      </c>
    </row>
    <row r="3958" spans="1:5" x14ac:dyDescent="0.25">
      <c r="A3958" s="24" t="s">
        <v>7</v>
      </c>
      <c r="B3958" s="24" t="s">
        <v>10441</v>
      </c>
      <c r="C3958" s="25" t="s">
        <v>10442</v>
      </c>
      <c r="D3958" s="25" t="s">
        <v>10443</v>
      </c>
      <c r="E3958" s="26">
        <v>7</v>
      </c>
    </row>
    <row r="3959" spans="1:5" x14ac:dyDescent="0.25">
      <c r="A3959" s="24" t="s">
        <v>7</v>
      </c>
      <c r="B3959" s="24" t="s">
        <v>10444</v>
      </c>
      <c r="C3959" s="25" t="s">
        <v>10445</v>
      </c>
      <c r="D3959" s="25" t="s">
        <v>10446</v>
      </c>
      <c r="E3959" s="26">
        <v>238</v>
      </c>
    </row>
    <row r="3960" spans="1:5" x14ac:dyDescent="0.25">
      <c r="A3960" s="24" t="s">
        <v>7</v>
      </c>
      <c r="B3960" s="24" t="s">
        <v>10447</v>
      </c>
      <c r="C3960" s="25" t="s">
        <v>10448</v>
      </c>
      <c r="D3960" s="25" t="s">
        <v>10449</v>
      </c>
      <c r="E3960" s="26">
        <v>195</v>
      </c>
    </row>
    <row r="3961" spans="1:5" x14ac:dyDescent="0.25">
      <c r="A3961" s="24" t="s">
        <v>7</v>
      </c>
      <c r="B3961" s="24" t="s">
        <v>10450</v>
      </c>
      <c r="C3961" s="25" t="s">
        <v>10451</v>
      </c>
      <c r="D3961" s="25" t="s">
        <v>10451</v>
      </c>
      <c r="E3961" s="26">
        <v>24</v>
      </c>
    </row>
    <row r="3962" spans="1:5" x14ac:dyDescent="0.25">
      <c r="A3962" s="24" t="s">
        <v>7</v>
      </c>
      <c r="B3962" s="24" t="s">
        <v>10452</v>
      </c>
      <c r="C3962" s="25" t="s">
        <v>10453</v>
      </c>
      <c r="D3962" s="25" t="s">
        <v>10453</v>
      </c>
      <c r="E3962" s="26">
        <v>45</v>
      </c>
    </row>
    <row r="3963" spans="1:5" x14ac:dyDescent="0.25">
      <c r="A3963" s="24" t="s">
        <v>7</v>
      </c>
      <c r="B3963" s="24" t="s">
        <v>10454</v>
      </c>
      <c r="C3963" s="25" t="s">
        <v>10455</v>
      </c>
      <c r="D3963" s="25" t="s">
        <v>10456</v>
      </c>
      <c r="E3963" s="26">
        <v>24</v>
      </c>
    </row>
    <row r="3964" spans="1:5" x14ac:dyDescent="0.25">
      <c r="A3964" s="24" t="s">
        <v>7</v>
      </c>
      <c r="B3964" s="24" t="s">
        <v>10457</v>
      </c>
      <c r="C3964" s="25" t="s">
        <v>10458</v>
      </c>
      <c r="D3964" s="25" t="s">
        <v>10459</v>
      </c>
      <c r="E3964" s="26">
        <v>39</v>
      </c>
    </row>
    <row r="3965" spans="1:5" x14ac:dyDescent="0.25">
      <c r="A3965" s="24" t="s">
        <v>7</v>
      </c>
      <c r="B3965" s="24" t="s">
        <v>10460</v>
      </c>
      <c r="C3965" s="25" t="s">
        <v>10461</v>
      </c>
      <c r="D3965" s="25" t="s">
        <v>10462</v>
      </c>
      <c r="E3965" s="26">
        <v>4613</v>
      </c>
    </row>
    <row r="3966" spans="1:5" x14ac:dyDescent="0.25">
      <c r="A3966" s="24" t="s">
        <v>7</v>
      </c>
      <c r="B3966" s="24" t="s">
        <v>10463</v>
      </c>
      <c r="C3966" s="25" t="s">
        <v>10464</v>
      </c>
      <c r="D3966" s="25" t="s">
        <v>10465</v>
      </c>
      <c r="E3966" s="26">
        <v>2</v>
      </c>
    </row>
    <row r="3967" spans="1:5" x14ac:dyDescent="0.25">
      <c r="A3967" s="24" t="s">
        <v>7</v>
      </c>
      <c r="B3967" s="24" t="s">
        <v>10466</v>
      </c>
      <c r="C3967" s="25" t="s">
        <v>10467</v>
      </c>
      <c r="D3967" s="25" t="s">
        <v>10468</v>
      </c>
      <c r="E3967" s="26">
        <v>668</v>
      </c>
    </row>
    <row r="3968" spans="1:5" x14ac:dyDescent="0.25">
      <c r="A3968" s="24" t="s">
        <v>7</v>
      </c>
      <c r="B3968" s="24" t="s">
        <v>10469</v>
      </c>
      <c r="C3968" s="25" t="s">
        <v>10470</v>
      </c>
      <c r="D3968" s="25" t="s">
        <v>10471</v>
      </c>
      <c r="E3968" s="26">
        <v>285</v>
      </c>
    </row>
    <row r="3969" spans="1:5" x14ac:dyDescent="0.25">
      <c r="A3969" s="24" t="s">
        <v>7</v>
      </c>
      <c r="B3969" s="24" t="s">
        <v>10472</v>
      </c>
      <c r="C3969" s="25" t="s">
        <v>10473</v>
      </c>
      <c r="D3969" s="25" t="s">
        <v>10471</v>
      </c>
      <c r="E3969" s="26">
        <v>459</v>
      </c>
    </row>
    <row r="3970" spans="1:5" x14ac:dyDescent="0.25">
      <c r="A3970" s="24" t="s">
        <v>7</v>
      </c>
      <c r="B3970" s="24" t="s">
        <v>10474</v>
      </c>
      <c r="C3970" s="25" t="s">
        <v>10475</v>
      </c>
      <c r="D3970" s="25" t="s">
        <v>10476</v>
      </c>
      <c r="E3970" s="26">
        <v>6</v>
      </c>
    </row>
    <row r="3971" spans="1:5" x14ac:dyDescent="0.25">
      <c r="A3971" s="24" t="s">
        <v>7</v>
      </c>
      <c r="B3971" s="24" t="s">
        <v>10477</v>
      </c>
      <c r="C3971" s="25" t="s">
        <v>10478</v>
      </c>
      <c r="D3971" s="25" t="s">
        <v>10479</v>
      </c>
      <c r="E3971" s="26">
        <v>6</v>
      </c>
    </row>
    <row r="3972" spans="1:5" x14ac:dyDescent="0.25">
      <c r="A3972" s="24" t="s">
        <v>7</v>
      </c>
      <c r="B3972" s="24" t="s">
        <v>10480</v>
      </c>
      <c r="C3972" s="25" t="s">
        <v>10481</v>
      </c>
      <c r="D3972" s="25" t="s">
        <v>10482</v>
      </c>
      <c r="E3972" s="26">
        <v>140</v>
      </c>
    </row>
    <row r="3973" spans="1:5" x14ac:dyDescent="0.25">
      <c r="A3973" s="24" t="s">
        <v>7</v>
      </c>
      <c r="B3973" s="24" t="s">
        <v>10483</v>
      </c>
      <c r="C3973" s="25" t="s">
        <v>10484</v>
      </c>
      <c r="D3973" s="25" t="s">
        <v>10485</v>
      </c>
      <c r="E3973" s="26">
        <v>148</v>
      </c>
    </row>
    <row r="3974" spans="1:5" x14ac:dyDescent="0.25">
      <c r="A3974" s="24" t="s">
        <v>7</v>
      </c>
      <c r="B3974" s="24" t="s">
        <v>10486</v>
      </c>
      <c r="C3974" s="25" t="s">
        <v>10487</v>
      </c>
      <c r="D3974" s="25" t="s">
        <v>10488</v>
      </c>
      <c r="E3974" s="26">
        <v>117</v>
      </c>
    </row>
    <row r="3975" spans="1:5" x14ac:dyDescent="0.25">
      <c r="A3975" s="24" t="s">
        <v>7</v>
      </c>
      <c r="B3975" s="24" t="s">
        <v>10489</v>
      </c>
      <c r="C3975" s="25" t="s">
        <v>10490</v>
      </c>
      <c r="D3975" s="25" t="s">
        <v>10491</v>
      </c>
      <c r="E3975" s="26">
        <v>463</v>
      </c>
    </row>
    <row r="3976" spans="1:5" x14ac:dyDescent="0.25">
      <c r="A3976" s="24" t="s">
        <v>7</v>
      </c>
      <c r="B3976" s="24" t="s">
        <v>10492</v>
      </c>
      <c r="C3976" s="25" t="s">
        <v>10493</v>
      </c>
      <c r="D3976" s="25" t="s">
        <v>10494</v>
      </c>
      <c r="E3976" s="26">
        <v>6</v>
      </c>
    </row>
    <row r="3977" spans="1:5" x14ac:dyDescent="0.25">
      <c r="A3977" s="24" t="s">
        <v>7</v>
      </c>
      <c r="B3977" s="24" t="s">
        <v>10495</v>
      </c>
      <c r="C3977" s="25" t="s">
        <v>10496</v>
      </c>
      <c r="D3977" s="25" t="s">
        <v>10497</v>
      </c>
      <c r="E3977" s="26">
        <v>18</v>
      </c>
    </row>
    <row r="3978" spans="1:5" x14ac:dyDescent="0.25">
      <c r="A3978" s="24" t="s">
        <v>7</v>
      </c>
      <c r="B3978" s="24" t="s">
        <v>10498</v>
      </c>
      <c r="C3978" s="25" t="s">
        <v>10499</v>
      </c>
      <c r="D3978" s="25" t="s">
        <v>10500</v>
      </c>
      <c r="E3978" s="26">
        <v>49</v>
      </c>
    </row>
    <row r="3979" spans="1:5" x14ac:dyDescent="0.25">
      <c r="A3979" s="24" t="s">
        <v>7</v>
      </c>
      <c r="B3979" s="24" t="s">
        <v>10501</v>
      </c>
      <c r="C3979" s="25" t="s">
        <v>10502</v>
      </c>
      <c r="D3979" s="25" t="s">
        <v>10503</v>
      </c>
      <c r="E3979" s="26">
        <v>27</v>
      </c>
    </row>
    <row r="3980" spans="1:5" x14ac:dyDescent="0.25">
      <c r="A3980" s="24" t="s">
        <v>7</v>
      </c>
      <c r="B3980" s="24" t="s">
        <v>10504</v>
      </c>
      <c r="C3980" s="25" t="s">
        <v>10505</v>
      </c>
      <c r="D3980" s="25" t="s">
        <v>10506</v>
      </c>
      <c r="E3980" s="26">
        <v>3</v>
      </c>
    </row>
    <row r="3981" spans="1:5" x14ac:dyDescent="0.25">
      <c r="A3981" s="24" t="s">
        <v>7</v>
      </c>
      <c r="B3981" s="24" t="s">
        <v>10507</v>
      </c>
      <c r="C3981" s="25" t="s">
        <v>10508</v>
      </c>
      <c r="D3981" s="25" t="s">
        <v>10509</v>
      </c>
      <c r="E3981" s="26">
        <v>53</v>
      </c>
    </row>
    <row r="3982" spans="1:5" x14ac:dyDescent="0.25">
      <c r="A3982" s="24" t="s">
        <v>7</v>
      </c>
      <c r="B3982" s="24" t="s">
        <v>10510</v>
      </c>
      <c r="C3982" s="25" t="s">
        <v>10511</v>
      </c>
      <c r="D3982" s="25" t="s">
        <v>10512</v>
      </c>
      <c r="E3982" s="26">
        <v>17</v>
      </c>
    </row>
    <row r="3983" spans="1:5" x14ac:dyDescent="0.25">
      <c r="A3983" s="24" t="s">
        <v>7</v>
      </c>
      <c r="B3983" s="24" t="s">
        <v>10513</v>
      </c>
      <c r="C3983" s="25" t="s">
        <v>10514</v>
      </c>
      <c r="D3983" s="25" t="s">
        <v>10515</v>
      </c>
      <c r="E3983" s="26">
        <v>107</v>
      </c>
    </row>
    <row r="3984" spans="1:5" x14ac:dyDescent="0.25">
      <c r="A3984" s="24" t="s">
        <v>7</v>
      </c>
      <c r="B3984" s="24" t="s">
        <v>10516</v>
      </c>
      <c r="C3984" s="25" t="s">
        <v>10517</v>
      </c>
      <c r="D3984" s="25" t="s">
        <v>10518</v>
      </c>
      <c r="E3984" s="26">
        <v>45</v>
      </c>
    </row>
    <row r="3985" spans="1:5" x14ac:dyDescent="0.25">
      <c r="A3985" s="24" t="s">
        <v>7</v>
      </c>
      <c r="B3985" s="24" t="s">
        <v>10519</v>
      </c>
      <c r="C3985" s="25" t="s">
        <v>10520</v>
      </c>
      <c r="D3985" s="25" t="s">
        <v>10521</v>
      </c>
      <c r="E3985" s="26">
        <v>15</v>
      </c>
    </row>
    <row r="3986" spans="1:5" x14ac:dyDescent="0.25">
      <c r="A3986" s="24" t="s">
        <v>7</v>
      </c>
      <c r="B3986" s="24" t="s">
        <v>10522</v>
      </c>
      <c r="C3986" s="25" t="s">
        <v>10523</v>
      </c>
      <c r="D3986" s="25" t="s">
        <v>10524</v>
      </c>
      <c r="E3986" s="26">
        <v>26</v>
      </c>
    </row>
    <row r="3987" spans="1:5" x14ac:dyDescent="0.25">
      <c r="A3987" s="24" t="s">
        <v>7</v>
      </c>
      <c r="B3987" s="24" t="s">
        <v>10525</v>
      </c>
      <c r="C3987" s="25" t="s">
        <v>10526</v>
      </c>
      <c r="D3987" s="25" t="s">
        <v>10527</v>
      </c>
      <c r="E3987" s="26">
        <v>17</v>
      </c>
    </row>
    <row r="3988" spans="1:5" x14ac:dyDescent="0.25">
      <c r="A3988" s="24" t="s">
        <v>7</v>
      </c>
      <c r="B3988" s="24" t="s">
        <v>10528</v>
      </c>
      <c r="C3988" s="25" t="s">
        <v>10529</v>
      </c>
      <c r="D3988" s="25" t="s">
        <v>10530</v>
      </c>
      <c r="E3988" s="26">
        <v>21</v>
      </c>
    </row>
    <row r="3989" spans="1:5" x14ac:dyDescent="0.25">
      <c r="A3989" s="24" t="s">
        <v>7</v>
      </c>
      <c r="B3989" s="24" t="s">
        <v>10531</v>
      </c>
      <c r="C3989" s="25" t="s">
        <v>10532</v>
      </c>
      <c r="D3989" s="25" t="s">
        <v>10533</v>
      </c>
      <c r="E3989" s="26">
        <v>19</v>
      </c>
    </row>
    <row r="3990" spans="1:5" x14ac:dyDescent="0.25">
      <c r="A3990" s="24" t="s">
        <v>7</v>
      </c>
      <c r="B3990" s="24" t="s">
        <v>10534</v>
      </c>
      <c r="C3990" s="25" t="s">
        <v>10535</v>
      </c>
      <c r="D3990" s="25" t="s">
        <v>10536</v>
      </c>
      <c r="E3990" s="26">
        <v>24</v>
      </c>
    </row>
    <row r="3991" spans="1:5" x14ac:dyDescent="0.25">
      <c r="A3991" s="24" t="s">
        <v>7</v>
      </c>
      <c r="B3991" s="24" t="s">
        <v>10537</v>
      </c>
      <c r="C3991" s="25" t="s">
        <v>10538</v>
      </c>
      <c r="D3991" s="25" t="s">
        <v>10539</v>
      </c>
      <c r="E3991" s="26">
        <v>21</v>
      </c>
    </row>
    <row r="3992" spans="1:5" x14ac:dyDescent="0.25">
      <c r="A3992" s="24" t="s">
        <v>7</v>
      </c>
      <c r="B3992" s="24" t="s">
        <v>10540</v>
      </c>
      <c r="C3992" s="25" t="s">
        <v>10541</v>
      </c>
      <c r="D3992" s="25" t="s">
        <v>10542</v>
      </c>
      <c r="E3992" s="26">
        <v>59</v>
      </c>
    </row>
    <row r="3993" spans="1:5" x14ac:dyDescent="0.25">
      <c r="A3993" s="24" t="s">
        <v>7</v>
      </c>
      <c r="B3993" s="24" t="s">
        <v>10543</v>
      </c>
      <c r="C3993" s="25" t="s">
        <v>10544</v>
      </c>
      <c r="D3993" s="25" t="s">
        <v>10545</v>
      </c>
      <c r="E3993" s="26">
        <v>17</v>
      </c>
    </row>
    <row r="3994" spans="1:5" x14ac:dyDescent="0.25">
      <c r="A3994" s="24" t="s">
        <v>7</v>
      </c>
      <c r="B3994" s="24" t="s">
        <v>10546</v>
      </c>
      <c r="C3994" s="25" t="s">
        <v>10547</v>
      </c>
      <c r="D3994" s="25" t="s">
        <v>10548</v>
      </c>
      <c r="E3994" s="26">
        <v>31</v>
      </c>
    </row>
    <row r="3995" spans="1:5" x14ac:dyDescent="0.25">
      <c r="A3995" s="24" t="s">
        <v>7</v>
      </c>
      <c r="B3995" s="24" t="s">
        <v>10549</v>
      </c>
      <c r="C3995" s="25" t="s">
        <v>10550</v>
      </c>
      <c r="D3995" s="25" t="s">
        <v>10551</v>
      </c>
      <c r="E3995" s="26">
        <v>22</v>
      </c>
    </row>
    <row r="3996" spans="1:5" x14ac:dyDescent="0.25">
      <c r="A3996" s="24" t="s">
        <v>7</v>
      </c>
      <c r="B3996" s="24" t="s">
        <v>10552</v>
      </c>
      <c r="C3996" s="25" t="s">
        <v>10553</v>
      </c>
      <c r="D3996" s="25" t="s">
        <v>10554</v>
      </c>
      <c r="E3996" s="26">
        <v>17</v>
      </c>
    </row>
    <row r="3997" spans="1:5" x14ac:dyDescent="0.25">
      <c r="A3997" s="24" t="s">
        <v>7</v>
      </c>
      <c r="B3997" s="24" t="s">
        <v>10555</v>
      </c>
      <c r="C3997" s="25" t="s">
        <v>10556</v>
      </c>
      <c r="D3997" s="25" t="s">
        <v>10557</v>
      </c>
      <c r="E3997" s="26">
        <v>39</v>
      </c>
    </row>
    <row r="3998" spans="1:5" x14ac:dyDescent="0.25">
      <c r="A3998" s="24" t="s">
        <v>7</v>
      </c>
      <c r="B3998" s="24" t="s">
        <v>10558</v>
      </c>
      <c r="C3998" s="25" t="s">
        <v>10559</v>
      </c>
      <c r="D3998" s="25" t="s">
        <v>10560</v>
      </c>
      <c r="E3998" s="26">
        <v>134</v>
      </c>
    </row>
    <row r="3999" spans="1:5" x14ac:dyDescent="0.25">
      <c r="A3999" s="24" t="s">
        <v>7</v>
      </c>
      <c r="B3999" s="24" t="s">
        <v>10561</v>
      </c>
      <c r="C3999" s="25" t="s">
        <v>10562</v>
      </c>
      <c r="D3999" s="25" t="s">
        <v>10563</v>
      </c>
      <c r="E3999" s="26">
        <v>2</v>
      </c>
    </row>
    <row r="4000" spans="1:5" x14ac:dyDescent="0.25">
      <c r="A4000" s="24" t="s">
        <v>7</v>
      </c>
      <c r="B4000" s="24" t="s">
        <v>10564</v>
      </c>
      <c r="C4000" s="25" t="s">
        <v>10565</v>
      </c>
      <c r="D4000" s="25" t="s">
        <v>10566</v>
      </c>
      <c r="E4000" s="26">
        <v>2</v>
      </c>
    </row>
    <row r="4001" spans="1:5" x14ac:dyDescent="0.25">
      <c r="A4001" s="24" t="s">
        <v>7</v>
      </c>
      <c r="B4001" s="24" t="s">
        <v>10567</v>
      </c>
      <c r="C4001" s="25" t="s">
        <v>10568</v>
      </c>
      <c r="D4001" s="25" t="s">
        <v>10569</v>
      </c>
      <c r="E4001" s="26">
        <v>30</v>
      </c>
    </row>
    <row r="4002" spans="1:5" x14ac:dyDescent="0.25">
      <c r="A4002" s="24" t="s">
        <v>7</v>
      </c>
      <c r="B4002" s="24" t="s">
        <v>10570</v>
      </c>
      <c r="C4002" s="25" t="s">
        <v>10571</v>
      </c>
      <c r="D4002" s="25" t="s">
        <v>10572</v>
      </c>
      <c r="E4002" s="26">
        <v>79</v>
      </c>
    </row>
    <row r="4003" spans="1:5" x14ac:dyDescent="0.25">
      <c r="A4003" s="24" t="s">
        <v>7</v>
      </c>
      <c r="B4003" s="24" t="s">
        <v>10573</v>
      </c>
      <c r="C4003" s="25" t="s">
        <v>10574</v>
      </c>
      <c r="D4003" s="25" t="s">
        <v>10575</v>
      </c>
      <c r="E4003" s="26">
        <v>18</v>
      </c>
    </row>
    <row r="4004" spans="1:5" x14ac:dyDescent="0.25">
      <c r="A4004" s="24" t="s">
        <v>7</v>
      </c>
      <c r="B4004" s="24" t="s">
        <v>10576</v>
      </c>
      <c r="C4004" s="25" t="s">
        <v>10577</v>
      </c>
      <c r="D4004" s="25" t="s">
        <v>10578</v>
      </c>
      <c r="E4004" s="26">
        <v>27564</v>
      </c>
    </row>
    <row r="4005" spans="1:5" x14ac:dyDescent="0.25">
      <c r="A4005" s="24" t="s">
        <v>7</v>
      </c>
      <c r="B4005" s="24" t="s">
        <v>10579</v>
      </c>
      <c r="C4005" s="25" t="s">
        <v>10580</v>
      </c>
      <c r="D4005" s="25" t="s">
        <v>10581</v>
      </c>
      <c r="E4005" s="26">
        <v>83</v>
      </c>
    </row>
    <row r="4006" spans="1:5" x14ac:dyDescent="0.25">
      <c r="A4006" s="24" t="s">
        <v>7</v>
      </c>
      <c r="B4006" s="24" t="s">
        <v>10582</v>
      </c>
      <c r="C4006" s="25" t="s">
        <v>10583</v>
      </c>
      <c r="D4006" s="25" t="s">
        <v>10584</v>
      </c>
      <c r="E4006" s="26">
        <v>13</v>
      </c>
    </row>
    <row r="4007" spans="1:5" x14ac:dyDescent="0.25">
      <c r="A4007" s="24" t="s">
        <v>7</v>
      </c>
      <c r="B4007" s="24" t="s">
        <v>10585</v>
      </c>
      <c r="C4007" s="25" t="s">
        <v>10586</v>
      </c>
      <c r="D4007" s="25" t="s">
        <v>10587</v>
      </c>
      <c r="E4007" s="26">
        <v>77</v>
      </c>
    </row>
    <row r="4008" spans="1:5" x14ac:dyDescent="0.25">
      <c r="A4008" s="24" t="s">
        <v>7</v>
      </c>
      <c r="B4008" s="24" t="s">
        <v>10588</v>
      </c>
      <c r="C4008" s="25" t="s">
        <v>10589</v>
      </c>
      <c r="D4008" s="25" t="s">
        <v>10590</v>
      </c>
      <c r="E4008" s="26">
        <v>308</v>
      </c>
    </row>
    <row r="4009" spans="1:5" x14ac:dyDescent="0.25">
      <c r="A4009" s="24" t="s">
        <v>7</v>
      </c>
      <c r="B4009" s="24" t="s">
        <v>10591</v>
      </c>
      <c r="C4009" s="25" t="s">
        <v>10592</v>
      </c>
      <c r="D4009" s="25" t="s">
        <v>10593</v>
      </c>
      <c r="E4009" s="26">
        <v>100</v>
      </c>
    </row>
    <row r="4010" spans="1:5" x14ac:dyDescent="0.25">
      <c r="A4010" s="24" t="s">
        <v>7</v>
      </c>
      <c r="B4010" s="24" t="s">
        <v>10594</v>
      </c>
      <c r="C4010" s="25" t="s">
        <v>10595</v>
      </c>
      <c r="D4010" s="25" t="s">
        <v>10596</v>
      </c>
      <c r="E4010" s="26">
        <v>29</v>
      </c>
    </row>
    <row r="4011" spans="1:5" x14ac:dyDescent="0.25">
      <c r="A4011" s="24" t="s">
        <v>7</v>
      </c>
      <c r="B4011" s="24" t="s">
        <v>10597</v>
      </c>
      <c r="C4011" s="25" t="s">
        <v>10598</v>
      </c>
      <c r="D4011" s="25" t="s">
        <v>10599</v>
      </c>
      <c r="E4011" s="26">
        <v>18</v>
      </c>
    </row>
    <row r="4012" spans="1:5" x14ac:dyDescent="0.25">
      <c r="A4012" s="24" t="s">
        <v>7</v>
      </c>
      <c r="B4012" s="24" t="s">
        <v>10600</v>
      </c>
      <c r="C4012" s="25" t="s">
        <v>10601</v>
      </c>
      <c r="D4012" s="25" t="s">
        <v>10602</v>
      </c>
      <c r="E4012" s="26">
        <v>108</v>
      </c>
    </row>
    <row r="4013" spans="1:5" x14ac:dyDescent="0.25">
      <c r="A4013" s="24" t="s">
        <v>7</v>
      </c>
      <c r="B4013" s="24" t="s">
        <v>10603</v>
      </c>
      <c r="C4013" s="25" t="s">
        <v>10604</v>
      </c>
      <c r="D4013" s="25" t="s">
        <v>10605</v>
      </c>
      <c r="E4013" s="26">
        <v>77</v>
      </c>
    </row>
    <row r="4014" spans="1:5" x14ac:dyDescent="0.25">
      <c r="A4014" s="24" t="s">
        <v>7</v>
      </c>
      <c r="B4014" s="24" t="s">
        <v>10606</v>
      </c>
      <c r="C4014" s="25" t="s">
        <v>10607</v>
      </c>
      <c r="D4014" s="25" t="s">
        <v>10608</v>
      </c>
      <c r="E4014" s="26">
        <v>77</v>
      </c>
    </row>
    <row r="4015" spans="1:5" x14ac:dyDescent="0.25">
      <c r="A4015" s="24" t="s">
        <v>7</v>
      </c>
      <c r="B4015" s="24" t="s">
        <v>10609</v>
      </c>
      <c r="C4015" s="25" t="s">
        <v>10610</v>
      </c>
      <c r="D4015" s="25" t="s">
        <v>10611</v>
      </c>
      <c r="E4015" s="26">
        <v>18</v>
      </c>
    </row>
    <row r="4016" spans="1:5" x14ac:dyDescent="0.25">
      <c r="A4016" s="24" t="s">
        <v>7</v>
      </c>
      <c r="B4016" s="24" t="s">
        <v>10612</v>
      </c>
      <c r="C4016" s="25" t="s">
        <v>10613</v>
      </c>
      <c r="D4016" s="25" t="s">
        <v>10614</v>
      </c>
      <c r="E4016" s="26">
        <v>140</v>
      </c>
    </row>
    <row r="4017" spans="1:5" x14ac:dyDescent="0.25">
      <c r="A4017" s="24" t="s">
        <v>7</v>
      </c>
      <c r="B4017" s="24" t="s">
        <v>10615</v>
      </c>
      <c r="C4017" s="25" t="s">
        <v>10616</v>
      </c>
      <c r="D4017" s="25" t="s">
        <v>10617</v>
      </c>
      <c r="E4017" s="26">
        <v>9093</v>
      </c>
    </row>
    <row r="4018" spans="1:5" x14ac:dyDescent="0.25">
      <c r="A4018" s="24" t="s">
        <v>7</v>
      </c>
      <c r="B4018" s="24" t="s">
        <v>10618</v>
      </c>
      <c r="C4018" s="25" t="s">
        <v>10619</v>
      </c>
      <c r="D4018" s="25" t="s">
        <v>10620</v>
      </c>
      <c r="E4018" s="26">
        <v>1</v>
      </c>
    </row>
    <row r="4019" spans="1:5" x14ac:dyDescent="0.25">
      <c r="A4019" s="24" t="s">
        <v>7</v>
      </c>
      <c r="B4019" s="24" t="s">
        <v>10621</v>
      </c>
      <c r="C4019" s="25" t="s">
        <v>10622</v>
      </c>
      <c r="D4019" s="25" t="s">
        <v>10623</v>
      </c>
      <c r="E4019" s="26">
        <v>5</v>
      </c>
    </row>
    <row r="4020" spans="1:5" x14ac:dyDescent="0.25">
      <c r="A4020" s="24" t="s">
        <v>7</v>
      </c>
      <c r="B4020" s="24" t="s">
        <v>10624</v>
      </c>
      <c r="C4020" s="25" t="s">
        <v>10625</v>
      </c>
      <c r="D4020" s="25" t="s">
        <v>10626</v>
      </c>
      <c r="E4020" s="26">
        <v>288</v>
      </c>
    </row>
    <row r="4021" spans="1:5" x14ac:dyDescent="0.25">
      <c r="A4021" s="24" t="s">
        <v>7</v>
      </c>
      <c r="B4021" s="24" t="s">
        <v>10627</v>
      </c>
      <c r="C4021" s="25" t="s">
        <v>10628</v>
      </c>
      <c r="D4021" s="25" t="s">
        <v>10629</v>
      </c>
      <c r="E4021" s="26">
        <v>310</v>
      </c>
    </row>
    <row r="4022" spans="1:5" x14ac:dyDescent="0.25">
      <c r="A4022" s="24" t="s">
        <v>7</v>
      </c>
      <c r="B4022" s="24" t="s">
        <v>10630</v>
      </c>
      <c r="C4022" s="25" t="s">
        <v>10631</v>
      </c>
      <c r="D4022" s="25" t="s">
        <v>10632</v>
      </c>
      <c r="E4022" s="26">
        <v>133</v>
      </c>
    </row>
    <row r="4023" spans="1:5" x14ac:dyDescent="0.25">
      <c r="A4023" s="24" t="s">
        <v>7</v>
      </c>
      <c r="B4023" s="24" t="s">
        <v>10633</v>
      </c>
      <c r="C4023" s="25" t="s">
        <v>10634</v>
      </c>
      <c r="D4023" s="25" t="s">
        <v>10635</v>
      </c>
      <c r="E4023" s="26">
        <v>352</v>
      </c>
    </row>
    <row r="4024" spans="1:5" x14ac:dyDescent="0.25">
      <c r="A4024" s="24" t="s">
        <v>7</v>
      </c>
      <c r="B4024" s="24" t="s">
        <v>10636</v>
      </c>
      <c r="C4024" s="25" t="s">
        <v>10637</v>
      </c>
      <c r="D4024" s="25" t="s">
        <v>10638</v>
      </c>
      <c r="E4024" s="26">
        <v>4</v>
      </c>
    </row>
    <row r="4025" spans="1:5" x14ac:dyDescent="0.25">
      <c r="A4025" s="24" t="s">
        <v>7</v>
      </c>
      <c r="B4025" s="24" t="s">
        <v>10639</v>
      </c>
      <c r="C4025" s="25" t="s">
        <v>10640</v>
      </c>
      <c r="D4025" s="25" t="s">
        <v>10641</v>
      </c>
      <c r="E4025" s="26">
        <v>4881</v>
      </c>
    </row>
    <row r="4026" spans="1:5" x14ac:dyDescent="0.25">
      <c r="A4026" s="24" t="s">
        <v>7</v>
      </c>
      <c r="B4026" s="24" t="s">
        <v>10642</v>
      </c>
      <c r="C4026" s="25" t="s">
        <v>10643</v>
      </c>
      <c r="D4026" s="25" t="s">
        <v>10644</v>
      </c>
      <c r="E4026" s="26">
        <v>31</v>
      </c>
    </row>
    <row r="4027" spans="1:5" x14ac:dyDescent="0.25">
      <c r="A4027" s="24" t="s">
        <v>7</v>
      </c>
      <c r="B4027" s="24" t="s">
        <v>10645</v>
      </c>
      <c r="C4027" s="25" t="s">
        <v>10646</v>
      </c>
      <c r="D4027" s="25" t="s">
        <v>10647</v>
      </c>
      <c r="E4027" s="26">
        <v>295</v>
      </c>
    </row>
    <row r="4028" spans="1:5" x14ac:dyDescent="0.25">
      <c r="A4028" s="24" t="s">
        <v>7</v>
      </c>
      <c r="B4028" s="24" t="s">
        <v>10648</v>
      </c>
      <c r="C4028" s="25" t="s">
        <v>10649</v>
      </c>
      <c r="D4028" s="25" t="s">
        <v>10650</v>
      </c>
      <c r="E4028" s="26">
        <v>289</v>
      </c>
    </row>
    <row r="4029" spans="1:5" x14ac:dyDescent="0.25">
      <c r="A4029" s="24" t="s">
        <v>7</v>
      </c>
      <c r="B4029" s="24" t="s">
        <v>10651</v>
      </c>
      <c r="C4029" s="25" t="s">
        <v>10652</v>
      </c>
      <c r="D4029" s="25" t="s">
        <v>10653</v>
      </c>
      <c r="E4029" s="26">
        <v>12</v>
      </c>
    </row>
    <row r="4030" spans="1:5" x14ac:dyDescent="0.25">
      <c r="A4030" s="24" t="s">
        <v>7</v>
      </c>
      <c r="B4030" s="24" t="s">
        <v>10654</v>
      </c>
      <c r="C4030" s="25" t="s">
        <v>10655</v>
      </c>
      <c r="D4030" s="25" t="s">
        <v>10656</v>
      </c>
      <c r="E4030" s="26">
        <v>2880</v>
      </c>
    </row>
    <row r="4031" spans="1:5" x14ac:dyDescent="0.25">
      <c r="A4031" s="24" t="s">
        <v>7</v>
      </c>
      <c r="B4031" s="24" t="s">
        <v>10657</v>
      </c>
      <c r="C4031" s="25" t="s">
        <v>10658</v>
      </c>
      <c r="D4031" s="25" t="s">
        <v>10659</v>
      </c>
      <c r="E4031" s="26">
        <v>6</v>
      </c>
    </row>
    <row r="4032" spans="1:5" x14ac:dyDescent="0.25">
      <c r="A4032" s="24" t="s">
        <v>7</v>
      </c>
      <c r="B4032" s="24" t="s">
        <v>10660</v>
      </c>
      <c r="C4032" s="25" t="s">
        <v>10661</v>
      </c>
      <c r="D4032" s="25" t="s">
        <v>10662</v>
      </c>
      <c r="E4032" s="26">
        <v>5</v>
      </c>
    </row>
    <row r="4033" spans="1:5" x14ac:dyDescent="0.25">
      <c r="A4033" s="24" t="s">
        <v>7</v>
      </c>
      <c r="B4033" s="24" t="s">
        <v>10663</v>
      </c>
      <c r="C4033" s="25" t="s">
        <v>10664</v>
      </c>
      <c r="D4033" s="25" t="s">
        <v>10665</v>
      </c>
      <c r="E4033" s="26">
        <v>1</v>
      </c>
    </row>
    <row r="4034" spans="1:5" x14ac:dyDescent="0.25">
      <c r="A4034" s="24" t="s">
        <v>7</v>
      </c>
      <c r="B4034" s="24" t="s">
        <v>10666</v>
      </c>
      <c r="C4034" s="25" t="s">
        <v>10667</v>
      </c>
      <c r="D4034" s="25" t="s">
        <v>10668</v>
      </c>
      <c r="E4034" s="26">
        <v>45</v>
      </c>
    </row>
    <row r="4035" spans="1:5" x14ac:dyDescent="0.25">
      <c r="A4035" s="24" t="s">
        <v>7</v>
      </c>
      <c r="B4035" s="24" t="s">
        <v>10669</v>
      </c>
      <c r="C4035" s="25" t="s">
        <v>10670</v>
      </c>
      <c r="D4035" s="25" t="s">
        <v>10671</v>
      </c>
      <c r="E4035" s="26">
        <v>2</v>
      </c>
    </row>
    <row r="4036" spans="1:5" x14ac:dyDescent="0.25">
      <c r="A4036" s="24" t="s">
        <v>7</v>
      </c>
      <c r="B4036" s="24" t="s">
        <v>10672</v>
      </c>
      <c r="C4036" s="25" t="s">
        <v>10673</v>
      </c>
      <c r="D4036" s="25" t="s">
        <v>10674</v>
      </c>
      <c r="E4036" s="26">
        <v>160</v>
      </c>
    </row>
    <row r="4037" spans="1:5" x14ac:dyDescent="0.25">
      <c r="A4037" s="24" t="s">
        <v>7</v>
      </c>
      <c r="B4037" s="24" t="s">
        <v>10675</v>
      </c>
      <c r="C4037" s="25" t="s">
        <v>10676</v>
      </c>
      <c r="D4037" s="25" t="s">
        <v>10677</v>
      </c>
      <c r="E4037" s="26">
        <v>125</v>
      </c>
    </row>
    <row r="4038" spans="1:5" x14ac:dyDescent="0.25">
      <c r="A4038" s="24" t="s">
        <v>7</v>
      </c>
      <c r="B4038" s="24" t="s">
        <v>10678</v>
      </c>
      <c r="C4038" s="25" t="s">
        <v>10679</v>
      </c>
      <c r="D4038" s="25" t="s">
        <v>10680</v>
      </c>
      <c r="E4038" s="26">
        <v>158</v>
      </c>
    </row>
    <row r="4039" spans="1:5" x14ac:dyDescent="0.25">
      <c r="A4039" s="24" t="s">
        <v>7</v>
      </c>
      <c r="B4039" s="24" t="s">
        <v>10681</v>
      </c>
      <c r="C4039" s="25" t="s">
        <v>10682</v>
      </c>
      <c r="D4039" s="25" t="s">
        <v>10683</v>
      </c>
      <c r="E4039" s="26">
        <v>56</v>
      </c>
    </row>
    <row r="4040" spans="1:5" x14ac:dyDescent="0.25">
      <c r="A4040" s="24" t="s">
        <v>7</v>
      </c>
      <c r="B4040" s="24" t="s">
        <v>10684</v>
      </c>
      <c r="C4040" s="25" t="s">
        <v>10685</v>
      </c>
      <c r="D4040" s="25" t="s">
        <v>10686</v>
      </c>
      <c r="E4040" s="26">
        <v>40</v>
      </c>
    </row>
    <row r="4041" spans="1:5" x14ac:dyDescent="0.25">
      <c r="A4041" s="24" t="s">
        <v>7</v>
      </c>
      <c r="B4041" s="24" t="s">
        <v>10687</v>
      </c>
      <c r="C4041" s="25" t="s">
        <v>10688</v>
      </c>
      <c r="D4041" s="25" t="s">
        <v>10689</v>
      </c>
      <c r="E4041" s="26">
        <v>40</v>
      </c>
    </row>
    <row r="4042" spans="1:5" x14ac:dyDescent="0.25">
      <c r="A4042" s="24" t="s">
        <v>7</v>
      </c>
      <c r="B4042" s="24" t="s">
        <v>10690</v>
      </c>
      <c r="C4042" s="25" t="s">
        <v>10691</v>
      </c>
      <c r="D4042" s="25" t="s">
        <v>10692</v>
      </c>
      <c r="E4042" s="26">
        <v>2</v>
      </c>
    </row>
    <row r="4043" spans="1:5" x14ac:dyDescent="0.25">
      <c r="A4043" s="24" t="s">
        <v>7</v>
      </c>
      <c r="B4043" s="24" t="s">
        <v>10693</v>
      </c>
      <c r="C4043" s="25" t="s">
        <v>10694</v>
      </c>
      <c r="D4043" s="25" t="s">
        <v>10695</v>
      </c>
      <c r="E4043" s="26">
        <v>17</v>
      </c>
    </row>
    <row r="4044" spans="1:5" x14ac:dyDescent="0.25">
      <c r="A4044" s="24" t="s">
        <v>7</v>
      </c>
      <c r="B4044" s="24" t="s">
        <v>10696</v>
      </c>
      <c r="C4044" s="25" t="s">
        <v>10697</v>
      </c>
      <c r="D4044" s="25" t="s">
        <v>10698</v>
      </c>
      <c r="E4044" s="26">
        <v>5</v>
      </c>
    </row>
    <row r="4045" spans="1:5" x14ac:dyDescent="0.25">
      <c r="A4045" s="24" t="s">
        <v>7</v>
      </c>
      <c r="B4045" s="24" t="s">
        <v>10699</v>
      </c>
      <c r="C4045" s="25" t="s">
        <v>10700</v>
      </c>
      <c r="D4045" s="25" t="s">
        <v>10701</v>
      </c>
      <c r="E4045" s="26">
        <v>53</v>
      </c>
    </row>
    <row r="4046" spans="1:5" x14ac:dyDescent="0.25">
      <c r="A4046" s="24" t="s">
        <v>7</v>
      </c>
      <c r="B4046" s="24" t="s">
        <v>10702</v>
      </c>
      <c r="C4046" s="25" t="s">
        <v>10703</v>
      </c>
      <c r="D4046" s="25" t="s">
        <v>10704</v>
      </c>
      <c r="E4046" s="26">
        <v>31</v>
      </c>
    </row>
    <row r="4047" spans="1:5" x14ac:dyDescent="0.25">
      <c r="A4047" s="24" t="s">
        <v>7</v>
      </c>
      <c r="B4047" s="24" t="s">
        <v>10705</v>
      </c>
      <c r="C4047" s="25" t="s">
        <v>10706</v>
      </c>
      <c r="D4047" s="25" t="s">
        <v>10707</v>
      </c>
      <c r="E4047" s="26">
        <v>5881</v>
      </c>
    </row>
    <row r="4048" spans="1:5" x14ac:dyDescent="0.25">
      <c r="A4048" s="24" t="s">
        <v>7</v>
      </c>
      <c r="B4048" s="24" t="s">
        <v>10708</v>
      </c>
      <c r="C4048" s="25" t="s">
        <v>10709</v>
      </c>
      <c r="D4048" s="25" t="s">
        <v>10710</v>
      </c>
      <c r="E4048" s="26">
        <v>2903</v>
      </c>
    </row>
    <row r="4049" spans="1:5" x14ac:dyDescent="0.25">
      <c r="A4049" s="24" t="s">
        <v>7</v>
      </c>
      <c r="B4049" s="24" t="s">
        <v>10711</v>
      </c>
      <c r="C4049" s="25" t="s">
        <v>10712</v>
      </c>
      <c r="D4049" s="25" t="s">
        <v>10713</v>
      </c>
      <c r="E4049" s="26">
        <v>12</v>
      </c>
    </row>
    <row r="4050" spans="1:5" x14ac:dyDescent="0.25">
      <c r="A4050" s="24" t="s">
        <v>7</v>
      </c>
      <c r="B4050" s="24" t="s">
        <v>10714</v>
      </c>
      <c r="C4050" s="25" t="s">
        <v>10715</v>
      </c>
      <c r="D4050" s="25" t="s">
        <v>10716</v>
      </c>
      <c r="E4050" s="26">
        <v>1472</v>
      </c>
    </row>
    <row r="4051" spans="1:5" x14ac:dyDescent="0.25">
      <c r="A4051" s="24" t="s">
        <v>7</v>
      </c>
      <c r="B4051" s="24" t="s">
        <v>10717</v>
      </c>
      <c r="C4051" s="25" t="s">
        <v>10718</v>
      </c>
      <c r="D4051" s="25" t="s">
        <v>10719</v>
      </c>
      <c r="E4051" s="26">
        <v>5</v>
      </c>
    </row>
    <row r="4052" spans="1:5" x14ac:dyDescent="0.25">
      <c r="A4052" s="24" t="s">
        <v>7</v>
      </c>
      <c r="B4052" s="24" t="s">
        <v>10720</v>
      </c>
      <c r="C4052" s="25" t="s">
        <v>10721</v>
      </c>
      <c r="D4052" s="25" t="s">
        <v>10722</v>
      </c>
      <c r="E4052" s="26">
        <v>47</v>
      </c>
    </row>
    <row r="4053" spans="1:5" x14ac:dyDescent="0.25">
      <c r="A4053" s="24" t="s">
        <v>7</v>
      </c>
      <c r="B4053" s="24" t="s">
        <v>10723</v>
      </c>
      <c r="C4053" s="25" t="s">
        <v>10724</v>
      </c>
      <c r="D4053" s="25" t="s">
        <v>10725</v>
      </c>
      <c r="E4053" s="26">
        <v>229</v>
      </c>
    </row>
    <row r="4054" spans="1:5" x14ac:dyDescent="0.25">
      <c r="A4054" s="24" t="s">
        <v>7</v>
      </c>
      <c r="B4054" s="24" t="s">
        <v>10726</v>
      </c>
      <c r="C4054" s="25" t="s">
        <v>10727</v>
      </c>
      <c r="D4054" s="25" t="s">
        <v>10728</v>
      </c>
      <c r="E4054" s="26">
        <v>72</v>
      </c>
    </row>
    <row r="4055" spans="1:5" x14ac:dyDescent="0.25">
      <c r="A4055" s="24" t="s">
        <v>7</v>
      </c>
      <c r="B4055" s="24" t="s">
        <v>10729</v>
      </c>
      <c r="C4055" s="25" t="s">
        <v>10730</v>
      </c>
      <c r="D4055" s="25" t="s">
        <v>10731</v>
      </c>
      <c r="E4055" s="26">
        <v>16</v>
      </c>
    </row>
    <row r="4056" spans="1:5" x14ac:dyDescent="0.25">
      <c r="A4056" s="24" t="s">
        <v>7</v>
      </c>
      <c r="B4056" s="24" t="s">
        <v>10732</v>
      </c>
      <c r="C4056" s="25" t="s">
        <v>10733</v>
      </c>
      <c r="D4056" s="25" t="s">
        <v>10731</v>
      </c>
      <c r="E4056" s="26">
        <v>24</v>
      </c>
    </row>
    <row r="4057" spans="1:5" x14ac:dyDescent="0.25">
      <c r="A4057" s="24" t="s">
        <v>7</v>
      </c>
      <c r="B4057" s="24" t="s">
        <v>10734</v>
      </c>
      <c r="C4057" s="25" t="s">
        <v>10735</v>
      </c>
      <c r="D4057" s="25" t="s">
        <v>10736</v>
      </c>
      <c r="E4057" s="26">
        <v>1</v>
      </c>
    </row>
    <row r="4058" spans="1:5" x14ac:dyDescent="0.25">
      <c r="A4058" s="24" t="s">
        <v>7</v>
      </c>
      <c r="B4058" s="24" t="s">
        <v>10737</v>
      </c>
      <c r="C4058" s="25" t="s">
        <v>10738</v>
      </c>
      <c r="D4058" s="25" t="s">
        <v>10739</v>
      </c>
      <c r="E4058" s="26">
        <v>1</v>
      </c>
    </row>
    <row r="4059" spans="1:5" x14ac:dyDescent="0.25">
      <c r="A4059" s="24" t="s">
        <v>7</v>
      </c>
      <c r="B4059" s="24" t="s">
        <v>10740</v>
      </c>
      <c r="C4059" s="25" t="s">
        <v>10741</v>
      </c>
      <c r="D4059" s="25" t="s">
        <v>10742</v>
      </c>
      <c r="E4059" s="26">
        <v>30</v>
      </c>
    </row>
    <row r="4060" spans="1:5" x14ac:dyDescent="0.25">
      <c r="A4060" s="24" t="s">
        <v>7</v>
      </c>
      <c r="B4060" s="24" t="s">
        <v>10743</v>
      </c>
      <c r="C4060" s="25" t="s">
        <v>10744</v>
      </c>
      <c r="D4060" s="25" t="s">
        <v>10745</v>
      </c>
      <c r="E4060" s="26">
        <v>22</v>
      </c>
    </row>
    <row r="4061" spans="1:5" x14ac:dyDescent="0.25">
      <c r="A4061" s="24" t="s">
        <v>7</v>
      </c>
      <c r="B4061" s="24" t="s">
        <v>10746</v>
      </c>
      <c r="C4061" s="25" t="s">
        <v>10747</v>
      </c>
      <c r="D4061" s="25" t="s">
        <v>10748</v>
      </c>
      <c r="E4061" s="26">
        <v>1165</v>
      </c>
    </row>
    <row r="4062" spans="1:5" x14ac:dyDescent="0.25">
      <c r="A4062" s="24" t="s">
        <v>7</v>
      </c>
      <c r="B4062" s="24" t="s">
        <v>10749</v>
      </c>
      <c r="C4062" s="25" t="s">
        <v>10750</v>
      </c>
      <c r="D4062" s="25" t="s">
        <v>10751</v>
      </c>
      <c r="E4062" s="26">
        <v>463</v>
      </c>
    </row>
    <row r="4063" spans="1:5" x14ac:dyDescent="0.25">
      <c r="A4063" s="24" t="s">
        <v>7</v>
      </c>
      <c r="B4063" s="24" t="s">
        <v>10752</v>
      </c>
      <c r="C4063" s="25" t="s">
        <v>10753</v>
      </c>
      <c r="D4063" s="25" t="s">
        <v>10754</v>
      </c>
      <c r="E4063" s="26">
        <v>1</v>
      </c>
    </row>
    <row r="4064" spans="1:5" x14ac:dyDescent="0.25">
      <c r="A4064" s="24" t="s">
        <v>7</v>
      </c>
      <c r="B4064" s="24" t="s">
        <v>10755</v>
      </c>
      <c r="C4064" s="25" t="s">
        <v>10756</v>
      </c>
      <c r="D4064" s="25" t="s">
        <v>10757</v>
      </c>
      <c r="E4064" s="26">
        <v>27</v>
      </c>
    </row>
    <row r="4065" spans="1:5" x14ac:dyDescent="0.25">
      <c r="A4065" s="24" t="s">
        <v>7</v>
      </c>
      <c r="B4065" s="24" t="s">
        <v>10758</v>
      </c>
      <c r="C4065" s="25" t="s">
        <v>10759</v>
      </c>
      <c r="D4065" s="25" t="s">
        <v>10760</v>
      </c>
      <c r="E4065" s="26">
        <v>235</v>
      </c>
    </row>
    <row r="4066" spans="1:5" x14ac:dyDescent="0.25">
      <c r="A4066" s="24" t="s">
        <v>7</v>
      </c>
      <c r="B4066" s="24" t="s">
        <v>10761</v>
      </c>
      <c r="C4066" s="25" t="s">
        <v>10762</v>
      </c>
      <c r="D4066" s="25" t="s">
        <v>10763</v>
      </c>
      <c r="E4066" s="26">
        <v>104</v>
      </c>
    </row>
    <row r="4067" spans="1:5" x14ac:dyDescent="0.25">
      <c r="A4067" s="24" t="s">
        <v>7</v>
      </c>
      <c r="B4067" s="24" t="s">
        <v>10764</v>
      </c>
      <c r="C4067" s="25" t="s">
        <v>10765</v>
      </c>
      <c r="D4067" s="25" t="s">
        <v>10766</v>
      </c>
      <c r="E4067" s="26">
        <v>251</v>
      </c>
    </row>
    <row r="4068" spans="1:5" x14ac:dyDescent="0.25">
      <c r="A4068" s="24" t="s">
        <v>7</v>
      </c>
      <c r="B4068" s="24" t="s">
        <v>10767</v>
      </c>
      <c r="C4068" s="25" t="s">
        <v>10768</v>
      </c>
      <c r="D4068" s="25" t="s">
        <v>10769</v>
      </c>
      <c r="E4068" s="26">
        <v>108</v>
      </c>
    </row>
    <row r="4069" spans="1:5" x14ac:dyDescent="0.25">
      <c r="A4069" s="24" t="s">
        <v>7</v>
      </c>
      <c r="B4069" s="24" t="s">
        <v>10770</v>
      </c>
      <c r="C4069" s="25" t="s">
        <v>10771</v>
      </c>
      <c r="D4069" s="25" t="s">
        <v>10772</v>
      </c>
      <c r="E4069" s="26">
        <v>349</v>
      </c>
    </row>
    <row r="4070" spans="1:5" x14ac:dyDescent="0.25">
      <c r="A4070" s="24" t="s">
        <v>7</v>
      </c>
      <c r="B4070" s="24" t="s">
        <v>10773</v>
      </c>
      <c r="C4070" s="25" t="s">
        <v>10774</v>
      </c>
      <c r="D4070" s="25" t="s">
        <v>10775</v>
      </c>
      <c r="E4070" s="26">
        <v>2</v>
      </c>
    </row>
    <row r="4071" spans="1:5" x14ac:dyDescent="0.25">
      <c r="A4071" s="24" t="s">
        <v>7</v>
      </c>
      <c r="B4071" s="24" t="s">
        <v>10776</v>
      </c>
      <c r="C4071" s="25" t="s">
        <v>10777</v>
      </c>
      <c r="D4071" s="25" t="s">
        <v>10778</v>
      </c>
      <c r="E4071" s="26">
        <v>4083</v>
      </c>
    </row>
    <row r="4072" spans="1:5" x14ac:dyDescent="0.25">
      <c r="A4072" s="24" t="s">
        <v>7</v>
      </c>
      <c r="B4072" s="24" t="s">
        <v>10779</v>
      </c>
      <c r="C4072" s="25" t="s">
        <v>10780</v>
      </c>
      <c r="D4072" s="25" t="s">
        <v>10781</v>
      </c>
      <c r="E4072" s="26">
        <v>192</v>
      </c>
    </row>
    <row r="4073" spans="1:5" x14ac:dyDescent="0.25">
      <c r="A4073" s="24" t="s">
        <v>7</v>
      </c>
      <c r="B4073" s="24" t="s">
        <v>10782</v>
      </c>
      <c r="C4073" s="25" t="s">
        <v>10783</v>
      </c>
      <c r="D4073" s="25" t="s">
        <v>10784</v>
      </c>
      <c r="E4073" s="26">
        <v>20</v>
      </c>
    </row>
    <row r="4074" spans="1:5" x14ac:dyDescent="0.25">
      <c r="A4074" s="24" t="s">
        <v>7</v>
      </c>
      <c r="B4074" s="24" t="s">
        <v>10785</v>
      </c>
      <c r="C4074" s="25" t="s">
        <v>10786</v>
      </c>
      <c r="D4074" s="25" t="s">
        <v>10787</v>
      </c>
      <c r="E4074" s="26">
        <v>57300</v>
      </c>
    </row>
    <row r="4075" spans="1:5" x14ac:dyDescent="0.25">
      <c r="A4075" s="24" t="s">
        <v>7</v>
      </c>
      <c r="B4075" s="24" t="s">
        <v>10788</v>
      </c>
      <c r="C4075" s="25" t="s">
        <v>10789</v>
      </c>
      <c r="D4075" s="25" t="s">
        <v>10790</v>
      </c>
      <c r="E4075" s="26">
        <v>7</v>
      </c>
    </row>
    <row r="4076" spans="1:5" x14ac:dyDescent="0.25">
      <c r="A4076" s="24" t="s">
        <v>7</v>
      </c>
      <c r="B4076" s="24" t="s">
        <v>10791</v>
      </c>
      <c r="C4076" s="25" t="s">
        <v>10792</v>
      </c>
      <c r="D4076" s="25" t="s">
        <v>10793</v>
      </c>
      <c r="E4076" s="26">
        <v>19</v>
      </c>
    </row>
    <row r="4077" spans="1:5" x14ac:dyDescent="0.25">
      <c r="A4077" s="24" t="s">
        <v>7</v>
      </c>
      <c r="B4077" s="24" t="s">
        <v>10794</v>
      </c>
      <c r="C4077" s="25" t="s">
        <v>10795</v>
      </c>
      <c r="D4077" s="25" t="s">
        <v>10796</v>
      </c>
      <c r="E4077" s="26">
        <v>51</v>
      </c>
    </row>
    <row r="4078" spans="1:5" x14ac:dyDescent="0.25">
      <c r="A4078" s="24" t="s">
        <v>7</v>
      </c>
      <c r="B4078" s="24" t="s">
        <v>10797</v>
      </c>
      <c r="C4078" s="25" t="s">
        <v>10798</v>
      </c>
      <c r="D4078" s="25" t="s">
        <v>10799</v>
      </c>
      <c r="E4078" s="26">
        <v>4</v>
      </c>
    </row>
    <row r="4079" spans="1:5" x14ac:dyDescent="0.25">
      <c r="A4079" s="24" t="s">
        <v>7</v>
      </c>
      <c r="B4079" s="24" t="s">
        <v>10800</v>
      </c>
      <c r="C4079" s="25" t="s">
        <v>10801</v>
      </c>
      <c r="D4079" s="25" t="s">
        <v>10802</v>
      </c>
      <c r="E4079" s="26">
        <v>2</v>
      </c>
    </row>
    <row r="4080" spans="1:5" x14ac:dyDescent="0.25">
      <c r="A4080" s="24" t="s">
        <v>7</v>
      </c>
      <c r="B4080" s="24" t="s">
        <v>10803</v>
      </c>
      <c r="C4080" s="25" t="s">
        <v>10804</v>
      </c>
      <c r="D4080" s="25" t="s">
        <v>10805</v>
      </c>
      <c r="E4080" s="26">
        <v>2</v>
      </c>
    </row>
    <row r="4081" spans="1:5" x14ac:dyDescent="0.25">
      <c r="A4081" s="24" t="s">
        <v>7</v>
      </c>
      <c r="B4081" s="24" t="s">
        <v>10806</v>
      </c>
      <c r="C4081" s="25" t="s">
        <v>10807</v>
      </c>
      <c r="D4081" s="25" t="s">
        <v>10808</v>
      </c>
      <c r="E4081" s="26">
        <v>799</v>
      </c>
    </row>
    <row r="4082" spans="1:5" x14ac:dyDescent="0.25">
      <c r="A4082" s="24" t="s">
        <v>7</v>
      </c>
      <c r="B4082" s="24" t="s">
        <v>10809</v>
      </c>
      <c r="C4082" s="25" t="s">
        <v>10810</v>
      </c>
      <c r="D4082" s="25" t="s">
        <v>10811</v>
      </c>
      <c r="E4082" s="26">
        <v>2</v>
      </c>
    </row>
    <row r="4083" spans="1:5" x14ac:dyDescent="0.25">
      <c r="A4083" s="24" t="s">
        <v>7</v>
      </c>
      <c r="B4083" s="24" t="s">
        <v>10812</v>
      </c>
      <c r="C4083" s="25" t="s">
        <v>10813</v>
      </c>
      <c r="D4083" s="25" t="s">
        <v>10814</v>
      </c>
      <c r="E4083" s="26">
        <v>2</v>
      </c>
    </row>
    <row r="4084" spans="1:5" x14ac:dyDescent="0.25">
      <c r="A4084" s="24" t="s">
        <v>7</v>
      </c>
      <c r="B4084" s="24" t="s">
        <v>10815</v>
      </c>
      <c r="C4084" s="25" t="s">
        <v>10816</v>
      </c>
      <c r="D4084" s="25" t="s">
        <v>10817</v>
      </c>
      <c r="E4084" s="26">
        <v>8079</v>
      </c>
    </row>
    <row r="4085" spans="1:5" x14ac:dyDescent="0.25">
      <c r="A4085" s="24" t="s">
        <v>7</v>
      </c>
      <c r="B4085" s="24" t="s">
        <v>10818</v>
      </c>
      <c r="C4085" s="25" t="s">
        <v>10819</v>
      </c>
      <c r="D4085" s="25" t="s">
        <v>10820</v>
      </c>
      <c r="E4085" s="26">
        <v>27</v>
      </c>
    </row>
    <row r="4086" spans="1:5" x14ac:dyDescent="0.25">
      <c r="A4086" s="24" t="s">
        <v>7</v>
      </c>
      <c r="B4086" s="24" t="s">
        <v>10821</v>
      </c>
      <c r="C4086" s="25" t="s">
        <v>10822</v>
      </c>
      <c r="D4086" s="25" t="s">
        <v>10823</v>
      </c>
      <c r="E4086" s="26">
        <v>102</v>
      </c>
    </row>
    <row r="4087" spans="1:5" x14ac:dyDescent="0.25">
      <c r="A4087" s="24" t="s">
        <v>7</v>
      </c>
      <c r="B4087" s="24" t="s">
        <v>10824</v>
      </c>
      <c r="C4087" s="25" t="s">
        <v>10825</v>
      </c>
      <c r="D4087" s="25" t="s">
        <v>10826</v>
      </c>
      <c r="E4087" s="26">
        <v>85</v>
      </c>
    </row>
    <row r="4088" spans="1:5" x14ac:dyDescent="0.25">
      <c r="A4088" s="24" t="s">
        <v>7</v>
      </c>
      <c r="B4088" s="24" t="s">
        <v>10827</v>
      </c>
      <c r="C4088" s="25" t="s">
        <v>10828</v>
      </c>
      <c r="D4088" s="25" t="s">
        <v>10829</v>
      </c>
      <c r="E4088" s="26">
        <v>10</v>
      </c>
    </row>
    <row r="4089" spans="1:5" x14ac:dyDescent="0.25">
      <c r="A4089" s="24" t="s">
        <v>7</v>
      </c>
      <c r="B4089" s="24" t="s">
        <v>10830</v>
      </c>
      <c r="C4089" s="25" t="s">
        <v>10831</v>
      </c>
      <c r="D4089" s="25" t="s">
        <v>10832</v>
      </c>
      <c r="E4089" s="26">
        <v>1</v>
      </c>
    </row>
    <row r="4090" spans="1:5" x14ac:dyDescent="0.25">
      <c r="A4090" s="24" t="s">
        <v>7</v>
      </c>
      <c r="B4090" s="24" t="s">
        <v>10833</v>
      </c>
      <c r="C4090" s="25" t="s">
        <v>10834</v>
      </c>
      <c r="D4090" s="25" t="s">
        <v>10835</v>
      </c>
      <c r="E4090" s="26">
        <v>106</v>
      </c>
    </row>
    <row r="4091" spans="1:5" x14ac:dyDescent="0.25">
      <c r="A4091" s="24" t="s">
        <v>7</v>
      </c>
      <c r="B4091" s="24" t="s">
        <v>10836</v>
      </c>
      <c r="C4091" s="25" t="s">
        <v>10837</v>
      </c>
      <c r="D4091" s="25" t="s">
        <v>10838</v>
      </c>
      <c r="E4091" s="26">
        <v>191</v>
      </c>
    </row>
    <row r="4092" spans="1:5" x14ac:dyDescent="0.25">
      <c r="A4092" s="24" t="s">
        <v>7</v>
      </c>
      <c r="B4092" s="24" t="s">
        <v>10839</v>
      </c>
      <c r="C4092" s="25" t="s">
        <v>10840</v>
      </c>
      <c r="D4092" s="25" t="s">
        <v>10841</v>
      </c>
      <c r="E4092" s="26">
        <v>14</v>
      </c>
    </row>
    <row r="4093" spans="1:5" x14ac:dyDescent="0.25">
      <c r="A4093" s="24" t="s">
        <v>7</v>
      </c>
      <c r="B4093" s="24" t="s">
        <v>10842</v>
      </c>
      <c r="C4093" s="25" t="s">
        <v>10843</v>
      </c>
      <c r="D4093" s="25" t="s">
        <v>10844</v>
      </c>
      <c r="E4093" s="26">
        <v>337</v>
      </c>
    </row>
    <row r="4094" spans="1:5" x14ac:dyDescent="0.25">
      <c r="A4094" s="24" t="s">
        <v>7</v>
      </c>
      <c r="B4094" s="24" t="s">
        <v>10845</v>
      </c>
      <c r="C4094" s="25" t="s">
        <v>10846</v>
      </c>
      <c r="D4094" s="25" t="s">
        <v>10847</v>
      </c>
      <c r="E4094" s="26">
        <v>1086</v>
      </c>
    </row>
    <row r="4095" spans="1:5" x14ac:dyDescent="0.25">
      <c r="A4095" s="24" t="s">
        <v>7</v>
      </c>
      <c r="B4095" s="24" t="s">
        <v>10848</v>
      </c>
      <c r="C4095" s="25" t="s">
        <v>10849</v>
      </c>
      <c r="D4095" s="25" t="s">
        <v>10850</v>
      </c>
      <c r="E4095" s="26">
        <v>1449</v>
      </c>
    </row>
    <row r="4096" spans="1:5" x14ac:dyDescent="0.25">
      <c r="A4096" s="24" t="s">
        <v>7</v>
      </c>
      <c r="B4096" s="24" t="s">
        <v>10851</v>
      </c>
      <c r="C4096" s="25" t="s">
        <v>10852</v>
      </c>
      <c r="D4096" s="25" t="s">
        <v>10853</v>
      </c>
      <c r="E4096" s="26">
        <v>9</v>
      </c>
    </row>
    <row r="4097" spans="1:5" x14ac:dyDescent="0.25">
      <c r="A4097" s="24" t="s">
        <v>7</v>
      </c>
      <c r="B4097" s="24" t="s">
        <v>10854</v>
      </c>
      <c r="C4097" s="25" t="s">
        <v>10855</v>
      </c>
      <c r="D4097" s="25" t="s">
        <v>10856</v>
      </c>
      <c r="E4097" s="26">
        <v>9</v>
      </c>
    </row>
    <row r="4098" spans="1:5" x14ac:dyDescent="0.25">
      <c r="A4098" s="24" t="s">
        <v>7</v>
      </c>
      <c r="B4098" s="24" t="s">
        <v>10857</v>
      </c>
      <c r="C4098" s="25" t="s">
        <v>10858</v>
      </c>
      <c r="D4098" s="25" t="s">
        <v>10859</v>
      </c>
      <c r="E4098" s="26">
        <v>24</v>
      </c>
    </row>
    <row r="4099" spans="1:5" x14ac:dyDescent="0.25">
      <c r="A4099" s="24" t="s">
        <v>7</v>
      </c>
      <c r="B4099" s="24" t="s">
        <v>10860</v>
      </c>
      <c r="C4099" s="25" t="s">
        <v>10861</v>
      </c>
      <c r="D4099" s="25" t="s">
        <v>10862</v>
      </c>
      <c r="E4099" s="26">
        <v>14</v>
      </c>
    </row>
    <row r="4100" spans="1:5" x14ac:dyDescent="0.25">
      <c r="A4100" s="24" t="s">
        <v>7</v>
      </c>
      <c r="B4100" s="24" t="s">
        <v>10863</v>
      </c>
      <c r="C4100" s="25" t="s">
        <v>10864</v>
      </c>
      <c r="D4100" s="25" t="s">
        <v>10865</v>
      </c>
      <c r="E4100" s="26">
        <v>44.88</v>
      </c>
    </row>
    <row r="4101" spans="1:5" x14ac:dyDescent="0.25">
      <c r="A4101" s="24" t="s">
        <v>7</v>
      </c>
      <c r="B4101" s="24" t="s">
        <v>10866</v>
      </c>
      <c r="C4101" s="25" t="s">
        <v>10867</v>
      </c>
      <c r="D4101" s="25" t="s">
        <v>10868</v>
      </c>
      <c r="E4101" s="26">
        <v>27</v>
      </c>
    </row>
    <row r="4102" spans="1:5" x14ac:dyDescent="0.25">
      <c r="A4102" s="24" t="s">
        <v>7</v>
      </c>
      <c r="B4102" s="24" t="s">
        <v>10869</v>
      </c>
      <c r="C4102" s="25" t="s">
        <v>10870</v>
      </c>
      <c r="D4102" s="25" t="s">
        <v>10871</v>
      </c>
      <c r="E4102" s="26">
        <v>24</v>
      </c>
    </row>
    <row r="4103" spans="1:5" x14ac:dyDescent="0.25">
      <c r="A4103" s="24" t="s">
        <v>7</v>
      </c>
      <c r="B4103" s="24" t="s">
        <v>10872</v>
      </c>
      <c r="C4103" s="25" t="s">
        <v>10873</v>
      </c>
      <c r="D4103" s="25" t="s">
        <v>10874</v>
      </c>
      <c r="E4103" s="26">
        <v>24</v>
      </c>
    </row>
    <row r="4104" spans="1:5" x14ac:dyDescent="0.25">
      <c r="A4104" s="24" t="s">
        <v>7</v>
      </c>
      <c r="B4104" s="24" t="s">
        <v>10875</v>
      </c>
      <c r="C4104" s="25" t="s">
        <v>10876</v>
      </c>
      <c r="D4104" s="25" t="s">
        <v>10877</v>
      </c>
      <c r="E4104" s="26">
        <v>190</v>
      </c>
    </row>
    <row r="4105" spans="1:5" x14ac:dyDescent="0.25">
      <c r="A4105" s="24" t="s">
        <v>7</v>
      </c>
      <c r="B4105" s="24" t="s">
        <v>10878</v>
      </c>
      <c r="C4105" s="25" t="s">
        <v>10879</v>
      </c>
      <c r="D4105" s="25" t="s">
        <v>10880</v>
      </c>
      <c r="E4105" s="26">
        <v>30</v>
      </c>
    </row>
    <row r="4106" spans="1:5" x14ac:dyDescent="0.25">
      <c r="A4106" s="24" t="s">
        <v>7</v>
      </c>
      <c r="B4106" s="24" t="s">
        <v>10881</v>
      </c>
      <c r="C4106" s="25" t="s">
        <v>10882</v>
      </c>
      <c r="D4106" s="25" t="s">
        <v>10883</v>
      </c>
      <c r="E4106" s="26">
        <v>130</v>
      </c>
    </row>
    <row r="4107" spans="1:5" x14ac:dyDescent="0.25">
      <c r="A4107" s="24" t="s">
        <v>7</v>
      </c>
      <c r="B4107" s="24" t="s">
        <v>10884</v>
      </c>
      <c r="C4107" s="25" t="s">
        <v>10885</v>
      </c>
      <c r="D4107" s="25" t="s">
        <v>10886</v>
      </c>
      <c r="E4107" s="26">
        <v>208</v>
      </c>
    </row>
    <row r="4108" spans="1:5" x14ac:dyDescent="0.25">
      <c r="A4108" s="24" t="s">
        <v>7</v>
      </c>
      <c r="B4108" s="24" t="s">
        <v>10887</v>
      </c>
      <c r="C4108" s="25" t="s">
        <v>10888</v>
      </c>
      <c r="D4108" s="25" t="s">
        <v>10889</v>
      </c>
      <c r="E4108" s="26">
        <v>361</v>
      </c>
    </row>
    <row r="4109" spans="1:5" x14ac:dyDescent="0.25">
      <c r="A4109" s="24" t="s">
        <v>7</v>
      </c>
      <c r="B4109" s="24" t="s">
        <v>10890</v>
      </c>
      <c r="C4109" s="25" t="s">
        <v>10891</v>
      </c>
      <c r="D4109" s="25" t="s">
        <v>10892</v>
      </c>
      <c r="E4109" s="26">
        <v>496</v>
      </c>
    </row>
    <row r="4110" spans="1:5" x14ac:dyDescent="0.25">
      <c r="A4110" s="24" t="s">
        <v>7</v>
      </c>
      <c r="B4110" s="24" t="s">
        <v>10893</v>
      </c>
      <c r="C4110" s="25" t="s">
        <v>10894</v>
      </c>
      <c r="D4110" s="25" t="s">
        <v>10895</v>
      </c>
      <c r="E4110" s="26">
        <v>30</v>
      </c>
    </row>
    <row r="4111" spans="1:5" x14ac:dyDescent="0.25">
      <c r="A4111" s="24" t="s">
        <v>7</v>
      </c>
      <c r="B4111" s="24" t="s">
        <v>10896</v>
      </c>
      <c r="C4111" s="25" t="s">
        <v>10897</v>
      </c>
      <c r="D4111" s="25" t="s">
        <v>10898</v>
      </c>
      <c r="E4111" s="26">
        <v>25</v>
      </c>
    </row>
    <row r="4112" spans="1:5" x14ac:dyDescent="0.25">
      <c r="A4112" s="24" t="s">
        <v>7</v>
      </c>
      <c r="B4112" s="24" t="s">
        <v>10899</v>
      </c>
      <c r="C4112" s="25" t="s">
        <v>10900</v>
      </c>
      <c r="D4112" s="25" t="s">
        <v>10901</v>
      </c>
      <c r="E4112" s="26">
        <v>69</v>
      </c>
    </row>
    <row r="4113" spans="1:5" x14ac:dyDescent="0.25">
      <c r="A4113" s="24" t="s">
        <v>7</v>
      </c>
      <c r="B4113" s="24" t="s">
        <v>10902</v>
      </c>
      <c r="C4113" s="25" t="s">
        <v>10903</v>
      </c>
      <c r="D4113" s="25" t="s">
        <v>10904</v>
      </c>
      <c r="E4113" s="26">
        <v>43</v>
      </c>
    </row>
    <row r="4114" spans="1:5" x14ac:dyDescent="0.25">
      <c r="A4114" s="24" t="s">
        <v>7</v>
      </c>
      <c r="B4114" s="24" t="s">
        <v>10905</v>
      </c>
      <c r="C4114" s="25" t="s">
        <v>10906</v>
      </c>
      <c r="D4114" s="25" t="s">
        <v>10907</v>
      </c>
      <c r="E4114" s="26">
        <v>591</v>
      </c>
    </row>
    <row r="4115" spans="1:5" x14ac:dyDescent="0.25">
      <c r="A4115" s="24" t="s">
        <v>7</v>
      </c>
      <c r="B4115" s="24" t="s">
        <v>10908</v>
      </c>
      <c r="C4115" s="25" t="s">
        <v>10909</v>
      </c>
      <c r="D4115" s="25" t="s">
        <v>10910</v>
      </c>
      <c r="E4115" s="26">
        <v>18</v>
      </c>
    </row>
    <row r="4116" spans="1:5" x14ac:dyDescent="0.25">
      <c r="A4116" s="24" t="s">
        <v>7</v>
      </c>
      <c r="B4116" s="24" t="s">
        <v>10911</v>
      </c>
      <c r="C4116" s="25" t="s">
        <v>10912</v>
      </c>
      <c r="D4116" s="25" t="s">
        <v>10913</v>
      </c>
      <c r="E4116" s="26">
        <v>16</v>
      </c>
    </row>
    <row r="4117" spans="1:5" x14ac:dyDescent="0.25">
      <c r="A4117" s="24" t="s">
        <v>7</v>
      </c>
      <c r="B4117" s="24" t="s">
        <v>10914</v>
      </c>
      <c r="C4117" s="25" t="s">
        <v>10915</v>
      </c>
      <c r="D4117" s="25" t="s">
        <v>10916</v>
      </c>
      <c r="E4117" s="26">
        <v>16</v>
      </c>
    </row>
    <row r="4118" spans="1:5" x14ac:dyDescent="0.25">
      <c r="A4118" s="24" t="s">
        <v>7</v>
      </c>
      <c r="B4118" s="24" t="s">
        <v>10917</v>
      </c>
      <c r="C4118" s="25" t="s">
        <v>10918</v>
      </c>
      <c r="D4118" s="25" t="s">
        <v>10919</v>
      </c>
      <c r="E4118" s="26">
        <v>12.99</v>
      </c>
    </row>
    <row r="4119" spans="1:5" x14ac:dyDescent="0.25">
      <c r="A4119" s="24" t="s">
        <v>7</v>
      </c>
      <c r="B4119" s="24" t="s">
        <v>10920</v>
      </c>
      <c r="C4119" s="25" t="s">
        <v>10921</v>
      </c>
      <c r="D4119" s="25" t="s">
        <v>10922</v>
      </c>
      <c r="E4119" s="26">
        <v>26</v>
      </c>
    </row>
    <row r="4120" spans="1:5" x14ac:dyDescent="0.25">
      <c r="A4120" s="24" t="s">
        <v>7</v>
      </c>
      <c r="B4120" s="24" t="s">
        <v>10923</v>
      </c>
      <c r="C4120" s="25" t="s">
        <v>10924</v>
      </c>
      <c r="D4120" s="25" t="s">
        <v>10925</v>
      </c>
      <c r="E4120" s="26">
        <v>369</v>
      </c>
    </row>
    <row r="4121" spans="1:5" x14ac:dyDescent="0.25">
      <c r="A4121" s="24" t="s">
        <v>7</v>
      </c>
      <c r="B4121" s="24" t="s">
        <v>10926</v>
      </c>
      <c r="C4121" s="25" t="s">
        <v>10927</v>
      </c>
      <c r="D4121" s="25" t="s">
        <v>10928</v>
      </c>
      <c r="E4121" s="26">
        <v>286</v>
      </c>
    </row>
    <row r="4122" spans="1:5" x14ac:dyDescent="0.25">
      <c r="A4122" s="24" t="s">
        <v>7</v>
      </c>
      <c r="B4122" s="24" t="s">
        <v>10929</v>
      </c>
      <c r="C4122" s="25" t="s">
        <v>10930</v>
      </c>
      <c r="D4122" s="25" t="s">
        <v>10931</v>
      </c>
      <c r="E4122" s="26">
        <v>238</v>
      </c>
    </row>
    <row r="4123" spans="1:5" x14ac:dyDescent="0.25">
      <c r="A4123" s="24" t="s">
        <v>7</v>
      </c>
      <c r="B4123" s="24" t="s">
        <v>10932</v>
      </c>
      <c r="C4123" s="25" t="s">
        <v>10933</v>
      </c>
      <c r="D4123" s="25" t="s">
        <v>10934</v>
      </c>
      <c r="E4123" s="26">
        <v>51</v>
      </c>
    </row>
    <row r="4124" spans="1:5" x14ac:dyDescent="0.25">
      <c r="A4124" s="24" t="s">
        <v>7</v>
      </c>
      <c r="B4124" s="24" t="s">
        <v>10935</v>
      </c>
      <c r="C4124" s="25" t="s">
        <v>10936</v>
      </c>
      <c r="D4124" s="25" t="s">
        <v>10937</v>
      </c>
      <c r="E4124" s="26">
        <v>25</v>
      </c>
    </row>
    <row r="4125" spans="1:5" x14ac:dyDescent="0.25">
      <c r="A4125" s="24" t="s">
        <v>7</v>
      </c>
      <c r="B4125" s="24" t="s">
        <v>10938</v>
      </c>
      <c r="C4125" s="25" t="s">
        <v>10939</v>
      </c>
      <c r="D4125" s="25" t="s">
        <v>10940</v>
      </c>
      <c r="E4125" s="26">
        <v>21</v>
      </c>
    </row>
    <row r="4126" spans="1:5" x14ac:dyDescent="0.25">
      <c r="A4126" s="24" t="s">
        <v>7</v>
      </c>
      <c r="B4126" s="24" t="s">
        <v>10941</v>
      </c>
      <c r="C4126" s="25" t="s">
        <v>10942</v>
      </c>
      <c r="D4126" s="25" t="s">
        <v>10943</v>
      </c>
      <c r="E4126" s="26">
        <v>42</v>
      </c>
    </row>
    <row r="4127" spans="1:5" x14ac:dyDescent="0.25">
      <c r="A4127" s="24" t="s">
        <v>7</v>
      </c>
      <c r="B4127" s="24" t="s">
        <v>10944</v>
      </c>
      <c r="C4127" s="25" t="s">
        <v>10945</v>
      </c>
      <c r="D4127" s="25" t="s">
        <v>10946</v>
      </c>
      <c r="E4127" s="26">
        <v>36</v>
      </c>
    </row>
    <row r="4128" spans="1:5" x14ac:dyDescent="0.25">
      <c r="A4128" s="24" t="s">
        <v>7</v>
      </c>
      <c r="B4128" s="24" t="s">
        <v>10947</v>
      </c>
      <c r="C4128" s="25" t="s">
        <v>10948</v>
      </c>
      <c r="D4128" s="25" t="s">
        <v>10949</v>
      </c>
      <c r="E4128" s="26">
        <v>34</v>
      </c>
    </row>
    <row r="4129" spans="1:5" x14ac:dyDescent="0.25">
      <c r="A4129" s="24" t="s">
        <v>7</v>
      </c>
      <c r="B4129" s="24" t="s">
        <v>10950</v>
      </c>
      <c r="C4129" s="25" t="s">
        <v>10951</v>
      </c>
      <c r="D4129" s="25" t="s">
        <v>10952</v>
      </c>
      <c r="E4129" s="26">
        <v>138</v>
      </c>
    </row>
    <row r="4130" spans="1:5" x14ac:dyDescent="0.25">
      <c r="A4130" s="24" t="s">
        <v>7</v>
      </c>
      <c r="B4130" s="24" t="s">
        <v>10953</v>
      </c>
      <c r="C4130" s="25" t="s">
        <v>10954</v>
      </c>
      <c r="D4130" s="25" t="s">
        <v>10955</v>
      </c>
      <c r="E4130" s="26">
        <v>399</v>
      </c>
    </row>
    <row r="4131" spans="1:5" x14ac:dyDescent="0.25">
      <c r="A4131" s="24" t="s">
        <v>7</v>
      </c>
      <c r="B4131" s="24" t="s">
        <v>10956</v>
      </c>
      <c r="C4131" s="25" t="s">
        <v>10957</v>
      </c>
      <c r="D4131" s="25" t="s">
        <v>10958</v>
      </c>
      <c r="E4131" s="26">
        <v>4</v>
      </c>
    </row>
    <row r="4132" spans="1:5" x14ac:dyDescent="0.25">
      <c r="A4132" s="24" t="s">
        <v>7</v>
      </c>
      <c r="B4132" s="24" t="s">
        <v>10959</v>
      </c>
      <c r="C4132" s="25" t="s">
        <v>10960</v>
      </c>
      <c r="D4132" s="25" t="s">
        <v>10961</v>
      </c>
      <c r="E4132" s="26">
        <v>4</v>
      </c>
    </row>
    <row r="4133" spans="1:5" x14ac:dyDescent="0.25">
      <c r="A4133" s="24" t="s">
        <v>7</v>
      </c>
      <c r="B4133" s="24" t="s">
        <v>10962</v>
      </c>
      <c r="C4133" s="25" t="s">
        <v>10963</v>
      </c>
      <c r="D4133" s="25" t="s">
        <v>10964</v>
      </c>
      <c r="E4133" s="26">
        <v>5</v>
      </c>
    </row>
    <row r="4134" spans="1:5" x14ac:dyDescent="0.25">
      <c r="A4134" s="24" t="s">
        <v>7</v>
      </c>
      <c r="B4134" s="24" t="s">
        <v>10965</v>
      </c>
      <c r="C4134" s="25" t="s">
        <v>10966</v>
      </c>
      <c r="D4134" s="25" t="s">
        <v>10967</v>
      </c>
      <c r="E4134" s="26">
        <v>672</v>
      </c>
    </row>
    <row r="4135" spans="1:5" x14ac:dyDescent="0.25">
      <c r="A4135" s="24" t="s">
        <v>7</v>
      </c>
      <c r="B4135" s="24" t="s">
        <v>10968</v>
      </c>
      <c r="C4135" s="25" t="s">
        <v>10969</v>
      </c>
      <c r="D4135" s="25" t="s">
        <v>10970</v>
      </c>
      <c r="E4135" s="26">
        <v>268</v>
      </c>
    </row>
    <row r="4136" spans="1:5" x14ac:dyDescent="0.25">
      <c r="A4136" s="24" t="s">
        <v>7</v>
      </c>
      <c r="B4136" s="24" t="s">
        <v>10971</v>
      </c>
      <c r="C4136" s="25" t="s">
        <v>10972</v>
      </c>
      <c r="D4136" s="25" t="s">
        <v>10973</v>
      </c>
      <c r="E4136" s="26">
        <v>1150</v>
      </c>
    </row>
    <row r="4137" spans="1:5" x14ac:dyDescent="0.25">
      <c r="A4137" s="24" t="s">
        <v>7</v>
      </c>
      <c r="B4137" s="24" t="s">
        <v>10974</v>
      </c>
      <c r="C4137" s="25" t="s">
        <v>10975</v>
      </c>
      <c r="D4137" s="25" t="s">
        <v>10976</v>
      </c>
      <c r="E4137" s="26">
        <v>7</v>
      </c>
    </row>
    <row r="4138" spans="1:5" x14ac:dyDescent="0.25">
      <c r="A4138" s="24" t="s">
        <v>7</v>
      </c>
      <c r="B4138" s="24" t="s">
        <v>10977</v>
      </c>
      <c r="C4138" s="25" t="s">
        <v>10978</v>
      </c>
      <c r="D4138" s="25" t="s">
        <v>10979</v>
      </c>
      <c r="E4138" s="26">
        <v>8045</v>
      </c>
    </row>
    <row r="4139" spans="1:5" x14ac:dyDescent="0.25">
      <c r="A4139" s="24" t="s">
        <v>7</v>
      </c>
      <c r="B4139" s="24" t="s">
        <v>10980</v>
      </c>
      <c r="C4139" s="25" t="s">
        <v>10981</v>
      </c>
      <c r="D4139" s="25" t="s">
        <v>10982</v>
      </c>
      <c r="E4139" s="26">
        <v>1078</v>
      </c>
    </row>
    <row r="4140" spans="1:5" x14ac:dyDescent="0.25">
      <c r="A4140" s="24" t="s">
        <v>7</v>
      </c>
      <c r="B4140" s="24" t="s">
        <v>10983</v>
      </c>
      <c r="C4140" s="25" t="s">
        <v>10984</v>
      </c>
      <c r="D4140" s="25" t="s">
        <v>10985</v>
      </c>
      <c r="E4140" s="26">
        <v>9</v>
      </c>
    </row>
    <row r="4141" spans="1:5" x14ac:dyDescent="0.25">
      <c r="A4141" s="24" t="s">
        <v>7</v>
      </c>
      <c r="B4141" s="24" t="s">
        <v>10986</v>
      </c>
      <c r="C4141" s="25" t="s">
        <v>10987</v>
      </c>
      <c r="D4141" s="25" t="s">
        <v>10988</v>
      </c>
      <c r="E4141" s="26">
        <v>33</v>
      </c>
    </row>
    <row r="4142" spans="1:5" x14ac:dyDescent="0.25">
      <c r="A4142" s="24" t="s">
        <v>7</v>
      </c>
      <c r="B4142" s="24" t="s">
        <v>10989</v>
      </c>
      <c r="C4142" s="25" t="s">
        <v>10990</v>
      </c>
      <c r="D4142" s="25" t="s">
        <v>10991</v>
      </c>
      <c r="E4142" s="26">
        <v>522</v>
      </c>
    </row>
    <row r="4143" spans="1:5" x14ac:dyDescent="0.25">
      <c r="A4143" s="24" t="s">
        <v>7</v>
      </c>
      <c r="B4143" s="24" t="s">
        <v>10992</v>
      </c>
      <c r="C4143" s="25" t="s">
        <v>10993</v>
      </c>
      <c r="D4143" s="25" t="s">
        <v>10994</v>
      </c>
      <c r="E4143" s="26">
        <v>90</v>
      </c>
    </row>
    <row r="4144" spans="1:5" x14ac:dyDescent="0.25">
      <c r="A4144" s="24" t="s">
        <v>7</v>
      </c>
      <c r="B4144" s="24" t="s">
        <v>10995</v>
      </c>
      <c r="C4144" s="25" t="s">
        <v>10996</v>
      </c>
      <c r="D4144" s="25" t="s">
        <v>10997</v>
      </c>
      <c r="E4144" s="26">
        <v>3183</v>
      </c>
    </row>
    <row r="4145" spans="1:5" x14ac:dyDescent="0.25">
      <c r="A4145" s="24" t="s">
        <v>7</v>
      </c>
      <c r="B4145" s="24" t="s">
        <v>10998</v>
      </c>
      <c r="C4145" s="25" t="s">
        <v>10999</v>
      </c>
      <c r="D4145" s="25" t="s">
        <v>11000</v>
      </c>
      <c r="E4145" s="26">
        <v>625</v>
      </c>
    </row>
    <row r="4146" spans="1:5" x14ac:dyDescent="0.25">
      <c r="A4146" s="24" t="s">
        <v>7</v>
      </c>
      <c r="B4146" s="24" t="s">
        <v>11001</v>
      </c>
      <c r="C4146" s="25" t="s">
        <v>11002</v>
      </c>
      <c r="D4146" s="25" t="s">
        <v>11003</v>
      </c>
      <c r="E4146" s="26">
        <v>241</v>
      </c>
    </row>
    <row r="4147" spans="1:5" x14ac:dyDescent="0.25">
      <c r="A4147" s="24" t="s">
        <v>7</v>
      </c>
      <c r="B4147" s="24" t="s">
        <v>11004</v>
      </c>
      <c r="C4147" s="25" t="s">
        <v>11005</v>
      </c>
      <c r="D4147" s="25" t="s">
        <v>11006</v>
      </c>
      <c r="E4147" s="26">
        <v>643</v>
      </c>
    </row>
    <row r="4148" spans="1:5" x14ac:dyDescent="0.25">
      <c r="A4148" s="24" t="s">
        <v>7</v>
      </c>
      <c r="B4148" s="24" t="s">
        <v>11007</v>
      </c>
      <c r="C4148" s="25" t="s">
        <v>11008</v>
      </c>
      <c r="D4148" s="25" t="s">
        <v>11009</v>
      </c>
      <c r="E4148" s="26">
        <v>1</v>
      </c>
    </row>
    <row r="4149" spans="1:5" x14ac:dyDescent="0.25">
      <c r="A4149" s="24" t="s">
        <v>7</v>
      </c>
      <c r="B4149" s="24" t="s">
        <v>11010</v>
      </c>
      <c r="C4149" s="25" t="s">
        <v>11011</v>
      </c>
      <c r="D4149" s="25" t="s">
        <v>11012</v>
      </c>
      <c r="E4149" s="26">
        <v>32</v>
      </c>
    </row>
    <row r="4150" spans="1:5" x14ac:dyDescent="0.25">
      <c r="A4150" s="24" t="s">
        <v>7</v>
      </c>
      <c r="B4150" s="24" t="s">
        <v>11013</v>
      </c>
      <c r="C4150" s="25" t="s">
        <v>11014</v>
      </c>
      <c r="D4150" s="25" t="s">
        <v>11015</v>
      </c>
      <c r="E4150" s="26">
        <v>982</v>
      </c>
    </row>
    <row r="4151" spans="1:5" x14ac:dyDescent="0.25">
      <c r="A4151" s="24" t="s">
        <v>7</v>
      </c>
      <c r="B4151" s="24" t="s">
        <v>11016</v>
      </c>
      <c r="C4151" s="25" t="s">
        <v>11017</v>
      </c>
      <c r="D4151" s="25" t="s">
        <v>11018</v>
      </c>
      <c r="E4151" s="26">
        <v>214</v>
      </c>
    </row>
    <row r="4152" spans="1:5" x14ac:dyDescent="0.25">
      <c r="A4152" s="24" t="s">
        <v>7</v>
      </c>
      <c r="B4152" s="24" t="s">
        <v>11019</v>
      </c>
      <c r="C4152" s="25" t="s">
        <v>11020</v>
      </c>
      <c r="D4152" s="25" t="s">
        <v>11021</v>
      </c>
      <c r="E4152" s="26">
        <v>405</v>
      </c>
    </row>
    <row r="4153" spans="1:5" x14ac:dyDescent="0.25">
      <c r="A4153" s="24" t="s">
        <v>7</v>
      </c>
      <c r="B4153" s="24" t="s">
        <v>11022</v>
      </c>
      <c r="C4153" s="25" t="s">
        <v>11023</v>
      </c>
      <c r="D4153" s="25" t="s">
        <v>11024</v>
      </c>
      <c r="E4153" s="26">
        <v>70</v>
      </c>
    </row>
    <row r="4154" spans="1:5" x14ac:dyDescent="0.25">
      <c r="A4154" s="24" t="s">
        <v>7</v>
      </c>
      <c r="B4154" s="24" t="s">
        <v>11025</v>
      </c>
      <c r="C4154" s="25" t="s">
        <v>11026</v>
      </c>
      <c r="D4154" s="25" t="s">
        <v>11027</v>
      </c>
      <c r="E4154" s="26">
        <v>33</v>
      </c>
    </row>
    <row r="4155" spans="1:5" x14ac:dyDescent="0.25">
      <c r="A4155" s="24" t="s">
        <v>7</v>
      </c>
      <c r="B4155" s="24" t="s">
        <v>11028</v>
      </c>
      <c r="C4155" s="25" t="s">
        <v>11029</v>
      </c>
      <c r="D4155" s="25" t="s">
        <v>11030</v>
      </c>
      <c r="E4155" s="26">
        <v>2</v>
      </c>
    </row>
    <row r="4156" spans="1:5" x14ac:dyDescent="0.25">
      <c r="A4156" s="24" t="s">
        <v>7</v>
      </c>
      <c r="B4156" s="24" t="s">
        <v>11031</v>
      </c>
      <c r="C4156" s="25" t="s">
        <v>11032</v>
      </c>
      <c r="D4156" s="25" t="s">
        <v>11033</v>
      </c>
      <c r="E4156" s="26">
        <v>1</v>
      </c>
    </row>
    <row r="4157" spans="1:5" x14ac:dyDescent="0.25">
      <c r="A4157" s="24" t="s">
        <v>7</v>
      </c>
      <c r="B4157" s="24" t="s">
        <v>11034</v>
      </c>
      <c r="C4157" s="25" t="s">
        <v>11035</v>
      </c>
      <c r="D4157" s="25" t="s">
        <v>11036</v>
      </c>
      <c r="E4157" s="26">
        <v>14</v>
      </c>
    </row>
    <row r="4158" spans="1:5" x14ac:dyDescent="0.25">
      <c r="A4158" s="24" t="s">
        <v>7</v>
      </c>
      <c r="B4158" s="24" t="s">
        <v>11037</v>
      </c>
      <c r="C4158" s="25" t="s">
        <v>11038</v>
      </c>
      <c r="D4158" s="25" t="s">
        <v>11039</v>
      </c>
      <c r="E4158" s="26">
        <v>104</v>
      </c>
    </row>
    <row r="4159" spans="1:5" x14ac:dyDescent="0.25">
      <c r="A4159" s="24" t="s">
        <v>7</v>
      </c>
      <c r="B4159" s="24" t="s">
        <v>11040</v>
      </c>
      <c r="C4159" s="25" t="s">
        <v>11041</v>
      </c>
      <c r="D4159" s="25" t="s">
        <v>11042</v>
      </c>
      <c r="E4159" s="26">
        <v>1518</v>
      </c>
    </row>
    <row r="4160" spans="1:5" x14ac:dyDescent="0.25">
      <c r="A4160" s="24" t="s">
        <v>7</v>
      </c>
      <c r="B4160" s="24" t="s">
        <v>11043</v>
      </c>
      <c r="C4160" s="25" t="s">
        <v>11044</v>
      </c>
      <c r="D4160" s="25" t="s">
        <v>11045</v>
      </c>
      <c r="E4160" s="26">
        <v>145</v>
      </c>
    </row>
    <row r="4161" spans="1:5" x14ac:dyDescent="0.25">
      <c r="A4161" s="24" t="s">
        <v>7</v>
      </c>
      <c r="B4161" s="24" t="s">
        <v>11046</v>
      </c>
      <c r="C4161" s="25" t="s">
        <v>11047</v>
      </c>
      <c r="D4161" s="25" t="s">
        <v>11048</v>
      </c>
      <c r="E4161" s="26">
        <v>48</v>
      </c>
    </row>
    <row r="4162" spans="1:5" x14ac:dyDescent="0.25">
      <c r="A4162" s="24" t="s">
        <v>7</v>
      </c>
      <c r="B4162" s="24" t="s">
        <v>11049</v>
      </c>
      <c r="C4162" s="25" t="s">
        <v>11050</v>
      </c>
      <c r="D4162" s="25" t="s">
        <v>11051</v>
      </c>
      <c r="E4162" s="26">
        <v>189</v>
      </c>
    </row>
    <row r="4163" spans="1:5" x14ac:dyDescent="0.25">
      <c r="A4163" s="24" t="s">
        <v>7</v>
      </c>
      <c r="B4163" s="24" t="s">
        <v>11052</v>
      </c>
      <c r="C4163" s="25" t="s">
        <v>11053</v>
      </c>
      <c r="D4163" s="25" t="s">
        <v>11054</v>
      </c>
      <c r="E4163" s="26">
        <v>40</v>
      </c>
    </row>
    <row r="4164" spans="1:5" x14ac:dyDescent="0.25">
      <c r="A4164" s="24" t="s">
        <v>7</v>
      </c>
      <c r="B4164" s="24" t="s">
        <v>11055</v>
      </c>
      <c r="C4164" s="25" t="s">
        <v>11056</v>
      </c>
      <c r="D4164" s="25" t="s">
        <v>11057</v>
      </c>
      <c r="E4164" s="26">
        <v>86</v>
      </c>
    </row>
    <row r="4165" spans="1:5" x14ac:dyDescent="0.25">
      <c r="A4165" s="24" t="s">
        <v>7</v>
      </c>
      <c r="B4165" s="24" t="s">
        <v>11058</v>
      </c>
      <c r="C4165" s="25" t="s">
        <v>11059</v>
      </c>
      <c r="D4165" s="25" t="s">
        <v>11060</v>
      </c>
      <c r="E4165" s="26">
        <v>122</v>
      </c>
    </row>
    <row r="4166" spans="1:5" x14ac:dyDescent="0.25">
      <c r="A4166" s="24" t="s">
        <v>7</v>
      </c>
      <c r="B4166" s="24" t="s">
        <v>11061</v>
      </c>
      <c r="C4166" s="25" t="s">
        <v>11062</v>
      </c>
      <c r="D4166" s="25" t="s">
        <v>11063</v>
      </c>
      <c r="E4166" s="26">
        <v>30</v>
      </c>
    </row>
    <row r="4167" spans="1:5" x14ac:dyDescent="0.25">
      <c r="A4167" s="24" t="s">
        <v>7</v>
      </c>
      <c r="B4167" s="24" t="s">
        <v>11064</v>
      </c>
      <c r="C4167" s="25" t="s">
        <v>11065</v>
      </c>
      <c r="D4167" s="25" t="s">
        <v>11066</v>
      </c>
      <c r="E4167" s="26">
        <v>10643</v>
      </c>
    </row>
    <row r="4168" spans="1:5" x14ac:dyDescent="0.25">
      <c r="A4168" s="24" t="s">
        <v>7</v>
      </c>
      <c r="B4168" s="24" t="s">
        <v>11067</v>
      </c>
      <c r="C4168" s="25" t="s">
        <v>11068</v>
      </c>
      <c r="D4168" s="25" t="s">
        <v>11069</v>
      </c>
      <c r="E4168" s="26">
        <v>160</v>
      </c>
    </row>
    <row r="4169" spans="1:5" x14ac:dyDescent="0.25">
      <c r="A4169" s="24" t="s">
        <v>7</v>
      </c>
      <c r="B4169" s="24" t="s">
        <v>11070</v>
      </c>
      <c r="C4169" s="25" t="s">
        <v>11071</v>
      </c>
      <c r="D4169" s="25" t="s">
        <v>11072</v>
      </c>
      <c r="E4169" s="26">
        <v>34</v>
      </c>
    </row>
    <row r="4170" spans="1:5" x14ac:dyDescent="0.25">
      <c r="A4170" s="24" t="s">
        <v>7</v>
      </c>
      <c r="B4170" s="24" t="s">
        <v>11073</v>
      </c>
      <c r="C4170" s="25" t="s">
        <v>11074</v>
      </c>
      <c r="D4170" s="25" t="s">
        <v>11075</v>
      </c>
      <c r="E4170" s="26">
        <v>34</v>
      </c>
    </row>
    <row r="4171" spans="1:5" x14ac:dyDescent="0.25">
      <c r="A4171" s="24" t="s">
        <v>7</v>
      </c>
      <c r="B4171" s="24" t="s">
        <v>11076</v>
      </c>
      <c r="C4171" s="25" t="s">
        <v>11077</v>
      </c>
      <c r="D4171" s="25" t="s">
        <v>11078</v>
      </c>
      <c r="E4171" s="26">
        <v>88</v>
      </c>
    </row>
    <row r="4172" spans="1:5" x14ac:dyDescent="0.25">
      <c r="A4172" s="24" t="s">
        <v>7</v>
      </c>
      <c r="B4172" s="24" t="s">
        <v>11079</v>
      </c>
      <c r="C4172" s="25" t="s">
        <v>11080</v>
      </c>
      <c r="D4172" s="25" t="s">
        <v>11081</v>
      </c>
      <c r="E4172" s="26">
        <v>502</v>
      </c>
    </row>
    <row r="4173" spans="1:5" x14ac:dyDescent="0.25">
      <c r="A4173" s="24" t="s">
        <v>7</v>
      </c>
      <c r="B4173" s="24" t="s">
        <v>11082</v>
      </c>
      <c r="C4173" s="25" t="s">
        <v>11083</v>
      </c>
      <c r="D4173" s="25" t="s">
        <v>11084</v>
      </c>
      <c r="E4173" s="26">
        <v>9</v>
      </c>
    </row>
    <row r="4174" spans="1:5" x14ac:dyDescent="0.25">
      <c r="A4174" s="24" t="s">
        <v>7</v>
      </c>
      <c r="B4174" s="24" t="s">
        <v>11085</v>
      </c>
      <c r="C4174" s="25" t="s">
        <v>11086</v>
      </c>
      <c r="D4174" s="25" t="s">
        <v>11087</v>
      </c>
      <c r="E4174" s="26">
        <v>153</v>
      </c>
    </row>
    <row r="4175" spans="1:5" x14ac:dyDescent="0.25">
      <c r="A4175" s="24" t="s">
        <v>7</v>
      </c>
      <c r="B4175" s="24" t="s">
        <v>11088</v>
      </c>
      <c r="C4175" s="25" t="s">
        <v>11089</v>
      </c>
      <c r="D4175" s="25" t="s">
        <v>11090</v>
      </c>
      <c r="E4175" s="26">
        <v>143</v>
      </c>
    </row>
    <row r="4176" spans="1:5" x14ac:dyDescent="0.25">
      <c r="A4176" s="24" t="s">
        <v>7</v>
      </c>
      <c r="B4176" s="24" t="s">
        <v>11091</v>
      </c>
      <c r="C4176" s="25" t="s">
        <v>11092</v>
      </c>
      <c r="D4176" s="25" t="s">
        <v>11093</v>
      </c>
      <c r="E4176" s="26">
        <v>54</v>
      </c>
    </row>
    <row r="4177" spans="1:5" x14ac:dyDescent="0.25">
      <c r="A4177" s="24" t="s">
        <v>7</v>
      </c>
      <c r="B4177" s="24" t="s">
        <v>11094</v>
      </c>
      <c r="C4177" s="25" t="s">
        <v>11095</v>
      </c>
      <c r="D4177" s="25" t="s">
        <v>11096</v>
      </c>
      <c r="E4177" s="26">
        <v>87</v>
      </c>
    </row>
    <row r="4178" spans="1:5" x14ac:dyDescent="0.25">
      <c r="A4178" s="24" t="s">
        <v>7</v>
      </c>
      <c r="B4178" s="24" t="s">
        <v>11097</v>
      </c>
      <c r="C4178" s="25" t="s">
        <v>11098</v>
      </c>
      <c r="D4178" s="25" t="s">
        <v>11099</v>
      </c>
      <c r="E4178" s="26">
        <v>2</v>
      </c>
    </row>
    <row r="4179" spans="1:5" x14ac:dyDescent="0.25">
      <c r="A4179" s="24" t="s">
        <v>7</v>
      </c>
      <c r="B4179" s="24" t="s">
        <v>11100</v>
      </c>
      <c r="C4179" s="25" t="s">
        <v>11101</v>
      </c>
      <c r="D4179" s="25" t="s">
        <v>11102</v>
      </c>
      <c r="E4179" s="26">
        <v>600</v>
      </c>
    </row>
    <row r="4180" spans="1:5" x14ac:dyDescent="0.25">
      <c r="A4180" s="24" t="s">
        <v>7</v>
      </c>
      <c r="B4180" s="24" t="s">
        <v>11103</v>
      </c>
      <c r="C4180" s="25" t="s">
        <v>11104</v>
      </c>
      <c r="D4180" s="25" t="s">
        <v>11105</v>
      </c>
      <c r="E4180" s="26">
        <v>104</v>
      </c>
    </row>
    <row r="4181" spans="1:5" x14ac:dyDescent="0.25">
      <c r="A4181" s="24" t="s">
        <v>7</v>
      </c>
      <c r="B4181" s="24" t="s">
        <v>11106</v>
      </c>
      <c r="C4181" s="25" t="s">
        <v>11107</v>
      </c>
      <c r="D4181" s="25" t="s">
        <v>11099</v>
      </c>
      <c r="E4181" s="26">
        <v>2</v>
      </c>
    </row>
    <row r="4182" spans="1:5" x14ac:dyDescent="0.25">
      <c r="A4182" s="24" t="s">
        <v>7</v>
      </c>
      <c r="B4182" s="24" t="s">
        <v>11108</v>
      </c>
      <c r="C4182" s="25" t="s">
        <v>11109</v>
      </c>
      <c r="D4182" s="25" t="s">
        <v>11110</v>
      </c>
      <c r="E4182" s="26">
        <v>127</v>
      </c>
    </row>
    <row r="4183" spans="1:5" x14ac:dyDescent="0.25">
      <c r="A4183" s="24" t="s">
        <v>7</v>
      </c>
      <c r="B4183" s="24" t="s">
        <v>11111</v>
      </c>
      <c r="C4183" s="25" t="s">
        <v>11112</v>
      </c>
      <c r="D4183" s="25" t="s">
        <v>11113</v>
      </c>
      <c r="E4183" s="26">
        <v>267</v>
      </c>
    </row>
    <row r="4184" spans="1:5" x14ac:dyDescent="0.25">
      <c r="A4184" s="24" t="s">
        <v>7</v>
      </c>
      <c r="B4184" s="24" t="s">
        <v>11114</v>
      </c>
      <c r="C4184" s="25" t="s">
        <v>11115</v>
      </c>
      <c r="D4184" s="25" t="s">
        <v>11116</v>
      </c>
      <c r="E4184" s="26">
        <v>0.68</v>
      </c>
    </row>
    <row r="4185" spans="1:5" x14ac:dyDescent="0.25">
      <c r="A4185" s="24" t="s">
        <v>7</v>
      </c>
      <c r="B4185" s="24" t="s">
        <v>11117</v>
      </c>
      <c r="C4185" s="25" t="s">
        <v>11118</v>
      </c>
      <c r="D4185" s="25" t="s">
        <v>11119</v>
      </c>
      <c r="E4185" s="26">
        <v>12</v>
      </c>
    </row>
    <row r="4186" spans="1:5" x14ac:dyDescent="0.25">
      <c r="A4186" s="24" t="s">
        <v>7</v>
      </c>
      <c r="B4186" s="24" t="s">
        <v>11120</v>
      </c>
      <c r="C4186" s="25" t="s">
        <v>11121</v>
      </c>
      <c r="D4186" s="25" t="s">
        <v>11122</v>
      </c>
      <c r="E4186" s="26">
        <v>26</v>
      </c>
    </row>
    <row r="4187" spans="1:5" x14ac:dyDescent="0.25">
      <c r="A4187" s="24" t="s">
        <v>7</v>
      </c>
      <c r="B4187" s="24" t="s">
        <v>11123</v>
      </c>
      <c r="C4187" s="25" t="s">
        <v>11124</v>
      </c>
      <c r="D4187" s="25" t="s">
        <v>11125</v>
      </c>
      <c r="E4187" s="26">
        <v>5</v>
      </c>
    </row>
    <row r="4188" spans="1:5" x14ac:dyDescent="0.25">
      <c r="A4188" s="24" t="s">
        <v>7</v>
      </c>
      <c r="B4188" s="24" t="s">
        <v>11126</v>
      </c>
      <c r="C4188" s="25" t="s">
        <v>11127</v>
      </c>
      <c r="D4188" s="25" t="s">
        <v>11128</v>
      </c>
      <c r="E4188" s="26">
        <v>558</v>
      </c>
    </row>
    <row r="4189" spans="1:5" x14ac:dyDescent="0.25">
      <c r="A4189" s="24" t="s">
        <v>7</v>
      </c>
      <c r="B4189" s="24" t="s">
        <v>11129</v>
      </c>
      <c r="C4189" s="25" t="s">
        <v>11130</v>
      </c>
      <c r="D4189" s="25" t="s">
        <v>11131</v>
      </c>
      <c r="E4189" s="26">
        <v>15</v>
      </c>
    </row>
    <row r="4190" spans="1:5" x14ac:dyDescent="0.25">
      <c r="A4190" s="24" t="s">
        <v>7</v>
      </c>
      <c r="B4190" s="24" t="s">
        <v>11132</v>
      </c>
      <c r="C4190" s="25" t="s">
        <v>11133</v>
      </c>
      <c r="D4190" s="25" t="s">
        <v>11134</v>
      </c>
      <c r="E4190" s="26">
        <v>73</v>
      </c>
    </row>
    <row r="4191" spans="1:5" x14ac:dyDescent="0.25">
      <c r="A4191" s="24" t="s">
        <v>7</v>
      </c>
      <c r="B4191" s="24" t="s">
        <v>11135</v>
      </c>
      <c r="C4191" s="25" t="s">
        <v>11136</v>
      </c>
      <c r="D4191" s="25" t="s">
        <v>11137</v>
      </c>
      <c r="E4191" s="26">
        <v>48</v>
      </c>
    </row>
    <row r="4192" spans="1:5" x14ac:dyDescent="0.25">
      <c r="A4192" s="24" t="s">
        <v>7</v>
      </c>
      <c r="B4192" s="24" t="s">
        <v>11138</v>
      </c>
      <c r="C4192" s="25" t="s">
        <v>11139</v>
      </c>
      <c r="D4192" s="25" t="s">
        <v>11137</v>
      </c>
      <c r="E4192" s="26">
        <v>2534</v>
      </c>
    </row>
    <row r="4193" spans="1:5" x14ac:dyDescent="0.25">
      <c r="A4193" s="24" t="s">
        <v>7</v>
      </c>
      <c r="B4193" s="24" t="s">
        <v>11140</v>
      </c>
      <c r="C4193" s="25" t="s">
        <v>11141</v>
      </c>
      <c r="D4193" s="25" t="s">
        <v>11142</v>
      </c>
      <c r="E4193" s="26">
        <v>202</v>
      </c>
    </row>
    <row r="4194" spans="1:5" x14ac:dyDescent="0.25">
      <c r="A4194" s="24" t="s">
        <v>7</v>
      </c>
      <c r="B4194" s="24" t="s">
        <v>11143</v>
      </c>
      <c r="C4194" s="25" t="s">
        <v>11144</v>
      </c>
      <c r="D4194" s="25" t="s">
        <v>11145</v>
      </c>
      <c r="E4194" s="26">
        <v>208</v>
      </c>
    </row>
    <row r="4195" spans="1:5" x14ac:dyDescent="0.25">
      <c r="A4195" s="24" t="s">
        <v>7</v>
      </c>
      <c r="B4195" s="24" t="s">
        <v>11146</v>
      </c>
      <c r="C4195" s="25" t="s">
        <v>11147</v>
      </c>
      <c r="D4195" s="25" t="s">
        <v>11148</v>
      </c>
      <c r="E4195" s="26">
        <v>133</v>
      </c>
    </row>
    <row r="4196" spans="1:5" x14ac:dyDescent="0.25">
      <c r="A4196" s="24" t="s">
        <v>7</v>
      </c>
      <c r="B4196" s="24" t="s">
        <v>11149</v>
      </c>
      <c r="C4196" s="25" t="s">
        <v>11150</v>
      </c>
      <c r="D4196" s="25" t="s">
        <v>11151</v>
      </c>
      <c r="E4196" s="26">
        <v>109</v>
      </c>
    </row>
    <row r="4197" spans="1:5" x14ac:dyDescent="0.25">
      <c r="A4197" s="24" t="s">
        <v>7</v>
      </c>
      <c r="B4197" s="24" t="s">
        <v>11152</v>
      </c>
      <c r="C4197" s="25" t="s">
        <v>11153</v>
      </c>
      <c r="D4197" s="25" t="s">
        <v>11154</v>
      </c>
      <c r="E4197" s="26">
        <v>30</v>
      </c>
    </row>
    <row r="4198" spans="1:5" x14ac:dyDescent="0.25">
      <c r="A4198" s="24" t="s">
        <v>7</v>
      </c>
      <c r="B4198" s="24" t="s">
        <v>11155</v>
      </c>
      <c r="C4198" s="25" t="s">
        <v>11156</v>
      </c>
      <c r="D4198" s="25" t="s">
        <v>11157</v>
      </c>
      <c r="E4198" s="26">
        <v>27</v>
      </c>
    </row>
    <row r="4199" spans="1:5" x14ac:dyDescent="0.25">
      <c r="A4199" s="24" t="s">
        <v>7</v>
      </c>
      <c r="B4199" s="24" t="s">
        <v>11158</v>
      </c>
      <c r="C4199" s="25" t="s">
        <v>11159</v>
      </c>
      <c r="D4199" s="25" t="s">
        <v>11160</v>
      </c>
      <c r="E4199" s="26">
        <v>43</v>
      </c>
    </row>
    <row r="4200" spans="1:5" x14ac:dyDescent="0.25">
      <c r="A4200" s="24" t="s">
        <v>7</v>
      </c>
      <c r="B4200" s="24" t="s">
        <v>11161</v>
      </c>
      <c r="C4200" s="25" t="s">
        <v>11162</v>
      </c>
      <c r="D4200" s="25" t="s">
        <v>11163</v>
      </c>
      <c r="E4200" s="26">
        <v>71</v>
      </c>
    </row>
    <row r="4201" spans="1:5" x14ac:dyDescent="0.25">
      <c r="A4201" s="24" t="s">
        <v>7</v>
      </c>
      <c r="B4201" s="24" t="s">
        <v>11164</v>
      </c>
      <c r="C4201" s="25" t="s">
        <v>11165</v>
      </c>
      <c r="D4201" s="25" t="s">
        <v>11166</v>
      </c>
      <c r="E4201" s="26">
        <v>55</v>
      </c>
    </row>
    <row r="4202" spans="1:5" x14ac:dyDescent="0.25">
      <c r="A4202" s="24" t="s">
        <v>7</v>
      </c>
      <c r="B4202" s="24" t="s">
        <v>11167</v>
      </c>
      <c r="C4202" s="25" t="s">
        <v>11168</v>
      </c>
      <c r="D4202" s="25" t="s">
        <v>11169</v>
      </c>
      <c r="E4202" s="26">
        <v>214</v>
      </c>
    </row>
    <row r="4203" spans="1:5" x14ac:dyDescent="0.25">
      <c r="A4203" s="24" t="s">
        <v>7</v>
      </c>
      <c r="B4203" s="24" t="s">
        <v>11170</v>
      </c>
      <c r="C4203" s="25" t="s">
        <v>11171</v>
      </c>
      <c r="D4203" s="25" t="s">
        <v>11172</v>
      </c>
      <c r="E4203" s="26">
        <v>523</v>
      </c>
    </row>
    <row r="4204" spans="1:5" x14ac:dyDescent="0.25">
      <c r="A4204" s="24" t="s">
        <v>7</v>
      </c>
      <c r="B4204" s="24" t="s">
        <v>11173</v>
      </c>
      <c r="C4204" s="25" t="s">
        <v>11174</v>
      </c>
      <c r="D4204" s="25" t="s">
        <v>11175</v>
      </c>
      <c r="E4204" s="26">
        <v>793</v>
      </c>
    </row>
    <row r="4205" spans="1:5" x14ac:dyDescent="0.25">
      <c r="A4205" s="24" t="s">
        <v>7</v>
      </c>
      <c r="B4205" s="24" t="s">
        <v>11176</v>
      </c>
      <c r="C4205" s="25" t="s">
        <v>11177</v>
      </c>
      <c r="D4205" s="25" t="s">
        <v>11178</v>
      </c>
      <c r="E4205" s="26">
        <v>266</v>
      </c>
    </row>
    <row r="4206" spans="1:5" x14ac:dyDescent="0.25">
      <c r="A4206" s="24" t="s">
        <v>7</v>
      </c>
      <c r="B4206" s="24" t="s">
        <v>11179</v>
      </c>
      <c r="C4206" s="25" t="s">
        <v>11180</v>
      </c>
      <c r="D4206" s="25" t="s">
        <v>11181</v>
      </c>
      <c r="E4206" s="26">
        <v>99</v>
      </c>
    </row>
    <row r="4207" spans="1:5" x14ac:dyDescent="0.25">
      <c r="A4207" s="24" t="s">
        <v>7</v>
      </c>
      <c r="B4207" s="24" t="s">
        <v>11182</v>
      </c>
      <c r="C4207" s="25" t="s">
        <v>11183</v>
      </c>
      <c r="D4207" s="25" t="s">
        <v>11184</v>
      </c>
      <c r="E4207" s="26">
        <v>499</v>
      </c>
    </row>
    <row r="4208" spans="1:5" x14ac:dyDescent="0.25">
      <c r="A4208" s="24" t="s">
        <v>7</v>
      </c>
      <c r="B4208" s="24" t="s">
        <v>11185</v>
      </c>
      <c r="C4208" s="25" t="s">
        <v>11186</v>
      </c>
      <c r="D4208" s="25" t="s">
        <v>11187</v>
      </c>
      <c r="E4208" s="26">
        <v>1</v>
      </c>
    </row>
    <row r="4209" spans="1:5" x14ac:dyDescent="0.25">
      <c r="A4209" s="24" t="s">
        <v>7</v>
      </c>
      <c r="B4209" s="24" t="s">
        <v>11188</v>
      </c>
      <c r="C4209" s="25" t="s">
        <v>11189</v>
      </c>
      <c r="D4209" s="25" t="s">
        <v>11187</v>
      </c>
      <c r="E4209" s="26">
        <v>1</v>
      </c>
    </row>
    <row r="4210" spans="1:5" x14ac:dyDescent="0.25">
      <c r="A4210" s="24" t="s">
        <v>7</v>
      </c>
      <c r="B4210" s="24" t="s">
        <v>11190</v>
      </c>
      <c r="C4210" s="25" t="s">
        <v>11191</v>
      </c>
      <c r="D4210" s="25" t="s">
        <v>11192</v>
      </c>
      <c r="E4210" s="26">
        <v>133</v>
      </c>
    </row>
    <row r="4211" spans="1:5" x14ac:dyDescent="0.25">
      <c r="A4211" s="24" t="s">
        <v>7</v>
      </c>
      <c r="B4211" s="24" t="s">
        <v>11193</v>
      </c>
      <c r="C4211" s="25" t="s">
        <v>11194</v>
      </c>
      <c r="D4211" s="25" t="s">
        <v>11195</v>
      </c>
      <c r="E4211" s="26">
        <v>11</v>
      </c>
    </row>
    <row r="4212" spans="1:5" x14ac:dyDescent="0.25">
      <c r="A4212" s="24" t="s">
        <v>7</v>
      </c>
      <c r="B4212" s="24" t="s">
        <v>11196</v>
      </c>
      <c r="C4212" s="25" t="s">
        <v>11197</v>
      </c>
      <c r="D4212" s="25" t="s">
        <v>11198</v>
      </c>
      <c r="E4212" s="26">
        <v>106</v>
      </c>
    </row>
    <row r="4213" spans="1:5" x14ac:dyDescent="0.25">
      <c r="A4213" s="24" t="s">
        <v>7</v>
      </c>
      <c r="B4213" s="24" t="s">
        <v>11199</v>
      </c>
      <c r="C4213" s="25" t="s">
        <v>11200</v>
      </c>
      <c r="D4213" s="25" t="s">
        <v>11201</v>
      </c>
      <c r="E4213" s="26">
        <v>389</v>
      </c>
    </row>
    <row r="4214" spans="1:5" x14ac:dyDescent="0.25">
      <c r="A4214" s="24" t="s">
        <v>7</v>
      </c>
      <c r="B4214" s="24" t="s">
        <v>11202</v>
      </c>
      <c r="C4214" s="25" t="s">
        <v>11203</v>
      </c>
      <c r="D4214" s="25" t="s">
        <v>11204</v>
      </c>
      <c r="E4214" s="26">
        <v>10</v>
      </c>
    </row>
    <row r="4215" spans="1:5" x14ac:dyDescent="0.25">
      <c r="A4215" s="24" t="s">
        <v>7</v>
      </c>
      <c r="B4215" s="24" t="s">
        <v>11205</v>
      </c>
      <c r="C4215" s="25" t="s">
        <v>11206</v>
      </c>
      <c r="D4215" s="25" t="s">
        <v>11207</v>
      </c>
      <c r="E4215" s="26">
        <v>310</v>
      </c>
    </row>
    <row r="4216" spans="1:5" x14ac:dyDescent="0.25">
      <c r="A4216" s="24" t="s">
        <v>7</v>
      </c>
      <c r="B4216" s="24" t="s">
        <v>11208</v>
      </c>
      <c r="C4216" s="25" t="s">
        <v>11209</v>
      </c>
      <c r="D4216" s="25" t="s">
        <v>11210</v>
      </c>
      <c r="E4216" s="26">
        <v>3</v>
      </c>
    </row>
    <row r="4217" spans="1:5" x14ac:dyDescent="0.25">
      <c r="A4217" s="24" t="s">
        <v>7</v>
      </c>
      <c r="B4217" s="24" t="s">
        <v>11211</v>
      </c>
      <c r="C4217" s="25" t="s">
        <v>11212</v>
      </c>
      <c r="D4217" s="25" t="s">
        <v>11213</v>
      </c>
      <c r="E4217" s="26">
        <v>648</v>
      </c>
    </row>
    <row r="4218" spans="1:5" x14ac:dyDescent="0.25">
      <c r="A4218" s="24" t="s">
        <v>7</v>
      </c>
      <c r="B4218" s="24" t="s">
        <v>11214</v>
      </c>
      <c r="C4218" s="25" t="s">
        <v>11215</v>
      </c>
      <c r="D4218" s="25" t="s">
        <v>11216</v>
      </c>
      <c r="E4218" s="26">
        <v>12</v>
      </c>
    </row>
    <row r="4219" spans="1:5" x14ac:dyDescent="0.25">
      <c r="A4219" s="24" t="s">
        <v>7</v>
      </c>
      <c r="B4219" s="24" t="s">
        <v>11217</v>
      </c>
      <c r="C4219" s="25" t="s">
        <v>11218</v>
      </c>
      <c r="D4219" s="25" t="s">
        <v>11219</v>
      </c>
      <c r="E4219" s="26">
        <v>278</v>
      </c>
    </row>
    <row r="4220" spans="1:5" x14ac:dyDescent="0.25">
      <c r="A4220" s="24" t="s">
        <v>7</v>
      </c>
      <c r="B4220" s="24" t="s">
        <v>11220</v>
      </c>
      <c r="C4220" s="25" t="s">
        <v>11221</v>
      </c>
      <c r="D4220" s="25" t="s">
        <v>11222</v>
      </c>
      <c r="E4220" s="26">
        <v>278</v>
      </c>
    </row>
    <row r="4221" spans="1:5" x14ac:dyDescent="0.25">
      <c r="A4221" s="24" t="s">
        <v>7</v>
      </c>
      <c r="B4221" s="24" t="s">
        <v>11223</v>
      </c>
      <c r="C4221" s="25" t="s">
        <v>11224</v>
      </c>
      <c r="D4221" s="25" t="s">
        <v>11225</v>
      </c>
      <c r="E4221" s="26">
        <v>3</v>
      </c>
    </row>
    <row r="4222" spans="1:5" x14ac:dyDescent="0.25">
      <c r="A4222" s="24" t="s">
        <v>7</v>
      </c>
      <c r="B4222" s="24" t="s">
        <v>11226</v>
      </c>
      <c r="C4222" s="25" t="s">
        <v>11227</v>
      </c>
      <c r="D4222" s="25" t="s">
        <v>11225</v>
      </c>
      <c r="E4222" s="26">
        <v>4</v>
      </c>
    </row>
    <row r="4223" spans="1:5" x14ac:dyDescent="0.25">
      <c r="A4223" s="24" t="s">
        <v>7</v>
      </c>
      <c r="B4223" s="24" t="s">
        <v>11228</v>
      </c>
      <c r="C4223" s="25" t="s">
        <v>11229</v>
      </c>
      <c r="D4223" s="25" t="s">
        <v>11230</v>
      </c>
      <c r="E4223" s="26">
        <v>271</v>
      </c>
    </row>
    <row r="4224" spans="1:5" x14ac:dyDescent="0.25">
      <c r="A4224" s="24" t="s">
        <v>7</v>
      </c>
      <c r="B4224" s="24" t="s">
        <v>11231</v>
      </c>
      <c r="C4224" s="25" t="s">
        <v>11232</v>
      </c>
      <c r="D4224" s="25" t="s">
        <v>11233</v>
      </c>
      <c r="E4224" s="26">
        <v>83</v>
      </c>
    </row>
    <row r="4225" spans="1:5" x14ac:dyDescent="0.25">
      <c r="A4225" s="24" t="s">
        <v>7</v>
      </c>
      <c r="B4225" s="24" t="s">
        <v>11234</v>
      </c>
      <c r="C4225" s="25" t="s">
        <v>11235</v>
      </c>
      <c r="D4225" s="25" t="s">
        <v>11236</v>
      </c>
      <c r="E4225" s="26">
        <v>4043</v>
      </c>
    </row>
    <row r="4226" spans="1:5" x14ac:dyDescent="0.25">
      <c r="A4226" s="24" t="s">
        <v>7</v>
      </c>
      <c r="B4226" s="24" t="s">
        <v>11237</v>
      </c>
      <c r="C4226" s="25" t="s">
        <v>11238</v>
      </c>
      <c r="D4226" s="25" t="s">
        <v>11239</v>
      </c>
      <c r="E4226" s="26">
        <v>451</v>
      </c>
    </row>
    <row r="4227" spans="1:5" x14ac:dyDescent="0.25">
      <c r="A4227" s="24" t="s">
        <v>7</v>
      </c>
      <c r="B4227" s="24" t="s">
        <v>11240</v>
      </c>
      <c r="C4227" s="25" t="s">
        <v>11241</v>
      </c>
      <c r="D4227" s="25" t="s">
        <v>11242</v>
      </c>
      <c r="E4227" s="26">
        <v>1500</v>
      </c>
    </row>
    <row r="4228" spans="1:5" x14ac:dyDescent="0.25">
      <c r="A4228" s="24" t="s">
        <v>7</v>
      </c>
      <c r="B4228" s="24" t="s">
        <v>11243</v>
      </c>
      <c r="C4228" s="25" t="s">
        <v>11244</v>
      </c>
      <c r="D4228" s="25" t="s">
        <v>11245</v>
      </c>
      <c r="E4228" s="26">
        <v>203</v>
      </c>
    </row>
    <row r="4229" spans="1:5" x14ac:dyDescent="0.25">
      <c r="A4229" s="24" t="s">
        <v>7</v>
      </c>
      <c r="B4229" s="24" t="s">
        <v>11246</v>
      </c>
      <c r="C4229" s="25" t="s">
        <v>11247</v>
      </c>
      <c r="D4229" s="25" t="s">
        <v>11248</v>
      </c>
      <c r="E4229" s="26">
        <v>128</v>
      </c>
    </row>
    <row r="4230" spans="1:5" x14ac:dyDescent="0.25">
      <c r="A4230" s="24" t="s">
        <v>7</v>
      </c>
      <c r="B4230" s="24" t="s">
        <v>11249</v>
      </c>
      <c r="C4230" s="25" t="s">
        <v>11250</v>
      </c>
      <c r="D4230" s="25" t="s">
        <v>11251</v>
      </c>
      <c r="E4230" s="26">
        <v>2296</v>
      </c>
    </row>
    <row r="4231" spans="1:5" x14ac:dyDescent="0.25">
      <c r="A4231" s="24" t="s">
        <v>7</v>
      </c>
      <c r="B4231" s="24" t="s">
        <v>11252</v>
      </c>
      <c r="C4231" s="25" t="s">
        <v>11253</v>
      </c>
      <c r="D4231" s="25" t="s">
        <v>11254</v>
      </c>
      <c r="E4231" s="26">
        <v>5498</v>
      </c>
    </row>
    <row r="4232" spans="1:5" x14ac:dyDescent="0.25">
      <c r="A4232" s="24" t="s">
        <v>7</v>
      </c>
      <c r="B4232" s="24" t="s">
        <v>11255</v>
      </c>
      <c r="C4232" s="25" t="s">
        <v>11256</v>
      </c>
      <c r="D4232" s="25" t="s">
        <v>11257</v>
      </c>
      <c r="E4232" s="26">
        <v>1</v>
      </c>
    </row>
    <row r="4233" spans="1:5" x14ac:dyDescent="0.25">
      <c r="A4233" s="24" t="s">
        <v>7</v>
      </c>
      <c r="B4233" s="24" t="s">
        <v>11258</v>
      </c>
      <c r="C4233" s="25" t="s">
        <v>11259</v>
      </c>
      <c r="D4233" s="25" t="s">
        <v>11260</v>
      </c>
      <c r="E4233" s="26">
        <v>1324</v>
      </c>
    </row>
    <row r="4234" spans="1:5" x14ac:dyDescent="0.25">
      <c r="A4234" s="24" t="s">
        <v>7</v>
      </c>
      <c r="B4234" s="24" t="s">
        <v>11261</v>
      </c>
      <c r="C4234" s="25" t="s">
        <v>11262</v>
      </c>
      <c r="D4234" s="25" t="s">
        <v>11263</v>
      </c>
      <c r="E4234" s="26">
        <v>24</v>
      </c>
    </row>
    <row r="4235" spans="1:5" x14ac:dyDescent="0.25">
      <c r="A4235" s="24" t="s">
        <v>7</v>
      </c>
      <c r="B4235" s="24" t="s">
        <v>11264</v>
      </c>
      <c r="C4235" s="25" t="s">
        <v>11265</v>
      </c>
      <c r="D4235" s="25" t="s">
        <v>11266</v>
      </c>
      <c r="E4235" s="26">
        <v>38</v>
      </c>
    </row>
    <row r="4236" spans="1:5" x14ac:dyDescent="0.25">
      <c r="A4236" s="24" t="s">
        <v>7</v>
      </c>
      <c r="B4236" s="24" t="s">
        <v>11267</v>
      </c>
      <c r="C4236" s="25" t="s">
        <v>11268</v>
      </c>
      <c r="D4236" s="25" t="s">
        <v>11269</v>
      </c>
      <c r="E4236" s="26">
        <v>8</v>
      </c>
    </row>
    <row r="4237" spans="1:5" x14ac:dyDescent="0.25">
      <c r="A4237" s="24" t="s">
        <v>7</v>
      </c>
      <c r="B4237" s="24" t="s">
        <v>11270</v>
      </c>
      <c r="C4237" s="25" t="s">
        <v>11271</v>
      </c>
      <c r="D4237" s="25" t="s">
        <v>11272</v>
      </c>
      <c r="E4237" s="26">
        <v>2159</v>
      </c>
    </row>
    <row r="4238" spans="1:5" x14ac:dyDescent="0.25">
      <c r="A4238" s="24" t="s">
        <v>7</v>
      </c>
      <c r="B4238" s="24" t="s">
        <v>11273</v>
      </c>
      <c r="C4238" s="25" t="s">
        <v>11274</v>
      </c>
      <c r="D4238" s="25" t="s">
        <v>11275</v>
      </c>
      <c r="E4238" s="26">
        <v>15</v>
      </c>
    </row>
    <row r="4239" spans="1:5" x14ac:dyDescent="0.25">
      <c r="A4239" s="24" t="s">
        <v>7</v>
      </c>
      <c r="B4239" s="24" t="s">
        <v>11276</v>
      </c>
      <c r="C4239" s="25" t="s">
        <v>11277</v>
      </c>
      <c r="D4239" s="25" t="s">
        <v>11278</v>
      </c>
      <c r="E4239" s="26">
        <v>584</v>
      </c>
    </row>
    <row r="4240" spans="1:5" x14ac:dyDescent="0.25">
      <c r="A4240" s="24" t="s">
        <v>7</v>
      </c>
      <c r="B4240" s="24" t="s">
        <v>11279</v>
      </c>
      <c r="C4240" s="25" t="s">
        <v>11280</v>
      </c>
      <c r="D4240" s="25" t="s">
        <v>11280</v>
      </c>
      <c r="E4240" s="26">
        <v>36</v>
      </c>
    </row>
    <row r="4241" spans="1:5" x14ac:dyDescent="0.25">
      <c r="A4241" s="24" t="s">
        <v>7</v>
      </c>
      <c r="B4241" s="24" t="s">
        <v>11281</v>
      </c>
      <c r="C4241" s="25" t="s">
        <v>11282</v>
      </c>
      <c r="D4241" s="25" t="s">
        <v>11283</v>
      </c>
      <c r="E4241" s="26">
        <v>2272</v>
      </c>
    </row>
    <row r="4242" spans="1:5" x14ac:dyDescent="0.25">
      <c r="A4242" s="24" t="s">
        <v>7</v>
      </c>
      <c r="B4242" s="24" t="s">
        <v>11284</v>
      </c>
      <c r="C4242" s="25" t="s">
        <v>11285</v>
      </c>
      <c r="D4242" s="25" t="s">
        <v>11286</v>
      </c>
      <c r="E4242" s="26">
        <v>4602</v>
      </c>
    </row>
    <row r="4243" spans="1:5" x14ac:dyDescent="0.25">
      <c r="A4243" s="24" t="s">
        <v>7</v>
      </c>
      <c r="B4243" s="24" t="s">
        <v>11287</v>
      </c>
      <c r="C4243" s="25" t="s">
        <v>11288</v>
      </c>
      <c r="D4243" s="25" t="s">
        <v>11289</v>
      </c>
      <c r="E4243" s="26">
        <v>192</v>
      </c>
    </row>
    <row r="4244" spans="1:5" x14ac:dyDescent="0.25">
      <c r="A4244" s="24" t="s">
        <v>7</v>
      </c>
      <c r="B4244" s="24" t="s">
        <v>11290</v>
      </c>
      <c r="C4244" s="25" t="s">
        <v>11291</v>
      </c>
      <c r="D4244" s="25" t="s">
        <v>11292</v>
      </c>
      <c r="E4244" s="26">
        <v>131</v>
      </c>
    </row>
    <row r="4245" spans="1:5" x14ac:dyDescent="0.25">
      <c r="A4245" s="24" t="s">
        <v>7</v>
      </c>
      <c r="B4245" s="24" t="s">
        <v>11293</v>
      </c>
      <c r="C4245" s="25" t="s">
        <v>11294</v>
      </c>
      <c r="D4245" s="25" t="s">
        <v>11295</v>
      </c>
      <c r="E4245" s="26">
        <v>38</v>
      </c>
    </row>
    <row r="4246" spans="1:5" x14ac:dyDescent="0.25">
      <c r="A4246" s="24" t="s">
        <v>7</v>
      </c>
      <c r="B4246" s="24" t="s">
        <v>11296</v>
      </c>
      <c r="C4246" s="25" t="s">
        <v>11297</v>
      </c>
      <c r="D4246" s="25" t="s">
        <v>11298</v>
      </c>
      <c r="E4246" s="26">
        <v>2728</v>
      </c>
    </row>
    <row r="4247" spans="1:5" x14ac:dyDescent="0.25">
      <c r="A4247" s="24" t="s">
        <v>7</v>
      </c>
      <c r="B4247" s="24" t="s">
        <v>11299</v>
      </c>
      <c r="C4247" s="25" t="s">
        <v>11300</v>
      </c>
      <c r="D4247" s="25" t="s">
        <v>11301</v>
      </c>
      <c r="E4247" s="26">
        <v>35</v>
      </c>
    </row>
    <row r="4248" spans="1:5" x14ac:dyDescent="0.25">
      <c r="A4248" s="24" t="s">
        <v>7</v>
      </c>
      <c r="B4248" s="24" t="s">
        <v>11302</v>
      </c>
      <c r="C4248" s="25" t="s">
        <v>11303</v>
      </c>
      <c r="D4248" s="25" t="s">
        <v>11304</v>
      </c>
      <c r="E4248" s="26">
        <v>180</v>
      </c>
    </row>
    <row r="4249" spans="1:5" x14ac:dyDescent="0.25">
      <c r="A4249" s="24" t="s">
        <v>7</v>
      </c>
      <c r="B4249" s="24" t="s">
        <v>11305</v>
      </c>
      <c r="C4249" s="25" t="s">
        <v>11306</v>
      </c>
      <c r="D4249" s="25" t="s">
        <v>11307</v>
      </c>
      <c r="E4249" s="26">
        <v>23</v>
      </c>
    </row>
    <row r="4250" spans="1:5" x14ac:dyDescent="0.25">
      <c r="A4250" s="24" t="s">
        <v>7</v>
      </c>
      <c r="B4250" s="24" t="s">
        <v>11308</v>
      </c>
      <c r="C4250" s="25" t="s">
        <v>11309</v>
      </c>
      <c r="D4250" s="25" t="s">
        <v>11310</v>
      </c>
      <c r="E4250" s="26">
        <v>611</v>
      </c>
    </row>
    <row r="4251" spans="1:5" x14ac:dyDescent="0.25">
      <c r="A4251" s="24" t="s">
        <v>7</v>
      </c>
      <c r="B4251" s="24" t="s">
        <v>11311</v>
      </c>
      <c r="C4251" s="25" t="s">
        <v>11312</v>
      </c>
      <c r="D4251" s="25" t="s">
        <v>11313</v>
      </c>
      <c r="E4251" s="26">
        <v>15</v>
      </c>
    </row>
    <row r="4252" spans="1:5" x14ac:dyDescent="0.25">
      <c r="A4252" s="24" t="s">
        <v>7</v>
      </c>
      <c r="B4252" s="24" t="s">
        <v>11314</v>
      </c>
      <c r="C4252" s="25" t="s">
        <v>11315</v>
      </c>
      <c r="D4252" s="25" t="s">
        <v>11316</v>
      </c>
      <c r="E4252" s="26">
        <v>4</v>
      </c>
    </row>
    <row r="4253" spans="1:5" x14ac:dyDescent="0.25">
      <c r="A4253" s="24" t="s">
        <v>7</v>
      </c>
      <c r="B4253" s="24" t="s">
        <v>11317</v>
      </c>
      <c r="C4253" s="25" t="s">
        <v>11318</v>
      </c>
      <c r="D4253" s="25" t="s">
        <v>11319</v>
      </c>
      <c r="E4253" s="26">
        <v>15</v>
      </c>
    </row>
    <row r="4254" spans="1:5" x14ac:dyDescent="0.25">
      <c r="A4254" s="24" t="s">
        <v>7</v>
      </c>
      <c r="B4254" s="24" t="s">
        <v>11320</v>
      </c>
      <c r="C4254" s="25" t="s">
        <v>11321</v>
      </c>
      <c r="D4254" s="25" t="s">
        <v>11322</v>
      </c>
      <c r="E4254" s="26">
        <v>121</v>
      </c>
    </row>
    <row r="4255" spans="1:5" x14ac:dyDescent="0.25">
      <c r="A4255" s="24" t="s">
        <v>7</v>
      </c>
      <c r="B4255" s="24" t="s">
        <v>11323</v>
      </c>
      <c r="C4255" s="25" t="s">
        <v>11324</v>
      </c>
      <c r="D4255" s="25" t="s">
        <v>11325</v>
      </c>
      <c r="E4255" s="26">
        <v>121</v>
      </c>
    </row>
    <row r="4256" spans="1:5" x14ac:dyDescent="0.25">
      <c r="A4256" s="24" t="s">
        <v>7</v>
      </c>
      <c r="B4256" s="24" t="s">
        <v>11326</v>
      </c>
      <c r="C4256" s="25" t="s">
        <v>11327</v>
      </c>
      <c r="D4256" s="25" t="s">
        <v>11328</v>
      </c>
      <c r="E4256" s="26">
        <v>18</v>
      </c>
    </row>
    <row r="4257" spans="1:5" x14ac:dyDescent="0.25">
      <c r="A4257" s="24" t="s">
        <v>7</v>
      </c>
      <c r="B4257" s="24" t="s">
        <v>11329</v>
      </c>
      <c r="C4257" s="25" t="s">
        <v>11330</v>
      </c>
      <c r="D4257" s="25" t="s">
        <v>11257</v>
      </c>
      <c r="E4257" s="26">
        <v>54</v>
      </c>
    </row>
    <row r="4258" spans="1:5" x14ac:dyDescent="0.25">
      <c r="A4258" s="24" t="s">
        <v>7</v>
      </c>
      <c r="B4258" s="24" t="s">
        <v>11331</v>
      </c>
      <c r="C4258" s="25" t="s">
        <v>11332</v>
      </c>
      <c r="D4258" s="25" t="s">
        <v>11333</v>
      </c>
      <c r="E4258" s="26">
        <v>18</v>
      </c>
    </row>
    <row r="4259" spans="1:5" x14ac:dyDescent="0.25">
      <c r="A4259" s="24" t="s">
        <v>7</v>
      </c>
      <c r="B4259" s="24" t="s">
        <v>11334</v>
      </c>
      <c r="C4259" s="25" t="s">
        <v>11335</v>
      </c>
      <c r="D4259" s="25" t="s">
        <v>11336</v>
      </c>
      <c r="E4259" s="26">
        <v>136</v>
      </c>
    </row>
    <row r="4260" spans="1:5" x14ac:dyDescent="0.25">
      <c r="A4260" s="24" t="s">
        <v>7</v>
      </c>
      <c r="B4260" s="24" t="s">
        <v>11337</v>
      </c>
      <c r="C4260" s="25" t="s">
        <v>11338</v>
      </c>
      <c r="D4260" s="25" t="s">
        <v>11339</v>
      </c>
      <c r="E4260" s="26">
        <v>55</v>
      </c>
    </row>
    <row r="4261" spans="1:5" x14ac:dyDescent="0.25">
      <c r="A4261" s="24" t="s">
        <v>7</v>
      </c>
      <c r="B4261" s="24" t="s">
        <v>11340</v>
      </c>
      <c r="C4261" s="25" t="s">
        <v>11341</v>
      </c>
      <c r="D4261" s="25" t="s">
        <v>11342</v>
      </c>
      <c r="E4261" s="26">
        <v>192</v>
      </c>
    </row>
    <row r="4262" spans="1:5" x14ac:dyDescent="0.25">
      <c r="A4262" s="24" t="s">
        <v>7</v>
      </c>
      <c r="B4262" s="24" t="s">
        <v>11343</v>
      </c>
      <c r="C4262" s="25" t="s">
        <v>11344</v>
      </c>
      <c r="D4262" s="25" t="s">
        <v>11345</v>
      </c>
      <c r="E4262" s="26">
        <v>31</v>
      </c>
    </row>
    <row r="4263" spans="1:5" x14ac:dyDescent="0.25">
      <c r="A4263" s="24" t="s">
        <v>7</v>
      </c>
      <c r="B4263" s="24" t="s">
        <v>11346</v>
      </c>
      <c r="C4263" s="25" t="s">
        <v>11347</v>
      </c>
      <c r="D4263" s="25" t="s">
        <v>11348</v>
      </c>
      <c r="E4263" s="26">
        <v>26</v>
      </c>
    </row>
    <row r="4264" spans="1:5" x14ac:dyDescent="0.25">
      <c r="A4264" s="24" t="s">
        <v>7</v>
      </c>
      <c r="B4264" s="24" t="s">
        <v>11349</v>
      </c>
      <c r="C4264" s="25" t="s">
        <v>11350</v>
      </c>
      <c r="D4264" s="25" t="s">
        <v>11351</v>
      </c>
      <c r="E4264" s="26">
        <v>11</v>
      </c>
    </row>
    <row r="4265" spans="1:5" x14ac:dyDescent="0.25">
      <c r="A4265" s="24" t="s">
        <v>7</v>
      </c>
      <c r="B4265" s="24" t="s">
        <v>11352</v>
      </c>
      <c r="C4265" s="25" t="s">
        <v>11353</v>
      </c>
      <c r="D4265" s="25" t="s">
        <v>11354</v>
      </c>
      <c r="E4265" s="26">
        <v>450</v>
      </c>
    </row>
    <row r="4266" spans="1:5" x14ac:dyDescent="0.25">
      <c r="A4266" s="24" t="s">
        <v>7</v>
      </c>
      <c r="B4266" s="24" t="s">
        <v>11355</v>
      </c>
      <c r="C4266" s="25" t="s">
        <v>11356</v>
      </c>
      <c r="D4266" s="25" t="s">
        <v>11357</v>
      </c>
      <c r="E4266" s="26">
        <v>20</v>
      </c>
    </row>
    <row r="4267" spans="1:5" x14ac:dyDescent="0.25">
      <c r="A4267" s="24" t="s">
        <v>7</v>
      </c>
      <c r="B4267" s="24" t="s">
        <v>11358</v>
      </c>
      <c r="C4267" s="25" t="s">
        <v>11359</v>
      </c>
      <c r="D4267" s="25" t="s">
        <v>11360</v>
      </c>
      <c r="E4267" s="26">
        <v>15</v>
      </c>
    </row>
    <row r="4268" spans="1:5" x14ac:dyDescent="0.25">
      <c r="A4268" s="24" t="s">
        <v>7</v>
      </c>
      <c r="B4268" s="24" t="s">
        <v>11361</v>
      </c>
      <c r="C4268" s="25" t="s">
        <v>11362</v>
      </c>
      <c r="D4268" s="25" t="s">
        <v>11363</v>
      </c>
      <c r="E4268" s="26">
        <v>2</v>
      </c>
    </row>
    <row r="4269" spans="1:5" x14ac:dyDescent="0.25">
      <c r="A4269" s="24" t="s">
        <v>7</v>
      </c>
      <c r="B4269" s="24" t="s">
        <v>11364</v>
      </c>
      <c r="C4269" s="25" t="s">
        <v>11365</v>
      </c>
      <c r="D4269" s="25" t="s">
        <v>11307</v>
      </c>
      <c r="E4269" s="26">
        <v>153</v>
      </c>
    </row>
    <row r="4270" spans="1:5" x14ac:dyDescent="0.25">
      <c r="A4270" s="24" t="s">
        <v>7</v>
      </c>
      <c r="B4270" s="24" t="s">
        <v>11366</v>
      </c>
      <c r="C4270" s="25" t="s">
        <v>11367</v>
      </c>
      <c r="D4270" s="25" t="s">
        <v>11368</v>
      </c>
      <c r="E4270" s="26">
        <v>5</v>
      </c>
    </row>
    <row r="4271" spans="1:5" x14ac:dyDescent="0.25">
      <c r="A4271" s="24" t="s">
        <v>7</v>
      </c>
      <c r="B4271" s="24" t="s">
        <v>11369</v>
      </c>
      <c r="C4271" s="25" t="s">
        <v>11370</v>
      </c>
      <c r="D4271" s="25" t="s">
        <v>11371</v>
      </c>
      <c r="E4271" s="26">
        <v>370</v>
      </c>
    </row>
    <row r="4272" spans="1:5" x14ac:dyDescent="0.25">
      <c r="A4272" s="24" t="s">
        <v>7</v>
      </c>
      <c r="B4272" s="24" t="s">
        <v>11372</v>
      </c>
      <c r="C4272" s="25" t="s">
        <v>11373</v>
      </c>
      <c r="D4272" s="25" t="s">
        <v>11304</v>
      </c>
      <c r="E4272" s="26">
        <v>180</v>
      </c>
    </row>
    <row r="4273" spans="1:5" x14ac:dyDescent="0.25">
      <c r="A4273" s="24" t="s">
        <v>7</v>
      </c>
      <c r="B4273" s="24" t="s">
        <v>11374</v>
      </c>
      <c r="C4273" s="25" t="s">
        <v>11375</v>
      </c>
      <c r="D4273" s="25" t="s">
        <v>11376</v>
      </c>
      <c r="E4273" s="26">
        <v>218</v>
      </c>
    </row>
    <row r="4274" spans="1:5" x14ac:dyDescent="0.25">
      <c r="A4274" s="24" t="s">
        <v>7</v>
      </c>
      <c r="B4274" s="24" t="s">
        <v>11377</v>
      </c>
      <c r="C4274" s="25" t="s">
        <v>11378</v>
      </c>
      <c r="D4274" s="25" t="s">
        <v>11379</v>
      </c>
      <c r="E4274" s="26">
        <v>538</v>
      </c>
    </row>
    <row r="4275" spans="1:5" x14ac:dyDescent="0.25">
      <c r="A4275" s="24" t="s">
        <v>7</v>
      </c>
      <c r="B4275" s="24" t="s">
        <v>11380</v>
      </c>
      <c r="C4275" s="25" t="s">
        <v>11381</v>
      </c>
      <c r="D4275" s="25" t="s">
        <v>11382</v>
      </c>
      <c r="E4275" s="26">
        <v>215</v>
      </c>
    </row>
    <row r="4276" spans="1:5" x14ac:dyDescent="0.25">
      <c r="A4276" s="24" t="s">
        <v>7</v>
      </c>
      <c r="B4276" s="24" t="s">
        <v>11383</v>
      </c>
      <c r="C4276" s="25" t="s">
        <v>11384</v>
      </c>
      <c r="D4276" s="25" t="s">
        <v>11385</v>
      </c>
      <c r="E4276" s="26">
        <v>21</v>
      </c>
    </row>
    <row r="4277" spans="1:5" x14ac:dyDescent="0.25">
      <c r="A4277" s="24" t="s">
        <v>7</v>
      </c>
      <c r="B4277" s="24" t="s">
        <v>11386</v>
      </c>
      <c r="C4277" s="25" t="s">
        <v>11387</v>
      </c>
      <c r="D4277" s="25" t="s">
        <v>11388</v>
      </c>
      <c r="E4277" s="26">
        <v>11</v>
      </c>
    </row>
    <row r="4278" spans="1:5" x14ac:dyDescent="0.25">
      <c r="A4278" s="24" t="s">
        <v>7</v>
      </c>
      <c r="B4278" s="24" t="s">
        <v>11389</v>
      </c>
      <c r="C4278" s="25" t="s">
        <v>11390</v>
      </c>
      <c r="D4278" s="25" t="s">
        <v>11391</v>
      </c>
      <c r="E4278" s="26">
        <v>16</v>
      </c>
    </row>
    <row r="4279" spans="1:5" x14ac:dyDescent="0.25">
      <c r="A4279" s="24" t="s">
        <v>7</v>
      </c>
      <c r="B4279" s="24" t="s">
        <v>11392</v>
      </c>
      <c r="C4279" s="25" t="s">
        <v>11393</v>
      </c>
      <c r="D4279" s="25" t="s">
        <v>11394</v>
      </c>
      <c r="E4279" s="26">
        <v>11</v>
      </c>
    </row>
    <row r="4280" spans="1:5" x14ac:dyDescent="0.25">
      <c r="A4280" s="24" t="s">
        <v>7</v>
      </c>
      <c r="B4280" s="24" t="s">
        <v>11395</v>
      </c>
      <c r="C4280" s="25" t="s">
        <v>11396</v>
      </c>
      <c r="D4280" s="25" t="s">
        <v>11397</v>
      </c>
      <c r="E4280" s="26">
        <v>861</v>
      </c>
    </row>
    <row r="4281" spans="1:5" x14ac:dyDescent="0.25">
      <c r="A4281" s="24" t="s">
        <v>7</v>
      </c>
      <c r="B4281" s="24" t="s">
        <v>11398</v>
      </c>
      <c r="C4281" s="25" t="s">
        <v>11399</v>
      </c>
      <c r="D4281" s="25" t="s">
        <v>11400</v>
      </c>
      <c r="E4281" s="26">
        <v>455</v>
      </c>
    </row>
    <row r="4282" spans="1:5" x14ac:dyDescent="0.25">
      <c r="A4282" s="24" t="s">
        <v>7</v>
      </c>
      <c r="B4282" s="24" t="s">
        <v>11401</v>
      </c>
      <c r="C4282" s="25" t="s">
        <v>11402</v>
      </c>
      <c r="D4282" s="25" t="s">
        <v>10244</v>
      </c>
      <c r="E4282" s="26">
        <v>4</v>
      </c>
    </row>
    <row r="4283" spans="1:5" x14ac:dyDescent="0.25">
      <c r="A4283" s="24" t="s">
        <v>7</v>
      </c>
      <c r="B4283" s="24" t="s">
        <v>11403</v>
      </c>
      <c r="C4283" s="25" t="s">
        <v>11404</v>
      </c>
      <c r="D4283" s="25" t="s">
        <v>11405</v>
      </c>
      <c r="E4283" s="26">
        <v>75</v>
      </c>
    </row>
    <row r="4284" spans="1:5" x14ac:dyDescent="0.25">
      <c r="A4284" s="24" t="s">
        <v>7</v>
      </c>
      <c r="B4284" s="24" t="s">
        <v>11406</v>
      </c>
      <c r="C4284" s="25" t="s">
        <v>11407</v>
      </c>
      <c r="D4284" s="25" t="s">
        <v>11408</v>
      </c>
      <c r="E4284" s="26">
        <v>121</v>
      </c>
    </row>
    <row r="4285" spans="1:5" x14ac:dyDescent="0.25">
      <c r="A4285" s="24" t="s">
        <v>7</v>
      </c>
      <c r="B4285" s="24" t="s">
        <v>11409</v>
      </c>
      <c r="C4285" s="25" t="s">
        <v>11410</v>
      </c>
      <c r="D4285" s="25" t="s">
        <v>11411</v>
      </c>
      <c r="E4285" s="26">
        <v>549</v>
      </c>
    </row>
    <row r="4286" spans="1:5" x14ac:dyDescent="0.25">
      <c r="A4286" s="24" t="s">
        <v>7</v>
      </c>
      <c r="B4286" s="24" t="s">
        <v>11412</v>
      </c>
      <c r="C4286" s="25" t="s">
        <v>11413</v>
      </c>
      <c r="D4286" s="25" t="s">
        <v>11414</v>
      </c>
      <c r="E4286" s="26">
        <v>9</v>
      </c>
    </row>
    <row r="4287" spans="1:5" x14ac:dyDescent="0.25">
      <c r="A4287" s="24" t="s">
        <v>7</v>
      </c>
      <c r="B4287" s="24" t="s">
        <v>11415</v>
      </c>
      <c r="C4287" s="25" t="s">
        <v>11416</v>
      </c>
      <c r="D4287" s="25" t="s">
        <v>11417</v>
      </c>
      <c r="E4287" s="26">
        <v>591</v>
      </c>
    </row>
    <row r="4288" spans="1:5" x14ac:dyDescent="0.25">
      <c r="A4288" s="24" t="s">
        <v>7</v>
      </c>
      <c r="B4288" s="24" t="s">
        <v>11418</v>
      </c>
      <c r="C4288" s="25" t="s">
        <v>11419</v>
      </c>
      <c r="D4288" s="25" t="s">
        <v>11420</v>
      </c>
      <c r="E4288" s="26">
        <v>53</v>
      </c>
    </row>
    <row r="4289" spans="1:5" x14ac:dyDescent="0.25">
      <c r="A4289" s="24" t="s">
        <v>7</v>
      </c>
      <c r="B4289" s="24" t="s">
        <v>11421</v>
      </c>
      <c r="C4289" s="25" t="s">
        <v>11422</v>
      </c>
      <c r="D4289" s="25" t="s">
        <v>11423</v>
      </c>
      <c r="E4289" s="26">
        <v>207</v>
      </c>
    </row>
    <row r="4290" spans="1:5" x14ac:dyDescent="0.25">
      <c r="A4290" s="24" t="s">
        <v>7</v>
      </c>
      <c r="B4290" s="24" t="s">
        <v>11424</v>
      </c>
      <c r="C4290" s="25" t="s">
        <v>11425</v>
      </c>
      <c r="D4290" s="25" t="s">
        <v>11426</v>
      </c>
      <c r="E4290" s="26">
        <v>146</v>
      </c>
    </row>
    <row r="4291" spans="1:5" x14ac:dyDescent="0.25">
      <c r="A4291" s="24" t="s">
        <v>7</v>
      </c>
      <c r="B4291" s="24" t="s">
        <v>11427</v>
      </c>
      <c r="C4291" s="25" t="s">
        <v>11428</v>
      </c>
      <c r="D4291" s="25" t="s">
        <v>11429</v>
      </c>
      <c r="E4291" s="26">
        <v>8</v>
      </c>
    </row>
    <row r="4292" spans="1:5" x14ac:dyDescent="0.25">
      <c r="A4292" s="24" t="s">
        <v>7</v>
      </c>
      <c r="B4292" s="24" t="s">
        <v>11430</v>
      </c>
      <c r="C4292" s="25" t="s">
        <v>11431</v>
      </c>
      <c r="D4292" s="25" t="s">
        <v>11432</v>
      </c>
      <c r="E4292" s="26">
        <v>15</v>
      </c>
    </row>
    <row r="4293" spans="1:5" x14ac:dyDescent="0.25">
      <c r="A4293" s="24" t="s">
        <v>7</v>
      </c>
      <c r="B4293" s="24" t="s">
        <v>11433</v>
      </c>
      <c r="C4293" s="25" t="s">
        <v>11434</v>
      </c>
      <c r="D4293" s="25" t="s">
        <v>11435</v>
      </c>
      <c r="E4293" s="26">
        <v>15</v>
      </c>
    </row>
    <row r="4294" spans="1:5" x14ac:dyDescent="0.25">
      <c r="A4294" s="24" t="s">
        <v>7</v>
      </c>
      <c r="B4294" s="24" t="s">
        <v>11436</v>
      </c>
      <c r="C4294" s="25" t="s">
        <v>11437</v>
      </c>
      <c r="D4294" s="25" t="s">
        <v>11438</v>
      </c>
      <c r="E4294" s="26">
        <v>1</v>
      </c>
    </row>
    <row r="4295" spans="1:5" x14ac:dyDescent="0.25">
      <c r="A4295" s="24" t="s">
        <v>7</v>
      </c>
      <c r="B4295" s="24" t="s">
        <v>11439</v>
      </c>
      <c r="C4295" s="25" t="s">
        <v>11440</v>
      </c>
      <c r="D4295" s="25" t="s">
        <v>11438</v>
      </c>
      <c r="E4295" s="26">
        <v>2</v>
      </c>
    </row>
    <row r="4296" spans="1:5" x14ac:dyDescent="0.25">
      <c r="A4296" s="24" t="s">
        <v>7</v>
      </c>
      <c r="B4296" s="24" t="s">
        <v>11441</v>
      </c>
      <c r="C4296" s="25" t="s">
        <v>11442</v>
      </c>
      <c r="D4296" s="25" t="s">
        <v>11443</v>
      </c>
      <c r="E4296" s="26">
        <v>15</v>
      </c>
    </row>
    <row r="4297" spans="1:5" x14ac:dyDescent="0.25">
      <c r="A4297" s="24" t="s">
        <v>7</v>
      </c>
      <c r="B4297" s="24" t="s">
        <v>11444</v>
      </c>
      <c r="C4297" s="25" t="s">
        <v>11445</v>
      </c>
      <c r="D4297" s="25" t="s">
        <v>11446</v>
      </c>
      <c r="E4297" s="26">
        <v>39</v>
      </c>
    </row>
    <row r="4298" spans="1:5" x14ac:dyDescent="0.25">
      <c r="A4298" s="24" t="s">
        <v>7</v>
      </c>
      <c r="B4298" s="24" t="s">
        <v>11447</v>
      </c>
      <c r="C4298" s="25" t="s">
        <v>11448</v>
      </c>
      <c r="D4298" s="25" t="s">
        <v>11449</v>
      </c>
      <c r="E4298" s="26">
        <v>15</v>
      </c>
    </row>
    <row r="4299" spans="1:5" x14ac:dyDescent="0.25">
      <c r="A4299" s="24" t="s">
        <v>7</v>
      </c>
      <c r="B4299" s="24" t="s">
        <v>11450</v>
      </c>
      <c r="C4299" s="25" t="s">
        <v>11451</v>
      </c>
      <c r="D4299" s="25" t="s">
        <v>11452</v>
      </c>
      <c r="E4299" s="26">
        <v>4242</v>
      </c>
    </row>
    <row r="4300" spans="1:5" x14ac:dyDescent="0.25">
      <c r="A4300" s="24" t="s">
        <v>7</v>
      </c>
      <c r="B4300" s="24" t="s">
        <v>11453</v>
      </c>
      <c r="C4300" s="25" t="s">
        <v>11454</v>
      </c>
      <c r="D4300" s="25" t="s">
        <v>11455</v>
      </c>
      <c r="E4300" s="26">
        <v>4242</v>
      </c>
    </row>
    <row r="4301" spans="1:5" x14ac:dyDescent="0.25">
      <c r="A4301" s="24" t="s">
        <v>7</v>
      </c>
      <c r="B4301" s="24" t="s">
        <v>11456</v>
      </c>
      <c r="C4301" s="25" t="s">
        <v>11457</v>
      </c>
      <c r="D4301" s="25" t="s">
        <v>11458</v>
      </c>
      <c r="E4301" s="26">
        <v>77</v>
      </c>
    </row>
    <row r="4302" spans="1:5" x14ac:dyDescent="0.25">
      <c r="A4302" s="24" t="s">
        <v>7</v>
      </c>
      <c r="B4302" s="24" t="s">
        <v>11459</v>
      </c>
      <c r="C4302" s="25" t="s">
        <v>11460</v>
      </c>
      <c r="D4302" s="25" t="s">
        <v>11461</v>
      </c>
      <c r="E4302" s="26">
        <v>33</v>
      </c>
    </row>
    <row r="4303" spans="1:5" x14ac:dyDescent="0.25">
      <c r="A4303" s="24" t="s">
        <v>7</v>
      </c>
      <c r="B4303" s="24" t="s">
        <v>11462</v>
      </c>
      <c r="C4303" s="25" t="s">
        <v>11463</v>
      </c>
      <c r="D4303" s="25" t="s">
        <v>11464</v>
      </c>
      <c r="E4303" s="26">
        <v>177</v>
      </c>
    </row>
    <row r="4304" spans="1:5" x14ac:dyDescent="0.25">
      <c r="A4304" s="24" t="s">
        <v>7</v>
      </c>
      <c r="B4304" s="24" t="s">
        <v>11465</v>
      </c>
      <c r="C4304" s="25" t="s">
        <v>11466</v>
      </c>
      <c r="D4304" s="25" t="s">
        <v>11467</v>
      </c>
      <c r="E4304" s="26">
        <v>232</v>
      </c>
    </row>
    <row r="4305" spans="1:5" x14ac:dyDescent="0.25">
      <c r="A4305" s="24" t="s">
        <v>7</v>
      </c>
      <c r="B4305" s="24" t="s">
        <v>11468</v>
      </c>
      <c r="C4305" s="25" t="s">
        <v>11469</v>
      </c>
      <c r="D4305" s="25" t="s">
        <v>11470</v>
      </c>
      <c r="E4305" s="26">
        <v>184</v>
      </c>
    </row>
    <row r="4306" spans="1:5" x14ac:dyDescent="0.25">
      <c r="A4306" s="24" t="s">
        <v>7</v>
      </c>
      <c r="B4306" s="24" t="s">
        <v>11471</v>
      </c>
      <c r="C4306" s="25" t="s">
        <v>11472</v>
      </c>
      <c r="D4306" s="25" t="s">
        <v>11473</v>
      </c>
      <c r="E4306" s="26">
        <v>2</v>
      </c>
    </row>
    <row r="4307" spans="1:5" x14ac:dyDescent="0.25">
      <c r="A4307" s="24" t="s">
        <v>7</v>
      </c>
      <c r="B4307" s="24" t="s">
        <v>11474</v>
      </c>
      <c r="C4307" s="25" t="s">
        <v>11475</v>
      </c>
      <c r="D4307" s="25" t="s">
        <v>11476</v>
      </c>
      <c r="E4307" s="26">
        <v>361</v>
      </c>
    </row>
    <row r="4308" spans="1:5" x14ac:dyDescent="0.25">
      <c r="A4308" s="24" t="s">
        <v>7</v>
      </c>
      <c r="B4308" s="24" t="s">
        <v>11477</v>
      </c>
      <c r="C4308" s="25" t="s">
        <v>11478</v>
      </c>
      <c r="D4308" s="25" t="s">
        <v>11479</v>
      </c>
      <c r="E4308" s="26">
        <v>1966</v>
      </c>
    </row>
    <row r="4309" spans="1:5" x14ac:dyDescent="0.25">
      <c r="A4309" s="24" t="s">
        <v>7</v>
      </c>
      <c r="B4309" s="24" t="s">
        <v>11480</v>
      </c>
      <c r="C4309" s="25" t="s">
        <v>11481</v>
      </c>
      <c r="D4309" s="25" t="s">
        <v>11482</v>
      </c>
      <c r="E4309" s="26">
        <v>3</v>
      </c>
    </row>
    <row r="4310" spans="1:5" x14ac:dyDescent="0.25">
      <c r="A4310" s="24" t="s">
        <v>7</v>
      </c>
      <c r="B4310" s="24" t="s">
        <v>11483</v>
      </c>
      <c r="C4310" s="25" t="s">
        <v>11484</v>
      </c>
      <c r="D4310" s="25" t="s">
        <v>11485</v>
      </c>
      <c r="E4310" s="26">
        <v>60</v>
      </c>
    </row>
    <row r="4311" spans="1:5" x14ac:dyDescent="0.25">
      <c r="A4311" s="24" t="s">
        <v>7</v>
      </c>
      <c r="B4311" s="24" t="s">
        <v>11486</v>
      </c>
      <c r="C4311" s="25" t="s">
        <v>11487</v>
      </c>
      <c r="D4311" s="25" t="s">
        <v>11488</v>
      </c>
      <c r="E4311" s="26">
        <v>113</v>
      </c>
    </row>
    <row r="4312" spans="1:5" x14ac:dyDescent="0.25">
      <c r="A4312" s="24" t="s">
        <v>7</v>
      </c>
      <c r="B4312" s="24" t="s">
        <v>11489</v>
      </c>
      <c r="C4312" s="25" t="s">
        <v>11490</v>
      </c>
      <c r="D4312" s="25" t="s">
        <v>11491</v>
      </c>
      <c r="E4312" s="26">
        <v>15609</v>
      </c>
    </row>
    <row r="4313" spans="1:5" x14ac:dyDescent="0.25">
      <c r="A4313" s="24" t="s">
        <v>7</v>
      </c>
      <c r="B4313" s="24" t="s">
        <v>11492</v>
      </c>
      <c r="C4313" s="25" t="s">
        <v>11493</v>
      </c>
      <c r="D4313" s="25" t="s">
        <v>11494</v>
      </c>
      <c r="E4313" s="26">
        <v>4</v>
      </c>
    </row>
    <row r="4314" spans="1:5" x14ac:dyDescent="0.25">
      <c r="A4314" s="24" t="s">
        <v>7</v>
      </c>
      <c r="B4314" s="24" t="s">
        <v>11495</v>
      </c>
      <c r="C4314" s="25" t="s">
        <v>11496</v>
      </c>
      <c r="D4314" s="25" t="s">
        <v>11497</v>
      </c>
      <c r="E4314" s="26">
        <v>154</v>
      </c>
    </row>
    <row r="4315" spans="1:5" x14ac:dyDescent="0.25">
      <c r="A4315" s="24" t="s">
        <v>7</v>
      </c>
      <c r="B4315" s="24" t="s">
        <v>11498</v>
      </c>
      <c r="C4315" s="25" t="s">
        <v>11499</v>
      </c>
      <c r="D4315" s="25" t="s">
        <v>11500</v>
      </c>
      <c r="E4315" s="26">
        <v>14</v>
      </c>
    </row>
    <row r="4316" spans="1:5" x14ac:dyDescent="0.25">
      <c r="A4316" s="24" t="s">
        <v>7</v>
      </c>
      <c r="B4316" s="24" t="s">
        <v>11501</v>
      </c>
      <c r="C4316" s="25" t="s">
        <v>11502</v>
      </c>
      <c r="D4316" s="25" t="s">
        <v>11503</v>
      </c>
      <c r="E4316" s="26">
        <v>28</v>
      </c>
    </row>
    <row r="4317" spans="1:5" x14ac:dyDescent="0.25">
      <c r="A4317" s="24" t="s">
        <v>7</v>
      </c>
      <c r="B4317" s="24" t="s">
        <v>11504</v>
      </c>
      <c r="C4317" s="25" t="s">
        <v>11505</v>
      </c>
      <c r="D4317" s="25" t="s">
        <v>11506</v>
      </c>
      <c r="E4317" s="26">
        <v>4</v>
      </c>
    </row>
    <row r="4318" spans="1:5" x14ac:dyDescent="0.25">
      <c r="A4318" s="24" t="s">
        <v>7</v>
      </c>
      <c r="B4318" s="24" t="s">
        <v>11507</v>
      </c>
      <c r="C4318" s="25" t="s">
        <v>11508</v>
      </c>
      <c r="D4318" s="25" t="s">
        <v>11509</v>
      </c>
      <c r="E4318" s="26">
        <v>1</v>
      </c>
    </row>
    <row r="4319" spans="1:5" x14ac:dyDescent="0.25">
      <c r="A4319" s="24" t="s">
        <v>7</v>
      </c>
      <c r="B4319" s="24" t="s">
        <v>11510</v>
      </c>
      <c r="C4319" s="25" t="s">
        <v>11511</v>
      </c>
      <c r="D4319" s="25" t="s">
        <v>11512</v>
      </c>
      <c r="E4319" s="26">
        <v>2</v>
      </c>
    </row>
    <row r="4320" spans="1:5" x14ac:dyDescent="0.25">
      <c r="A4320" s="24" t="s">
        <v>7</v>
      </c>
      <c r="B4320" s="24" t="s">
        <v>11513</v>
      </c>
      <c r="C4320" s="25" t="s">
        <v>11514</v>
      </c>
      <c r="D4320" s="25" t="s">
        <v>11515</v>
      </c>
      <c r="E4320" s="26">
        <v>1</v>
      </c>
    </row>
    <row r="4321" spans="1:5" x14ac:dyDescent="0.25">
      <c r="A4321" s="24" t="s">
        <v>7</v>
      </c>
      <c r="B4321" s="24" t="s">
        <v>11516</v>
      </c>
      <c r="C4321" s="25" t="s">
        <v>11517</v>
      </c>
      <c r="D4321" s="25" t="s">
        <v>11518</v>
      </c>
      <c r="E4321" s="26">
        <v>342</v>
      </c>
    </row>
    <row r="4322" spans="1:5" x14ac:dyDescent="0.25">
      <c r="A4322" s="24" t="s">
        <v>7</v>
      </c>
      <c r="B4322" s="24" t="s">
        <v>11519</v>
      </c>
      <c r="C4322" s="25" t="s">
        <v>11520</v>
      </c>
      <c r="D4322" s="25" t="s">
        <v>11521</v>
      </c>
      <c r="E4322" s="26">
        <v>3</v>
      </c>
    </row>
    <row r="4323" spans="1:5" x14ac:dyDescent="0.25">
      <c r="A4323" s="24" t="s">
        <v>7</v>
      </c>
      <c r="B4323" s="24" t="s">
        <v>11522</v>
      </c>
      <c r="C4323" s="25" t="s">
        <v>11523</v>
      </c>
      <c r="D4323" s="25" t="s">
        <v>11524</v>
      </c>
      <c r="E4323" s="26">
        <v>2</v>
      </c>
    </row>
    <row r="4324" spans="1:5" x14ac:dyDescent="0.25">
      <c r="A4324" s="24" t="s">
        <v>7</v>
      </c>
      <c r="B4324" s="24" t="s">
        <v>11525</v>
      </c>
      <c r="C4324" s="25" t="s">
        <v>11526</v>
      </c>
      <c r="D4324" s="25" t="s">
        <v>11527</v>
      </c>
      <c r="E4324" s="26">
        <v>12</v>
      </c>
    </row>
    <row r="4325" spans="1:5" x14ac:dyDescent="0.25">
      <c r="A4325" s="24" t="s">
        <v>7</v>
      </c>
      <c r="B4325" s="24" t="s">
        <v>11528</v>
      </c>
      <c r="C4325" s="25" t="s">
        <v>11529</v>
      </c>
      <c r="D4325" s="25" t="s">
        <v>11530</v>
      </c>
      <c r="E4325" s="26">
        <v>887</v>
      </c>
    </row>
    <row r="4326" spans="1:5" x14ac:dyDescent="0.25">
      <c r="A4326" s="24" t="s">
        <v>7</v>
      </c>
      <c r="B4326" s="24" t="s">
        <v>11531</v>
      </c>
      <c r="C4326" s="25" t="s">
        <v>11532</v>
      </c>
      <c r="D4326" s="25" t="s">
        <v>11533</v>
      </c>
      <c r="E4326" s="26">
        <v>125</v>
      </c>
    </row>
    <row r="4327" spans="1:5" x14ac:dyDescent="0.25">
      <c r="A4327" s="24" t="s">
        <v>7</v>
      </c>
      <c r="B4327" s="24" t="s">
        <v>11534</v>
      </c>
      <c r="C4327" s="25" t="s">
        <v>11535</v>
      </c>
      <c r="D4327" s="25" t="s">
        <v>11536</v>
      </c>
      <c r="E4327" s="26">
        <v>948.75</v>
      </c>
    </row>
    <row r="4328" spans="1:5" x14ac:dyDescent="0.25">
      <c r="A4328" s="24" t="s">
        <v>7</v>
      </c>
      <c r="B4328" s="24" t="s">
        <v>11537</v>
      </c>
      <c r="C4328" s="25" t="s">
        <v>11538</v>
      </c>
      <c r="D4328" s="25" t="s">
        <v>11539</v>
      </c>
      <c r="E4328" s="26">
        <v>1128</v>
      </c>
    </row>
    <row r="4329" spans="1:5" x14ac:dyDescent="0.25">
      <c r="A4329" s="24" t="s">
        <v>7</v>
      </c>
      <c r="B4329" s="24" t="s">
        <v>11540</v>
      </c>
      <c r="C4329" s="25" t="s">
        <v>11541</v>
      </c>
      <c r="D4329" s="25" t="s">
        <v>11542</v>
      </c>
      <c r="E4329" s="26">
        <v>2358</v>
      </c>
    </row>
    <row r="4330" spans="1:5" x14ac:dyDescent="0.25">
      <c r="A4330" s="24" t="s">
        <v>7</v>
      </c>
      <c r="B4330" s="24" t="s">
        <v>11543</v>
      </c>
      <c r="C4330" s="25" t="s">
        <v>11544</v>
      </c>
      <c r="D4330" s="25" t="s">
        <v>11545</v>
      </c>
      <c r="E4330" s="26">
        <v>34</v>
      </c>
    </row>
    <row r="4331" spans="1:5" x14ac:dyDescent="0.25">
      <c r="A4331" s="24" t="s">
        <v>7</v>
      </c>
      <c r="B4331" s="24" t="s">
        <v>11546</v>
      </c>
      <c r="C4331" s="25" t="s">
        <v>11547</v>
      </c>
      <c r="D4331" s="25" t="s">
        <v>11548</v>
      </c>
      <c r="E4331" s="26">
        <v>3758</v>
      </c>
    </row>
    <row r="4332" spans="1:5" x14ac:dyDescent="0.25">
      <c r="A4332" s="24" t="s">
        <v>7</v>
      </c>
      <c r="B4332" s="24" t="s">
        <v>11549</v>
      </c>
      <c r="C4332" s="25" t="s">
        <v>11550</v>
      </c>
      <c r="D4332" s="25" t="s">
        <v>11551</v>
      </c>
      <c r="E4332" s="26">
        <v>223</v>
      </c>
    </row>
    <row r="4333" spans="1:5" x14ac:dyDescent="0.25">
      <c r="A4333" s="24" t="s">
        <v>7</v>
      </c>
      <c r="B4333" s="24" t="s">
        <v>11552</v>
      </c>
      <c r="C4333" s="25" t="s">
        <v>11553</v>
      </c>
      <c r="D4333" s="25" t="s">
        <v>11554</v>
      </c>
      <c r="E4333" s="26">
        <v>54.15</v>
      </c>
    </row>
    <row r="4334" spans="1:5" x14ac:dyDescent="0.25">
      <c r="A4334" s="24" t="s">
        <v>7</v>
      </c>
      <c r="B4334" s="24" t="s">
        <v>11555</v>
      </c>
      <c r="C4334" s="25" t="s">
        <v>11556</v>
      </c>
      <c r="D4334" s="25" t="s">
        <v>11557</v>
      </c>
      <c r="E4334" s="26">
        <v>1284</v>
      </c>
    </row>
    <row r="4335" spans="1:5" x14ac:dyDescent="0.25">
      <c r="A4335" s="24" t="s">
        <v>7</v>
      </c>
      <c r="B4335" s="24" t="s">
        <v>11558</v>
      </c>
      <c r="C4335" s="25" t="s">
        <v>11559</v>
      </c>
      <c r="D4335" s="25" t="s">
        <v>11560</v>
      </c>
      <c r="E4335" s="26">
        <v>599</v>
      </c>
    </row>
    <row r="4336" spans="1:5" x14ac:dyDescent="0.25">
      <c r="A4336" s="24" t="s">
        <v>7</v>
      </c>
      <c r="B4336" s="24" t="s">
        <v>11561</v>
      </c>
      <c r="C4336" s="25" t="s">
        <v>11562</v>
      </c>
      <c r="D4336" s="25" t="s">
        <v>11563</v>
      </c>
      <c r="E4336" s="26">
        <v>2318</v>
      </c>
    </row>
    <row r="4337" spans="1:5" x14ac:dyDescent="0.25">
      <c r="A4337" s="24" t="s">
        <v>7</v>
      </c>
      <c r="B4337" s="24" t="s">
        <v>11564</v>
      </c>
      <c r="C4337" s="25" t="s">
        <v>11565</v>
      </c>
      <c r="D4337" s="25" t="s">
        <v>11566</v>
      </c>
      <c r="E4337" s="26">
        <v>402</v>
      </c>
    </row>
    <row r="4338" spans="1:5" x14ac:dyDescent="0.25">
      <c r="A4338" s="24" t="s">
        <v>7</v>
      </c>
      <c r="B4338" s="24" t="s">
        <v>11567</v>
      </c>
      <c r="C4338" s="25" t="s">
        <v>11568</v>
      </c>
      <c r="D4338" s="25" t="s">
        <v>11569</v>
      </c>
      <c r="E4338" s="26">
        <v>503</v>
      </c>
    </row>
    <row r="4339" spans="1:5" x14ac:dyDescent="0.25">
      <c r="A4339" s="24" t="s">
        <v>7</v>
      </c>
      <c r="B4339" s="24" t="s">
        <v>11570</v>
      </c>
      <c r="C4339" s="25" t="s">
        <v>11571</v>
      </c>
      <c r="D4339" s="25" t="s">
        <v>11572</v>
      </c>
      <c r="E4339" s="26">
        <v>278</v>
      </c>
    </row>
    <row r="4340" spans="1:5" x14ac:dyDescent="0.25">
      <c r="A4340" s="24" t="s">
        <v>7</v>
      </c>
      <c r="B4340" s="24" t="s">
        <v>11573</v>
      </c>
      <c r="C4340" s="25" t="s">
        <v>11574</v>
      </c>
      <c r="D4340" s="25" t="s">
        <v>11575</v>
      </c>
      <c r="E4340" s="26">
        <v>270</v>
      </c>
    </row>
    <row r="4341" spans="1:5" x14ac:dyDescent="0.25">
      <c r="A4341" s="24" t="s">
        <v>7</v>
      </c>
      <c r="B4341" s="24" t="s">
        <v>11576</v>
      </c>
      <c r="C4341" s="25" t="s">
        <v>11577</v>
      </c>
      <c r="D4341" s="25" t="s">
        <v>11578</v>
      </c>
      <c r="E4341" s="26">
        <v>284</v>
      </c>
    </row>
    <row r="4342" spans="1:5" x14ac:dyDescent="0.25">
      <c r="A4342" s="24" t="s">
        <v>7</v>
      </c>
      <c r="B4342" s="24" t="s">
        <v>11579</v>
      </c>
      <c r="C4342" s="25" t="s">
        <v>11580</v>
      </c>
      <c r="D4342" s="25" t="s">
        <v>11581</v>
      </c>
      <c r="E4342" s="26">
        <v>137</v>
      </c>
    </row>
    <row r="4343" spans="1:5" x14ac:dyDescent="0.25">
      <c r="A4343" s="24" t="s">
        <v>7</v>
      </c>
      <c r="B4343" s="24" t="s">
        <v>11582</v>
      </c>
      <c r="C4343" s="25" t="s">
        <v>11583</v>
      </c>
      <c r="D4343" s="25" t="s">
        <v>11584</v>
      </c>
      <c r="E4343" s="26">
        <v>546</v>
      </c>
    </row>
    <row r="4344" spans="1:5" x14ac:dyDescent="0.25">
      <c r="A4344" s="24" t="s">
        <v>7</v>
      </c>
      <c r="B4344" s="24" t="s">
        <v>11585</v>
      </c>
      <c r="C4344" s="25" t="s">
        <v>11586</v>
      </c>
      <c r="D4344" s="25" t="s">
        <v>11587</v>
      </c>
      <c r="E4344" s="26">
        <v>550</v>
      </c>
    </row>
    <row r="4345" spans="1:5" x14ac:dyDescent="0.25">
      <c r="A4345" s="24" t="s">
        <v>7</v>
      </c>
      <c r="B4345" s="24" t="s">
        <v>11588</v>
      </c>
      <c r="C4345" s="25" t="s">
        <v>11589</v>
      </c>
      <c r="D4345" s="25" t="s">
        <v>11590</v>
      </c>
      <c r="E4345" s="26">
        <v>55</v>
      </c>
    </row>
    <row r="4346" spans="1:5" x14ac:dyDescent="0.25">
      <c r="A4346" s="24" t="s">
        <v>7</v>
      </c>
      <c r="B4346" s="24" t="s">
        <v>11591</v>
      </c>
      <c r="C4346" s="25" t="s">
        <v>11592</v>
      </c>
      <c r="D4346" s="25" t="s">
        <v>11593</v>
      </c>
      <c r="E4346" s="26">
        <v>340</v>
      </c>
    </row>
    <row r="4347" spans="1:5" x14ac:dyDescent="0.25">
      <c r="A4347" s="24" t="s">
        <v>7</v>
      </c>
      <c r="B4347" s="24" t="s">
        <v>11594</v>
      </c>
      <c r="C4347" s="25" t="s">
        <v>11595</v>
      </c>
      <c r="D4347" s="25" t="s">
        <v>11596</v>
      </c>
      <c r="E4347" s="26">
        <v>43</v>
      </c>
    </row>
    <row r="4348" spans="1:5" x14ac:dyDescent="0.25">
      <c r="A4348" s="24" t="s">
        <v>7</v>
      </c>
      <c r="B4348" s="24" t="s">
        <v>11597</v>
      </c>
      <c r="C4348" s="25" t="s">
        <v>11598</v>
      </c>
      <c r="D4348" s="25" t="s">
        <v>11599</v>
      </c>
      <c r="E4348" s="26">
        <v>68</v>
      </c>
    </row>
    <row r="4349" spans="1:5" x14ac:dyDescent="0.25">
      <c r="A4349" s="24" t="s">
        <v>7</v>
      </c>
      <c r="B4349" s="24" t="s">
        <v>11600</v>
      </c>
      <c r="C4349" s="25" t="s">
        <v>11601</v>
      </c>
      <c r="D4349" s="25" t="s">
        <v>11602</v>
      </c>
      <c r="E4349" s="26">
        <v>3</v>
      </c>
    </row>
    <row r="4350" spans="1:5" x14ac:dyDescent="0.25">
      <c r="A4350" s="24" t="s">
        <v>7</v>
      </c>
      <c r="B4350" s="24" t="s">
        <v>11603</v>
      </c>
      <c r="C4350" s="25" t="s">
        <v>11604</v>
      </c>
      <c r="D4350" s="25" t="s">
        <v>11605</v>
      </c>
      <c r="E4350" s="26">
        <v>345</v>
      </c>
    </row>
    <row r="4351" spans="1:5" x14ac:dyDescent="0.25">
      <c r="A4351" s="24" t="s">
        <v>7</v>
      </c>
      <c r="B4351" s="24" t="s">
        <v>11606</v>
      </c>
      <c r="C4351" s="25" t="s">
        <v>11607</v>
      </c>
      <c r="D4351" s="25" t="s">
        <v>11608</v>
      </c>
      <c r="E4351" s="26">
        <v>57</v>
      </c>
    </row>
    <row r="4352" spans="1:5" x14ac:dyDescent="0.25">
      <c r="A4352" s="24" t="s">
        <v>7</v>
      </c>
      <c r="B4352" s="24" t="s">
        <v>11609</v>
      </c>
      <c r="C4352" s="25" t="s">
        <v>11610</v>
      </c>
      <c r="D4352" s="25" t="s">
        <v>11611</v>
      </c>
      <c r="E4352" s="26">
        <v>742</v>
      </c>
    </row>
    <row r="4353" spans="1:5" x14ac:dyDescent="0.25">
      <c r="A4353" s="24" t="s">
        <v>7</v>
      </c>
      <c r="B4353" s="24" t="s">
        <v>11612</v>
      </c>
      <c r="C4353" s="25" t="s">
        <v>11613</v>
      </c>
      <c r="D4353" s="25" t="s">
        <v>11614</v>
      </c>
      <c r="E4353" s="26">
        <v>365</v>
      </c>
    </row>
    <row r="4354" spans="1:5" x14ac:dyDescent="0.25">
      <c r="A4354" s="24" t="s">
        <v>7</v>
      </c>
      <c r="B4354" s="24" t="s">
        <v>11615</v>
      </c>
      <c r="C4354" s="25" t="s">
        <v>11616</v>
      </c>
      <c r="D4354" s="25" t="s">
        <v>11617</v>
      </c>
      <c r="E4354" s="26">
        <v>265</v>
      </c>
    </row>
    <row r="4355" spans="1:5" x14ac:dyDescent="0.25">
      <c r="A4355" s="24" t="s">
        <v>7</v>
      </c>
      <c r="B4355" s="24" t="s">
        <v>11618</v>
      </c>
      <c r="C4355" s="25" t="s">
        <v>11619</v>
      </c>
      <c r="D4355" s="25" t="s">
        <v>11620</v>
      </c>
      <c r="E4355" s="26">
        <v>203</v>
      </c>
    </row>
    <row r="4356" spans="1:5" x14ac:dyDescent="0.25">
      <c r="A4356" s="24" t="s">
        <v>7</v>
      </c>
      <c r="B4356" s="24" t="s">
        <v>11621</v>
      </c>
      <c r="C4356" s="25" t="s">
        <v>11622</v>
      </c>
      <c r="D4356" s="25" t="s">
        <v>11623</v>
      </c>
      <c r="E4356" s="26">
        <v>365</v>
      </c>
    </row>
    <row r="4357" spans="1:5" x14ac:dyDescent="0.25">
      <c r="A4357" s="24" t="s">
        <v>7</v>
      </c>
      <c r="B4357" s="24" t="s">
        <v>11624</v>
      </c>
      <c r="C4357" s="25" t="s">
        <v>11625</v>
      </c>
      <c r="D4357" s="25" t="s">
        <v>11626</v>
      </c>
      <c r="E4357" s="26">
        <v>322</v>
      </c>
    </row>
    <row r="4358" spans="1:5" x14ac:dyDescent="0.25">
      <c r="A4358" s="24" t="s">
        <v>7</v>
      </c>
      <c r="B4358" s="24" t="s">
        <v>11627</v>
      </c>
      <c r="C4358" s="25" t="s">
        <v>11628</v>
      </c>
      <c r="D4358" s="25" t="s">
        <v>11629</v>
      </c>
      <c r="E4358" s="26">
        <v>43</v>
      </c>
    </row>
    <row r="4359" spans="1:5" x14ac:dyDescent="0.25">
      <c r="A4359" s="24" t="s">
        <v>7</v>
      </c>
      <c r="B4359" s="24" t="s">
        <v>11630</v>
      </c>
      <c r="C4359" s="25" t="s">
        <v>11631</v>
      </c>
      <c r="D4359" s="25" t="s">
        <v>11632</v>
      </c>
      <c r="E4359" s="26">
        <v>122</v>
      </c>
    </row>
    <row r="4360" spans="1:5" x14ac:dyDescent="0.25">
      <c r="A4360" s="24" t="s">
        <v>7</v>
      </c>
      <c r="B4360" s="24" t="s">
        <v>11633</v>
      </c>
      <c r="C4360" s="25" t="s">
        <v>11634</v>
      </c>
      <c r="D4360" s="25" t="s">
        <v>11635</v>
      </c>
      <c r="E4360" s="26">
        <v>329</v>
      </c>
    </row>
    <row r="4361" spans="1:5" x14ac:dyDescent="0.25">
      <c r="A4361" s="24" t="s">
        <v>7</v>
      </c>
      <c r="B4361" s="24" t="s">
        <v>11636</v>
      </c>
      <c r="C4361" s="25" t="s">
        <v>11637</v>
      </c>
      <c r="D4361" s="25" t="s">
        <v>11638</v>
      </c>
      <c r="E4361" s="26">
        <v>52</v>
      </c>
    </row>
    <row r="4362" spans="1:5" x14ac:dyDescent="0.25">
      <c r="A4362" s="24" t="s">
        <v>7</v>
      </c>
      <c r="B4362" s="24" t="s">
        <v>11639</v>
      </c>
      <c r="C4362" s="25" t="s">
        <v>11640</v>
      </c>
      <c r="D4362" s="25" t="s">
        <v>11641</v>
      </c>
      <c r="E4362" s="26">
        <v>6152</v>
      </c>
    </row>
    <row r="4363" spans="1:5" x14ac:dyDescent="0.25">
      <c r="A4363" s="24" t="s">
        <v>7</v>
      </c>
      <c r="B4363" s="24" t="s">
        <v>11642</v>
      </c>
      <c r="C4363" s="25" t="s">
        <v>11643</v>
      </c>
      <c r="D4363" s="25" t="s">
        <v>11644</v>
      </c>
      <c r="E4363" s="26">
        <v>14</v>
      </c>
    </row>
    <row r="4364" spans="1:5" x14ac:dyDescent="0.25">
      <c r="A4364" s="24" t="s">
        <v>7</v>
      </c>
      <c r="B4364" s="24" t="s">
        <v>11645</v>
      </c>
      <c r="C4364" s="25" t="s">
        <v>11646</v>
      </c>
      <c r="D4364" s="25" t="s">
        <v>11647</v>
      </c>
      <c r="E4364" s="26">
        <v>207</v>
      </c>
    </row>
    <row r="4365" spans="1:5" x14ac:dyDescent="0.25">
      <c r="A4365" s="24" t="s">
        <v>7</v>
      </c>
      <c r="B4365" s="24" t="s">
        <v>11648</v>
      </c>
      <c r="C4365" s="25" t="s">
        <v>11649</v>
      </c>
      <c r="D4365" s="25" t="s">
        <v>11650</v>
      </c>
      <c r="E4365" s="26">
        <v>234</v>
      </c>
    </row>
    <row r="4366" spans="1:5" x14ac:dyDescent="0.25">
      <c r="A4366" s="24" t="s">
        <v>7</v>
      </c>
      <c r="B4366" s="24" t="s">
        <v>11651</v>
      </c>
      <c r="C4366" s="25" t="s">
        <v>11652</v>
      </c>
      <c r="D4366" s="25" t="s">
        <v>11653</v>
      </c>
      <c r="E4366" s="26">
        <v>16</v>
      </c>
    </row>
    <row r="4367" spans="1:5" x14ac:dyDescent="0.25">
      <c r="A4367" s="24" t="s">
        <v>7</v>
      </c>
      <c r="B4367" s="24" t="s">
        <v>11654</v>
      </c>
      <c r="C4367" s="25" t="s">
        <v>11655</v>
      </c>
      <c r="D4367" s="25" t="s">
        <v>11656</v>
      </c>
      <c r="E4367" s="26">
        <v>4</v>
      </c>
    </row>
    <row r="4368" spans="1:5" x14ac:dyDescent="0.25">
      <c r="A4368" s="24" t="s">
        <v>7</v>
      </c>
      <c r="B4368" s="24" t="s">
        <v>11657</v>
      </c>
      <c r="C4368" s="25" t="s">
        <v>11658</v>
      </c>
      <c r="D4368" s="25" t="s">
        <v>11659</v>
      </c>
      <c r="E4368" s="26">
        <v>2.71</v>
      </c>
    </row>
    <row r="4369" spans="1:5" x14ac:dyDescent="0.25">
      <c r="A4369" s="24" t="s">
        <v>7</v>
      </c>
      <c r="B4369" s="24" t="s">
        <v>11660</v>
      </c>
      <c r="C4369" s="25" t="s">
        <v>11661</v>
      </c>
      <c r="D4369" s="25" t="s">
        <v>11662</v>
      </c>
      <c r="E4369" s="26">
        <v>215</v>
      </c>
    </row>
    <row r="4370" spans="1:5" x14ac:dyDescent="0.25">
      <c r="A4370" s="24" t="s">
        <v>7</v>
      </c>
      <c r="B4370" s="24" t="s">
        <v>11663</v>
      </c>
      <c r="C4370" s="25" t="s">
        <v>11664</v>
      </c>
      <c r="D4370" s="25" t="s">
        <v>11665</v>
      </c>
      <c r="E4370" s="26">
        <v>4629</v>
      </c>
    </row>
    <row r="4371" spans="1:5" x14ac:dyDescent="0.25">
      <c r="A4371" s="24" t="s">
        <v>7</v>
      </c>
      <c r="B4371" s="24" t="s">
        <v>11666</v>
      </c>
      <c r="C4371" s="25" t="s">
        <v>11667</v>
      </c>
      <c r="D4371" s="25" t="s">
        <v>11662</v>
      </c>
      <c r="E4371" s="26">
        <v>572</v>
      </c>
    </row>
    <row r="4372" spans="1:5" x14ac:dyDescent="0.25">
      <c r="A4372" s="24" t="s">
        <v>7</v>
      </c>
      <c r="B4372" s="24" t="s">
        <v>11668</v>
      </c>
      <c r="C4372" s="25" t="s">
        <v>11669</v>
      </c>
      <c r="D4372" s="25" t="s">
        <v>11670</v>
      </c>
      <c r="E4372" s="26">
        <v>6793</v>
      </c>
    </row>
    <row r="4373" spans="1:5" x14ac:dyDescent="0.25">
      <c r="A4373" s="24" t="s">
        <v>7</v>
      </c>
      <c r="B4373" s="24" t="s">
        <v>11671</v>
      </c>
      <c r="C4373" s="25" t="s">
        <v>11672</v>
      </c>
      <c r="D4373" s="25" t="s">
        <v>11673</v>
      </c>
      <c r="E4373" s="26">
        <v>269</v>
      </c>
    </row>
    <row r="4374" spans="1:5" x14ac:dyDescent="0.25">
      <c r="A4374" s="24" t="s">
        <v>7</v>
      </c>
      <c r="B4374" s="24" t="s">
        <v>11674</v>
      </c>
      <c r="C4374" s="25" t="s">
        <v>11675</v>
      </c>
      <c r="D4374" s="25" t="s">
        <v>11676</v>
      </c>
      <c r="E4374" s="26">
        <v>406</v>
      </c>
    </row>
    <row r="4375" spans="1:5" x14ac:dyDescent="0.25">
      <c r="A4375" s="24" t="s">
        <v>7</v>
      </c>
      <c r="B4375" s="24" t="s">
        <v>11677</v>
      </c>
      <c r="C4375" s="25" t="s">
        <v>11678</v>
      </c>
      <c r="D4375" s="25" t="s">
        <v>11679</v>
      </c>
      <c r="E4375" s="26">
        <v>297</v>
      </c>
    </row>
    <row r="4376" spans="1:5" x14ac:dyDescent="0.25">
      <c r="A4376" s="24" t="s">
        <v>7</v>
      </c>
      <c r="B4376" s="24" t="s">
        <v>11680</v>
      </c>
      <c r="C4376" s="25" t="s">
        <v>11681</v>
      </c>
      <c r="D4376" s="25" t="s">
        <v>11682</v>
      </c>
      <c r="E4376" s="26">
        <v>297</v>
      </c>
    </row>
    <row r="4377" spans="1:5" x14ac:dyDescent="0.25">
      <c r="A4377" s="24" t="s">
        <v>7</v>
      </c>
      <c r="B4377" s="24" t="s">
        <v>11683</v>
      </c>
      <c r="C4377" s="25" t="s">
        <v>11684</v>
      </c>
      <c r="D4377" s="25" t="s">
        <v>11685</v>
      </c>
      <c r="E4377" s="26">
        <v>1</v>
      </c>
    </row>
    <row r="4378" spans="1:5" x14ac:dyDescent="0.25">
      <c r="A4378" s="24" t="s">
        <v>7</v>
      </c>
      <c r="B4378" s="24" t="s">
        <v>11686</v>
      </c>
      <c r="C4378" s="25" t="s">
        <v>11687</v>
      </c>
      <c r="D4378" s="25" t="s">
        <v>11688</v>
      </c>
      <c r="E4378" s="26">
        <v>2</v>
      </c>
    </row>
    <row r="4379" spans="1:5" x14ac:dyDescent="0.25">
      <c r="A4379" s="24" t="s">
        <v>7</v>
      </c>
      <c r="B4379" s="24" t="s">
        <v>11689</v>
      </c>
      <c r="C4379" s="25" t="s">
        <v>11690</v>
      </c>
      <c r="D4379" s="25" t="s">
        <v>11690</v>
      </c>
      <c r="E4379" s="26">
        <v>1</v>
      </c>
    </row>
    <row r="4380" spans="1:5" x14ac:dyDescent="0.25">
      <c r="A4380" s="24" t="s">
        <v>7</v>
      </c>
      <c r="B4380" s="24" t="s">
        <v>11691</v>
      </c>
      <c r="C4380" s="25" t="s">
        <v>11692</v>
      </c>
      <c r="D4380" s="25" t="s">
        <v>11693</v>
      </c>
      <c r="E4380" s="26">
        <v>206</v>
      </c>
    </row>
    <row r="4381" spans="1:5" x14ac:dyDescent="0.25">
      <c r="A4381" s="24" t="s">
        <v>7</v>
      </c>
      <c r="B4381" s="24" t="s">
        <v>11694</v>
      </c>
      <c r="C4381" s="25" t="s">
        <v>11695</v>
      </c>
      <c r="D4381" s="25" t="s">
        <v>11696</v>
      </c>
      <c r="E4381" s="26">
        <v>31</v>
      </c>
    </row>
    <row r="4382" spans="1:5" x14ac:dyDescent="0.25">
      <c r="A4382" s="24" t="s">
        <v>7</v>
      </c>
      <c r="B4382" s="24" t="s">
        <v>11697</v>
      </c>
      <c r="C4382" s="25" t="s">
        <v>11698</v>
      </c>
      <c r="D4382" s="25" t="s">
        <v>11699</v>
      </c>
      <c r="E4382" s="26">
        <v>70</v>
      </c>
    </row>
    <row r="4383" spans="1:5" x14ac:dyDescent="0.25">
      <c r="A4383" s="24" t="s">
        <v>7</v>
      </c>
      <c r="B4383" s="24" t="s">
        <v>11700</v>
      </c>
      <c r="C4383" s="25" t="s">
        <v>11701</v>
      </c>
      <c r="D4383" s="25" t="s">
        <v>11702</v>
      </c>
      <c r="E4383" s="26">
        <v>4</v>
      </c>
    </row>
    <row r="4384" spans="1:5" x14ac:dyDescent="0.25">
      <c r="A4384" s="24" t="s">
        <v>7</v>
      </c>
      <c r="B4384" s="24" t="s">
        <v>11703</v>
      </c>
      <c r="C4384" s="25" t="s">
        <v>11704</v>
      </c>
      <c r="D4384" s="25" t="s">
        <v>11705</v>
      </c>
      <c r="E4384" s="26">
        <v>86</v>
      </c>
    </row>
    <row r="4385" spans="1:5" x14ac:dyDescent="0.25">
      <c r="A4385" s="24" t="s">
        <v>7</v>
      </c>
      <c r="B4385" s="24" t="s">
        <v>11706</v>
      </c>
      <c r="C4385" s="25" t="s">
        <v>11707</v>
      </c>
      <c r="D4385" s="25" t="s">
        <v>11708</v>
      </c>
      <c r="E4385" s="26">
        <v>218</v>
      </c>
    </row>
    <row r="4386" spans="1:5" x14ac:dyDescent="0.25">
      <c r="A4386" s="24" t="s">
        <v>7</v>
      </c>
      <c r="B4386" s="24" t="s">
        <v>11709</v>
      </c>
      <c r="C4386" s="25" t="s">
        <v>11710</v>
      </c>
      <c r="D4386" s="25" t="s">
        <v>11711</v>
      </c>
      <c r="E4386" s="26">
        <v>1086</v>
      </c>
    </row>
    <row r="4387" spans="1:5" x14ac:dyDescent="0.25">
      <c r="A4387" s="24" t="s">
        <v>7</v>
      </c>
      <c r="B4387" s="24" t="s">
        <v>11712</v>
      </c>
      <c r="C4387" s="25" t="s">
        <v>11713</v>
      </c>
      <c r="D4387" s="25" t="s">
        <v>11714</v>
      </c>
      <c r="E4387" s="26">
        <v>33</v>
      </c>
    </row>
    <row r="4388" spans="1:5" x14ac:dyDescent="0.25">
      <c r="A4388" s="24" t="s">
        <v>7</v>
      </c>
      <c r="B4388" s="24" t="s">
        <v>11715</v>
      </c>
      <c r="C4388" s="25" t="s">
        <v>11716</v>
      </c>
      <c r="D4388" s="25" t="s">
        <v>11717</v>
      </c>
      <c r="E4388" s="26">
        <v>1</v>
      </c>
    </row>
    <row r="4389" spans="1:5" x14ac:dyDescent="0.25">
      <c r="A4389" s="24" t="s">
        <v>7</v>
      </c>
      <c r="B4389" s="24" t="s">
        <v>11718</v>
      </c>
      <c r="C4389" s="25" t="s">
        <v>11719</v>
      </c>
      <c r="D4389" s="25" t="s">
        <v>11720</v>
      </c>
      <c r="E4389" s="26">
        <v>3</v>
      </c>
    </row>
    <row r="4390" spans="1:5" x14ac:dyDescent="0.25">
      <c r="A4390" s="24" t="s">
        <v>7</v>
      </c>
      <c r="B4390" s="24" t="s">
        <v>11721</v>
      </c>
      <c r="C4390" s="25" t="s">
        <v>11722</v>
      </c>
      <c r="D4390" s="25" t="s">
        <v>11723</v>
      </c>
      <c r="E4390" s="26">
        <v>6445</v>
      </c>
    </row>
    <row r="4391" spans="1:5" x14ac:dyDescent="0.25">
      <c r="A4391" s="24" t="s">
        <v>7</v>
      </c>
      <c r="B4391" s="24" t="s">
        <v>11724</v>
      </c>
      <c r="C4391" s="25" t="s">
        <v>11725</v>
      </c>
      <c r="D4391" s="25" t="s">
        <v>11726</v>
      </c>
      <c r="E4391" s="26">
        <v>2642</v>
      </c>
    </row>
    <row r="4392" spans="1:5" x14ac:dyDescent="0.25">
      <c r="A4392" s="24" t="s">
        <v>7</v>
      </c>
      <c r="B4392" s="24" t="s">
        <v>11727</v>
      </c>
      <c r="C4392" s="25" t="s">
        <v>11728</v>
      </c>
      <c r="D4392" s="25" t="s">
        <v>11729</v>
      </c>
      <c r="E4392" s="26">
        <v>2191</v>
      </c>
    </row>
    <row r="4393" spans="1:5" x14ac:dyDescent="0.25">
      <c r="A4393" s="24" t="s">
        <v>7</v>
      </c>
      <c r="B4393" s="24" t="s">
        <v>11730</v>
      </c>
      <c r="C4393" s="25" t="s">
        <v>11731</v>
      </c>
      <c r="D4393" s="25" t="s">
        <v>11732</v>
      </c>
      <c r="E4393" s="26">
        <v>1</v>
      </c>
    </row>
    <row r="4394" spans="1:5" x14ac:dyDescent="0.25">
      <c r="A4394" s="24" t="s">
        <v>7</v>
      </c>
      <c r="B4394" s="24" t="s">
        <v>11733</v>
      </c>
      <c r="C4394" s="25" t="s">
        <v>11734</v>
      </c>
      <c r="D4394" s="25" t="s">
        <v>11735</v>
      </c>
      <c r="E4394" s="26">
        <v>54</v>
      </c>
    </row>
    <row r="4395" spans="1:5" x14ac:dyDescent="0.25">
      <c r="A4395" s="24" t="s">
        <v>7</v>
      </c>
      <c r="B4395" s="24" t="s">
        <v>11736</v>
      </c>
      <c r="C4395" s="25" t="s">
        <v>11737</v>
      </c>
      <c r="D4395" s="25" t="s">
        <v>11738</v>
      </c>
      <c r="E4395" s="26">
        <v>56</v>
      </c>
    </row>
    <row r="4396" spans="1:5" x14ac:dyDescent="0.25">
      <c r="A4396" s="24" t="s">
        <v>7</v>
      </c>
      <c r="B4396" s="24" t="s">
        <v>11739</v>
      </c>
      <c r="C4396" s="25" t="s">
        <v>11740</v>
      </c>
      <c r="D4396" s="25" t="s">
        <v>11741</v>
      </c>
      <c r="E4396" s="26">
        <v>1</v>
      </c>
    </row>
    <row r="4397" spans="1:5" x14ac:dyDescent="0.25">
      <c r="A4397" s="24" t="s">
        <v>7</v>
      </c>
      <c r="B4397" s="24" t="s">
        <v>11742</v>
      </c>
      <c r="C4397" s="25" t="s">
        <v>11743</v>
      </c>
      <c r="D4397" s="25" t="s">
        <v>11744</v>
      </c>
      <c r="E4397" s="26">
        <v>1</v>
      </c>
    </row>
    <row r="4398" spans="1:5" x14ac:dyDescent="0.25">
      <c r="A4398" s="24" t="s">
        <v>7</v>
      </c>
      <c r="B4398" s="24" t="s">
        <v>11745</v>
      </c>
      <c r="C4398" s="25" t="s">
        <v>11746</v>
      </c>
      <c r="D4398" s="25" t="s">
        <v>11747</v>
      </c>
      <c r="E4398" s="26">
        <v>24</v>
      </c>
    </row>
    <row r="4399" spans="1:5" x14ac:dyDescent="0.25">
      <c r="A4399" s="24" t="s">
        <v>7</v>
      </c>
      <c r="B4399" s="24" t="s">
        <v>11748</v>
      </c>
      <c r="C4399" s="25" t="s">
        <v>11749</v>
      </c>
      <c r="D4399" s="25" t="s">
        <v>11750</v>
      </c>
      <c r="E4399" s="26">
        <v>43</v>
      </c>
    </row>
    <row r="4400" spans="1:5" x14ac:dyDescent="0.25">
      <c r="A4400" s="24" t="s">
        <v>7</v>
      </c>
      <c r="B4400" s="24" t="s">
        <v>11751</v>
      </c>
      <c r="C4400" s="25" t="s">
        <v>11752</v>
      </c>
      <c r="D4400" s="25" t="s">
        <v>11753</v>
      </c>
      <c r="E4400" s="26">
        <v>324</v>
      </c>
    </row>
    <row r="4401" spans="1:5" x14ac:dyDescent="0.25">
      <c r="A4401" s="24" t="s">
        <v>7</v>
      </c>
      <c r="B4401" s="24" t="s">
        <v>11754</v>
      </c>
      <c r="C4401" s="25" t="s">
        <v>11755</v>
      </c>
      <c r="D4401" s="25" t="s">
        <v>11756</v>
      </c>
      <c r="E4401" s="26">
        <v>16</v>
      </c>
    </row>
    <row r="4402" spans="1:5" x14ac:dyDescent="0.25">
      <c r="A4402" s="24" t="s">
        <v>7</v>
      </c>
      <c r="B4402" s="24" t="s">
        <v>11757</v>
      </c>
      <c r="C4402" s="25" t="s">
        <v>11758</v>
      </c>
      <c r="D4402" s="25" t="s">
        <v>11759</v>
      </c>
      <c r="E4402" s="26">
        <v>262</v>
      </c>
    </row>
    <row r="4403" spans="1:5" x14ac:dyDescent="0.25">
      <c r="A4403" s="24" t="s">
        <v>7</v>
      </c>
      <c r="B4403" s="24" t="s">
        <v>11760</v>
      </c>
      <c r="C4403" s="25" t="s">
        <v>11761</v>
      </c>
      <c r="D4403" s="25" t="s">
        <v>11762</v>
      </c>
      <c r="E4403" s="26">
        <v>64</v>
      </c>
    </row>
    <row r="4404" spans="1:5" x14ac:dyDescent="0.25">
      <c r="A4404" s="24" t="s">
        <v>7</v>
      </c>
      <c r="B4404" s="24" t="s">
        <v>11763</v>
      </c>
      <c r="C4404" s="25" t="s">
        <v>11764</v>
      </c>
      <c r="D4404" s="25" t="s">
        <v>11765</v>
      </c>
      <c r="E4404" s="26">
        <v>10</v>
      </c>
    </row>
    <row r="4405" spans="1:5" x14ac:dyDescent="0.25">
      <c r="A4405" s="24" t="s">
        <v>7</v>
      </c>
      <c r="B4405" s="24" t="s">
        <v>11766</v>
      </c>
      <c r="C4405" s="25" t="s">
        <v>11767</v>
      </c>
      <c r="D4405" s="25" t="s">
        <v>11768</v>
      </c>
      <c r="E4405" s="26">
        <v>71</v>
      </c>
    </row>
    <row r="4406" spans="1:5" x14ac:dyDescent="0.25">
      <c r="A4406" s="24" t="s">
        <v>7</v>
      </c>
      <c r="B4406" s="24" t="s">
        <v>11769</v>
      </c>
      <c r="C4406" s="25" t="s">
        <v>11770</v>
      </c>
      <c r="D4406" s="25" t="s">
        <v>11771</v>
      </c>
      <c r="E4406" s="26">
        <v>2</v>
      </c>
    </row>
    <row r="4407" spans="1:5" x14ac:dyDescent="0.25">
      <c r="A4407" s="24" t="s">
        <v>7</v>
      </c>
      <c r="B4407" s="24" t="s">
        <v>11772</v>
      </c>
      <c r="C4407" s="25" t="s">
        <v>11773</v>
      </c>
      <c r="D4407" s="25" t="s">
        <v>11774</v>
      </c>
      <c r="E4407" s="26">
        <v>0.02</v>
      </c>
    </row>
    <row r="4408" spans="1:5" x14ac:dyDescent="0.25">
      <c r="A4408" s="24" t="s">
        <v>7</v>
      </c>
      <c r="B4408" s="24" t="s">
        <v>11775</v>
      </c>
      <c r="C4408" s="25" t="s">
        <v>11776</v>
      </c>
      <c r="D4408" s="25" t="s">
        <v>11777</v>
      </c>
      <c r="E4408" s="26">
        <v>0.22</v>
      </c>
    </row>
    <row r="4409" spans="1:5" x14ac:dyDescent="0.25">
      <c r="A4409" s="24" t="s">
        <v>7</v>
      </c>
      <c r="B4409" s="24" t="s">
        <v>11778</v>
      </c>
      <c r="C4409" s="25" t="s">
        <v>11779</v>
      </c>
      <c r="D4409" s="25" t="s">
        <v>11777</v>
      </c>
      <c r="E4409" s="26">
        <v>0.52</v>
      </c>
    </row>
    <row r="4410" spans="1:5" x14ac:dyDescent="0.25">
      <c r="A4410" s="24" t="s">
        <v>7</v>
      </c>
      <c r="B4410" s="24" t="s">
        <v>11780</v>
      </c>
      <c r="C4410" s="25" t="s">
        <v>11781</v>
      </c>
      <c r="D4410" s="25" t="s">
        <v>11782</v>
      </c>
      <c r="E4410" s="26">
        <v>0.57999999999999996</v>
      </c>
    </row>
    <row r="4411" spans="1:5" x14ac:dyDescent="0.25">
      <c r="A4411" s="24" t="s">
        <v>7</v>
      </c>
      <c r="B4411" s="24" t="s">
        <v>11783</v>
      </c>
      <c r="C4411" s="25" t="s">
        <v>11784</v>
      </c>
      <c r="D4411" s="25" t="s">
        <v>11785</v>
      </c>
      <c r="E4411" s="26">
        <v>25</v>
      </c>
    </row>
    <row r="4412" spans="1:5" x14ac:dyDescent="0.25">
      <c r="A4412" s="24" t="s">
        <v>7</v>
      </c>
      <c r="B4412" s="24" t="s">
        <v>11786</v>
      </c>
      <c r="C4412" s="25" t="s">
        <v>11787</v>
      </c>
      <c r="D4412" s="25" t="s">
        <v>11788</v>
      </c>
      <c r="E4412" s="26">
        <v>3796</v>
      </c>
    </row>
    <row r="4413" spans="1:5" x14ac:dyDescent="0.25">
      <c r="A4413" s="24" t="s">
        <v>7</v>
      </c>
      <c r="B4413" s="24" t="s">
        <v>11789</v>
      </c>
      <c r="C4413" s="25" t="s">
        <v>11790</v>
      </c>
      <c r="D4413" s="25" t="s">
        <v>11791</v>
      </c>
      <c r="E4413" s="26">
        <v>202</v>
      </c>
    </row>
    <row r="4414" spans="1:5" x14ac:dyDescent="0.25">
      <c r="A4414" s="24" t="s">
        <v>7</v>
      </c>
      <c r="B4414" s="24" t="s">
        <v>11792</v>
      </c>
      <c r="C4414" s="25" t="s">
        <v>11793</v>
      </c>
      <c r="D4414" s="25" t="s">
        <v>11794</v>
      </c>
      <c r="E4414" s="26">
        <v>9</v>
      </c>
    </row>
    <row r="4415" spans="1:5" x14ac:dyDescent="0.25">
      <c r="A4415" s="24" t="s">
        <v>7</v>
      </c>
      <c r="B4415" s="24" t="s">
        <v>11795</v>
      </c>
      <c r="C4415" s="25" t="s">
        <v>11796</v>
      </c>
      <c r="D4415" s="25" t="s">
        <v>11797</v>
      </c>
      <c r="E4415" s="26">
        <v>3</v>
      </c>
    </row>
    <row r="4416" spans="1:5" x14ac:dyDescent="0.25">
      <c r="A4416" s="24" t="s">
        <v>7</v>
      </c>
      <c r="B4416" s="24" t="s">
        <v>11798</v>
      </c>
      <c r="C4416" s="25" t="s">
        <v>11799</v>
      </c>
      <c r="D4416" s="25" t="s">
        <v>11797</v>
      </c>
      <c r="E4416" s="26">
        <v>3</v>
      </c>
    </row>
    <row r="4417" spans="1:5" x14ac:dyDescent="0.25">
      <c r="A4417" s="24" t="s">
        <v>7</v>
      </c>
      <c r="B4417" s="24" t="s">
        <v>11800</v>
      </c>
      <c r="C4417" s="25" t="s">
        <v>11801</v>
      </c>
      <c r="D4417" s="25" t="s">
        <v>11802</v>
      </c>
      <c r="E4417" s="26">
        <v>16</v>
      </c>
    </row>
    <row r="4418" spans="1:5" x14ac:dyDescent="0.25">
      <c r="A4418" s="24" t="s">
        <v>7</v>
      </c>
      <c r="B4418" s="24" t="s">
        <v>11803</v>
      </c>
      <c r="C4418" s="25" t="s">
        <v>11804</v>
      </c>
      <c r="D4418" s="25" t="s">
        <v>11805</v>
      </c>
      <c r="E4418" s="26">
        <v>23</v>
      </c>
    </row>
    <row r="4419" spans="1:5" x14ac:dyDescent="0.25">
      <c r="A4419" s="24" t="s">
        <v>7</v>
      </c>
      <c r="B4419" s="24" t="s">
        <v>11806</v>
      </c>
      <c r="C4419" s="25" t="s">
        <v>11807</v>
      </c>
      <c r="D4419" s="25" t="s">
        <v>11808</v>
      </c>
      <c r="E4419" s="26">
        <v>16</v>
      </c>
    </row>
    <row r="4420" spans="1:5" x14ac:dyDescent="0.25">
      <c r="A4420" s="24" t="s">
        <v>7</v>
      </c>
      <c r="B4420" s="24" t="s">
        <v>11809</v>
      </c>
      <c r="C4420" s="25" t="s">
        <v>11810</v>
      </c>
      <c r="D4420" s="25" t="s">
        <v>11811</v>
      </c>
      <c r="E4420" s="26">
        <v>150</v>
      </c>
    </row>
    <row r="4421" spans="1:5" x14ac:dyDescent="0.25">
      <c r="A4421" s="24" t="s">
        <v>7</v>
      </c>
      <c r="B4421" s="24" t="s">
        <v>11812</v>
      </c>
      <c r="C4421" s="25" t="s">
        <v>11813</v>
      </c>
      <c r="D4421" s="25" t="s">
        <v>11814</v>
      </c>
      <c r="E4421" s="26">
        <v>2</v>
      </c>
    </row>
    <row r="4422" spans="1:5" x14ac:dyDescent="0.25">
      <c r="A4422" s="24" t="s">
        <v>7</v>
      </c>
      <c r="B4422" s="24" t="s">
        <v>11815</v>
      </c>
      <c r="C4422" s="25" t="s">
        <v>11816</v>
      </c>
      <c r="D4422" s="25" t="s">
        <v>11817</v>
      </c>
      <c r="E4422" s="26">
        <v>3616</v>
      </c>
    </row>
    <row r="4423" spans="1:5" x14ac:dyDescent="0.25">
      <c r="A4423" s="24" t="s">
        <v>7</v>
      </c>
      <c r="B4423" s="24" t="s">
        <v>11818</v>
      </c>
      <c r="C4423" s="25" t="s">
        <v>11819</v>
      </c>
      <c r="D4423" s="25" t="s">
        <v>11820</v>
      </c>
      <c r="E4423" s="26">
        <v>548</v>
      </c>
    </row>
    <row r="4424" spans="1:5" x14ac:dyDescent="0.25">
      <c r="A4424" s="24" t="s">
        <v>7</v>
      </c>
      <c r="B4424" s="24" t="s">
        <v>11821</v>
      </c>
      <c r="C4424" s="25" t="s">
        <v>11822</v>
      </c>
      <c r="D4424" s="25" t="s">
        <v>11823</v>
      </c>
      <c r="E4424" s="26">
        <v>450</v>
      </c>
    </row>
    <row r="4425" spans="1:5" x14ac:dyDescent="0.25">
      <c r="A4425" s="24" t="s">
        <v>7</v>
      </c>
      <c r="B4425" s="24" t="s">
        <v>11824</v>
      </c>
      <c r="C4425" s="25" t="s">
        <v>11825</v>
      </c>
      <c r="D4425" s="25" t="s">
        <v>11826</v>
      </c>
      <c r="E4425" s="26">
        <v>33</v>
      </c>
    </row>
    <row r="4426" spans="1:5" x14ac:dyDescent="0.25">
      <c r="A4426" s="24" t="s">
        <v>7</v>
      </c>
      <c r="B4426" s="24" t="s">
        <v>11827</v>
      </c>
      <c r="C4426" s="25" t="s">
        <v>11828</v>
      </c>
      <c r="D4426" s="25" t="s">
        <v>11829</v>
      </c>
      <c r="E4426" s="26">
        <v>4</v>
      </c>
    </row>
    <row r="4427" spans="1:5" x14ac:dyDescent="0.25">
      <c r="A4427" s="24" t="s">
        <v>7</v>
      </c>
      <c r="B4427" s="24" t="s">
        <v>11830</v>
      </c>
      <c r="C4427" s="25" t="s">
        <v>11831</v>
      </c>
      <c r="D4427" s="25" t="s">
        <v>11832</v>
      </c>
      <c r="E4427" s="26">
        <v>10</v>
      </c>
    </row>
    <row r="4428" spans="1:5" x14ac:dyDescent="0.25">
      <c r="A4428" s="24" t="s">
        <v>7</v>
      </c>
      <c r="B4428" s="24" t="s">
        <v>11833</v>
      </c>
      <c r="C4428" s="25" t="s">
        <v>11834</v>
      </c>
      <c r="D4428" s="25" t="s">
        <v>11835</v>
      </c>
      <c r="E4428" s="26">
        <v>19</v>
      </c>
    </row>
    <row r="4429" spans="1:5" x14ac:dyDescent="0.25">
      <c r="A4429" s="24" t="s">
        <v>7</v>
      </c>
      <c r="B4429" s="24" t="s">
        <v>11836</v>
      </c>
      <c r="C4429" s="25" t="s">
        <v>11837</v>
      </c>
      <c r="D4429" s="25" t="s">
        <v>11829</v>
      </c>
      <c r="E4429" s="26">
        <v>11.84</v>
      </c>
    </row>
    <row r="4430" spans="1:5" x14ac:dyDescent="0.25">
      <c r="A4430" s="24" t="s">
        <v>7</v>
      </c>
      <c r="B4430" s="24" t="s">
        <v>11838</v>
      </c>
      <c r="C4430" s="25" t="s">
        <v>11839</v>
      </c>
      <c r="D4430" s="25" t="s">
        <v>11840</v>
      </c>
      <c r="E4430" s="26">
        <v>54</v>
      </c>
    </row>
    <row r="4431" spans="1:5" x14ac:dyDescent="0.25">
      <c r="A4431" s="24" t="s">
        <v>7</v>
      </c>
      <c r="B4431" s="24" t="s">
        <v>11841</v>
      </c>
      <c r="C4431" s="25" t="s">
        <v>11842</v>
      </c>
      <c r="D4431" s="25" t="s">
        <v>11843</v>
      </c>
      <c r="E4431" s="26">
        <v>611</v>
      </c>
    </row>
    <row r="4432" spans="1:5" x14ac:dyDescent="0.25">
      <c r="A4432" s="24" t="s">
        <v>7</v>
      </c>
      <c r="B4432" s="24" t="s">
        <v>11844</v>
      </c>
      <c r="C4432" s="25" t="s">
        <v>11845</v>
      </c>
      <c r="D4432" s="25" t="s">
        <v>11846</v>
      </c>
      <c r="E4432" s="26">
        <v>39</v>
      </c>
    </row>
    <row r="4433" spans="1:5" x14ac:dyDescent="0.25">
      <c r="A4433" s="24" t="s">
        <v>7</v>
      </c>
      <c r="B4433" s="24" t="s">
        <v>11847</v>
      </c>
      <c r="C4433" s="25" t="s">
        <v>11848</v>
      </c>
      <c r="D4433" s="25" t="s">
        <v>11849</v>
      </c>
      <c r="E4433" s="26">
        <v>15</v>
      </c>
    </row>
    <row r="4434" spans="1:5" x14ac:dyDescent="0.25">
      <c r="A4434" s="24" t="s">
        <v>7</v>
      </c>
      <c r="B4434" s="24" t="s">
        <v>11850</v>
      </c>
      <c r="C4434" s="25" t="s">
        <v>11851</v>
      </c>
      <c r="D4434" s="25" t="s">
        <v>11852</v>
      </c>
      <c r="E4434" s="26">
        <v>40</v>
      </c>
    </row>
    <row r="4435" spans="1:5" x14ac:dyDescent="0.25">
      <c r="A4435" s="24" t="s">
        <v>7</v>
      </c>
      <c r="B4435" s="24" t="s">
        <v>11853</v>
      </c>
      <c r="C4435" s="25" t="s">
        <v>11854</v>
      </c>
      <c r="D4435" s="25" t="s">
        <v>11855</v>
      </c>
      <c r="E4435" s="26">
        <v>1</v>
      </c>
    </row>
    <row r="4436" spans="1:5" x14ac:dyDescent="0.25">
      <c r="A4436" s="24" t="s">
        <v>7</v>
      </c>
      <c r="B4436" s="24" t="s">
        <v>11856</v>
      </c>
      <c r="C4436" s="25" t="s">
        <v>11857</v>
      </c>
      <c r="D4436" s="25" t="s">
        <v>11858</v>
      </c>
      <c r="E4436" s="26">
        <v>1</v>
      </c>
    </row>
    <row r="4437" spans="1:5" x14ac:dyDescent="0.25">
      <c r="A4437" s="24" t="s">
        <v>7</v>
      </c>
      <c r="B4437" s="24" t="s">
        <v>11859</v>
      </c>
      <c r="C4437" s="25" t="s">
        <v>11860</v>
      </c>
      <c r="D4437" s="25" t="s">
        <v>11861</v>
      </c>
      <c r="E4437" s="26">
        <v>12</v>
      </c>
    </row>
    <row r="4438" spans="1:5" x14ac:dyDescent="0.25">
      <c r="A4438" s="24" t="s">
        <v>7</v>
      </c>
      <c r="B4438" s="24" t="s">
        <v>11862</v>
      </c>
      <c r="C4438" s="25" t="s">
        <v>11863</v>
      </c>
      <c r="D4438" s="25" t="s">
        <v>11864</v>
      </c>
      <c r="E4438" s="26">
        <v>22</v>
      </c>
    </row>
    <row r="4439" spans="1:5" x14ac:dyDescent="0.25">
      <c r="A4439" s="24" t="s">
        <v>7</v>
      </c>
      <c r="B4439" s="24" t="s">
        <v>11865</v>
      </c>
      <c r="C4439" s="25" t="s">
        <v>11866</v>
      </c>
      <c r="D4439" s="25" t="s">
        <v>11867</v>
      </c>
      <c r="E4439" s="26">
        <v>6</v>
      </c>
    </row>
    <row r="4440" spans="1:5" x14ac:dyDescent="0.25">
      <c r="A4440" s="24" t="s">
        <v>7</v>
      </c>
      <c r="B4440" s="24" t="s">
        <v>11868</v>
      </c>
      <c r="C4440" s="25" t="s">
        <v>11869</v>
      </c>
      <c r="D4440" s="25" t="s">
        <v>11870</v>
      </c>
      <c r="E4440" s="26">
        <v>30</v>
      </c>
    </row>
    <row r="4441" spans="1:5" x14ac:dyDescent="0.25">
      <c r="A4441" s="24" t="s">
        <v>7</v>
      </c>
      <c r="B4441" s="24" t="s">
        <v>11871</v>
      </c>
      <c r="C4441" s="25" t="s">
        <v>11872</v>
      </c>
      <c r="D4441" s="25" t="s">
        <v>11873</v>
      </c>
      <c r="E4441" s="26">
        <v>1</v>
      </c>
    </row>
    <row r="4442" spans="1:5" x14ac:dyDescent="0.25">
      <c r="A4442" s="24" t="s">
        <v>7</v>
      </c>
      <c r="B4442" s="24" t="s">
        <v>11874</v>
      </c>
      <c r="C4442" s="25" t="s">
        <v>11875</v>
      </c>
      <c r="D4442" s="25" t="s">
        <v>11876</v>
      </c>
      <c r="E4442" s="26">
        <v>3</v>
      </c>
    </row>
    <row r="4443" spans="1:5" x14ac:dyDescent="0.25">
      <c r="A4443" s="24" t="s">
        <v>7</v>
      </c>
      <c r="B4443" s="24" t="s">
        <v>11877</v>
      </c>
      <c r="C4443" s="25" t="s">
        <v>11878</v>
      </c>
      <c r="D4443" s="25" t="s">
        <v>11879</v>
      </c>
      <c r="E4443" s="26">
        <v>2.19</v>
      </c>
    </row>
    <row r="4444" spans="1:5" x14ac:dyDescent="0.25">
      <c r="A4444" s="24" t="s">
        <v>7</v>
      </c>
      <c r="B4444" s="24" t="s">
        <v>11880</v>
      </c>
      <c r="C4444" s="25" t="s">
        <v>11881</v>
      </c>
      <c r="D4444" s="25" t="s">
        <v>11882</v>
      </c>
      <c r="E4444" s="26">
        <v>80</v>
      </c>
    </row>
    <row r="4445" spans="1:5" x14ac:dyDescent="0.25">
      <c r="A4445" s="24" t="s">
        <v>7</v>
      </c>
      <c r="B4445" s="24" t="s">
        <v>11883</v>
      </c>
      <c r="C4445" s="25" t="s">
        <v>11884</v>
      </c>
      <c r="D4445" s="25" t="s">
        <v>11885</v>
      </c>
      <c r="E4445" s="26">
        <v>58</v>
      </c>
    </row>
    <row r="4446" spans="1:5" x14ac:dyDescent="0.25">
      <c r="A4446" s="24" t="s">
        <v>7</v>
      </c>
      <c r="B4446" s="24" t="s">
        <v>11886</v>
      </c>
      <c r="C4446" s="25" t="s">
        <v>11887</v>
      </c>
      <c r="D4446" s="25" t="s">
        <v>11888</v>
      </c>
      <c r="E4446" s="26">
        <v>18</v>
      </c>
    </row>
    <row r="4447" spans="1:5" x14ac:dyDescent="0.25">
      <c r="A4447" s="24" t="s">
        <v>7</v>
      </c>
      <c r="B4447" s="24" t="s">
        <v>11889</v>
      </c>
      <c r="C4447" s="25" t="s">
        <v>11890</v>
      </c>
      <c r="D4447" s="25" t="s">
        <v>11891</v>
      </c>
      <c r="E4447" s="26">
        <v>17</v>
      </c>
    </row>
    <row r="4448" spans="1:5" x14ac:dyDescent="0.25">
      <c r="A4448" s="24" t="s">
        <v>7</v>
      </c>
      <c r="B4448" s="24" t="s">
        <v>11892</v>
      </c>
      <c r="C4448" s="25" t="s">
        <v>11893</v>
      </c>
      <c r="D4448" s="25" t="s">
        <v>11894</v>
      </c>
      <c r="E4448" s="26">
        <v>14</v>
      </c>
    </row>
    <row r="4449" spans="1:5" x14ac:dyDescent="0.25">
      <c r="A4449" s="24" t="s">
        <v>7</v>
      </c>
      <c r="B4449" s="24" t="s">
        <v>11895</v>
      </c>
      <c r="C4449" s="25" t="s">
        <v>11896</v>
      </c>
      <c r="D4449" s="25" t="s">
        <v>11885</v>
      </c>
      <c r="E4449" s="26">
        <v>51</v>
      </c>
    </row>
    <row r="4450" spans="1:5" x14ac:dyDescent="0.25">
      <c r="A4450" s="24" t="s">
        <v>7</v>
      </c>
      <c r="B4450" s="24" t="s">
        <v>11897</v>
      </c>
      <c r="C4450" s="25" t="s">
        <v>11898</v>
      </c>
      <c r="D4450" s="25" t="s">
        <v>11899</v>
      </c>
      <c r="E4450" s="26">
        <v>1996</v>
      </c>
    </row>
    <row r="4451" spans="1:5" x14ac:dyDescent="0.25">
      <c r="A4451" s="24" t="s">
        <v>7</v>
      </c>
      <c r="B4451" s="24" t="s">
        <v>11900</v>
      </c>
      <c r="C4451" s="25" t="s">
        <v>11901</v>
      </c>
      <c r="D4451" s="25" t="s">
        <v>11902</v>
      </c>
      <c r="E4451" s="26">
        <v>1772</v>
      </c>
    </row>
    <row r="4452" spans="1:5" x14ac:dyDescent="0.25">
      <c r="A4452" s="24" t="s">
        <v>7</v>
      </c>
      <c r="B4452" s="24" t="s">
        <v>11903</v>
      </c>
      <c r="C4452" s="25" t="s">
        <v>11904</v>
      </c>
      <c r="D4452" s="25" t="s">
        <v>11905</v>
      </c>
      <c r="E4452" s="26">
        <v>109</v>
      </c>
    </row>
    <row r="4453" spans="1:5" x14ac:dyDescent="0.25">
      <c r="A4453" s="24" t="s">
        <v>7</v>
      </c>
      <c r="B4453" s="24" t="s">
        <v>11906</v>
      </c>
      <c r="C4453" s="25" t="s">
        <v>11907</v>
      </c>
      <c r="D4453" s="25" t="s">
        <v>11908</v>
      </c>
      <c r="E4453" s="26">
        <v>160</v>
      </c>
    </row>
    <row r="4454" spans="1:5" x14ac:dyDescent="0.25">
      <c r="A4454" s="24" t="s">
        <v>7</v>
      </c>
      <c r="B4454" s="24" t="s">
        <v>11909</v>
      </c>
      <c r="C4454" s="25" t="s">
        <v>11910</v>
      </c>
      <c r="D4454" s="25" t="s">
        <v>11910</v>
      </c>
      <c r="E4454" s="26">
        <v>88</v>
      </c>
    </row>
    <row r="4455" spans="1:5" x14ac:dyDescent="0.25">
      <c r="A4455" s="24" t="s">
        <v>7</v>
      </c>
      <c r="B4455" s="24" t="s">
        <v>11911</v>
      </c>
      <c r="C4455" s="25" t="s">
        <v>11912</v>
      </c>
      <c r="D4455" s="25" t="s">
        <v>11913</v>
      </c>
      <c r="E4455" s="26">
        <v>100</v>
      </c>
    </row>
    <row r="4456" spans="1:5" x14ac:dyDescent="0.25">
      <c r="A4456" s="24" t="s">
        <v>7</v>
      </c>
      <c r="B4456" s="24" t="s">
        <v>11914</v>
      </c>
      <c r="C4456" s="25" t="s">
        <v>11915</v>
      </c>
      <c r="D4456" s="25" t="s">
        <v>11916</v>
      </c>
      <c r="E4456" s="26">
        <v>83</v>
      </c>
    </row>
    <row r="4457" spans="1:5" x14ac:dyDescent="0.25">
      <c r="A4457" s="24" t="s">
        <v>7</v>
      </c>
      <c r="B4457" s="24" t="s">
        <v>11917</v>
      </c>
      <c r="C4457" s="25" t="s">
        <v>11918</v>
      </c>
      <c r="D4457" s="25" t="s">
        <v>11918</v>
      </c>
      <c r="E4457" s="26">
        <v>108</v>
      </c>
    </row>
    <row r="4458" spans="1:5" x14ac:dyDescent="0.25">
      <c r="A4458" s="24" t="s">
        <v>7</v>
      </c>
      <c r="B4458" s="24" t="s">
        <v>11919</v>
      </c>
      <c r="C4458" s="25" t="s">
        <v>11920</v>
      </c>
      <c r="D4458" s="25" t="s">
        <v>11921</v>
      </c>
      <c r="E4458" s="26">
        <v>4</v>
      </c>
    </row>
    <row r="4459" spans="1:5" x14ac:dyDescent="0.25">
      <c r="A4459" s="24" t="s">
        <v>7</v>
      </c>
      <c r="B4459" s="24" t="s">
        <v>11922</v>
      </c>
      <c r="C4459" s="25" t="s">
        <v>11923</v>
      </c>
      <c r="D4459" s="25" t="s">
        <v>11924</v>
      </c>
      <c r="E4459" s="26">
        <v>0.72</v>
      </c>
    </row>
    <row r="4460" spans="1:5" x14ac:dyDescent="0.25">
      <c r="A4460" s="24" t="s">
        <v>7</v>
      </c>
      <c r="B4460" s="24" t="s">
        <v>11925</v>
      </c>
      <c r="C4460" s="25" t="s">
        <v>11926</v>
      </c>
      <c r="D4460" s="25" t="s">
        <v>11927</v>
      </c>
      <c r="E4460" s="26">
        <v>19</v>
      </c>
    </row>
    <row r="4461" spans="1:5" x14ac:dyDescent="0.25">
      <c r="A4461" s="24" t="s">
        <v>7</v>
      </c>
      <c r="B4461" s="24" t="s">
        <v>11928</v>
      </c>
      <c r="C4461" s="25" t="s">
        <v>11929</v>
      </c>
      <c r="D4461" s="25" t="s">
        <v>11930</v>
      </c>
      <c r="E4461" s="26">
        <v>131</v>
      </c>
    </row>
    <row r="4462" spans="1:5" x14ac:dyDescent="0.25">
      <c r="A4462" s="24" t="s">
        <v>7</v>
      </c>
      <c r="B4462" s="24" t="s">
        <v>11931</v>
      </c>
      <c r="C4462" s="25" t="s">
        <v>11932</v>
      </c>
      <c r="D4462" s="25" t="s">
        <v>11933</v>
      </c>
      <c r="E4462" s="26">
        <v>47</v>
      </c>
    </row>
    <row r="4463" spans="1:5" x14ac:dyDescent="0.25">
      <c r="A4463" s="24" t="s">
        <v>7</v>
      </c>
      <c r="B4463" s="24" t="s">
        <v>11934</v>
      </c>
      <c r="C4463" s="25" t="s">
        <v>11935</v>
      </c>
      <c r="D4463" s="25" t="s">
        <v>11936</v>
      </c>
      <c r="E4463" s="26">
        <v>57</v>
      </c>
    </row>
    <row r="4464" spans="1:5" x14ac:dyDescent="0.25">
      <c r="A4464" s="24" t="s">
        <v>7</v>
      </c>
      <c r="B4464" s="24" t="s">
        <v>11937</v>
      </c>
      <c r="C4464" s="25" t="s">
        <v>11938</v>
      </c>
      <c r="D4464" s="25" t="s">
        <v>11939</v>
      </c>
      <c r="E4464" s="26">
        <v>249</v>
      </c>
    </row>
    <row r="4465" spans="1:5" x14ac:dyDescent="0.25">
      <c r="A4465" s="24" t="s">
        <v>7</v>
      </c>
      <c r="B4465" s="24" t="s">
        <v>11940</v>
      </c>
      <c r="C4465" s="25" t="s">
        <v>11941</v>
      </c>
      <c r="D4465" s="25" t="s">
        <v>11942</v>
      </c>
      <c r="E4465" s="26">
        <v>2</v>
      </c>
    </row>
    <row r="4466" spans="1:5" x14ac:dyDescent="0.25">
      <c r="A4466" s="24" t="s">
        <v>7</v>
      </c>
      <c r="B4466" s="24" t="s">
        <v>11943</v>
      </c>
      <c r="C4466" s="25" t="s">
        <v>11944</v>
      </c>
      <c r="D4466" s="25" t="s">
        <v>11942</v>
      </c>
      <c r="E4466" s="26">
        <v>77</v>
      </c>
    </row>
    <row r="4467" spans="1:5" x14ac:dyDescent="0.25">
      <c r="A4467" s="24" t="s">
        <v>7</v>
      </c>
      <c r="B4467" s="24" t="s">
        <v>11945</v>
      </c>
      <c r="C4467" s="25" t="s">
        <v>11946</v>
      </c>
      <c r="D4467" s="25" t="s">
        <v>11947</v>
      </c>
      <c r="E4467" s="26">
        <v>2595</v>
      </c>
    </row>
    <row r="4468" spans="1:5" x14ac:dyDescent="0.25">
      <c r="A4468" s="24" t="s">
        <v>7</v>
      </c>
      <c r="B4468" s="24" t="s">
        <v>11948</v>
      </c>
      <c r="C4468" s="25" t="s">
        <v>11949</v>
      </c>
      <c r="D4468" s="25" t="s">
        <v>11950</v>
      </c>
      <c r="E4468" s="26">
        <v>1</v>
      </c>
    </row>
    <row r="4469" spans="1:5" x14ac:dyDescent="0.25">
      <c r="A4469" s="24" t="s">
        <v>7</v>
      </c>
      <c r="B4469" s="24" t="s">
        <v>11951</v>
      </c>
      <c r="C4469" s="25" t="s">
        <v>11952</v>
      </c>
      <c r="D4469" s="25" t="s">
        <v>11950</v>
      </c>
      <c r="E4469" s="26">
        <v>2</v>
      </c>
    </row>
    <row r="4470" spans="1:5" x14ac:dyDescent="0.25">
      <c r="A4470" s="24" t="s">
        <v>7</v>
      </c>
      <c r="B4470" s="24" t="s">
        <v>11953</v>
      </c>
      <c r="C4470" s="25" t="s">
        <v>11954</v>
      </c>
      <c r="D4470" s="25" t="s">
        <v>11955</v>
      </c>
      <c r="E4470" s="26">
        <v>17</v>
      </c>
    </row>
    <row r="4471" spans="1:5" x14ac:dyDescent="0.25">
      <c r="A4471" s="24" t="s">
        <v>7</v>
      </c>
      <c r="B4471" s="24" t="s">
        <v>11956</v>
      </c>
      <c r="C4471" s="25" t="s">
        <v>11957</v>
      </c>
      <c r="D4471" s="25" t="s">
        <v>11958</v>
      </c>
      <c r="E4471" s="26">
        <v>1434.51</v>
      </c>
    </row>
    <row r="4472" spans="1:5" x14ac:dyDescent="0.25">
      <c r="A4472" s="24" t="s">
        <v>7</v>
      </c>
      <c r="B4472" s="24" t="s">
        <v>11959</v>
      </c>
      <c r="C4472" s="25" t="s">
        <v>11960</v>
      </c>
      <c r="D4472" s="25" t="s">
        <v>11958</v>
      </c>
      <c r="E4472" s="26">
        <v>1366.2</v>
      </c>
    </row>
    <row r="4473" spans="1:5" x14ac:dyDescent="0.25">
      <c r="A4473" s="24" t="s">
        <v>7</v>
      </c>
      <c r="B4473" s="24" t="s">
        <v>11961</v>
      </c>
      <c r="C4473" s="25" t="s">
        <v>11962</v>
      </c>
      <c r="D4473" s="25" t="s">
        <v>11963</v>
      </c>
      <c r="E4473" s="26">
        <v>332</v>
      </c>
    </row>
    <row r="4474" spans="1:5" x14ac:dyDescent="0.25">
      <c r="A4474" s="24" t="s">
        <v>7</v>
      </c>
      <c r="B4474" s="24" t="s">
        <v>11964</v>
      </c>
      <c r="C4474" s="25" t="s">
        <v>11965</v>
      </c>
      <c r="D4474" s="25" t="s">
        <v>11966</v>
      </c>
      <c r="E4474" s="26">
        <v>4</v>
      </c>
    </row>
    <row r="4475" spans="1:5" x14ac:dyDescent="0.25">
      <c r="A4475" s="24" t="s">
        <v>7</v>
      </c>
      <c r="B4475" s="24" t="s">
        <v>11967</v>
      </c>
      <c r="C4475" s="25" t="s">
        <v>11968</v>
      </c>
      <c r="D4475" s="25" t="s">
        <v>11969</v>
      </c>
      <c r="E4475" s="26">
        <v>66</v>
      </c>
    </row>
    <row r="4476" spans="1:5" x14ac:dyDescent="0.25">
      <c r="A4476" s="24" t="s">
        <v>7</v>
      </c>
      <c r="B4476" s="24" t="s">
        <v>11970</v>
      </c>
      <c r="C4476" s="25" t="s">
        <v>11971</v>
      </c>
      <c r="D4476" s="25" t="s">
        <v>11972</v>
      </c>
      <c r="E4476" s="26">
        <v>27</v>
      </c>
    </row>
    <row r="4477" spans="1:5" x14ac:dyDescent="0.25">
      <c r="A4477" s="24" t="s">
        <v>7</v>
      </c>
      <c r="B4477" s="24" t="s">
        <v>11973</v>
      </c>
      <c r="C4477" s="25" t="s">
        <v>11974</v>
      </c>
      <c r="D4477" s="25" t="s">
        <v>11972</v>
      </c>
      <c r="E4477" s="26">
        <v>4</v>
      </c>
    </row>
    <row r="4478" spans="1:5" x14ac:dyDescent="0.25">
      <c r="A4478" s="24" t="s">
        <v>7</v>
      </c>
      <c r="B4478" s="24" t="s">
        <v>11975</v>
      </c>
      <c r="C4478" s="25" t="s">
        <v>11976</v>
      </c>
      <c r="D4478" s="25" t="s">
        <v>11977</v>
      </c>
      <c r="E4478" s="26">
        <v>154</v>
      </c>
    </row>
    <row r="4479" spans="1:5" x14ac:dyDescent="0.25">
      <c r="A4479" s="24" t="s">
        <v>7</v>
      </c>
      <c r="B4479" s="24" t="s">
        <v>11978</v>
      </c>
      <c r="C4479" s="25" t="s">
        <v>11979</v>
      </c>
      <c r="D4479" s="25" t="s">
        <v>11980</v>
      </c>
      <c r="E4479" s="26">
        <v>5</v>
      </c>
    </row>
    <row r="4480" spans="1:5" x14ac:dyDescent="0.25">
      <c r="A4480" s="24" t="s">
        <v>7</v>
      </c>
      <c r="B4480" s="24" t="s">
        <v>11981</v>
      </c>
      <c r="C4480" s="25" t="s">
        <v>11982</v>
      </c>
      <c r="D4480" s="25" t="s">
        <v>11983</v>
      </c>
      <c r="E4480" s="26">
        <v>108</v>
      </c>
    </row>
    <row r="4481" spans="1:5" x14ac:dyDescent="0.25">
      <c r="A4481" s="24" t="s">
        <v>7</v>
      </c>
      <c r="B4481" s="24" t="s">
        <v>11984</v>
      </c>
      <c r="C4481" s="25" t="s">
        <v>11985</v>
      </c>
      <c r="D4481" s="25" t="s">
        <v>11986</v>
      </c>
      <c r="E4481" s="26">
        <v>8</v>
      </c>
    </row>
    <row r="4482" spans="1:5" x14ac:dyDescent="0.25">
      <c r="A4482" s="24" t="s">
        <v>7</v>
      </c>
      <c r="B4482" s="24" t="s">
        <v>11987</v>
      </c>
      <c r="C4482" s="25" t="s">
        <v>11988</v>
      </c>
      <c r="D4482" s="25" t="s">
        <v>11989</v>
      </c>
      <c r="E4482" s="26">
        <v>3</v>
      </c>
    </row>
    <row r="4483" spans="1:5" x14ac:dyDescent="0.25">
      <c r="A4483" s="24" t="s">
        <v>7</v>
      </c>
      <c r="B4483" s="24" t="s">
        <v>11990</v>
      </c>
      <c r="C4483" s="25" t="s">
        <v>11991</v>
      </c>
      <c r="D4483" s="25" t="s">
        <v>11992</v>
      </c>
      <c r="E4483" s="26">
        <v>14</v>
      </c>
    </row>
    <row r="4484" spans="1:5" x14ac:dyDescent="0.25">
      <c r="A4484" s="24" t="s">
        <v>7</v>
      </c>
      <c r="B4484" s="24" t="s">
        <v>11993</v>
      </c>
      <c r="C4484" s="25" t="s">
        <v>11994</v>
      </c>
      <c r="D4484" s="25" t="s">
        <v>11995</v>
      </c>
      <c r="E4484" s="26">
        <v>4</v>
      </c>
    </row>
    <row r="4485" spans="1:5" x14ac:dyDescent="0.25">
      <c r="A4485" s="24" t="s">
        <v>7</v>
      </c>
      <c r="B4485" s="24" t="s">
        <v>11996</v>
      </c>
      <c r="C4485" s="25" t="s">
        <v>11997</v>
      </c>
      <c r="D4485" s="25" t="s">
        <v>11998</v>
      </c>
      <c r="E4485" s="26">
        <v>9</v>
      </c>
    </row>
    <row r="4486" spans="1:5" x14ac:dyDescent="0.25">
      <c r="A4486" s="24" t="s">
        <v>7</v>
      </c>
      <c r="B4486" s="24" t="s">
        <v>11999</v>
      </c>
      <c r="C4486" s="25" t="s">
        <v>12000</v>
      </c>
      <c r="D4486" s="25" t="s">
        <v>12001</v>
      </c>
      <c r="E4486" s="26">
        <v>9</v>
      </c>
    </row>
    <row r="4487" spans="1:5" x14ac:dyDescent="0.25">
      <c r="A4487" s="24" t="s">
        <v>7</v>
      </c>
      <c r="B4487" s="24" t="s">
        <v>12002</v>
      </c>
      <c r="C4487" s="25" t="s">
        <v>12003</v>
      </c>
      <c r="D4487" s="25" t="s">
        <v>12004</v>
      </c>
      <c r="E4487" s="26">
        <v>59</v>
      </c>
    </row>
    <row r="4488" spans="1:5" x14ac:dyDescent="0.25">
      <c r="A4488" s="24" t="s">
        <v>7</v>
      </c>
      <c r="B4488" s="24" t="s">
        <v>12005</v>
      </c>
      <c r="C4488" s="25" t="s">
        <v>12006</v>
      </c>
      <c r="D4488" s="25" t="s">
        <v>12007</v>
      </c>
      <c r="E4488" s="26">
        <v>53</v>
      </c>
    </row>
    <row r="4489" spans="1:5" x14ac:dyDescent="0.25">
      <c r="A4489" s="24" t="s">
        <v>7</v>
      </c>
      <c r="B4489" s="24" t="s">
        <v>12008</v>
      </c>
      <c r="C4489" s="25" t="s">
        <v>12009</v>
      </c>
      <c r="D4489" s="25" t="s">
        <v>12010</v>
      </c>
      <c r="E4489" s="26">
        <v>134</v>
      </c>
    </row>
    <row r="4490" spans="1:5" x14ac:dyDescent="0.25">
      <c r="A4490" s="24" t="s">
        <v>7</v>
      </c>
      <c r="B4490" s="24" t="s">
        <v>12011</v>
      </c>
      <c r="C4490" s="25" t="s">
        <v>12012</v>
      </c>
      <c r="D4490" s="25" t="s">
        <v>12013</v>
      </c>
      <c r="E4490" s="26">
        <v>123</v>
      </c>
    </row>
    <row r="4491" spans="1:5" x14ac:dyDescent="0.25">
      <c r="A4491" s="24" t="s">
        <v>7</v>
      </c>
      <c r="B4491" s="24" t="s">
        <v>12014</v>
      </c>
      <c r="C4491" s="25" t="s">
        <v>12015</v>
      </c>
      <c r="D4491" s="25" t="s">
        <v>12016</v>
      </c>
      <c r="E4491" s="26">
        <v>17</v>
      </c>
    </row>
    <row r="4492" spans="1:5" x14ac:dyDescent="0.25">
      <c r="A4492" s="24" t="s">
        <v>7</v>
      </c>
      <c r="B4492" s="24" t="s">
        <v>12017</v>
      </c>
      <c r="C4492" s="25" t="s">
        <v>12018</v>
      </c>
      <c r="D4492" s="25" t="s">
        <v>12019</v>
      </c>
      <c r="E4492" s="26">
        <v>2</v>
      </c>
    </row>
    <row r="4493" spans="1:5" x14ac:dyDescent="0.25">
      <c r="A4493" s="24" t="s">
        <v>7</v>
      </c>
      <c r="B4493" s="24" t="s">
        <v>12020</v>
      </c>
      <c r="C4493" s="25" t="s">
        <v>12021</v>
      </c>
      <c r="D4493" s="25" t="s">
        <v>12022</v>
      </c>
      <c r="E4493" s="26">
        <v>138</v>
      </c>
    </row>
    <row r="4494" spans="1:5" x14ac:dyDescent="0.25">
      <c r="A4494" s="24" t="s">
        <v>7</v>
      </c>
      <c r="B4494" s="24" t="s">
        <v>12023</v>
      </c>
      <c r="C4494" s="25" t="s">
        <v>12024</v>
      </c>
      <c r="D4494" s="25" t="s">
        <v>12025</v>
      </c>
      <c r="E4494" s="26">
        <v>6002</v>
      </c>
    </row>
    <row r="4495" spans="1:5" x14ac:dyDescent="0.25">
      <c r="A4495" s="24" t="s">
        <v>7</v>
      </c>
      <c r="B4495" s="24" t="s">
        <v>12026</v>
      </c>
      <c r="C4495" s="25" t="s">
        <v>12027</v>
      </c>
      <c r="D4495" s="25" t="s">
        <v>12028</v>
      </c>
      <c r="E4495" s="26">
        <v>100</v>
      </c>
    </row>
    <row r="4496" spans="1:5" x14ac:dyDescent="0.25">
      <c r="A4496" s="24" t="s">
        <v>7</v>
      </c>
      <c r="B4496" s="24" t="s">
        <v>12029</v>
      </c>
      <c r="C4496" s="25" t="s">
        <v>12030</v>
      </c>
      <c r="D4496" s="25" t="s">
        <v>12031</v>
      </c>
      <c r="E4496" s="26">
        <v>218</v>
      </c>
    </row>
    <row r="4497" spans="1:5" x14ac:dyDescent="0.25">
      <c r="A4497" s="24" t="s">
        <v>7</v>
      </c>
      <c r="B4497" s="24" t="s">
        <v>12032</v>
      </c>
      <c r="C4497" s="25" t="s">
        <v>12033</v>
      </c>
      <c r="D4497" s="25" t="s">
        <v>12034</v>
      </c>
      <c r="E4497" s="26">
        <v>327</v>
      </c>
    </row>
    <row r="4498" spans="1:5" x14ac:dyDescent="0.25">
      <c r="A4498" s="24" t="s">
        <v>7</v>
      </c>
      <c r="B4498" s="24" t="s">
        <v>12035</v>
      </c>
      <c r="C4498" s="25" t="s">
        <v>12036</v>
      </c>
      <c r="D4498" s="25" t="s">
        <v>12037</v>
      </c>
      <c r="E4498" s="26">
        <v>186</v>
      </c>
    </row>
    <row r="4499" spans="1:5" x14ac:dyDescent="0.25">
      <c r="A4499" s="24" t="s">
        <v>7</v>
      </c>
      <c r="B4499" s="24" t="s">
        <v>12038</v>
      </c>
      <c r="C4499" s="25" t="s">
        <v>12039</v>
      </c>
      <c r="D4499" s="25" t="s">
        <v>12040</v>
      </c>
      <c r="E4499" s="26">
        <v>11</v>
      </c>
    </row>
    <row r="4500" spans="1:5" x14ac:dyDescent="0.25">
      <c r="A4500" s="24" t="s">
        <v>7</v>
      </c>
      <c r="B4500" s="24" t="s">
        <v>12041</v>
      </c>
      <c r="C4500" s="25" t="s">
        <v>12042</v>
      </c>
      <c r="D4500" s="25" t="s">
        <v>12043</v>
      </c>
      <c r="E4500" s="26">
        <v>39</v>
      </c>
    </row>
    <row r="4501" spans="1:5" x14ac:dyDescent="0.25">
      <c r="A4501" s="24" t="s">
        <v>7</v>
      </c>
      <c r="B4501" s="24" t="s">
        <v>12044</v>
      </c>
      <c r="C4501" s="25" t="s">
        <v>12045</v>
      </c>
      <c r="D4501" s="25" t="s">
        <v>12046</v>
      </c>
      <c r="E4501" s="26">
        <v>625</v>
      </c>
    </row>
    <row r="4502" spans="1:5" x14ac:dyDescent="0.25">
      <c r="A4502" s="24" t="s">
        <v>7</v>
      </c>
      <c r="B4502" s="24" t="s">
        <v>12047</v>
      </c>
      <c r="C4502" s="25" t="s">
        <v>12048</v>
      </c>
      <c r="D4502" s="25" t="s">
        <v>12049</v>
      </c>
      <c r="E4502" s="26">
        <v>4</v>
      </c>
    </row>
    <row r="4503" spans="1:5" x14ac:dyDescent="0.25">
      <c r="A4503" s="24" t="s">
        <v>7</v>
      </c>
      <c r="B4503" s="24" t="s">
        <v>12050</v>
      </c>
      <c r="C4503" s="25" t="s">
        <v>12051</v>
      </c>
      <c r="D4503" s="25" t="s">
        <v>12052</v>
      </c>
      <c r="E4503" s="26">
        <v>8</v>
      </c>
    </row>
    <row r="4504" spans="1:5" x14ac:dyDescent="0.25">
      <c r="A4504" s="24" t="s">
        <v>7</v>
      </c>
      <c r="B4504" s="24" t="s">
        <v>12053</v>
      </c>
      <c r="C4504" s="25" t="s">
        <v>12054</v>
      </c>
      <c r="D4504" s="25" t="s">
        <v>12055</v>
      </c>
      <c r="E4504" s="26">
        <v>36</v>
      </c>
    </row>
    <row r="4505" spans="1:5" x14ac:dyDescent="0.25">
      <c r="A4505" s="24" t="s">
        <v>7</v>
      </c>
      <c r="B4505" s="24" t="s">
        <v>12056</v>
      </c>
      <c r="C4505" s="25" t="s">
        <v>12057</v>
      </c>
      <c r="D4505" s="25" t="s">
        <v>12058</v>
      </c>
      <c r="E4505" s="26">
        <v>53394</v>
      </c>
    </row>
    <row r="4506" spans="1:5" x14ac:dyDescent="0.25">
      <c r="A4506" s="24" t="s">
        <v>7</v>
      </c>
      <c r="B4506" s="24" t="s">
        <v>12059</v>
      </c>
      <c r="C4506" s="25" t="s">
        <v>12060</v>
      </c>
      <c r="D4506" s="25" t="s">
        <v>12061</v>
      </c>
      <c r="E4506" s="26">
        <v>260</v>
      </c>
    </row>
    <row r="4507" spans="1:5" x14ac:dyDescent="0.25">
      <c r="A4507" s="24" t="s">
        <v>7</v>
      </c>
      <c r="B4507" s="24" t="s">
        <v>12062</v>
      </c>
      <c r="C4507" s="25" t="s">
        <v>12063</v>
      </c>
      <c r="D4507" s="25" t="s">
        <v>12064</v>
      </c>
      <c r="E4507" s="26">
        <v>3092</v>
      </c>
    </row>
    <row r="4508" spans="1:5" x14ac:dyDescent="0.25">
      <c r="A4508" s="24" t="s">
        <v>7</v>
      </c>
      <c r="B4508" s="24" t="s">
        <v>12065</v>
      </c>
      <c r="C4508" s="25" t="s">
        <v>12066</v>
      </c>
      <c r="D4508" s="25" t="s">
        <v>12067</v>
      </c>
      <c r="E4508" s="26">
        <v>358</v>
      </c>
    </row>
    <row r="4509" spans="1:5" x14ac:dyDescent="0.25">
      <c r="A4509" s="24" t="s">
        <v>7</v>
      </c>
      <c r="B4509" s="24" t="s">
        <v>12068</v>
      </c>
      <c r="C4509" s="25" t="s">
        <v>12069</v>
      </c>
      <c r="D4509" s="25" t="s">
        <v>12070</v>
      </c>
      <c r="E4509" s="26">
        <v>25</v>
      </c>
    </row>
    <row r="4510" spans="1:5" x14ac:dyDescent="0.25">
      <c r="A4510" s="24" t="s">
        <v>7</v>
      </c>
      <c r="B4510" s="24" t="s">
        <v>12071</v>
      </c>
      <c r="C4510" s="25" t="s">
        <v>12072</v>
      </c>
      <c r="D4510" s="25" t="s">
        <v>12073</v>
      </c>
      <c r="E4510" s="26">
        <v>0.28999999999999998</v>
      </c>
    </row>
    <row r="4511" spans="1:5" x14ac:dyDescent="0.25">
      <c r="A4511" s="24" t="s">
        <v>7</v>
      </c>
      <c r="B4511" s="24" t="s">
        <v>12074</v>
      </c>
      <c r="C4511" s="25" t="s">
        <v>12075</v>
      </c>
      <c r="D4511" s="25" t="s">
        <v>12076</v>
      </c>
      <c r="E4511" s="26">
        <v>58</v>
      </c>
    </row>
    <row r="4512" spans="1:5" x14ac:dyDescent="0.25">
      <c r="A4512" s="24" t="s">
        <v>7</v>
      </c>
      <c r="B4512" s="24" t="s">
        <v>12077</v>
      </c>
      <c r="C4512" s="25" t="s">
        <v>12078</v>
      </c>
      <c r="D4512" s="25" t="s">
        <v>12079</v>
      </c>
      <c r="E4512" s="26">
        <v>5</v>
      </c>
    </row>
    <row r="4513" spans="1:5" x14ac:dyDescent="0.25">
      <c r="A4513" s="24" t="s">
        <v>7</v>
      </c>
      <c r="B4513" s="24" t="s">
        <v>12080</v>
      </c>
      <c r="C4513" s="25" t="s">
        <v>12081</v>
      </c>
      <c r="D4513" s="25" t="s">
        <v>12082</v>
      </c>
      <c r="E4513" s="26">
        <v>243</v>
      </c>
    </row>
    <row r="4514" spans="1:5" x14ac:dyDescent="0.25">
      <c r="A4514" s="24" t="s">
        <v>7</v>
      </c>
      <c r="B4514" s="24" t="s">
        <v>12083</v>
      </c>
      <c r="C4514" s="25" t="s">
        <v>12084</v>
      </c>
      <c r="D4514" s="25" t="s">
        <v>12085</v>
      </c>
      <c r="E4514" s="26">
        <v>136</v>
      </c>
    </row>
    <row r="4515" spans="1:5" x14ac:dyDescent="0.25">
      <c r="A4515" s="24" t="s">
        <v>7</v>
      </c>
      <c r="B4515" s="24" t="s">
        <v>12086</v>
      </c>
      <c r="C4515" s="25" t="s">
        <v>12087</v>
      </c>
      <c r="D4515" s="25" t="s">
        <v>12088</v>
      </c>
      <c r="E4515" s="26">
        <v>1741</v>
      </c>
    </row>
    <row r="4516" spans="1:5" x14ac:dyDescent="0.25">
      <c r="A4516" s="24" t="s">
        <v>7</v>
      </c>
      <c r="B4516" s="24" t="s">
        <v>12089</v>
      </c>
      <c r="C4516" s="25" t="s">
        <v>12090</v>
      </c>
      <c r="D4516" s="25" t="s">
        <v>12091</v>
      </c>
      <c r="E4516" s="26">
        <v>52.8</v>
      </c>
    </row>
    <row r="4517" spans="1:5" x14ac:dyDescent="0.25">
      <c r="A4517" s="24" t="s">
        <v>7</v>
      </c>
      <c r="B4517" s="24" t="s">
        <v>12092</v>
      </c>
      <c r="C4517" s="25" t="s">
        <v>12093</v>
      </c>
      <c r="D4517" s="25" t="s">
        <v>12094</v>
      </c>
      <c r="E4517" s="26">
        <v>14</v>
      </c>
    </row>
    <row r="4518" spans="1:5" x14ac:dyDescent="0.25">
      <c r="A4518" s="24" t="s">
        <v>7</v>
      </c>
      <c r="B4518" s="24" t="s">
        <v>12095</v>
      </c>
      <c r="C4518" s="25" t="s">
        <v>12096</v>
      </c>
      <c r="D4518" s="25" t="s">
        <v>12097</v>
      </c>
      <c r="E4518" s="26">
        <v>551</v>
      </c>
    </row>
    <row r="4519" spans="1:5" x14ac:dyDescent="0.25">
      <c r="A4519" s="24" t="s">
        <v>7</v>
      </c>
      <c r="B4519" s="24" t="s">
        <v>12098</v>
      </c>
      <c r="C4519" s="25" t="s">
        <v>12099</v>
      </c>
      <c r="D4519" s="25" t="s">
        <v>12100</v>
      </c>
      <c r="E4519" s="26">
        <v>1</v>
      </c>
    </row>
    <row r="4520" spans="1:5" x14ac:dyDescent="0.25">
      <c r="A4520" s="24" t="s">
        <v>7</v>
      </c>
      <c r="B4520" s="24" t="s">
        <v>12101</v>
      </c>
      <c r="C4520" s="25" t="s">
        <v>12102</v>
      </c>
      <c r="D4520" s="25" t="s">
        <v>12103</v>
      </c>
      <c r="E4520" s="26">
        <v>1</v>
      </c>
    </row>
    <row r="4521" spans="1:5" x14ac:dyDescent="0.25">
      <c r="A4521" s="24" t="s">
        <v>7</v>
      </c>
      <c r="B4521" s="24" t="s">
        <v>12104</v>
      </c>
      <c r="C4521" s="25" t="s">
        <v>12105</v>
      </c>
      <c r="D4521" s="25" t="s">
        <v>12106</v>
      </c>
      <c r="E4521" s="26">
        <v>14</v>
      </c>
    </row>
    <row r="4522" spans="1:5" x14ac:dyDescent="0.25">
      <c r="A4522" s="24" t="s">
        <v>7</v>
      </c>
      <c r="B4522" s="24" t="s">
        <v>12107</v>
      </c>
      <c r="C4522" s="25" t="s">
        <v>12108</v>
      </c>
      <c r="D4522" s="25" t="s">
        <v>12109</v>
      </c>
      <c r="E4522" s="26">
        <v>167</v>
      </c>
    </row>
    <row r="4523" spans="1:5" x14ac:dyDescent="0.25">
      <c r="A4523" s="24" t="s">
        <v>7</v>
      </c>
      <c r="B4523" s="24" t="s">
        <v>12110</v>
      </c>
      <c r="C4523" s="25" t="s">
        <v>12111</v>
      </c>
      <c r="D4523" s="25" t="s">
        <v>12112</v>
      </c>
      <c r="E4523" s="26">
        <v>7</v>
      </c>
    </row>
    <row r="4524" spans="1:5" x14ac:dyDescent="0.25">
      <c r="A4524" s="24" t="s">
        <v>7</v>
      </c>
      <c r="B4524" s="24" t="s">
        <v>12113</v>
      </c>
      <c r="C4524" s="25" t="s">
        <v>12114</v>
      </c>
      <c r="D4524" s="25" t="s">
        <v>12115</v>
      </c>
      <c r="E4524" s="26">
        <v>39</v>
      </c>
    </row>
    <row r="4525" spans="1:5" x14ac:dyDescent="0.25">
      <c r="A4525" s="24" t="s">
        <v>7</v>
      </c>
      <c r="B4525" s="24" t="s">
        <v>12116</v>
      </c>
      <c r="C4525" s="25" t="s">
        <v>12117</v>
      </c>
      <c r="D4525" s="25" t="s">
        <v>12118</v>
      </c>
      <c r="E4525" s="26">
        <v>17</v>
      </c>
    </row>
    <row r="4526" spans="1:5" x14ac:dyDescent="0.25">
      <c r="A4526" s="24" t="s">
        <v>7</v>
      </c>
      <c r="B4526" s="24" t="s">
        <v>12119</v>
      </c>
      <c r="C4526" s="25" t="s">
        <v>12120</v>
      </c>
      <c r="D4526" s="25" t="s">
        <v>12121</v>
      </c>
      <c r="E4526" s="26">
        <v>9</v>
      </c>
    </row>
    <row r="4527" spans="1:5" x14ac:dyDescent="0.25">
      <c r="A4527" s="24" t="s">
        <v>7</v>
      </c>
      <c r="B4527" s="24" t="s">
        <v>12122</v>
      </c>
      <c r="C4527" s="25" t="s">
        <v>12123</v>
      </c>
      <c r="D4527" s="25" t="s">
        <v>12124</v>
      </c>
      <c r="E4527" s="26">
        <v>4</v>
      </c>
    </row>
    <row r="4528" spans="1:5" x14ac:dyDescent="0.25">
      <c r="A4528" s="24" t="s">
        <v>7</v>
      </c>
      <c r="B4528" s="24" t="s">
        <v>12125</v>
      </c>
      <c r="C4528" s="25" t="s">
        <v>12126</v>
      </c>
      <c r="D4528" s="25" t="s">
        <v>12127</v>
      </c>
      <c r="E4528" s="26">
        <v>364</v>
      </c>
    </row>
    <row r="4529" spans="1:5" x14ac:dyDescent="0.25">
      <c r="A4529" s="24" t="s">
        <v>7</v>
      </c>
      <c r="B4529" s="24" t="s">
        <v>12128</v>
      </c>
      <c r="C4529" s="25" t="s">
        <v>12129</v>
      </c>
      <c r="D4529" s="25" t="s">
        <v>12130</v>
      </c>
      <c r="E4529" s="26">
        <v>178</v>
      </c>
    </row>
    <row r="4530" spans="1:5" x14ac:dyDescent="0.25">
      <c r="A4530" s="24" t="s">
        <v>7</v>
      </c>
      <c r="B4530" s="24" t="s">
        <v>12131</v>
      </c>
      <c r="C4530" s="25" t="s">
        <v>12132</v>
      </c>
      <c r="D4530" s="25" t="s">
        <v>12133</v>
      </c>
      <c r="E4530" s="26">
        <v>77</v>
      </c>
    </row>
    <row r="4531" spans="1:5" x14ac:dyDescent="0.25">
      <c r="A4531" s="24" t="s">
        <v>7</v>
      </c>
      <c r="B4531" s="24" t="s">
        <v>12134</v>
      </c>
      <c r="C4531" s="25" t="s">
        <v>12135</v>
      </c>
      <c r="D4531" s="25" t="s">
        <v>12136</v>
      </c>
      <c r="E4531" s="26">
        <v>37</v>
      </c>
    </row>
    <row r="4532" spans="1:5" x14ac:dyDescent="0.25">
      <c r="A4532" s="24" t="s">
        <v>7</v>
      </c>
      <c r="B4532" s="24" t="s">
        <v>12137</v>
      </c>
      <c r="C4532" s="25" t="s">
        <v>12138</v>
      </c>
      <c r="D4532" s="25" t="s">
        <v>12139</v>
      </c>
      <c r="E4532" s="26">
        <v>58</v>
      </c>
    </row>
    <row r="4533" spans="1:5" x14ac:dyDescent="0.25">
      <c r="A4533" s="24" t="s">
        <v>7</v>
      </c>
      <c r="B4533" s="24" t="s">
        <v>12140</v>
      </c>
      <c r="C4533" s="25" t="s">
        <v>12141</v>
      </c>
      <c r="D4533" s="25" t="s">
        <v>12142</v>
      </c>
      <c r="E4533" s="26">
        <v>74</v>
      </c>
    </row>
    <row r="4534" spans="1:5" x14ac:dyDescent="0.25">
      <c r="A4534" s="24" t="s">
        <v>7</v>
      </c>
      <c r="B4534" s="24" t="s">
        <v>12143</v>
      </c>
      <c r="C4534" s="25" t="s">
        <v>12144</v>
      </c>
      <c r="D4534" s="25" t="s">
        <v>12145</v>
      </c>
      <c r="E4534" s="26">
        <v>151</v>
      </c>
    </row>
    <row r="4535" spans="1:5" x14ac:dyDescent="0.25">
      <c r="A4535" s="24" t="s">
        <v>7</v>
      </c>
      <c r="B4535" s="24" t="s">
        <v>12146</v>
      </c>
      <c r="C4535" s="25" t="s">
        <v>12147</v>
      </c>
      <c r="D4535" s="25" t="s">
        <v>12148</v>
      </c>
      <c r="E4535" s="26">
        <v>5</v>
      </c>
    </row>
    <row r="4536" spans="1:5" x14ac:dyDescent="0.25">
      <c r="A4536" s="24" t="s">
        <v>7</v>
      </c>
      <c r="B4536" s="24" t="s">
        <v>12149</v>
      </c>
      <c r="C4536" s="25" t="s">
        <v>12150</v>
      </c>
      <c r="D4536" s="25" t="s">
        <v>12151</v>
      </c>
      <c r="E4536" s="26">
        <v>5</v>
      </c>
    </row>
    <row r="4537" spans="1:5" x14ac:dyDescent="0.25">
      <c r="A4537" s="24" t="s">
        <v>7</v>
      </c>
      <c r="B4537" s="24" t="s">
        <v>12152</v>
      </c>
      <c r="C4537" s="25" t="s">
        <v>12153</v>
      </c>
      <c r="D4537" s="25" t="s">
        <v>12154</v>
      </c>
      <c r="E4537" s="26">
        <v>273</v>
      </c>
    </row>
    <row r="4538" spans="1:5" x14ac:dyDescent="0.25">
      <c r="A4538" s="24" t="s">
        <v>7</v>
      </c>
      <c r="B4538" s="24" t="s">
        <v>12155</v>
      </c>
      <c r="C4538" s="25" t="s">
        <v>12156</v>
      </c>
      <c r="D4538" s="25" t="s">
        <v>12157</v>
      </c>
      <c r="E4538" s="26">
        <v>40</v>
      </c>
    </row>
    <row r="4539" spans="1:5" x14ac:dyDescent="0.25">
      <c r="A4539" s="24" t="s">
        <v>7</v>
      </c>
      <c r="B4539" s="24" t="s">
        <v>12158</v>
      </c>
      <c r="C4539" s="25" t="s">
        <v>12159</v>
      </c>
      <c r="D4539" s="25" t="s">
        <v>12160</v>
      </c>
      <c r="E4539" s="26">
        <v>392</v>
      </c>
    </row>
    <row r="4540" spans="1:5" x14ac:dyDescent="0.25">
      <c r="A4540" s="24" t="s">
        <v>7</v>
      </c>
      <c r="B4540" s="24" t="s">
        <v>12161</v>
      </c>
      <c r="C4540" s="25" t="s">
        <v>12162</v>
      </c>
      <c r="D4540" s="25" t="s">
        <v>12163</v>
      </c>
      <c r="E4540" s="26">
        <v>9</v>
      </c>
    </row>
    <row r="4541" spans="1:5" x14ac:dyDescent="0.25">
      <c r="A4541" s="24" t="s">
        <v>7</v>
      </c>
      <c r="B4541" s="24" t="s">
        <v>12164</v>
      </c>
      <c r="C4541" s="25" t="s">
        <v>12165</v>
      </c>
      <c r="D4541" s="25" t="s">
        <v>12166</v>
      </c>
      <c r="E4541" s="26">
        <v>105</v>
      </c>
    </row>
    <row r="4542" spans="1:5" x14ac:dyDescent="0.25">
      <c r="A4542" s="24" t="s">
        <v>7</v>
      </c>
      <c r="B4542" s="24" t="s">
        <v>12167</v>
      </c>
      <c r="C4542" s="25" t="s">
        <v>12168</v>
      </c>
      <c r="D4542" s="25" t="s">
        <v>12169</v>
      </c>
      <c r="E4542" s="26">
        <v>1</v>
      </c>
    </row>
    <row r="4543" spans="1:5" x14ac:dyDescent="0.25">
      <c r="A4543" s="24" t="s">
        <v>7</v>
      </c>
      <c r="B4543" s="24" t="s">
        <v>12170</v>
      </c>
      <c r="C4543" s="25" t="s">
        <v>12171</v>
      </c>
      <c r="D4543" s="25" t="s">
        <v>12172</v>
      </c>
      <c r="E4543" s="26">
        <v>24</v>
      </c>
    </row>
    <row r="4544" spans="1:5" x14ac:dyDescent="0.25">
      <c r="A4544" s="24" t="s">
        <v>7</v>
      </c>
      <c r="B4544" s="24" t="s">
        <v>12173</v>
      </c>
      <c r="C4544" s="25" t="s">
        <v>12174</v>
      </c>
      <c r="D4544" s="25" t="s">
        <v>12175</v>
      </c>
      <c r="E4544" s="26">
        <v>14</v>
      </c>
    </row>
    <row r="4545" spans="1:5" x14ac:dyDescent="0.25">
      <c r="A4545" s="24" t="s">
        <v>7</v>
      </c>
      <c r="B4545" s="24" t="s">
        <v>12176</v>
      </c>
      <c r="C4545" s="25" t="s">
        <v>12177</v>
      </c>
      <c r="D4545" s="25" t="s">
        <v>12178</v>
      </c>
      <c r="E4545" s="26">
        <v>132</v>
      </c>
    </row>
    <row r="4546" spans="1:5" x14ac:dyDescent="0.25">
      <c r="A4546" s="24" t="s">
        <v>7</v>
      </c>
      <c r="B4546" s="24" t="s">
        <v>12179</v>
      </c>
      <c r="C4546" s="25" t="s">
        <v>12180</v>
      </c>
      <c r="D4546" s="25" t="s">
        <v>12181</v>
      </c>
      <c r="E4546" s="26">
        <v>92</v>
      </c>
    </row>
    <row r="4547" spans="1:5" x14ac:dyDescent="0.25">
      <c r="A4547" s="24" t="s">
        <v>7</v>
      </c>
      <c r="B4547" s="24" t="s">
        <v>12182</v>
      </c>
      <c r="C4547" s="25" t="s">
        <v>12183</v>
      </c>
      <c r="D4547" s="25" t="s">
        <v>12184</v>
      </c>
      <c r="E4547" s="26">
        <v>1789.48</v>
      </c>
    </row>
    <row r="4548" spans="1:5" x14ac:dyDescent="0.25">
      <c r="A4548" s="24" t="s">
        <v>7</v>
      </c>
      <c r="B4548" s="24" t="s">
        <v>12185</v>
      </c>
      <c r="C4548" s="25" t="s">
        <v>12186</v>
      </c>
      <c r="D4548" s="25" t="s">
        <v>12187</v>
      </c>
      <c r="E4548" s="26">
        <v>25</v>
      </c>
    </row>
    <row r="4549" spans="1:5" x14ac:dyDescent="0.25">
      <c r="A4549" s="24" t="s">
        <v>7</v>
      </c>
      <c r="B4549" s="24" t="s">
        <v>12188</v>
      </c>
      <c r="C4549" s="25" t="s">
        <v>12189</v>
      </c>
      <c r="D4549" s="25" t="s">
        <v>12190</v>
      </c>
      <c r="E4549" s="26">
        <v>24</v>
      </c>
    </row>
    <row r="4550" spans="1:5" x14ac:dyDescent="0.25">
      <c r="A4550" s="24" t="s">
        <v>7</v>
      </c>
      <c r="B4550" s="24" t="s">
        <v>12191</v>
      </c>
      <c r="C4550" s="25" t="s">
        <v>12192</v>
      </c>
      <c r="D4550" s="25" t="s">
        <v>12193</v>
      </c>
      <c r="E4550" s="26">
        <v>793</v>
      </c>
    </row>
    <row r="4551" spans="1:5" x14ac:dyDescent="0.25">
      <c r="A4551" s="24" t="s">
        <v>7</v>
      </c>
      <c r="B4551" s="24" t="s">
        <v>12194</v>
      </c>
      <c r="C4551" s="25" t="s">
        <v>12195</v>
      </c>
      <c r="D4551" s="25" t="s">
        <v>12196</v>
      </c>
      <c r="E4551" s="26">
        <v>1497</v>
      </c>
    </row>
    <row r="4552" spans="1:5" x14ac:dyDescent="0.25">
      <c r="A4552" s="24" t="s">
        <v>7</v>
      </c>
      <c r="B4552" s="24" t="s">
        <v>12197</v>
      </c>
      <c r="C4552" s="25" t="s">
        <v>12198</v>
      </c>
      <c r="D4552" s="25" t="s">
        <v>12199</v>
      </c>
      <c r="E4552" s="26">
        <v>9451</v>
      </c>
    </row>
    <row r="4553" spans="1:5" x14ac:dyDescent="0.25">
      <c r="A4553" s="24" t="s">
        <v>7</v>
      </c>
      <c r="B4553" s="24" t="s">
        <v>12200</v>
      </c>
      <c r="C4553" s="25" t="s">
        <v>12201</v>
      </c>
      <c r="D4553" s="25" t="s">
        <v>12202</v>
      </c>
      <c r="E4553" s="26">
        <v>437</v>
      </c>
    </row>
    <row r="4554" spans="1:5" x14ac:dyDescent="0.25">
      <c r="A4554" s="24" t="s">
        <v>7</v>
      </c>
      <c r="B4554" s="24" t="s">
        <v>12203</v>
      </c>
      <c r="C4554" s="25" t="s">
        <v>12204</v>
      </c>
      <c r="D4554" s="25" t="s">
        <v>12205</v>
      </c>
      <c r="E4554" s="26">
        <v>246</v>
      </c>
    </row>
    <row r="4555" spans="1:5" x14ac:dyDescent="0.25">
      <c r="A4555" s="24" t="s">
        <v>7</v>
      </c>
      <c r="B4555" s="24" t="s">
        <v>12206</v>
      </c>
      <c r="C4555" s="25" t="s">
        <v>12207</v>
      </c>
      <c r="D4555" s="25" t="s">
        <v>12208</v>
      </c>
      <c r="E4555" s="26">
        <v>2291</v>
      </c>
    </row>
    <row r="4556" spans="1:5" x14ac:dyDescent="0.25">
      <c r="A4556" s="24" t="s">
        <v>7</v>
      </c>
      <c r="B4556" s="24" t="s">
        <v>12209</v>
      </c>
      <c r="C4556" s="25" t="s">
        <v>12210</v>
      </c>
      <c r="D4556" s="25" t="s">
        <v>12211</v>
      </c>
      <c r="E4556" s="26">
        <v>74</v>
      </c>
    </row>
    <row r="4557" spans="1:5" x14ac:dyDescent="0.25">
      <c r="A4557" s="24" t="s">
        <v>7</v>
      </c>
      <c r="B4557" s="24" t="s">
        <v>12212</v>
      </c>
      <c r="C4557" s="25" t="s">
        <v>12213</v>
      </c>
      <c r="D4557" s="25" t="s">
        <v>12214</v>
      </c>
      <c r="E4557" s="26">
        <v>387</v>
      </c>
    </row>
    <row r="4558" spans="1:5" x14ac:dyDescent="0.25">
      <c r="A4558" s="24" t="s">
        <v>7</v>
      </c>
      <c r="B4558" s="24" t="s">
        <v>12215</v>
      </c>
      <c r="C4558" s="25" t="s">
        <v>12216</v>
      </c>
      <c r="D4558" s="25" t="s">
        <v>12217</v>
      </c>
      <c r="E4558" s="26">
        <v>197.84</v>
      </c>
    </row>
    <row r="4559" spans="1:5" x14ac:dyDescent="0.25">
      <c r="A4559" s="24" t="s">
        <v>7</v>
      </c>
      <c r="B4559" s="24" t="s">
        <v>12218</v>
      </c>
      <c r="C4559" s="25" t="s">
        <v>12219</v>
      </c>
      <c r="D4559" s="25" t="s">
        <v>12220</v>
      </c>
      <c r="E4559" s="26">
        <v>589</v>
      </c>
    </row>
    <row r="4560" spans="1:5" x14ac:dyDescent="0.25">
      <c r="A4560" s="24" t="s">
        <v>7</v>
      </c>
      <c r="B4560" s="24" t="s">
        <v>12221</v>
      </c>
      <c r="C4560" s="25" t="s">
        <v>12222</v>
      </c>
      <c r="D4560" s="25" t="s">
        <v>12223</v>
      </c>
      <c r="E4560" s="26">
        <v>4</v>
      </c>
    </row>
    <row r="4561" spans="1:5" x14ac:dyDescent="0.25">
      <c r="A4561" s="24" t="s">
        <v>7</v>
      </c>
      <c r="B4561" s="24" t="s">
        <v>12224</v>
      </c>
      <c r="C4561" s="25" t="s">
        <v>12225</v>
      </c>
      <c r="D4561" s="25" t="s">
        <v>12226</v>
      </c>
      <c r="E4561" s="26">
        <v>1968</v>
      </c>
    </row>
    <row r="4562" spans="1:5" x14ac:dyDescent="0.25">
      <c r="A4562" s="24" t="s">
        <v>7</v>
      </c>
      <c r="B4562" s="24" t="s">
        <v>12227</v>
      </c>
      <c r="C4562" s="25" t="s">
        <v>12228</v>
      </c>
      <c r="D4562" s="25" t="s">
        <v>12229</v>
      </c>
      <c r="E4562" s="26">
        <v>36</v>
      </c>
    </row>
    <row r="4563" spans="1:5" x14ac:dyDescent="0.25">
      <c r="A4563" s="24" t="s">
        <v>7</v>
      </c>
      <c r="B4563" s="24" t="s">
        <v>12230</v>
      </c>
      <c r="C4563" s="25" t="s">
        <v>12231</v>
      </c>
      <c r="D4563" s="25" t="s">
        <v>12232</v>
      </c>
      <c r="E4563" s="26">
        <v>13</v>
      </c>
    </row>
    <row r="4564" spans="1:5" x14ac:dyDescent="0.25">
      <c r="A4564" s="24" t="s">
        <v>7</v>
      </c>
      <c r="B4564" s="24" t="s">
        <v>12233</v>
      </c>
      <c r="C4564" s="25" t="s">
        <v>12234</v>
      </c>
      <c r="D4564" s="25" t="s">
        <v>12235</v>
      </c>
      <c r="E4564" s="26">
        <v>46</v>
      </c>
    </row>
    <row r="4565" spans="1:5" x14ac:dyDescent="0.25">
      <c r="A4565" s="24" t="s">
        <v>7</v>
      </c>
      <c r="B4565" s="24" t="s">
        <v>12236</v>
      </c>
      <c r="C4565" s="25" t="s">
        <v>12237</v>
      </c>
      <c r="D4565" s="25" t="s">
        <v>12238</v>
      </c>
      <c r="E4565" s="26">
        <v>1</v>
      </c>
    </row>
    <row r="4566" spans="1:5" x14ac:dyDescent="0.25">
      <c r="A4566" s="24" t="s">
        <v>7</v>
      </c>
      <c r="B4566" s="24" t="s">
        <v>12239</v>
      </c>
      <c r="C4566" s="25" t="s">
        <v>12240</v>
      </c>
      <c r="D4566" s="25" t="s">
        <v>12241</v>
      </c>
      <c r="E4566" s="26">
        <v>1</v>
      </c>
    </row>
    <row r="4567" spans="1:5" x14ac:dyDescent="0.25">
      <c r="A4567" s="24" t="s">
        <v>7</v>
      </c>
      <c r="B4567" s="24" t="s">
        <v>12242</v>
      </c>
      <c r="C4567" s="25" t="s">
        <v>12243</v>
      </c>
      <c r="D4567" s="25" t="s">
        <v>12244</v>
      </c>
      <c r="E4567" s="26">
        <v>65</v>
      </c>
    </row>
    <row r="4568" spans="1:5" x14ac:dyDescent="0.25">
      <c r="A4568" s="24" t="s">
        <v>7</v>
      </c>
      <c r="B4568" s="24" t="s">
        <v>12245</v>
      </c>
      <c r="C4568" s="25" t="s">
        <v>12246</v>
      </c>
      <c r="D4568" s="25" t="s">
        <v>12247</v>
      </c>
      <c r="E4568" s="26">
        <v>36</v>
      </c>
    </row>
    <row r="4569" spans="1:5" x14ac:dyDescent="0.25">
      <c r="A4569" s="24" t="s">
        <v>7</v>
      </c>
      <c r="B4569" s="24" t="s">
        <v>12248</v>
      </c>
      <c r="C4569" s="25" t="s">
        <v>12249</v>
      </c>
      <c r="D4569" s="25" t="s">
        <v>12250</v>
      </c>
      <c r="E4569" s="26">
        <v>140</v>
      </c>
    </row>
    <row r="4570" spans="1:5" x14ac:dyDescent="0.25">
      <c r="A4570" s="24" t="s">
        <v>7</v>
      </c>
      <c r="B4570" s="24" t="s">
        <v>12251</v>
      </c>
      <c r="C4570" s="25" t="s">
        <v>12252</v>
      </c>
      <c r="D4570" s="25" t="s">
        <v>12253</v>
      </c>
      <c r="E4570" s="26">
        <v>273</v>
      </c>
    </row>
    <row r="4571" spans="1:5" x14ac:dyDescent="0.25">
      <c r="A4571" s="24" t="s">
        <v>7</v>
      </c>
      <c r="B4571" s="24" t="s">
        <v>12254</v>
      </c>
      <c r="C4571" s="25" t="s">
        <v>12255</v>
      </c>
      <c r="D4571" s="25" t="s">
        <v>12256</v>
      </c>
      <c r="E4571" s="26">
        <v>388</v>
      </c>
    </row>
    <row r="4572" spans="1:5" x14ac:dyDescent="0.25">
      <c r="A4572" s="24" t="s">
        <v>7</v>
      </c>
      <c r="B4572" s="24" t="s">
        <v>12257</v>
      </c>
      <c r="C4572" s="25" t="s">
        <v>12258</v>
      </c>
      <c r="D4572" s="25" t="s">
        <v>12259</v>
      </c>
      <c r="E4572" s="26">
        <v>56</v>
      </c>
    </row>
    <row r="4573" spans="1:5" x14ac:dyDescent="0.25">
      <c r="A4573" s="24" t="s">
        <v>7</v>
      </c>
      <c r="B4573" s="24" t="s">
        <v>12260</v>
      </c>
      <c r="C4573" s="25" t="s">
        <v>12261</v>
      </c>
      <c r="D4573" s="25" t="s">
        <v>12262</v>
      </c>
      <c r="E4573" s="26">
        <v>189</v>
      </c>
    </row>
    <row r="4574" spans="1:5" x14ac:dyDescent="0.25">
      <c r="A4574" s="24" t="s">
        <v>7</v>
      </c>
      <c r="B4574" s="24" t="s">
        <v>12263</v>
      </c>
      <c r="C4574" s="25" t="s">
        <v>12264</v>
      </c>
      <c r="D4574" s="25" t="s">
        <v>12265</v>
      </c>
      <c r="E4574" s="26">
        <v>42</v>
      </c>
    </row>
    <row r="4575" spans="1:5" x14ac:dyDescent="0.25">
      <c r="A4575" s="24" t="s">
        <v>7</v>
      </c>
      <c r="B4575" s="24" t="s">
        <v>12266</v>
      </c>
      <c r="C4575" s="25" t="s">
        <v>12267</v>
      </c>
      <c r="D4575" s="25" t="s">
        <v>12268</v>
      </c>
      <c r="E4575" s="26">
        <v>8</v>
      </c>
    </row>
    <row r="4576" spans="1:5" x14ac:dyDescent="0.25">
      <c r="A4576" s="24" t="s">
        <v>7</v>
      </c>
      <c r="B4576" s="24" t="s">
        <v>12269</v>
      </c>
      <c r="C4576" s="25" t="s">
        <v>12270</v>
      </c>
      <c r="D4576" s="25" t="s">
        <v>12271</v>
      </c>
      <c r="E4576" s="26">
        <v>8</v>
      </c>
    </row>
    <row r="4577" spans="1:5" x14ac:dyDescent="0.25">
      <c r="A4577" s="24" t="s">
        <v>7</v>
      </c>
      <c r="B4577" s="24" t="s">
        <v>12272</v>
      </c>
      <c r="C4577" s="25" t="s">
        <v>12273</v>
      </c>
      <c r="D4577" s="25" t="s">
        <v>12274</v>
      </c>
      <c r="E4577" s="26">
        <v>8</v>
      </c>
    </row>
    <row r="4578" spans="1:5" x14ac:dyDescent="0.25">
      <c r="A4578" s="24" t="s">
        <v>7</v>
      </c>
      <c r="B4578" s="24" t="s">
        <v>12275</v>
      </c>
      <c r="C4578" s="25" t="s">
        <v>12276</v>
      </c>
      <c r="D4578" s="25" t="s">
        <v>12277</v>
      </c>
      <c r="E4578" s="26">
        <v>95</v>
      </c>
    </row>
    <row r="4579" spans="1:5" x14ac:dyDescent="0.25">
      <c r="A4579" s="24" t="s">
        <v>7</v>
      </c>
      <c r="B4579" s="24" t="s">
        <v>12278</v>
      </c>
      <c r="C4579" s="25" t="s">
        <v>12279</v>
      </c>
      <c r="D4579" s="25" t="s">
        <v>12280</v>
      </c>
      <c r="E4579" s="26">
        <v>159</v>
      </c>
    </row>
    <row r="4580" spans="1:5" x14ac:dyDescent="0.25">
      <c r="A4580" s="24" t="s">
        <v>7</v>
      </c>
      <c r="B4580" s="24" t="s">
        <v>12281</v>
      </c>
      <c r="C4580" s="25" t="s">
        <v>12282</v>
      </c>
      <c r="D4580" s="25" t="s">
        <v>12283</v>
      </c>
      <c r="E4580" s="26">
        <v>215.63</v>
      </c>
    </row>
    <row r="4581" spans="1:5" x14ac:dyDescent="0.25">
      <c r="A4581" s="24" t="s">
        <v>7</v>
      </c>
      <c r="B4581" s="24" t="s">
        <v>12284</v>
      </c>
      <c r="C4581" s="25" t="s">
        <v>12285</v>
      </c>
      <c r="D4581" s="25" t="s">
        <v>12286</v>
      </c>
      <c r="E4581" s="26">
        <v>1.97</v>
      </c>
    </row>
    <row r="4582" spans="1:5" x14ac:dyDescent="0.25">
      <c r="A4582" s="24" t="s">
        <v>7</v>
      </c>
      <c r="B4582" s="24" t="s">
        <v>12287</v>
      </c>
      <c r="C4582" s="25" t="s">
        <v>12288</v>
      </c>
      <c r="D4582" s="25" t="s">
        <v>12289</v>
      </c>
      <c r="E4582" s="26">
        <v>363</v>
      </c>
    </row>
    <row r="4583" spans="1:5" x14ac:dyDescent="0.25">
      <c r="A4583" s="24" t="s">
        <v>7</v>
      </c>
      <c r="B4583" s="24" t="s">
        <v>12290</v>
      </c>
      <c r="C4583" s="25" t="s">
        <v>12291</v>
      </c>
      <c r="D4583" s="25" t="s">
        <v>12292</v>
      </c>
      <c r="E4583" s="26">
        <v>143</v>
      </c>
    </row>
    <row r="4584" spans="1:5" x14ac:dyDescent="0.25">
      <c r="A4584" s="24" t="s">
        <v>7</v>
      </c>
      <c r="B4584" s="24" t="s">
        <v>12293</v>
      </c>
      <c r="C4584" s="25" t="s">
        <v>12294</v>
      </c>
      <c r="D4584" s="25" t="s">
        <v>12295</v>
      </c>
      <c r="E4584" s="26">
        <v>1932</v>
      </c>
    </row>
    <row r="4585" spans="1:5" x14ac:dyDescent="0.25">
      <c r="A4585" s="24" t="s">
        <v>7</v>
      </c>
      <c r="B4585" s="24" t="s">
        <v>12296</v>
      </c>
      <c r="C4585" s="25" t="s">
        <v>12297</v>
      </c>
      <c r="D4585" s="25" t="s">
        <v>12298</v>
      </c>
      <c r="E4585" s="26">
        <v>815</v>
      </c>
    </row>
    <row r="4586" spans="1:5" x14ac:dyDescent="0.25">
      <c r="A4586" s="24" t="s">
        <v>7</v>
      </c>
      <c r="B4586" s="24" t="s">
        <v>12299</v>
      </c>
      <c r="C4586" s="25" t="s">
        <v>12300</v>
      </c>
      <c r="D4586" s="25" t="s">
        <v>12301</v>
      </c>
      <c r="E4586" s="26">
        <v>788</v>
      </c>
    </row>
    <row r="4587" spans="1:5" x14ac:dyDescent="0.25">
      <c r="A4587" s="24" t="s">
        <v>7</v>
      </c>
      <c r="B4587" s="24" t="s">
        <v>12302</v>
      </c>
      <c r="C4587" s="25" t="s">
        <v>12303</v>
      </c>
      <c r="D4587" s="25" t="s">
        <v>12304</v>
      </c>
      <c r="E4587" s="26">
        <v>2</v>
      </c>
    </row>
    <row r="4588" spans="1:5" x14ac:dyDescent="0.25">
      <c r="A4588" s="24" t="s">
        <v>7</v>
      </c>
      <c r="B4588" s="24" t="s">
        <v>12305</v>
      </c>
      <c r="C4588" s="25" t="s">
        <v>12306</v>
      </c>
      <c r="D4588" s="25" t="s">
        <v>12307</v>
      </c>
      <c r="E4588" s="26">
        <v>171</v>
      </c>
    </row>
    <row r="4589" spans="1:5" x14ac:dyDescent="0.25">
      <c r="A4589" s="24" t="s">
        <v>7</v>
      </c>
      <c r="B4589" s="24" t="s">
        <v>12308</v>
      </c>
      <c r="C4589" s="25" t="s">
        <v>12309</v>
      </c>
      <c r="D4589" s="25" t="s">
        <v>12310</v>
      </c>
      <c r="E4589" s="26">
        <v>1878</v>
      </c>
    </row>
    <row r="4590" spans="1:5" x14ac:dyDescent="0.25">
      <c r="A4590" s="24" t="s">
        <v>7</v>
      </c>
      <c r="B4590" s="24" t="s">
        <v>12311</v>
      </c>
      <c r="C4590" s="25" t="s">
        <v>12312</v>
      </c>
      <c r="D4590" s="25" t="s">
        <v>12313</v>
      </c>
      <c r="E4590" s="26">
        <v>17</v>
      </c>
    </row>
    <row r="4591" spans="1:5" x14ac:dyDescent="0.25">
      <c r="A4591" s="24" t="s">
        <v>7</v>
      </c>
      <c r="B4591" s="24" t="s">
        <v>12314</v>
      </c>
      <c r="C4591" s="25" t="s">
        <v>12315</v>
      </c>
      <c r="D4591" s="25" t="s">
        <v>12316</v>
      </c>
      <c r="E4591" s="26">
        <v>324</v>
      </c>
    </row>
    <row r="4592" spans="1:5" x14ac:dyDescent="0.25">
      <c r="A4592" s="24" t="s">
        <v>7</v>
      </c>
      <c r="B4592" s="24" t="s">
        <v>12317</v>
      </c>
      <c r="C4592" s="25" t="s">
        <v>12318</v>
      </c>
      <c r="D4592" s="25" t="s">
        <v>12319</v>
      </c>
      <c r="E4592" s="26">
        <v>994</v>
      </c>
    </row>
    <row r="4593" spans="1:7" x14ac:dyDescent="0.25">
      <c r="A4593" s="24" t="s">
        <v>7</v>
      </c>
      <c r="B4593" s="24" t="s">
        <v>12320</v>
      </c>
      <c r="C4593" s="25" t="s">
        <v>12321</v>
      </c>
      <c r="D4593" s="25" t="s">
        <v>12322</v>
      </c>
      <c r="E4593" s="26">
        <v>3</v>
      </c>
    </row>
    <row r="4594" spans="1:7" x14ac:dyDescent="0.25">
      <c r="A4594" s="24" t="s">
        <v>7</v>
      </c>
      <c r="B4594" s="24" t="s">
        <v>12323</v>
      </c>
      <c r="C4594" s="25" t="s">
        <v>12324</v>
      </c>
      <c r="D4594" s="25" t="s">
        <v>9577</v>
      </c>
      <c r="E4594" s="26">
        <v>0</v>
      </c>
      <c r="F4594" s="24" t="s">
        <v>9578</v>
      </c>
      <c r="G4594" s="27" t="s">
        <v>22610</v>
      </c>
    </row>
    <row r="4595" spans="1:7" x14ac:dyDescent="0.25">
      <c r="A4595" s="24" t="s">
        <v>7</v>
      </c>
      <c r="B4595" s="24" t="s">
        <v>12325</v>
      </c>
      <c r="C4595" s="25" t="s">
        <v>12326</v>
      </c>
      <c r="D4595" s="25" t="s">
        <v>12327</v>
      </c>
      <c r="E4595" s="26">
        <v>1</v>
      </c>
    </row>
    <row r="4596" spans="1:7" x14ac:dyDescent="0.25">
      <c r="A4596" s="24" t="s">
        <v>7</v>
      </c>
      <c r="B4596" s="24" t="s">
        <v>12328</v>
      </c>
      <c r="C4596" s="25" t="s">
        <v>12329</v>
      </c>
      <c r="D4596" s="25" t="s">
        <v>12330</v>
      </c>
      <c r="E4596" s="26">
        <v>1417</v>
      </c>
    </row>
    <row r="4597" spans="1:7" x14ac:dyDescent="0.25">
      <c r="A4597" s="24" t="s">
        <v>7</v>
      </c>
      <c r="B4597" s="24" t="s">
        <v>12331</v>
      </c>
      <c r="C4597" s="25" t="s">
        <v>12332</v>
      </c>
      <c r="D4597" s="25" t="s">
        <v>12333</v>
      </c>
      <c r="E4597" s="26">
        <v>466</v>
      </c>
    </row>
    <row r="4598" spans="1:7" x14ac:dyDescent="0.25">
      <c r="A4598" s="24" t="s">
        <v>7</v>
      </c>
      <c r="B4598" s="24" t="s">
        <v>12334</v>
      </c>
      <c r="C4598" s="25" t="s">
        <v>12335</v>
      </c>
      <c r="D4598" s="25" t="s">
        <v>12336</v>
      </c>
      <c r="E4598" s="26">
        <v>2</v>
      </c>
    </row>
    <row r="4599" spans="1:7" x14ac:dyDescent="0.25">
      <c r="A4599" s="24" t="s">
        <v>7</v>
      </c>
      <c r="B4599" s="24" t="s">
        <v>12337</v>
      </c>
      <c r="C4599" s="25" t="s">
        <v>12338</v>
      </c>
      <c r="D4599" s="25" t="s">
        <v>12339</v>
      </c>
      <c r="E4599" s="26">
        <v>18</v>
      </c>
    </row>
    <row r="4600" spans="1:7" x14ac:dyDescent="0.25">
      <c r="A4600" s="24" t="s">
        <v>7</v>
      </c>
      <c r="B4600" s="24" t="s">
        <v>12340</v>
      </c>
      <c r="C4600" s="25" t="s">
        <v>12341</v>
      </c>
      <c r="D4600" s="25" t="s">
        <v>12342</v>
      </c>
      <c r="E4600" s="26">
        <v>4</v>
      </c>
    </row>
    <row r="4601" spans="1:7" x14ac:dyDescent="0.25">
      <c r="A4601" s="24" t="s">
        <v>7</v>
      </c>
      <c r="B4601" s="24" t="s">
        <v>12343</v>
      </c>
      <c r="C4601" s="25" t="s">
        <v>12344</v>
      </c>
      <c r="D4601" s="25" t="s">
        <v>12345</v>
      </c>
      <c r="E4601" s="26">
        <v>42</v>
      </c>
    </row>
    <row r="4602" spans="1:7" x14ac:dyDescent="0.25">
      <c r="A4602" s="24" t="s">
        <v>7</v>
      </c>
      <c r="B4602" s="24" t="s">
        <v>12346</v>
      </c>
      <c r="C4602" s="25" t="s">
        <v>12347</v>
      </c>
      <c r="D4602" s="25" t="s">
        <v>12348</v>
      </c>
      <c r="E4602" s="26">
        <v>30</v>
      </c>
    </row>
    <row r="4603" spans="1:7" x14ac:dyDescent="0.25">
      <c r="A4603" s="24" t="s">
        <v>7</v>
      </c>
      <c r="B4603" s="24" t="s">
        <v>12349</v>
      </c>
      <c r="C4603" s="25" t="s">
        <v>12350</v>
      </c>
      <c r="D4603" s="25" t="s">
        <v>12351</v>
      </c>
      <c r="E4603" s="26">
        <v>18</v>
      </c>
    </row>
    <row r="4604" spans="1:7" x14ac:dyDescent="0.25">
      <c r="A4604" s="24" t="s">
        <v>7</v>
      </c>
      <c r="B4604" s="24" t="s">
        <v>12352</v>
      </c>
      <c r="C4604" s="25" t="s">
        <v>12353</v>
      </c>
      <c r="D4604" s="25" t="s">
        <v>12354</v>
      </c>
      <c r="E4604" s="26">
        <v>513</v>
      </c>
    </row>
    <row r="4605" spans="1:7" x14ac:dyDescent="0.25">
      <c r="A4605" s="24" t="s">
        <v>7</v>
      </c>
      <c r="B4605" s="24" t="s">
        <v>12355</v>
      </c>
      <c r="C4605" s="25" t="s">
        <v>12356</v>
      </c>
      <c r="D4605" s="25" t="s">
        <v>12357</v>
      </c>
      <c r="E4605" s="26">
        <v>41</v>
      </c>
    </row>
    <row r="4606" spans="1:7" x14ac:dyDescent="0.25">
      <c r="A4606" s="24" t="s">
        <v>7</v>
      </c>
      <c r="B4606" s="24" t="s">
        <v>12358</v>
      </c>
      <c r="C4606" s="25" t="s">
        <v>12359</v>
      </c>
      <c r="D4606" s="25" t="s">
        <v>12360</v>
      </c>
      <c r="E4606" s="26">
        <v>136</v>
      </c>
    </row>
    <row r="4607" spans="1:7" x14ac:dyDescent="0.25">
      <c r="A4607" s="24" t="s">
        <v>7</v>
      </c>
      <c r="B4607" s="24" t="s">
        <v>12361</v>
      </c>
      <c r="C4607" s="25" t="s">
        <v>12362</v>
      </c>
      <c r="D4607" s="25" t="s">
        <v>12363</v>
      </c>
      <c r="E4607" s="26">
        <v>160</v>
      </c>
    </row>
    <row r="4608" spans="1:7" x14ac:dyDescent="0.25">
      <c r="A4608" s="24" t="s">
        <v>7</v>
      </c>
      <c r="B4608" s="24" t="s">
        <v>12364</v>
      </c>
      <c r="C4608" s="25" t="s">
        <v>12365</v>
      </c>
      <c r="D4608" s="25" t="s">
        <v>12366</v>
      </c>
      <c r="E4608" s="26">
        <v>80</v>
      </c>
    </row>
    <row r="4609" spans="1:5" x14ac:dyDescent="0.25">
      <c r="A4609" s="24" t="s">
        <v>7</v>
      </c>
      <c r="B4609" s="24" t="s">
        <v>12367</v>
      </c>
      <c r="C4609" s="25" t="s">
        <v>12368</v>
      </c>
      <c r="D4609" s="25" t="s">
        <v>12369</v>
      </c>
      <c r="E4609" s="26">
        <v>46</v>
      </c>
    </row>
    <row r="4610" spans="1:5" x14ac:dyDescent="0.25">
      <c r="A4610" s="24" t="s">
        <v>7</v>
      </c>
      <c r="B4610" s="24" t="s">
        <v>12370</v>
      </c>
      <c r="C4610" s="25" t="s">
        <v>12371</v>
      </c>
      <c r="D4610" s="25" t="s">
        <v>12372</v>
      </c>
      <c r="E4610" s="26">
        <v>26</v>
      </c>
    </row>
    <row r="4611" spans="1:5" x14ac:dyDescent="0.25">
      <c r="A4611" s="24" t="s">
        <v>7</v>
      </c>
      <c r="B4611" s="24" t="s">
        <v>12373</v>
      </c>
      <c r="C4611" s="25" t="s">
        <v>12374</v>
      </c>
      <c r="D4611" s="25" t="s">
        <v>12375</v>
      </c>
      <c r="E4611" s="26">
        <v>645</v>
      </c>
    </row>
    <row r="4612" spans="1:5" x14ac:dyDescent="0.25">
      <c r="A4612" s="24" t="s">
        <v>7</v>
      </c>
      <c r="B4612" s="24" t="s">
        <v>12376</v>
      </c>
      <c r="C4612" s="25" t="s">
        <v>12377</v>
      </c>
      <c r="D4612" s="25" t="s">
        <v>12378</v>
      </c>
      <c r="E4612" s="26">
        <v>8</v>
      </c>
    </row>
    <row r="4613" spans="1:5" x14ac:dyDescent="0.25">
      <c r="A4613" s="24" t="s">
        <v>7</v>
      </c>
      <c r="B4613" s="24" t="s">
        <v>12379</v>
      </c>
      <c r="C4613" s="25" t="s">
        <v>12380</v>
      </c>
      <c r="D4613" s="25" t="s">
        <v>12381</v>
      </c>
      <c r="E4613" s="26">
        <v>44</v>
      </c>
    </row>
    <row r="4614" spans="1:5" x14ac:dyDescent="0.25">
      <c r="A4614" s="24" t="s">
        <v>7</v>
      </c>
      <c r="B4614" s="24" t="s">
        <v>12382</v>
      </c>
      <c r="C4614" s="25" t="s">
        <v>12383</v>
      </c>
      <c r="D4614" s="25" t="s">
        <v>12384</v>
      </c>
      <c r="E4614" s="26">
        <v>6139</v>
      </c>
    </row>
    <row r="4615" spans="1:5" x14ac:dyDescent="0.25">
      <c r="A4615" s="24" t="s">
        <v>7</v>
      </c>
      <c r="B4615" s="24" t="s">
        <v>12385</v>
      </c>
      <c r="C4615" s="25" t="s">
        <v>12386</v>
      </c>
      <c r="D4615" s="25" t="s">
        <v>12387</v>
      </c>
      <c r="E4615" s="26">
        <v>23</v>
      </c>
    </row>
    <row r="4616" spans="1:5" x14ac:dyDescent="0.25">
      <c r="A4616" s="24" t="s">
        <v>7</v>
      </c>
      <c r="B4616" s="24" t="s">
        <v>12388</v>
      </c>
      <c r="C4616" s="25" t="s">
        <v>12389</v>
      </c>
      <c r="D4616" s="25" t="s">
        <v>12390</v>
      </c>
      <c r="E4616" s="26">
        <v>28</v>
      </c>
    </row>
    <row r="4617" spans="1:5" x14ac:dyDescent="0.25">
      <c r="A4617" s="24" t="s">
        <v>7</v>
      </c>
      <c r="B4617" s="24" t="s">
        <v>12391</v>
      </c>
      <c r="C4617" s="25" t="s">
        <v>12392</v>
      </c>
      <c r="D4617" s="25" t="s">
        <v>12393</v>
      </c>
      <c r="E4617" s="26">
        <v>100</v>
      </c>
    </row>
    <row r="4618" spans="1:5" x14ac:dyDescent="0.25">
      <c r="A4618" s="24" t="s">
        <v>7</v>
      </c>
      <c r="B4618" s="24" t="s">
        <v>12394</v>
      </c>
      <c r="C4618" s="25" t="s">
        <v>12395</v>
      </c>
      <c r="D4618" s="25" t="s">
        <v>12396</v>
      </c>
      <c r="E4618" s="26">
        <v>100</v>
      </c>
    </row>
    <row r="4619" spans="1:5" x14ac:dyDescent="0.25">
      <c r="A4619" s="24" t="s">
        <v>7</v>
      </c>
      <c r="B4619" s="24" t="s">
        <v>12397</v>
      </c>
      <c r="C4619" s="25" t="s">
        <v>12398</v>
      </c>
      <c r="D4619" s="25" t="s">
        <v>12399</v>
      </c>
      <c r="E4619" s="26">
        <v>5289</v>
      </c>
    </row>
    <row r="4620" spans="1:5" x14ac:dyDescent="0.25">
      <c r="A4620" s="24" t="s">
        <v>7</v>
      </c>
      <c r="B4620" s="24" t="s">
        <v>12400</v>
      </c>
      <c r="C4620" s="25" t="s">
        <v>12401</v>
      </c>
      <c r="D4620" s="25" t="s">
        <v>12402</v>
      </c>
      <c r="E4620" s="26">
        <v>7</v>
      </c>
    </row>
    <row r="4621" spans="1:5" x14ac:dyDescent="0.25">
      <c r="A4621" s="24" t="s">
        <v>7</v>
      </c>
      <c r="B4621" s="24" t="s">
        <v>12403</v>
      </c>
      <c r="C4621" s="25" t="s">
        <v>12404</v>
      </c>
      <c r="D4621" s="25" t="s">
        <v>12405</v>
      </c>
      <c r="E4621" s="26">
        <v>17</v>
      </c>
    </row>
    <row r="4622" spans="1:5" x14ac:dyDescent="0.25">
      <c r="A4622" s="24" t="s">
        <v>7</v>
      </c>
      <c r="B4622" s="24" t="s">
        <v>12406</v>
      </c>
      <c r="C4622" s="25" t="s">
        <v>12407</v>
      </c>
      <c r="D4622" s="25" t="s">
        <v>12408</v>
      </c>
      <c r="E4622" s="26">
        <v>26</v>
      </c>
    </row>
    <row r="4623" spans="1:5" x14ac:dyDescent="0.25">
      <c r="A4623" s="24" t="s">
        <v>7</v>
      </c>
      <c r="B4623" s="24" t="s">
        <v>12409</v>
      </c>
      <c r="C4623" s="25" t="s">
        <v>12410</v>
      </c>
      <c r="D4623" s="25" t="s">
        <v>12411</v>
      </c>
      <c r="E4623" s="26">
        <v>30</v>
      </c>
    </row>
    <row r="4624" spans="1:5" x14ac:dyDescent="0.25">
      <c r="A4624" s="24" t="s">
        <v>7</v>
      </c>
      <c r="B4624" s="24" t="s">
        <v>12412</v>
      </c>
      <c r="C4624" s="25" t="s">
        <v>12413</v>
      </c>
      <c r="D4624" s="25" t="s">
        <v>12414</v>
      </c>
      <c r="E4624" s="26">
        <v>453</v>
      </c>
    </row>
    <row r="4625" spans="1:5" x14ac:dyDescent="0.25">
      <c r="A4625" s="24" t="s">
        <v>7</v>
      </c>
      <c r="B4625" s="24" t="s">
        <v>12415</v>
      </c>
      <c r="C4625" s="25" t="s">
        <v>12416</v>
      </c>
      <c r="D4625" s="25" t="s">
        <v>12417</v>
      </c>
      <c r="E4625" s="26">
        <v>30</v>
      </c>
    </row>
    <row r="4626" spans="1:5" x14ac:dyDescent="0.25">
      <c r="A4626" s="24" t="s">
        <v>7</v>
      </c>
      <c r="B4626" s="24" t="s">
        <v>12418</v>
      </c>
      <c r="C4626" s="25" t="s">
        <v>12419</v>
      </c>
      <c r="D4626" s="25" t="s">
        <v>12420</v>
      </c>
      <c r="E4626" s="26">
        <v>339</v>
      </c>
    </row>
    <row r="4627" spans="1:5" x14ac:dyDescent="0.25">
      <c r="A4627" s="24" t="s">
        <v>7</v>
      </c>
      <c r="B4627" s="24" t="s">
        <v>12421</v>
      </c>
      <c r="C4627" s="25" t="s">
        <v>12422</v>
      </c>
      <c r="D4627" s="25" t="s">
        <v>12423</v>
      </c>
      <c r="E4627" s="26">
        <v>119</v>
      </c>
    </row>
    <row r="4628" spans="1:5" x14ac:dyDescent="0.25">
      <c r="A4628" s="24" t="s">
        <v>7</v>
      </c>
      <c r="B4628" s="24" t="s">
        <v>12424</v>
      </c>
      <c r="C4628" s="25" t="s">
        <v>12425</v>
      </c>
      <c r="D4628" s="25" t="s">
        <v>12426</v>
      </c>
      <c r="E4628" s="26">
        <v>57</v>
      </c>
    </row>
    <row r="4629" spans="1:5" x14ac:dyDescent="0.25">
      <c r="A4629" s="24" t="s">
        <v>7</v>
      </c>
      <c r="B4629" s="24" t="s">
        <v>12427</v>
      </c>
      <c r="C4629" s="25" t="s">
        <v>12428</v>
      </c>
      <c r="D4629" s="25" t="s">
        <v>12429</v>
      </c>
      <c r="E4629" s="26">
        <v>531</v>
      </c>
    </row>
    <row r="4630" spans="1:5" x14ac:dyDescent="0.25">
      <c r="A4630" s="24" t="s">
        <v>7</v>
      </c>
      <c r="B4630" s="24" t="s">
        <v>12430</v>
      </c>
      <c r="C4630" s="25" t="s">
        <v>12431</v>
      </c>
      <c r="D4630" s="25" t="s">
        <v>12432</v>
      </c>
      <c r="E4630" s="26">
        <v>2</v>
      </c>
    </row>
    <row r="4631" spans="1:5" x14ac:dyDescent="0.25">
      <c r="A4631" s="24" t="s">
        <v>7</v>
      </c>
      <c r="B4631" s="24" t="s">
        <v>12433</v>
      </c>
      <c r="C4631" s="25" t="s">
        <v>12434</v>
      </c>
      <c r="D4631" s="25" t="s">
        <v>12435</v>
      </c>
      <c r="E4631" s="26">
        <v>15</v>
      </c>
    </row>
    <row r="4632" spans="1:5" x14ac:dyDescent="0.25">
      <c r="A4632" s="24" t="s">
        <v>7</v>
      </c>
      <c r="B4632" s="24" t="s">
        <v>12436</v>
      </c>
      <c r="C4632" s="25" t="s">
        <v>12437</v>
      </c>
      <c r="D4632" s="25" t="s">
        <v>12438</v>
      </c>
      <c r="E4632" s="26">
        <v>73</v>
      </c>
    </row>
    <row r="4633" spans="1:5" x14ac:dyDescent="0.25">
      <c r="A4633" s="24" t="s">
        <v>7</v>
      </c>
      <c r="B4633" s="24" t="s">
        <v>12439</v>
      </c>
      <c r="C4633" s="25" t="s">
        <v>12440</v>
      </c>
      <c r="D4633" s="25" t="s">
        <v>12441</v>
      </c>
      <c r="E4633" s="26">
        <v>87</v>
      </c>
    </row>
    <row r="4634" spans="1:5" x14ac:dyDescent="0.25">
      <c r="A4634" s="24" t="s">
        <v>7</v>
      </c>
      <c r="B4634" s="24" t="s">
        <v>12442</v>
      </c>
      <c r="C4634" s="25" t="s">
        <v>12443</v>
      </c>
      <c r="D4634" s="25" t="s">
        <v>12444</v>
      </c>
      <c r="E4634" s="26">
        <v>55</v>
      </c>
    </row>
    <row r="4635" spans="1:5" x14ac:dyDescent="0.25">
      <c r="A4635" s="24" t="s">
        <v>7</v>
      </c>
      <c r="B4635" s="24" t="s">
        <v>12445</v>
      </c>
      <c r="C4635" s="25" t="s">
        <v>12446</v>
      </c>
      <c r="D4635" s="25" t="s">
        <v>12447</v>
      </c>
      <c r="E4635" s="26">
        <v>9</v>
      </c>
    </row>
    <row r="4636" spans="1:5" x14ac:dyDescent="0.25">
      <c r="A4636" s="24" t="s">
        <v>7</v>
      </c>
      <c r="B4636" s="24" t="s">
        <v>12448</v>
      </c>
      <c r="C4636" s="25" t="s">
        <v>12449</v>
      </c>
      <c r="D4636" s="25" t="s">
        <v>12450</v>
      </c>
      <c r="E4636" s="26">
        <v>20</v>
      </c>
    </row>
    <row r="4637" spans="1:5" x14ac:dyDescent="0.25">
      <c r="A4637" s="24" t="s">
        <v>7</v>
      </c>
      <c r="B4637" s="24" t="s">
        <v>12451</v>
      </c>
      <c r="C4637" s="25" t="s">
        <v>12452</v>
      </c>
      <c r="D4637" s="25" t="s">
        <v>12453</v>
      </c>
      <c r="E4637" s="26">
        <v>10</v>
      </c>
    </row>
    <row r="4638" spans="1:5" x14ac:dyDescent="0.25">
      <c r="A4638" s="24" t="s">
        <v>7</v>
      </c>
      <c r="B4638" s="24" t="s">
        <v>12454</v>
      </c>
      <c r="C4638" s="25" t="s">
        <v>12455</v>
      </c>
      <c r="D4638" s="25" t="s">
        <v>12456</v>
      </c>
      <c r="E4638" s="26">
        <v>127</v>
      </c>
    </row>
    <row r="4639" spans="1:5" x14ac:dyDescent="0.25">
      <c r="A4639" s="24" t="s">
        <v>7</v>
      </c>
      <c r="B4639" s="24" t="s">
        <v>12457</v>
      </c>
      <c r="C4639" s="25" t="s">
        <v>12458</v>
      </c>
      <c r="D4639" s="25" t="s">
        <v>12459</v>
      </c>
      <c r="E4639" s="26">
        <v>121</v>
      </c>
    </row>
    <row r="4640" spans="1:5" x14ac:dyDescent="0.25">
      <c r="A4640" s="24" t="s">
        <v>7</v>
      </c>
      <c r="B4640" s="24" t="s">
        <v>12460</v>
      </c>
      <c r="C4640" s="25" t="s">
        <v>12461</v>
      </c>
      <c r="D4640" s="25" t="s">
        <v>12462</v>
      </c>
      <c r="E4640" s="26">
        <v>14</v>
      </c>
    </row>
    <row r="4641" spans="1:5" x14ac:dyDescent="0.25">
      <c r="A4641" s="24" t="s">
        <v>7</v>
      </c>
      <c r="B4641" s="24" t="s">
        <v>12463</v>
      </c>
      <c r="C4641" s="25" t="s">
        <v>12464</v>
      </c>
      <c r="D4641" s="25" t="s">
        <v>12465</v>
      </c>
      <c r="E4641" s="26">
        <v>69</v>
      </c>
    </row>
    <row r="4642" spans="1:5" x14ac:dyDescent="0.25">
      <c r="A4642" s="24" t="s">
        <v>7</v>
      </c>
      <c r="B4642" s="24" t="s">
        <v>12466</v>
      </c>
      <c r="C4642" s="25" t="s">
        <v>12467</v>
      </c>
      <c r="D4642" s="25" t="s">
        <v>12468</v>
      </c>
      <c r="E4642" s="26">
        <v>22</v>
      </c>
    </row>
    <row r="4643" spans="1:5" x14ac:dyDescent="0.25">
      <c r="A4643" s="24" t="s">
        <v>7</v>
      </c>
      <c r="B4643" s="24" t="s">
        <v>12469</v>
      </c>
      <c r="C4643" s="25" t="s">
        <v>12470</v>
      </c>
      <c r="D4643" s="25" t="s">
        <v>12471</v>
      </c>
      <c r="E4643" s="26">
        <v>3</v>
      </c>
    </row>
    <row r="4644" spans="1:5" x14ac:dyDescent="0.25">
      <c r="A4644" s="24" t="s">
        <v>7</v>
      </c>
      <c r="B4644" s="24" t="s">
        <v>12472</v>
      </c>
      <c r="C4644" s="25" t="s">
        <v>12473</v>
      </c>
      <c r="D4644" s="25" t="s">
        <v>12474</v>
      </c>
      <c r="E4644" s="26">
        <v>24</v>
      </c>
    </row>
    <row r="4645" spans="1:5" x14ac:dyDescent="0.25">
      <c r="A4645" s="24" t="s">
        <v>7</v>
      </c>
      <c r="B4645" s="24" t="s">
        <v>12475</v>
      </c>
      <c r="C4645" s="25" t="s">
        <v>12476</v>
      </c>
      <c r="D4645" s="25" t="s">
        <v>12477</v>
      </c>
      <c r="E4645" s="26">
        <v>11</v>
      </c>
    </row>
    <row r="4646" spans="1:5" x14ac:dyDescent="0.25">
      <c r="A4646" s="24" t="s">
        <v>7</v>
      </c>
      <c r="B4646" s="24" t="s">
        <v>12478</v>
      </c>
      <c r="C4646" s="25" t="s">
        <v>12479</v>
      </c>
      <c r="D4646" s="25" t="s">
        <v>12480</v>
      </c>
      <c r="E4646" s="26">
        <v>16</v>
      </c>
    </row>
    <row r="4647" spans="1:5" x14ac:dyDescent="0.25">
      <c r="A4647" s="24" t="s">
        <v>7</v>
      </c>
      <c r="B4647" s="24" t="s">
        <v>12481</v>
      </c>
      <c r="C4647" s="25" t="s">
        <v>12482</v>
      </c>
      <c r="D4647" s="25" t="s">
        <v>12483</v>
      </c>
      <c r="E4647" s="26">
        <v>2</v>
      </c>
    </row>
    <row r="4648" spans="1:5" x14ac:dyDescent="0.25">
      <c r="A4648" s="24" t="s">
        <v>7</v>
      </c>
      <c r="B4648" s="24" t="s">
        <v>12484</v>
      </c>
      <c r="C4648" s="25" t="s">
        <v>12485</v>
      </c>
      <c r="D4648" s="25" t="s">
        <v>12486</v>
      </c>
      <c r="E4648" s="26">
        <v>19</v>
      </c>
    </row>
    <row r="4649" spans="1:5" x14ac:dyDescent="0.25">
      <c r="A4649" s="24" t="s">
        <v>7</v>
      </c>
      <c r="B4649" s="24" t="s">
        <v>12487</v>
      </c>
      <c r="C4649" s="25" t="s">
        <v>12488</v>
      </c>
      <c r="D4649" s="25" t="s">
        <v>12489</v>
      </c>
      <c r="E4649" s="26">
        <v>3</v>
      </c>
    </row>
    <row r="4650" spans="1:5" x14ac:dyDescent="0.25">
      <c r="A4650" s="24" t="s">
        <v>7</v>
      </c>
      <c r="B4650" s="24" t="s">
        <v>12490</v>
      </c>
      <c r="C4650" s="25" t="s">
        <v>12491</v>
      </c>
      <c r="D4650" s="25" t="s">
        <v>12492</v>
      </c>
      <c r="E4650" s="26">
        <v>9.08</v>
      </c>
    </row>
    <row r="4651" spans="1:5" x14ac:dyDescent="0.25">
      <c r="A4651" s="24" t="s">
        <v>7</v>
      </c>
      <c r="B4651" s="24" t="s">
        <v>12493</v>
      </c>
      <c r="C4651" s="25" t="s">
        <v>12494</v>
      </c>
      <c r="D4651" s="25" t="s">
        <v>12495</v>
      </c>
      <c r="E4651" s="26">
        <v>3</v>
      </c>
    </row>
    <row r="4652" spans="1:5" x14ac:dyDescent="0.25">
      <c r="A4652" s="24" t="s">
        <v>7</v>
      </c>
      <c r="B4652" s="24" t="s">
        <v>12496</v>
      </c>
      <c r="C4652" s="25" t="s">
        <v>12497</v>
      </c>
      <c r="D4652" s="25" t="s">
        <v>12498</v>
      </c>
      <c r="E4652" s="26">
        <v>10</v>
      </c>
    </row>
    <row r="4653" spans="1:5" x14ac:dyDescent="0.25">
      <c r="A4653" s="24" t="s">
        <v>7</v>
      </c>
      <c r="B4653" s="24" t="s">
        <v>12499</v>
      </c>
      <c r="C4653" s="25" t="s">
        <v>12500</v>
      </c>
      <c r="D4653" s="25" t="s">
        <v>12501</v>
      </c>
      <c r="E4653" s="26">
        <v>22</v>
      </c>
    </row>
    <row r="4654" spans="1:5" x14ac:dyDescent="0.25">
      <c r="A4654" s="24" t="s">
        <v>7</v>
      </c>
      <c r="B4654" s="24" t="s">
        <v>12502</v>
      </c>
      <c r="C4654" s="25" t="s">
        <v>12503</v>
      </c>
      <c r="D4654" s="25" t="s">
        <v>12504</v>
      </c>
      <c r="E4654" s="26">
        <v>663</v>
      </c>
    </row>
    <row r="4655" spans="1:5" x14ac:dyDescent="0.25">
      <c r="A4655" s="24" t="s">
        <v>7</v>
      </c>
      <c r="B4655" s="24" t="s">
        <v>12505</v>
      </c>
      <c r="C4655" s="25" t="s">
        <v>12506</v>
      </c>
      <c r="D4655" s="25" t="s">
        <v>12507</v>
      </c>
      <c r="E4655" s="26">
        <v>1298</v>
      </c>
    </row>
    <row r="4656" spans="1:5" x14ac:dyDescent="0.25">
      <c r="A4656" s="24" t="s">
        <v>7</v>
      </c>
      <c r="B4656" s="24" t="s">
        <v>12508</v>
      </c>
      <c r="C4656" s="25" t="s">
        <v>12509</v>
      </c>
      <c r="D4656" s="25" t="s">
        <v>12510</v>
      </c>
      <c r="E4656" s="26">
        <v>3434</v>
      </c>
    </row>
    <row r="4657" spans="1:5" x14ac:dyDescent="0.25">
      <c r="A4657" s="24" t="s">
        <v>7</v>
      </c>
      <c r="B4657" s="24" t="s">
        <v>12511</v>
      </c>
      <c r="C4657" s="25" t="s">
        <v>12512</v>
      </c>
      <c r="D4657" s="25" t="s">
        <v>12512</v>
      </c>
      <c r="E4657" s="26">
        <v>15</v>
      </c>
    </row>
    <row r="4658" spans="1:5" x14ac:dyDescent="0.25">
      <c r="A4658" s="24" t="s">
        <v>7</v>
      </c>
      <c r="B4658" s="24" t="s">
        <v>12513</v>
      </c>
      <c r="C4658" s="25" t="s">
        <v>12514</v>
      </c>
      <c r="D4658" s="25" t="s">
        <v>12515</v>
      </c>
      <c r="E4658" s="26">
        <v>20</v>
      </c>
    </row>
    <row r="4659" spans="1:5" x14ac:dyDescent="0.25">
      <c r="A4659" s="24" t="s">
        <v>7</v>
      </c>
      <c r="B4659" s="24" t="s">
        <v>12516</v>
      </c>
      <c r="C4659" s="25" t="s">
        <v>12517</v>
      </c>
      <c r="D4659" s="25" t="s">
        <v>12518</v>
      </c>
      <c r="E4659" s="26">
        <v>40</v>
      </c>
    </row>
    <row r="4660" spans="1:5" x14ac:dyDescent="0.25">
      <c r="A4660" s="24" t="s">
        <v>7</v>
      </c>
      <c r="B4660" s="24" t="s">
        <v>12519</v>
      </c>
      <c r="C4660" s="25" t="s">
        <v>12520</v>
      </c>
      <c r="D4660" s="25" t="s">
        <v>12521</v>
      </c>
      <c r="E4660" s="26">
        <v>8</v>
      </c>
    </row>
    <row r="4661" spans="1:5" x14ac:dyDescent="0.25">
      <c r="A4661" s="24" t="s">
        <v>7</v>
      </c>
      <c r="B4661" s="24" t="s">
        <v>12522</v>
      </c>
      <c r="C4661" s="25" t="s">
        <v>12523</v>
      </c>
      <c r="D4661" s="25" t="s">
        <v>12524</v>
      </c>
      <c r="E4661" s="26">
        <v>134</v>
      </c>
    </row>
    <row r="4662" spans="1:5" x14ac:dyDescent="0.25">
      <c r="A4662" s="24" t="s">
        <v>7</v>
      </c>
      <c r="B4662" s="24" t="s">
        <v>12525</v>
      </c>
      <c r="C4662" s="25" t="s">
        <v>12526</v>
      </c>
      <c r="D4662" s="25" t="s">
        <v>12527</v>
      </c>
      <c r="E4662" s="26">
        <v>89</v>
      </c>
    </row>
    <row r="4663" spans="1:5" x14ac:dyDescent="0.25">
      <c r="A4663" s="24" t="s">
        <v>7</v>
      </c>
      <c r="B4663" s="24" t="s">
        <v>12528</v>
      </c>
      <c r="C4663" s="25" t="s">
        <v>12529</v>
      </c>
      <c r="D4663" s="25" t="s">
        <v>12530</v>
      </c>
      <c r="E4663" s="26">
        <v>52</v>
      </c>
    </row>
    <row r="4664" spans="1:5" x14ac:dyDescent="0.25">
      <c r="A4664" s="24" t="s">
        <v>7</v>
      </c>
      <c r="B4664" s="24" t="s">
        <v>12531</v>
      </c>
      <c r="C4664" s="25" t="s">
        <v>12532</v>
      </c>
      <c r="D4664" s="25" t="s">
        <v>12533</v>
      </c>
      <c r="E4664" s="26">
        <v>100</v>
      </c>
    </row>
    <row r="4665" spans="1:5" x14ac:dyDescent="0.25">
      <c r="A4665" s="24" t="s">
        <v>7</v>
      </c>
      <c r="B4665" s="24" t="s">
        <v>12534</v>
      </c>
      <c r="C4665" s="25" t="s">
        <v>12535</v>
      </c>
      <c r="D4665" s="25" t="s">
        <v>12536</v>
      </c>
      <c r="E4665" s="26">
        <v>314</v>
      </c>
    </row>
    <row r="4666" spans="1:5" x14ac:dyDescent="0.25">
      <c r="A4666" s="24" t="s">
        <v>7</v>
      </c>
      <c r="B4666" s="24" t="s">
        <v>12537</v>
      </c>
      <c r="C4666" s="25" t="s">
        <v>12538</v>
      </c>
      <c r="D4666" s="25" t="s">
        <v>12539</v>
      </c>
      <c r="E4666" s="26">
        <v>245</v>
      </c>
    </row>
    <row r="4667" spans="1:5" x14ac:dyDescent="0.25">
      <c r="A4667" s="24" t="s">
        <v>7</v>
      </c>
      <c r="B4667" s="24" t="s">
        <v>12540</v>
      </c>
      <c r="C4667" s="25" t="s">
        <v>12541</v>
      </c>
      <c r="D4667" s="25" t="s">
        <v>12542</v>
      </c>
      <c r="E4667" s="26">
        <v>260</v>
      </c>
    </row>
    <row r="4668" spans="1:5" x14ac:dyDescent="0.25">
      <c r="A4668" s="24" t="s">
        <v>7</v>
      </c>
      <c r="B4668" s="24" t="s">
        <v>12543</v>
      </c>
      <c r="C4668" s="25" t="s">
        <v>12544</v>
      </c>
      <c r="D4668" s="25" t="s">
        <v>12545</v>
      </c>
      <c r="E4668" s="26">
        <v>25</v>
      </c>
    </row>
    <row r="4669" spans="1:5" x14ac:dyDescent="0.25">
      <c r="A4669" s="24" t="s">
        <v>7</v>
      </c>
      <c r="B4669" s="24" t="s">
        <v>12546</v>
      </c>
      <c r="C4669" s="25" t="s">
        <v>12547</v>
      </c>
      <c r="D4669" s="25" t="s">
        <v>12548</v>
      </c>
      <c r="E4669" s="26">
        <v>30</v>
      </c>
    </row>
    <row r="4670" spans="1:5" x14ac:dyDescent="0.25">
      <c r="A4670" s="24" t="s">
        <v>7</v>
      </c>
      <c r="B4670" s="24" t="s">
        <v>12549</v>
      </c>
      <c r="C4670" s="25" t="s">
        <v>12550</v>
      </c>
      <c r="D4670" s="25" t="s">
        <v>12551</v>
      </c>
      <c r="E4670" s="26">
        <v>498</v>
      </c>
    </row>
    <row r="4671" spans="1:5" x14ac:dyDescent="0.25">
      <c r="A4671" s="24" t="s">
        <v>7</v>
      </c>
      <c r="B4671" s="24" t="s">
        <v>12552</v>
      </c>
      <c r="C4671" s="25" t="s">
        <v>12553</v>
      </c>
      <c r="D4671" s="25" t="s">
        <v>12554</v>
      </c>
      <c r="E4671" s="26">
        <v>24</v>
      </c>
    </row>
    <row r="4672" spans="1:5" x14ac:dyDescent="0.25">
      <c r="A4672" s="24" t="s">
        <v>7</v>
      </c>
      <c r="B4672" s="24" t="s">
        <v>12555</v>
      </c>
      <c r="C4672" s="25" t="s">
        <v>12556</v>
      </c>
      <c r="D4672" s="25" t="s">
        <v>12557</v>
      </c>
      <c r="E4672" s="26">
        <v>86</v>
      </c>
    </row>
    <row r="4673" spans="1:5" x14ac:dyDescent="0.25">
      <c r="A4673" s="24" t="s">
        <v>7</v>
      </c>
      <c r="B4673" s="24" t="s">
        <v>12558</v>
      </c>
      <c r="C4673" s="25" t="s">
        <v>12559</v>
      </c>
      <c r="D4673" s="25" t="s">
        <v>12560</v>
      </c>
      <c r="E4673" s="26">
        <v>2</v>
      </c>
    </row>
    <row r="4674" spans="1:5" x14ac:dyDescent="0.25">
      <c r="A4674" s="24" t="s">
        <v>7</v>
      </c>
      <c r="B4674" s="24" t="s">
        <v>12561</v>
      </c>
      <c r="C4674" s="25" t="s">
        <v>12562</v>
      </c>
      <c r="D4674" s="25" t="s">
        <v>12563</v>
      </c>
      <c r="E4674" s="26">
        <v>3</v>
      </c>
    </row>
    <row r="4675" spans="1:5" x14ac:dyDescent="0.25">
      <c r="A4675" s="24" t="s">
        <v>7</v>
      </c>
      <c r="B4675" s="24" t="s">
        <v>12564</v>
      </c>
      <c r="C4675" s="25" t="s">
        <v>12565</v>
      </c>
      <c r="D4675" s="25" t="s">
        <v>12566</v>
      </c>
      <c r="E4675" s="26">
        <v>27</v>
      </c>
    </row>
    <row r="4676" spans="1:5" x14ac:dyDescent="0.25">
      <c r="A4676" s="24" t="s">
        <v>7</v>
      </c>
      <c r="B4676" s="24" t="s">
        <v>12567</v>
      </c>
      <c r="C4676" s="25" t="s">
        <v>12568</v>
      </c>
      <c r="D4676" s="25" t="s">
        <v>12569</v>
      </c>
      <c r="E4676" s="26">
        <v>2</v>
      </c>
    </row>
    <row r="4677" spans="1:5" x14ac:dyDescent="0.25">
      <c r="A4677" s="24" t="s">
        <v>7</v>
      </c>
      <c r="B4677" s="24" t="s">
        <v>12570</v>
      </c>
      <c r="C4677" s="25" t="s">
        <v>12571</v>
      </c>
      <c r="D4677" s="25" t="s">
        <v>12572</v>
      </c>
      <c r="E4677" s="26">
        <v>24</v>
      </c>
    </row>
    <row r="4678" spans="1:5" x14ac:dyDescent="0.25">
      <c r="A4678" s="24" t="s">
        <v>7</v>
      </c>
      <c r="B4678" s="24" t="s">
        <v>12573</v>
      </c>
      <c r="C4678" s="25" t="s">
        <v>12574</v>
      </c>
      <c r="D4678" s="25" t="s">
        <v>12575</v>
      </c>
      <c r="E4678" s="26">
        <v>24</v>
      </c>
    </row>
    <row r="4679" spans="1:5" x14ac:dyDescent="0.25">
      <c r="A4679" s="24" t="s">
        <v>7</v>
      </c>
      <c r="B4679" s="24" t="s">
        <v>12576</v>
      </c>
      <c r="C4679" s="25" t="s">
        <v>12577</v>
      </c>
      <c r="D4679" s="25" t="s">
        <v>12578</v>
      </c>
      <c r="E4679" s="26">
        <v>24</v>
      </c>
    </row>
    <row r="4680" spans="1:5" x14ac:dyDescent="0.25">
      <c r="A4680" s="24" t="s">
        <v>7</v>
      </c>
      <c r="B4680" s="24" t="s">
        <v>12579</v>
      </c>
      <c r="C4680" s="25" t="s">
        <v>12580</v>
      </c>
      <c r="D4680" s="25" t="s">
        <v>12581</v>
      </c>
      <c r="E4680" s="26">
        <v>11</v>
      </c>
    </row>
    <row r="4681" spans="1:5" x14ac:dyDescent="0.25">
      <c r="A4681" s="24" t="s">
        <v>7</v>
      </c>
      <c r="B4681" s="24" t="s">
        <v>12582</v>
      </c>
      <c r="C4681" s="25" t="s">
        <v>12583</v>
      </c>
      <c r="D4681" s="25" t="s">
        <v>12584</v>
      </c>
      <c r="E4681" s="26">
        <v>2</v>
      </c>
    </row>
    <row r="4682" spans="1:5" x14ac:dyDescent="0.25">
      <c r="A4682" s="24" t="s">
        <v>7</v>
      </c>
      <c r="B4682" s="24" t="s">
        <v>12585</v>
      </c>
      <c r="C4682" s="25" t="s">
        <v>12586</v>
      </c>
      <c r="D4682" s="25" t="s">
        <v>12587</v>
      </c>
      <c r="E4682" s="26">
        <v>3</v>
      </c>
    </row>
    <row r="4683" spans="1:5" x14ac:dyDescent="0.25">
      <c r="A4683" s="24" t="s">
        <v>7</v>
      </c>
      <c r="B4683" s="24" t="s">
        <v>12588</v>
      </c>
      <c r="C4683" s="25" t="s">
        <v>12589</v>
      </c>
      <c r="D4683" s="25" t="s">
        <v>12590</v>
      </c>
      <c r="E4683" s="26">
        <v>17</v>
      </c>
    </row>
    <row r="4684" spans="1:5" x14ac:dyDescent="0.25">
      <c r="A4684" s="24" t="s">
        <v>7</v>
      </c>
      <c r="B4684" s="24" t="s">
        <v>12591</v>
      </c>
      <c r="C4684" s="25" t="s">
        <v>12592</v>
      </c>
      <c r="D4684" s="25" t="s">
        <v>12593</v>
      </c>
      <c r="E4684" s="26">
        <v>420</v>
      </c>
    </row>
    <row r="4685" spans="1:5" x14ac:dyDescent="0.25">
      <c r="A4685" s="24" t="s">
        <v>7</v>
      </c>
      <c r="B4685" s="24" t="s">
        <v>12594</v>
      </c>
      <c r="C4685" s="25" t="s">
        <v>12595</v>
      </c>
      <c r="D4685" s="25" t="s">
        <v>12596</v>
      </c>
      <c r="E4685" s="26">
        <v>30</v>
      </c>
    </row>
    <row r="4686" spans="1:5" x14ac:dyDescent="0.25">
      <c r="A4686" s="24" t="s">
        <v>7</v>
      </c>
      <c r="B4686" s="24" t="s">
        <v>12597</v>
      </c>
      <c r="C4686" s="25" t="s">
        <v>12598</v>
      </c>
      <c r="D4686" s="25" t="s">
        <v>12599</v>
      </c>
      <c r="E4686" s="26">
        <v>10</v>
      </c>
    </row>
    <row r="4687" spans="1:5" x14ac:dyDescent="0.25">
      <c r="A4687" s="24" t="s">
        <v>7</v>
      </c>
      <c r="B4687" s="24" t="s">
        <v>12600</v>
      </c>
      <c r="C4687" s="25" t="s">
        <v>12601</v>
      </c>
      <c r="D4687" s="25" t="s">
        <v>12602</v>
      </c>
      <c r="E4687" s="26">
        <v>30</v>
      </c>
    </row>
    <row r="4688" spans="1:5" x14ac:dyDescent="0.25">
      <c r="A4688" s="24" t="s">
        <v>7</v>
      </c>
      <c r="B4688" s="24" t="s">
        <v>12603</v>
      </c>
      <c r="C4688" s="25" t="s">
        <v>12604</v>
      </c>
      <c r="D4688" s="25" t="s">
        <v>12605</v>
      </c>
      <c r="E4688" s="26">
        <v>24</v>
      </c>
    </row>
    <row r="4689" spans="1:5" x14ac:dyDescent="0.25">
      <c r="A4689" s="24" t="s">
        <v>7</v>
      </c>
      <c r="B4689" s="24" t="s">
        <v>12606</v>
      </c>
      <c r="C4689" s="25" t="s">
        <v>12607</v>
      </c>
      <c r="D4689" s="25" t="s">
        <v>12608</v>
      </c>
      <c r="E4689" s="26">
        <v>17</v>
      </c>
    </row>
    <row r="4690" spans="1:5" x14ac:dyDescent="0.25">
      <c r="A4690" s="24" t="s">
        <v>7</v>
      </c>
      <c r="B4690" s="24" t="s">
        <v>12609</v>
      </c>
      <c r="C4690" s="25" t="s">
        <v>12610</v>
      </c>
      <c r="D4690" s="25" t="s">
        <v>12611</v>
      </c>
      <c r="E4690" s="26">
        <v>158</v>
      </c>
    </row>
    <row r="4691" spans="1:5" x14ac:dyDescent="0.25">
      <c r="A4691" s="24" t="s">
        <v>7</v>
      </c>
      <c r="B4691" s="24" t="s">
        <v>12612</v>
      </c>
      <c r="C4691" s="25" t="s">
        <v>12613</v>
      </c>
      <c r="D4691" s="25" t="s">
        <v>12614</v>
      </c>
      <c r="E4691" s="26">
        <v>296</v>
      </c>
    </row>
    <row r="4692" spans="1:5" x14ac:dyDescent="0.25">
      <c r="A4692" s="24" t="s">
        <v>7</v>
      </c>
      <c r="B4692" s="24" t="s">
        <v>12615</v>
      </c>
      <c r="C4692" s="25" t="s">
        <v>12616</v>
      </c>
      <c r="D4692" s="25" t="s">
        <v>12617</v>
      </c>
      <c r="E4692" s="26">
        <v>3</v>
      </c>
    </row>
    <row r="4693" spans="1:5" x14ac:dyDescent="0.25">
      <c r="A4693" s="24" t="s">
        <v>7</v>
      </c>
      <c r="B4693" s="24" t="s">
        <v>12618</v>
      </c>
      <c r="C4693" s="25" t="s">
        <v>12619</v>
      </c>
      <c r="D4693" s="25" t="s">
        <v>12620</v>
      </c>
      <c r="E4693" s="26">
        <v>5.78</v>
      </c>
    </row>
    <row r="4694" spans="1:5" x14ac:dyDescent="0.25">
      <c r="A4694" s="24" t="s">
        <v>7</v>
      </c>
      <c r="B4694" s="24" t="s">
        <v>12621</v>
      </c>
      <c r="C4694" s="25" t="s">
        <v>12622</v>
      </c>
      <c r="D4694" s="25" t="s">
        <v>12623</v>
      </c>
      <c r="E4694" s="26">
        <v>4</v>
      </c>
    </row>
    <row r="4695" spans="1:5" x14ac:dyDescent="0.25">
      <c r="A4695" s="24" t="s">
        <v>7</v>
      </c>
      <c r="B4695" s="24" t="s">
        <v>12624</v>
      </c>
      <c r="C4695" s="25" t="s">
        <v>12625</v>
      </c>
      <c r="D4695" s="25" t="s">
        <v>12626</v>
      </c>
      <c r="E4695" s="26">
        <v>1</v>
      </c>
    </row>
    <row r="4696" spans="1:5" x14ac:dyDescent="0.25">
      <c r="A4696" s="24" t="s">
        <v>7</v>
      </c>
      <c r="B4696" s="24" t="s">
        <v>12627</v>
      </c>
      <c r="C4696" s="25" t="s">
        <v>12628</v>
      </c>
      <c r="D4696" s="25" t="s">
        <v>12629</v>
      </c>
      <c r="E4696" s="26">
        <v>2</v>
      </c>
    </row>
    <row r="4697" spans="1:5" x14ac:dyDescent="0.25">
      <c r="A4697" s="24" t="s">
        <v>7</v>
      </c>
      <c r="B4697" s="24" t="s">
        <v>12630</v>
      </c>
      <c r="C4697" s="25" t="s">
        <v>12631</v>
      </c>
      <c r="D4697" s="25" t="s">
        <v>12632</v>
      </c>
      <c r="E4697" s="26">
        <v>1.44</v>
      </c>
    </row>
    <row r="4698" spans="1:5" x14ac:dyDescent="0.25">
      <c r="A4698" s="24" t="s">
        <v>7</v>
      </c>
      <c r="B4698" s="24" t="s">
        <v>12633</v>
      </c>
      <c r="C4698" s="25" t="s">
        <v>12634</v>
      </c>
      <c r="D4698" s="25" t="s">
        <v>12635</v>
      </c>
      <c r="E4698" s="26">
        <v>2</v>
      </c>
    </row>
    <row r="4699" spans="1:5" x14ac:dyDescent="0.25">
      <c r="A4699" s="24" t="s">
        <v>7</v>
      </c>
      <c r="B4699" s="24" t="s">
        <v>12636</v>
      </c>
      <c r="C4699" s="25" t="s">
        <v>12637</v>
      </c>
      <c r="D4699" s="25" t="s">
        <v>12638</v>
      </c>
      <c r="E4699" s="26">
        <v>10</v>
      </c>
    </row>
    <row r="4700" spans="1:5" x14ac:dyDescent="0.25">
      <c r="A4700" s="24" t="s">
        <v>7</v>
      </c>
      <c r="B4700" s="24" t="s">
        <v>12639</v>
      </c>
      <c r="C4700" s="25" t="s">
        <v>12640</v>
      </c>
      <c r="D4700" s="25" t="s">
        <v>12641</v>
      </c>
      <c r="E4700" s="26">
        <v>17</v>
      </c>
    </row>
    <row r="4701" spans="1:5" x14ac:dyDescent="0.25">
      <c r="A4701" s="24" t="s">
        <v>7</v>
      </c>
      <c r="B4701" s="24" t="s">
        <v>12642</v>
      </c>
      <c r="C4701" s="25" t="s">
        <v>12643</v>
      </c>
      <c r="D4701" s="25" t="s">
        <v>12644</v>
      </c>
      <c r="E4701" s="26">
        <v>17</v>
      </c>
    </row>
    <row r="4702" spans="1:5" x14ac:dyDescent="0.25">
      <c r="A4702" s="24" t="s">
        <v>7</v>
      </c>
      <c r="B4702" s="24" t="s">
        <v>12645</v>
      </c>
      <c r="C4702" s="25" t="s">
        <v>12646</v>
      </c>
      <c r="D4702" s="25" t="s">
        <v>12647</v>
      </c>
      <c r="E4702" s="26">
        <v>27</v>
      </c>
    </row>
    <row r="4703" spans="1:5" x14ac:dyDescent="0.25">
      <c r="A4703" s="24" t="s">
        <v>7</v>
      </c>
      <c r="B4703" s="24" t="s">
        <v>12648</v>
      </c>
      <c r="C4703" s="25" t="s">
        <v>12649</v>
      </c>
      <c r="D4703" s="25" t="s">
        <v>12650</v>
      </c>
      <c r="E4703" s="26">
        <v>17</v>
      </c>
    </row>
    <row r="4704" spans="1:5" x14ac:dyDescent="0.25">
      <c r="A4704" s="24" t="s">
        <v>7</v>
      </c>
      <c r="B4704" s="24" t="s">
        <v>12651</v>
      </c>
      <c r="C4704" s="25" t="s">
        <v>12652</v>
      </c>
      <c r="D4704" s="25" t="s">
        <v>12653</v>
      </c>
      <c r="E4704" s="26">
        <v>162</v>
      </c>
    </row>
    <row r="4705" spans="1:5" x14ac:dyDescent="0.25">
      <c r="A4705" s="24" t="s">
        <v>7</v>
      </c>
      <c r="B4705" s="24" t="s">
        <v>12654</v>
      </c>
      <c r="C4705" s="25" t="s">
        <v>12655</v>
      </c>
      <c r="D4705" s="25" t="s">
        <v>12656</v>
      </c>
      <c r="E4705" s="26">
        <v>58</v>
      </c>
    </row>
    <row r="4706" spans="1:5" x14ac:dyDescent="0.25">
      <c r="A4706" s="24" t="s">
        <v>7</v>
      </c>
      <c r="B4706" s="24" t="s">
        <v>12657</v>
      </c>
      <c r="C4706" s="25" t="s">
        <v>12658</v>
      </c>
      <c r="D4706" s="25" t="s">
        <v>12659</v>
      </c>
      <c r="E4706" s="26">
        <v>55</v>
      </c>
    </row>
    <row r="4707" spans="1:5" x14ac:dyDescent="0.25">
      <c r="A4707" s="24" t="s">
        <v>7</v>
      </c>
      <c r="B4707" s="24" t="s">
        <v>12660</v>
      </c>
      <c r="C4707" s="25" t="s">
        <v>12661</v>
      </c>
      <c r="D4707" s="25" t="s">
        <v>12662</v>
      </c>
      <c r="E4707" s="26">
        <v>59</v>
      </c>
    </row>
    <row r="4708" spans="1:5" x14ac:dyDescent="0.25">
      <c r="A4708" s="24" t="s">
        <v>7</v>
      </c>
      <c r="B4708" s="24" t="s">
        <v>12663</v>
      </c>
      <c r="C4708" s="25" t="s">
        <v>12664</v>
      </c>
      <c r="D4708" s="25" t="s">
        <v>12665</v>
      </c>
      <c r="E4708" s="26">
        <v>13</v>
      </c>
    </row>
    <row r="4709" spans="1:5" x14ac:dyDescent="0.25">
      <c r="A4709" s="24" t="s">
        <v>7</v>
      </c>
      <c r="B4709" s="24" t="s">
        <v>12666</v>
      </c>
      <c r="C4709" s="25" t="s">
        <v>12667</v>
      </c>
      <c r="D4709" s="25" t="s">
        <v>12668</v>
      </c>
      <c r="E4709" s="26">
        <v>11</v>
      </c>
    </row>
    <row r="4710" spans="1:5" x14ac:dyDescent="0.25">
      <c r="A4710" s="24" t="s">
        <v>7</v>
      </c>
      <c r="B4710" s="24" t="s">
        <v>12669</v>
      </c>
      <c r="C4710" s="25" t="s">
        <v>12670</v>
      </c>
      <c r="D4710" s="25" t="s">
        <v>12671</v>
      </c>
      <c r="E4710" s="26">
        <v>15</v>
      </c>
    </row>
    <row r="4711" spans="1:5" x14ac:dyDescent="0.25">
      <c r="A4711" s="24" t="s">
        <v>7</v>
      </c>
      <c r="B4711" s="24" t="s">
        <v>12672</v>
      </c>
      <c r="C4711" s="25" t="s">
        <v>12673</v>
      </c>
      <c r="D4711" s="25" t="s">
        <v>12674</v>
      </c>
      <c r="E4711" s="26">
        <v>4</v>
      </c>
    </row>
    <row r="4712" spans="1:5" x14ac:dyDescent="0.25">
      <c r="A4712" s="24" t="s">
        <v>7</v>
      </c>
      <c r="B4712" s="24" t="s">
        <v>12675</v>
      </c>
      <c r="C4712" s="25" t="s">
        <v>12676</v>
      </c>
      <c r="D4712" s="25" t="s">
        <v>12677</v>
      </c>
      <c r="E4712" s="26">
        <v>102</v>
      </c>
    </row>
    <row r="4713" spans="1:5" x14ac:dyDescent="0.25">
      <c r="A4713" s="24" t="s">
        <v>7</v>
      </c>
      <c r="B4713" s="24" t="s">
        <v>12678</v>
      </c>
      <c r="C4713" s="25" t="s">
        <v>12679</v>
      </c>
      <c r="D4713" s="25" t="s">
        <v>12680</v>
      </c>
      <c r="E4713" s="26">
        <v>8</v>
      </c>
    </row>
    <row r="4714" spans="1:5" x14ac:dyDescent="0.25">
      <c r="A4714" s="24" t="s">
        <v>7</v>
      </c>
      <c r="B4714" s="24" t="s">
        <v>12681</v>
      </c>
      <c r="C4714" s="25" t="s">
        <v>12682</v>
      </c>
      <c r="D4714" s="25" t="s">
        <v>12683</v>
      </c>
      <c r="E4714" s="26">
        <v>6</v>
      </c>
    </row>
    <row r="4715" spans="1:5" x14ac:dyDescent="0.25">
      <c r="A4715" s="24" t="s">
        <v>7</v>
      </c>
      <c r="B4715" s="24" t="s">
        <v>12684</v>
      </c>
      <c r="C4715" s="25" t="s">
        <v>12685</v>
      </c>
      <c r="D4715" s="25" t="s">
        <v>12686</v>
      </c>
      <c r="E4715" s="26">
        <v>29</v>
      </c>
    </row>
    <row r="4716" spans="1:5" x14ac:dyDescent="0.25">
      <c r="A4716" s="24" t="s">
        <v>7</v>
      </c>
      <c r="B4716" s="24" t="s">
        <v>12687</v>
      </c>
      <c r="C4716" s="25" t="s">
        <v>12688</v>
      </c>
      <c r="D4716" s="25" t="s">
        <v>12689</v>
      </c>
      <c r="E4716" s="26">
        <v>3</v>
      </c>
    </row>
    <row r="4717" spans="1:5" x14ac:dyDescent="0.25">
      <c r="A4717" s="24" t="s">
        <v>7</v>
      </c>
      <c r="B4717" s="24" t="s">
        <v>12690</v>
      </c>
      <c r="C4717" s="25" t="s">
        <v>12691</v>
      </c>
      <c r="D4717" s="25" t="s">
        <v>12692</v>
      </c>
      <c r="E4717" s="26">
        <v>268</v>
      </c>
    </row>
    <row r="4718" spans="1:5" x14ac:dyDescent="0.25">
      <c r="A4718" s="24" t="s">
        <v>7</v>
      </c>
      <c r="B4718" s="24" t="s">
        <v>12693</v>
      </c>
      <c r="C4718" s="25" t="s">
        <v>12694</v>
      </c>
      <c r="D4718" s="25" t="s">
        <v>12695</v>
      </c>
      <c r="E4718" s="26">
        <v>36</v>
      </c>
    </row>
    <row r="4719" spans="1:5" x14ac:dyDescent="0.25">
      <c r="A4719" s="24" t="s">
        <v>7</v>
      </c>
      <c r="B4719" s="24" t="s">
        <v>12696</v>
      </c>
      <c r="C4719" s="25" t="s">
        <v>12697</v>
      </c>
      <c r="D4719" s="25" t="s">
        <v>12698</v>
      </c>
      <c r="E4719" s="26">
        <v>14</v>
      </c>
    </row>
    <row r="4720" spans="1:5" x14ac:dyDescent="0.25">
      <c r="A4720" s="24" t="s">
        <v>7</v>
      </c>
      <c r="B4720" s="24" t="s">
        <v>12699</v>
      </c>
      <c r="C4720" s="25" t="s">
        <v>12700</v>
      </c>
      <c r="D4720" s="25" t="s">
        <v>12701</v>
      </c>
      <c r="E4720" s="26">
        <v>24</v>
      </c>
    </row>
    <row r="4721" spans="1:5" x14ac:dyDescent="0.25">
      <c r="A4721" s="24" t="s">
        <v>7</v>
      </c>
      <c r="B4721" s="24" t="s">
        <v>12702</v>
      </c>
      <c r="C4721" s="25" t="s">
        <v>12703</v>
      </c>
      <c r="D4721" s="25" t="s">
        <v>12704</v>
      </c>
      <c r="E4721" s="26">
        <v>17</v>
      </c>
    </row>
    <row r="4722" spans="1:5" x14ac:dyDescent="0.25">
      <c r="A4722" s="24" t="s">
        <v>7</v>
      </c>
      <c r="B4722" s="24" t="s">
        <v>12705</v>
      </c>
      <c r="C4722" s="25" t="s">
        <v>12706</v>
      </c>
      <c r="D4722" s="25" t="s">
        <v>12707</v>
      </c>
      <c r="E4722" s="26">
        <v>13</v>
      </c>
    </row>
    <row r="4723" spans="1:5" x14ac:dyDescent="0.25">
      <c r="A4723" s="24" t="s">
        <v>7</v>
      </c>
      <c r="B4723" s="24" t="s">
        <v>12708</v>
      </c>
      <c r="C4723" s="25" t="s">
        <v>12709</v>
      </c>
      <c r="D4723" s="25" t="s">
        <v>12710</v>
      </c>
      <c r="E4723" s="26">
        <v>3</v>
      </c>
    </row>
    <row r="4724" spans="1:5" x14ac:dyDescent="0.25">
      <c r="A4724" s="24" t="s">
        <v>7</v>
      </c>
      <c r="B4724" s="24" t="s">
        <v>12711</v>
      </c>
      <c r="C4724" s="25" t="s">
        <v>12712</v>
      </c>
      <c r="D4724" s="25" t="s">
        <v>12713</v>
      </c>
      <c r="E4724" s="26">
        <v>2</v>
      </c>
    </row>
    <row r="4725" spans="1:5" x14ac:dyDescent="0.25">
      <c r="A4725" s="24" t="s">
        <v>7</v>
      </c>
      <c r="B4725" s="24" t="s">
        <v>12714</v>
      </c>
      <c r="C4725" s="25" t="s">
        <v>12715</v>
      </c>
      <c r="D4725" s="25" t="s">
        <v>12716</v>
      </c>
      <c r="E4725" s="26">
        <v>2</v>
      </c>
    </row>
    <row r="4726" spans="1:5" x14ac:dyDescent="0.25">
      <c r="A4726" s="24" t="s">
        <v>7</v>
      </c>
      <c r="B4726" s="24" t="s">
        <v>12717</v>
      </c>
      <c r="C4726" s="25" t="s">
        <v>12718</v>
      </c>
      <c r="D4726" s="25" t="s">
        <v>12719</v>
      </c>
      <c r="E4726" s="26">
        <v>24</v>
      </c>
    </row>
    <row r="4727" spans="1:5" x14ac:dyDescent="0.25">
      <c r="A4727" s="24" t="s">
        <v>7</v>
      </c>
      <c r="B4727" s="24" t="s">
        <v>12720</v>
      </c>
      <c r="C4727" s="25" t="s">
        <v>12721</v>
      </c>
      <c r="D4727" s="25" t="s">
        <v>12722</v>
      </c>
      <c r="E4727" s="26">
        <v>3</v>
      </c>
    </row>
    <row r="4728" spans="1:5" x14ac:dyDescent="0.25">
      <c r="A4728" s="24" t="s">
        <v>7</v>
      </c>
      <c r="B4728" s="24" t="s">
        <v>12723</v>
      </c>
      <c r="C4728" s="25" t="s">
        <v>12724</v>
      </c>
      <c r="D4728" s="25" t="s">
        <v>12725</v>
      </c>
      <c r="E4728" s="26">
        <v>51</v>
      </c>
    </row>
    <row r="4729" spans="1:5" x14ac:dyDescent="0.25">
      <c r="A4729" s="24" t="s">
        <v>7</v>
      </c>
      <c r="B4729" s="24" t="s">
        <v>12726</v>
      </c>
      <c r="C4729" s="25" t="s">
        <v>12727</v>
      </c>
      <c r="D4729" s="25" t="s">
        <v>12728</v>
      </c>
      <c r="E4729" s="26">
        <v>92</v>
      </c>
    </row>
    <row r="4730" spans="1:5" x14ac:dyDescent="0.25">
      <c r="A4730" s="24" t="s">
        <v>7</v>
      </c>
      <c r="B4730" s="24" t="s">
        <v>12729</v>
      </c>
      <c r="C4730" s="25" t="s">
        <v>12730</v>
      </c>
      <c r="D4730" s="25" t="s">
        <v>12731</v>
      </c>
      <c r="E4730" s="26">
        <v>91</v>
      </c>
    </row>
    <row r="4731" spans="1:5" x14ac:dyDescent="0.25">
      <c r="A4731" s="24" t="s">
        <v>7</v>
      </c>
      <c r="B4731" s="24" t="s">
        <v>12732</v>
      </c>
      <c r="C4731" s="25" t="s">
        <v>12733</v>
      </c>
      <c r="D4731" s="25" t="s">
        <v>12734</v>
      </c>
      <c r="E4731" s="26">
        <v>31</v>
      </c>
    </row>
    <row r="4732" spans="1:5" x14ac:dyDescent="0.25">
      <c r="A4732" s="24" t="s">
        <v>7</v>
      </c>
      <c r="B4732" s="24" t="s">
        <v>12735</v>
      </c>
      <c r="C4732" s="25" t="s">
        <v>12736</v>
      </c>
      <c r="D4732" s="25" t="s">
        <v>12737</v>
      </c>
      <c r="E4732" s="26">
        <v>373</v>
      </c>
    </row>
    <row r="4733" spans="1:5" x14ac:dyDescent="0.25">
      <c r="A4733" s="24" t="s">
        <v>7</v>
      </c>
      <c r="B4733" s="24" t="s">
        <v>12738</v>
      </c>
      <c r="C4733" s="25" t="s">
        <v>12739</v>
      </c>
      <c r="D4733" s="25" t="s">
        <v>12740</v>
      </c>
      <c r="E4733" s="26">
        <v>193</v>
      </c>
    </row>
    <row r="4734" spans="1:5" x14ac:dyDescent="0.25">
      <c r="A4734" s="24" t="s">
        <v>7</v>
      </c>
      <c r="B4734" s="24" t="s">
        <v>12741</v>
      </c>
      <c r="C4734" s="25" t="s">
        <v>12742</v>
      </c>
      <c r="D4734" s="25" t="s">
        <v>12743</v>
      </c>
      <c r="E4734" s="26">
        <v>28</v>
      </c>
    </row>
    <row r="4735" spans="1:5" x14ac:dyDescent="0.25">
      <c r="A4735" s="24" t="s">
        <v>7</v>
      </c>
      <c r="B4735" s="24" t="s">
        <v>12744</v>
      </c>
      <c r="C4735" s="25" t="s">
        <v>12745</v>
      </c>
      <c r="D4735" s="25" t="s">
        <v>12746</v>
      </c>
      <c r="E4735" s="26">
        <v>2</v>
      </c>
    </row>
    <row r="4736" spans="1:5" x14ac:dyDescent="0.25">
      <c r="A4736" s="24" t="s">
        <v>7</v>
      </c>
      <c r="B4736" s="24" t="s">
        <v>12747</v>
      </c>
      <c r="C4736" s="25" t="s">
        <v>12748</v>
      </c>
      <c r="D4736" s="25" t="s">
        <v>12749</v>
      </c>
      <c r="E4736" s="26">
        <v>131</v>
      </c>
    </row>
    <row r="4737" spans="1:5" x14ac:dyDescent="0.25">
      <c r="A4737" s="24" t="s">
        <v>7</v>
      </c>
      <c r="B4737" s="24" t="s">
        <v>12750</v>
      </c>
      <c r="C4737" s="25" t="s">
        <v>12751</v>
      </c>
      <c r="D4737" s="25" t="s">
        <v>12752</v>
      </c>
      <c r="E4737" s="26">
        <v>163</v>
      </c>
    </row>
    <row r="4738" spans="1:5" x14ac:dyDescent="0.25">
      <c r="A4738" s="24" t="s">
        <v>7</v>
      </c>
      <c r="B4738" s="24" t="s">
        <v>12753</v>
      </c>
      <c r="C4738" s="25" t="s">
        <v>12754</v>
      </c>
      <c r="D4738" s="25" t="s">
        <v>12755</v>
      </c>
      <c r="E4738" s="26">
        <v>12</v>
      </c>
    </row>
    <row r="4739" spans="1:5" x14ac:dyDescent="0.25">
      <c r="A4739" s="24" t="s">
        <v>7</v>
      </c>
      <c r="B4739" s="24" t="s">
        <v>12756</v>
      </c>
      <c r="C4739" s="25" t="s">
        <v>12757</v>
      </c>
      <c r="D4739" s="25" t="s">
        <v>12758</v>
      </c>
      <c r="E4739" s="26">
        <v>24</v>
      </c>
    </row>
    <row r="4740" spans="1:5" x14ac:dyDescent="0.25">
      <c r="A4740" s="24" t="s">
        <v>7</v>
      </c>
      <c r="B4740" s="24" t="s">
        <v>12759</v>
      </c>
      <c r="C4740" s="25" t="s">
        <v>12760</v>
      </c>
      <c r="D4740" s="25" t="s">
        <v>12761</v>
      </c>
      <c r="E4740" s="26">
        <v>3</v>
      </c>
    </row>
    <row r="4741" spans="1:5" x14ac:dyDescent="0.25">
      <c r="A4741" s="24" t="s">
        <v>7</v>
      </c>
      <c r="B4741" s="24" t="s">
        <v>12762</v>
      </c>
      <c r="C4741" s="25" t="s">
        <v>12763</v>
      </c>
      <c r="D4741" s="25" t="s">
        <v>12764</v>
      </c>
      <c r="E4741" s="26">
        <v>19</v>
      </c>
    </row>
    <row r="4742" spans="1:5" x14ac:dyDescent="0.25">
      <c r="A4742" s="24" t="s">
        <v>7</v>
      </c>
      <c r="B4742" s="24" t="s">
        <v>12765</v>
      </c>
      <c r="C4742" s="25" t="s">
        <v>12766</v>
      </c>
      <c r="D4742" s="25" t="s">
        <v>12767</v>
      </c>
      <c r="E4742" s="26">
        <v>24</v>
      </c>
    </row>
    <row r="4743" spans="1:5" x14ac:dyDescent="0.25">
      <c r="A4743" s="24" t="s">
        <v>7</v>
      </c>
      <c r="B4743" s="24" t="s">
        <v>12768</v>
      </c>
      <c r="C4743" s="25" t="s">
        <v>12769</v>
      </c>
      <c r="D4743" s="25" t="s">
        <v>12770</v>
      </c>
      <c r="E4743" s="26">
        <v>466</v>
      </c>
    </row>
    <row r="4744" spans="1:5" x14ac:dyDescent="0.25">
      <c r="A4744" s="24" t="s">
        <v>7</v>
      </c>
      <c r="B4744" s="24" t="s">
        <v>12771</v>
      </c>
      <c r="C4744" s="25" t="s">
        <v>12772</v>
      </c>
      <c r="D4744" s="25" t="s">
        <v>12773</v>
      </c>
      <c r="E4744" s="26">
        <v>5919</v>
      </c>
    </row>
    <row r="4745" spans="1:5" x14ac:dyDescent="0.25">
      <c r="A4745" s="24" t="s">
        <v>7</v>
      </c>
      <c r="B4745" s="24" t="s">
        <v>12774</v>
      </c>
      <c r="C4745" s="25" t="s">
        <v>12775</v>
      </c>
      <c r="D4745" s="25" t="s">
        <v>12776</v>
      </c>
      <c r="E4745" s="26">
        <v>167</v>
      </c>
    </row>
    <row r="4746" spans="1:5" x14ac:dyDescent="0.25">
      <c r="A4746" s="24" t="s">
        <v>7</v>
      </c>
      <c r="B4746" s="24" t="s">
        <v>12777</v>
      </c>
      <c r="C4746" s="25" t="s">
        <v>12778</v>
      </c>
      <c r="D4746" s="25" t="s">
        <v>12779</v>
      </c>
      <c r="E4746" s="26">
        <v>269</v>
      </c>
    </row>
    <row r="4747" spans="1:5" x14ac:dyDescent="0.25">
      <c r="A4747" s="24" t="s">
        <v>7</v>
      </c>
      <c r="B4747" s="24" t="s">
        <v>12780</v>
      </c>
      <c r="C4747" s="25" t="s">
        <v>12781</v>
      </c>
      <c r="D4747" s="25" t="s">
        <v>12782</v>
      </c>
      <c r="E4747" s="26">
        <v>24</v>
      </c>
    </row>
    <row r="4748" spans="1:5" x14ac:dyDescent="0.25">
      <c r="A4748" s="24" t="s">
        <v>7</v>
      </c>
      <c r="B4748" s="24" t="s">
        <v>12783</v>
      </c>
      <c r="C4748" s="25" t="s">
        <v>12784</v>
      </c>
      <c r="D4748" s="25" t="s">
        <v>12785</v>
      </c>
      <c r="E4748" s="26">
        <v>60</v>
      </c>
    </row>
    <row r="4749" spans="1:5" x14ac:dyDescent="0.25">
      <c r="A4749" s="24" t="s">
        <v>7</v>
      </c>
      <c r="B4749" s="24" t="s">
        <v>12786</v>
      </c>
      <c r="C4749" s="25" t="s">
        <v>12787</v>
      </c>
      <c r="D4749" s="25" t="s">
        <v>12788</v>
      </c>
      <c r="E4749" s="26">
        <v>1</v>
      </c>
    </row>
    <row r="4750" spans="1:5" x14ac:dyDescent="0.25">
      <c r="A4750" s="24" t="s">
        <v>7</v>
      </c>
      <c r="B4750" s="24" t="s">
        <v>12789</v>
      </c>
      <c r="C4750" s="25" t="s">
        <v>12790</v>
      </c>
      <c r="D4750" s="25" t="s">
        <v>12791</v>
      </c>
      <c r="E4750" s="26">
        <v>203</v>
      </c>
    </row>
    <row r="4751" spans="1:5" x14ac:dyDescent="0.25">
      <c r="A4751" s="24" t="s">
        <v>7</v>
      </c>
      <c r="B4751" s="24" t="s">
        <v>12792</v>
      </c>
      <c r="C4751" s="25" t="s">
        <v>12793</v>
      </c>
      <c r="D4751" s="25" t="s">
        <v>12794</v>
      </c>
      <c r="E4751" s="26">
        <v>319</v>
      </c>
    </row>
    <row r="4752" spans="1:5" x14ac:dyDescent="0.25">
      <c r="A4752" s="24" t="s">
        <v>7</v>
      </c>
      <c r="B4752" s="24" t="s">
        <v>12795</v>
      </c>
      <c r="C4752" s="25" t="s">
        <v>12796</v>
      </c>
      <c r="D4752" s="25" t="s">
        <v>12797</v>
      </c>
      <c r="E4752" s="26">
        <v>1003</v>
      </c>
    </row>
    <row r="4753" spans="1:5" x14ac:dyDescent="0.25">
      <c r="A4753" s="24" t="s">
        <v>7</v>
      </c>
      <c r="B4753" s="24" t="s">
        <v>12798</v>
      </c>
      <c r="C4753" s="25" t="s">
        <v>12799</v>
      </c>
      <c r="D4753" s="25" t="s">
        <v>12800</v>
      </c>
      <c r="E4753" s="26">
        <v>56</v>
      </c>
    </row>
    <row r="4754" spans="1:5" x14ac:dyDescent="0.25">
      <c r="A4754" s="24" t="s">
        <v>7</v>
      </c>
      <c r="B4754" s="24" t="s">
        <v>12801</v>
      </c>
      <c r="C4754" s="25" t="s">
        <v>12802</v>
      </c>
      <c r="D4754" s="25" t="s">
        <v>12803</v>
      </c>
      <c r="E4754" s="26">
        <v>286</v>
      </c>
    </row>
    <row r="4755" spans="1:5" x14ac:dyDescent="0.25">
      <c r="A4755" s="24" t="s">
        <v>7</v>
      </c>
      <c r="B4755" s="24" t="s">
        <v>12804</v>
      </c>
      <c r="C4755" s="25" t="s">
        <v>12805</v>
      </c>
      <c r="D4755" s="25" t="s">
        <v>12806</v>
      </c>
      <c r="E4755" s="26">
        <v>590</v>
      </c>
    </row>
    <row r="4756" spans="1:5" x14ac:dyDescent="0.25">
      <c r="A4756" s="24" t="s">
        <v>7</v>
      </c>
      <c r="B4756" s="24" t="s">
        <v>12807</v>
      </c>
      <c r="C4756" s="25" t="s">
        <v>12808</v>
      </c>
      <c r="D4756" s="25" t="s">
        <v>12800</v>
      </c>
      <c r="E4756" s="26">
        <v>57</v>
      </c>
    </row>
    <row r="4757" spans="1:5" x14ac:dyDescent="0.25">
      <c r="A4757" s="24" t="s">
        <v>7</v>
      </c>
      <c r="B4757" s="24" t="s">
        <v>12809</v>
      </c>
      <c r="C4757" s="25" t="s">
        <v>12810</v>
      </c>
      <c r="D4757" s="25" t="s">
        <v>12803</v>
      </c>
      <c r="E4757" s="26">
        <v>220</v>
      </c>
    </row>
    <row r="4758" spans="1:5" x14ac:dyDescent="0.25">
      <c r="A4758" s="24" t="s">
        <v>7</v>
      </c>
      <c r="B4758" s="24" t="s">
        <v>12811</v>
      </c>
      <c r="C4758" s="25" t="s">
        <v>12812</v>
      </c>
      <c r="D4758" s="25" t="s">
        <v>12806</v>
      </c>
      <c r="E4758" s="26">
        <v>349</v>
      </c>
    </row>
    <row r="4759" spans="1:5" x14ac:dyDescent="0.25">
      <c r="A4759" s="24" t="s">
        <v>7</v>
      </c>
      <c r="B4759" s="24" t="s">
        <v>12813</v>
      </c>
      <c r="C4759" s="25" t="s">
        <v>12814</v>
      </c>
      <c r="D4759" s="25" t="s">
        <v>12815</v>
      </c>
      <c r="E4759" s="26">
        <v>32.96</v>
      </c>
    </row>
    <row r="4760" spans="1:5" x14ac:dyDescent="0.25">
      <c r="A4760" s="24" t="s">
        <v>7</v>
      </c>
      <c r="B4760" s="24" t="s">
        <v>12816</v>
      </c>
      <c r="C4760" s="25" t="s">
        <v>12817</v>
      </c>
      <c r="D4760" s="25" t="s">
        <v>12818</v>
      </c>
      <c r="E4760" s="26">
        <v>463</v>
      </c>
    </row>
    <row r="4761" spans="1:5" x14ac:dyDescent="0.25">
      <c r="A4761" s="24" t="s">
        <v>7</v>
      </c>
      <c r="B4761" s="24" t="s">
        <v>12819</v>
      </c>
      <c r="C4761" s="25" t="s">
        <v>12820</v>
      </c>
      <c r="D4761" s="25" t="s">
        <v>12821</v>
      </c>
      <c r="E4761" s="26">
        <v>261</v>
      </c>
    </row>
    <row r="4762" spans="1:5" x14ac:dyDescent="0.25">
      <c r="A4762" s="24" t="s">
        <v>7</v>
      </c>
      <c r="B4762" s="24" t="s">
        <v>12822</v>
      </c>
      <c r="C4762" s="25" t="s">
        <v>12823</v>
      </c>
      <c r="D4762" s="25" t="s">
        <v>12824</v>
      </c>
      <c r="E4762" s="26">
        <v>3</v>
      </c>
    </row>
    <row r="4763" spans="1:5" x14ac:dyDescent="0.25">
      <c r="A4763" s="24" t="s">
        <v>7</v>
      </c>
      <c r="B4763" s="24" t="s">
        <v>12825</v>
      </c>
      <c r="C4763" s="25" t="s">
        <v>12826</v>
      </c>
      <c r="D4763" s="25" t="s">
        <v>12827</v>
      </c>
      <c r="E4763" s="26">
        <v>139</v>
      </c>
    </row>
    <row r="4764" spans="1:5" x14ac:dyDescent="0.25">
      <c r="A4764" s="24" t="s">
        <v>7</v>
      </c>
      <c r="B4764" s="24" t="s">
        <v>12828</v>
      </c>
      <c r="C4764" s="25" t="s">
        <v>12829</v>
      </c>
      <c r="D4764" s="25" t="s">
        <v>12830</v>
      </c>
      <c r="E4764" s="26">
        <v>3</v>
      </c>
    </row>
    <row r="4765" spans="1:5" x14ac:dyDescent="0.25">
      <c r="A4765" s="24" t="s">
        <v>7</v>
      </c>
      <c r="B4765" s="24" t="s">
        <v>12831</v>
      </c>
      <c r="C4765" s="25" t="s">
        <v>12832</v>
      </c>
      <c r="D4765" s="25" t="s">
        <v>12833</v>
      </c>
      <c r="E4765" s="26">
        <v>5</v>
      </c>
    </row>
    <row r="4766" spans="1:5" x14ac:dyDescent="0.25">
      <c r="A4766" s="24" t="s">
        <v>7</v>
      </c>
      <c r="B4766" s="24" t="s">
        <v>12834</v>
      </c>
      <c r="C4766" s="25" t="s">
        <v>12835</v>
      </c>
      <c r="D4766" s="25" t="s">
        <v>12836</v>
      </c>
      <c r="E4766" s="26">
        <v>84</v>
      </c>
    </row>
    <row r="4767" spans="1:5" x14ac:dyDescent="0.25">
      <c r="A4767" s="24" t="s">
        <v>7</v>
      </c>
      <c r="B4767" s="24" t="s">
        <v>12837</v>
      </c>
      <c r="C4767" s="25" t="s">
        <v>12838</v>
      </c>
      <c r="D4767" s="25" t="s">
        <v>12839</v>
      </c>
      <c r="E4767" s="26">
        <v>563</v>
      </c>
    </row>
    <row r="4768" spans="1:5" x14ac:dyDescent="0.25">
      <c r="A4768" s="24" t="s">
        <v>7</v>
      </c>
      <c r="B4768" s="24" t="s">
        <v>12840</v>
      </c>
      <c r="C4768" s="25" t="s">
        <v>12841</v>
      </c>
      <c r="D4768" s="25" t="s">
        <v>12842</v>
      </c>
      <c r="E4768" s="26">
        <v>301</v>
      </c>
    </row>
    <row r="4769" spans="1:5" x14ac:dyDescent="0.25">
      <c r="A4769" s="24" t="s">
        <v>7</v>
      </c>
      <c r="B4769" s="24" t="s">
        <v>12843</v>
      </c>
      <c r="C4769" s="25" t="s">
        <v>12844</v>
      </c>
      <c r="D4769" s="25" t="s">
        <v>12845</v>
      </c>
      <c r="E4769" s="26">
        <v>36</v>
      </c>
    </row>
    <row r="4770" spans="1:5" x14ac:dyDescent="0.25">
      <c r="A4770" s="24" t="s">
        <v>7</v>
      </c>
      <c r="B4770" s="24" t="s">
        <v>12846</v>
      </c>
      <c r="C4770" s="25" t="s">
        <v>12847</v>
      </c>
      <c r="D4770" s="25" t="s">
        <v>12848</v>
      </c>
      <c r="E4770" s="26">
        <v>167</v>
      </c>
    </row>
    <row r="4771" spans="1:5" x14ac:dyDescent="0.25">
      <c r="A4771" s="24" t="s">
        <v>7</v>
      </c>
      <c r="B4771" s="24" t="s">
        <v>12849</v>
      </c>
      <c r="C4771" s="25" t="s">
        <v>12850</v>
      </c>
      <c r="D4771" s="25" t="s">
        <v>12851</v>
      </c>
      <c r="E4771" s="26">
        <v>95</v>
      </c>
    </row>
    <row r="4772" spans="1:5" x14ac:dyDescent="0.25">
      <c r="A4772" s="24" t="s">
        <v>7</v>
      </c>
      <c r="B4772" s="24" t="s">
        <v>12852</v>
      </c>
      <c r="C4772" s="25" t="s">
        <v>12853</v>
      </c>
      <c r="D4772" s="25" t="s">
        <v>12854</v>
      </c>
      <c r="E4772" s="26">
        <v>50</v>
      </c>
    </row>
    <row r="4773" spans="1:5" x14ac:dyDescent="0.25">
      <c r="A4773" s="24" t="s">
        <v>7</v>
      </c>
      <c r="B4773" s="24" t="s">
        <v>12855</v>
      </c>
      <c r="C4773" s="25" t="s">
        <v>12856</v>
      </c>
      <c r="D4773" s="25" t="s">
        <v>12857</v>
      </c>
      <c r="E4773" s="26">
        <v>242</v>
      </c>
    </row>
    <row r="4774" spans="1:5" x14ac:dyDescent="0.25">
      <c r="A4774" s="24" t="s">
        <v>7</v>
      </c>
      <c r="B4774" s="24" t="s">
        <v>12858</v>
      </c>
      <c r="C4774" s="25" t="s">
        <v>12859</v>
      </c>
      <c r="D4774" s="25" t="s">
        <v>12860</v>
      </c>
      <c r="E4774" s="26">
        <v>527</v>
      </c>
    </row>
    <row r="4775" spans="1:5" x14ac:dyDescent="0.25">
      <c r="A4775" s="24" t="s">
        <v>7</v>
      </c>
      <c r="B4775" s="24" t="s">
        <v>12861</v>
      </c>
      <c r="C4775" s="25" t="s">
        <v>12862</v>
      </c>
      <c r="D4775" s="25" t="s">
        <v>12863</v>
      </c>
      <c r="E4775" s="26">
        <v>111</v>
      </c>
    </row>
    <row r="4776" spans="1:5" x14ac:dyDescent="0.25">
      <c r="A4776" s="24" t="s">
        <v>7</v>
      </c>
      <c r="B4776" s="24" t="s">
        <v>12864</v>
      </c>
      <c r="C4776" s="25" t="s">
        <v>12865</v>
      </c>
      <c r="D4776" s="25" t="s">
        <v>12866</v>
      </c>
      <c r="E4776" s="26">
        <v>229</v>
      </c>
    </row>
    <row r="4777" spans="1:5" x14ac:dyDescent="0.25">
      <c r="A4777" s="24" t="s">
        <v>7</v>
      </c>
      <c r="B4777" s="24" t="s">
        <v>12867</v>
      </c>
      <c r="C4777" s="25" t="s">
        <v>12868</v>
      </c>
      <c r="D4777" s="25" t="s">
        <v>12869</v>
      </c>
      <c r="E4777" s="26">
        <v>742</v>
      </c>
    </row>
    <row r="4778" spans="1:5" x14ac:dyDescent="0.25">
      <c r="A4778" s="24" t="s">
        <v>7</v>
      </c>
      <c r="B4778" s="24" t="s">
        <v>12870</v>
      </c>
      <c r="C4778" s="25" t="s">
        <v>12871</v>
      </c>
      <c r="D4778" s="25" t="s">
        <v>12872</v>
      </c>
      <c r="E4778" s="26">
        <v>150</v>
      </c>
    </row>
    <row r="4779" spans="1:5" x14ac:dyDescent="0.25">
      <c r="A4779" s="24" t="s">
        <v>7</v>
      </c>
      <c r="B4779" s="24" t="s">
        <v>12873</v>
      </c>
      <c r="C4779" s="25" t="s">
        <v>12874</v>
      </c>
      <c r="D4779" s="25" t="s">
        <v>12875</v>
      </c>
      <c r="E4779" s="26">
        <v>251</v>
      </c>
    </row>
    <row r="4780" spans="1:5" x14ac:dyDescent="0.25">
      <c r="A4780" s="24" t="s">
        <v>7</v>
      </c>
      <c r="B4780" s="24" t="s">
        <v>12876</v>
      </c>
      <c r="C4780" s="25" t="s">
        <v>12877</v>
      </c>
      <c r="D4780" s="25" t="s">
        <v>12878</v>
      </c>
      <c r="E4780" s="26">
        <v>313</v>
      </c>
    </row>
    <row r="4781" spans="1:5" x14ac:dyDescent="0.25">
      <c r="A4781" s="24" t="s">
        <v>7</v>
      </c>
      <c r="B4781" s="24" t="s">
        <v>12879</v>
      </c>
      <c r="C4781" s="25" t="s">
        <v>12880</v>
      </c>
      <c r="D4781" s="25" t="s">
        <v>12881</v>
      </c>
      <c r="E4781" s="26">
        <v>64</v>
      </c>
    </row>
    <row r="4782" spans="1:5" x14ac:dyDescent="0.25">
      <c r="A4782" s="24" t="s">
        <v>7</v>
      </c>
      <c r="B4782" s="24" t="s">
        <v>12882</v>
      </c>
      <c r="C4782" s="25" t="s">
        <v>12883</v>
      </c>
      <c r="D4782" s="25" t="s">
        <v>12884</v>
      </c>
      <c r="E4782" s="26">
        <v>1425</v>
      </c>
    </row>
    <row r="4783" spans="1:5" x14ac:dyDescent="0.25">
      <c r="A4783" s="24" t="s">
        <v>7</v>
      </c>
      <c r="B4783" s="24" t="s">
        <v>12885</v>
      </c>
      <c r="C4783" s="25" t="s">
        <v>12886</v>
      </c>
      <c r="D4783" s="25" t="s">
        <v>12887</v>
      </c>
      <c r="E4783" s="26">
        <v>63</v>
      </c>
    </row>
    <row r="4784" spans="1:5" x14ac:dyDescent="0.25">
      <c r="A4784" s="24" t="s">
        <v>7</v>
      </c>
      <c r="B4784" s="24" t="s">
        <v>12888</v>
      </c>
      <c r="C4784" s="25" t="s">
        <v>12889</v>
      </c>
      <c r="D4784" s="25" t="s">
        <v>12890</v>
      </c>
      <c r="E4784" s="26">
        <v>43</v>
      </c>
    </row>
    <row r="4785" spans="1:5" x14ac:dyDescent="0.25">
      <c r="A4785" s="24" t="s">
        <v>7</v>
      </c>
      <c r="B4785" s="24" t="s">
        <v>12891</v>
      </c>
      <c r="C4785" s="25" t="s">
        <v>12892</v>
      </c>
      <c r="D4785" s="25" t="s">
        <v>12893</v>
      </c>
      <c r="E4785" s="26">
        <v>1131</v>
      </c>
    </row>
    <row r="4786" spans="1:5" x14ac:dyDescent="0.25">
      <c r="A4786" s="24" t="s">
        <v>7</v>
      </c>
      <c r="B4786" s="24" t="s">
        <v>12894</v>
      </c>
      <c r="C4786" s="25" t="s">
        <v>12895</v>
      </c>
      <c r="D4786" s="25" t="s">
        <v>12896</v>
      </c>
      <c r="E4786" s="26">
        <v>717</v>
      </c>
    </row>
    <row r="4787" spans="1:5" x14ac:dyDescent="0.25">
      <c r="A4787" s="24" t="s">
        <v>7</v>
      </c>
      <c r="B4787" s="24" t="s">
        <v>12897</v>
      </c>
      <c r="C4787" s="25" t="s">
        <v>12898</v>
      </c>
      <c r="D4787" s="25" t="s">
        <v>12887</v>
      </c>
      <c r="E4787" s="26">
        <v>35</v>
      </c>
    </row>
    <row r="4788" spans="1:5" x14ac:dyDescent="0.25">
      <c r="A4788" s="24" t="s">
        <v>7</v>
      </c>
      <c r="B4788" s="24" t="s">
        <v>12899</v>
      </c>
      <c r="C4788" s="25" t="s">
        <v>12900</v>
      </c>
      <c r="D4788" s="25" t="s">
        <v>12901</v>
      </c>
      <c r="E4788" s="26">
        <v>581</v>
      </c>
    </row>
    <row r="4789" spans="1:5" x14ac:dyDescent="0.25">
      <c r="A4789" s="24" t="s">
        <v>7</v>
      </c>
      <c r="B4789" s="24" t="s">
        <v>12902</v>
      </c>
      <c r="C4789" s="25" t="s">
        <v>12903</v>
      </c>
      <c r="D4789" s="25" t="s">
        <v>12890</v>
      </c>
      <c r="E4789" s="26">
        <v>444</v>
      </c>
    </row>
    <row r="4790" spans="1:5" x14ac:dyDescent="0.25">
      <c r="A4790" s="24" t="s">
        <v>7</v>
      </c>
      <c r="B4790" s="24" t="s">
        <v>12904</v>
      </c>
      <c r="C4790" s="25" t="s">
        <v>12905</v>
      </c>
      <c r="D4790" s="25" t="s">
        <v>12906</v>
      </c>
      <c r="E4790" s="26">
        <v>579</v>
      </c>
    </row>
    <row r="4791" spans="1:5" x14ac:dyDescent="0.25">
      <c r="A4791" s="24" t="s">
        <v>7</v>
      </c>
      <c r="B4791" s="24" t="s">
        <v>12907</v>
      </c>
      <c r="C4791" s="25" t="s">
        <v>12908</v>
      </c>
      <c r="D4791" s="25" t="s">
        <v>12909</v>
      </c>
      <c r="E4791" s="26">
        <v>13</v>
      </c>
    </row>
    <row r="4792" spans="1:5" x14ac:dyDescent="0.25">
      <c r="A4792" s="24" t="s">
        <v>7</v>
      </c>
      <c r="B4792" s="24" t="s">
        <v>12910</v>
      </c>
      <c r="C4792" s="25" t="s">
        <v>12911</v>
      </c>
      <c r="D4792" s="25" t="s">
        <v>12912</v>
      </c>
      <c r="E4792" s="26">
        <v>924</v>
      </c>
    </row>
    <row r="4793" spans="1:5" x14ac:dyDescent="0.25">
      <c r="A4793" s="24" t="s">
        <v>7</v>
      </c>
      <c r="B4793" s="24" t="s">
        <v>12913</v>
      </c>
      <c r="C4793" s="25" t="s">
        <v>12914</v>
      </c>
      <c r="D4793" s="25" t="s">
        <v>12915</v>
      </c>
      <c r="E4793" s="26">
        <v>79</v>
      </c>
    </row>
    <row r="4794" spans="1:5" x14ac:dyDescent="0.25">
      <c r="A4794" s="24" t="s">
        <v>7</v>
      </c>
      <c r="B4794" s="24" t="s">
        <v>12916</v>
      </c>
      <c r="C4794" s="25" t="s">
        <v>12917</v>
      </c>
      <c r="D4794" s="25" t="s">
        <v>12918</v>
      </c>
      <c r="E4794" s="26">
        <v>3004</v>
      </c>
    </row>
    <row r="4795" spans="1:5" x14ac:dyDescent="0.25">
      <c r="A4795" s="24" t="s">
        <v>7</v>
      </c>
      <c r="B4795" s="24" t="s">
        <v>12919</v>
      </c>
      <c r="C4795" s="25" t="s">
        <v>12920</v>
      </c>
      <c r="D4795" s="25" t="s">
        <v>12921</v>
      </c>
      <c r="E4795" s="26">
        <v>228</v>
      </c>
    </row>
    <row r="4796" spans="1:5" x14ac:dyDescent="0.25">
      <c r="A4796" s="24" t="s">
        <v>7</v>
      </c>
      <c r="B4796" s="24" t="s">
        <v>12922</v>
      </c>
      <c r="C4796" s="25" t="s">
        <v>12923</v>
      </c>
      <c r="D4796" s="25" t="s">
        <v>12924</v>
      </c>
      <c r="E4796" s="26">
        <v>891</v>
      </c>
    </row>
    <row r="4797" spans="1:5" x14ac:dyDescent="0.25">
      <c r="A4797" s="24" t="s">
        <v>7</v>
      </c>
      <c r="B4797" s="24" t="s">
        <v>12925</v>
      </c>
      <c r="C4797" s="25" t="s">
        <v>12926</v>
      </c>
      <c r="D4797" s="25" t="s">
        <v>12927</v>
      </c>
      <c r="E4797" s="26">
        <v>39</v>
      </c>
    </row>
    <row r="4798" spans="1:5" x14ac:dyDescent="0.25">
      <c r="A4798" s="24" t="s">
        <v>7</v>
      </c>
      <c r="B4798" s="24" t="s">
        <v>12928</v>
      </c>
      <c r="C4798" s="25" t="s">
        <v>12929</v>
      </c>
      <c r="D4798" s="25" t="s">
        <v>12930</v>
      </c>
      <c r="E4798" s="26">
        <v>76</v>
      </c>
    </row>
    <row r="4799" spans="1:5" x14ac:dyDescent="0.25">
      <c r="A4799" s="24" t="s">
        <v>7</v>
      </c>
      <c r="B4799" s="24" t="s">
        <v>12931</v>
      </c>
      <c r="C4799" s="25" t="s">
        <v>12932</v>
      </c>
      <c r="D4799" s="25" t="s">
        <v>12933</v>
      </c>
      <c r="E4799" s="26">
        <v>310</v>
      </c>
    </row>
    <row r="4800" spans="1:5" x14ac:dyDescent="0.25">
      <c r="A4800" s="24" t="s">
        <v>7</v>
      </c>
      <c r="B4800" s="24" t="s">
        <v>12934</v>
      </c>
      <c r="C4800" s="25" t="s">
        <v>12935</v>
      </c>
      <c r="D4800" s="25" t="s">
        <v>12936</v>
      </c>
      <c r="E4800" s="26">
        <v>164</v>
      </c>
    </row>
    <row r="4801" spans="1:5" x14ac:dyDescent="0.25">
      <c r="A4801" s="24" t="s">
        <v>7</v>
      </c>
      <c r="B4801" s="24" t="s">
        <v>12937</v>
      </c>
      <c r="C4801" s="25" t="s">
        <v>12938</v>
      </c>
      <c r="D4801" s="25" t="s">
        <v>12936</v>
      </c>
      <c r="E4801" s="26">
        <v>160</v>
      </c>
    </row>
    <row r="4802" spans="1:5" x14ac:dyDescent="0.25">
      <c r="A4802" s="24" t="s">
        <v>7</v>
      </c>
      <c r="B4802" s="24" t="s">
        <v>12939</v>
      </c>
      <c r="C4802" s="25" t="s">
        <v>12940</v>
      </c>
      <c r="D4802" s="25" t="s">
        <v>12941</v>
      </c>
      <c r="E4802" s="26">
        <v>31</v>
      </c>
    </row>
    <row r="4803" spans="1:5" x14ac:dyDescent="0.25">
      <c r="A4803" s="24" t="s">
        <v>7</v>
      </c>
      <c r="B4803" s="24" t="s">
        <v>12942</v>
      </c>
      <c r="C4803" s="25" t="s">
        <v>12943</v>
      </c>
      <c r="D4803" s="25" t="s">
        <v>12944</v>
      </c>
      <c r="E4803" s="26">
        <v>815</v>
      </c>
    </row>
    <row r="4804" spans="1:5" x14ac:dyDescent="0.25">
      <c r="A4804" s="24" t="s">
        <v>7</v>
      </c>
      <c r="B4804" s="24" t="s">
        <v>12945</v>
      </c>
      <c r="C4804" s="25" t="s">
        <v>12946</v>
      </c>
      <c r="D4804" s="25" t="s">
        <v>12947</v>
      </c>
      <c r="E4804" s="26">
        <v>603</v>
      </c>
    </row>
    <row r="4805" spans="1:5" x14ac:dyDescent="0.25">
      <c r="A4805" s="24" t="s">
        <v>7</v>
      </c>
      <c r="B4805" s="24" t="s">
        <v>12948</v>
      </c>
      <c r="C4805" s="25" t="s">
        <v>12949</v>
      </c>
      <c r="D4805" s="25" t="s">
        <v>12950</v>
      </c>
      <c r="E4805" s="26">
        <v>154</v>
      </c>
    </row>
    <row r="4806" spans="1:5" x14ac:dyDescent="0.25">
      <c r="A4806" s="24" t="s">
        <v>7</v>
      </c>
      <c r="B4806" s="24" t="s">
        <v>12951</v>
      </c>
      <c r="C4806" s="25" t="s">
        <v>12952</v>
      </c>
      <c r="D4806" s="25" t="s">
        <v>12953</v>
      </c>
      <c r="E4806" s="26">
        <v>153</v>
      </c>
    </row>
    <row r="4807" spans="1:5" x14ac:dyDescent="0.25">
      <c r="A4807" s="24" t="s">
        <v>7</v>
      </c>
      <c r="B4807" s="24" t="s">
        <v>12954</v>
      </c>
      <c r="C4807" s="25" t="s">
        <v>12955</v>
      </c>
      <c r="D4807" s="25" t="s">
        <v>12956</v>
      </c>
      <c r="E4807" s="26">
        <v>137</v>
      </c>
    </row>
    <row r="4808" spans="1:5" x14ac:dyDescent="0.25">
      <c r="A4808" s="24" t="s">
        <v>7</v>
      </c>
      <c r="B4808" s="24" t="s">
        <v>12957</v>
      </c>
      <c r="C4808" s="25" t="s">
        <v>12958</v>
      </c>
      <c r="D4808" s="25" t="s">
        <v>12959</v>
      </c>
      <c r="E4808" s="26">
        <v>64</v>
      </c>
    </row>
    <row r="4809" spans="1:5" x14ac:dyDescent="0.25">
      <c r="A4809" s="24" t="s">
        <v>7</v>
      </c>
      <c r="B4809" s="24" t="s">
        <v>12960</v>
      </c>
      <c r="C4809" s="25" t="s">
        <v>12961</v>
      </c>
      <c r="D4809" s="25" t="s">
        <v>12962</v>
      </c>
      <c r="E4809" s="26">
        <v>85</v>
      </c>
    </row>
    <row r="4810" spans="1:5" x14ac:dyDescent="0.25">
      <c r="A4810" s="24" t="s">
        <v>7</v>
      </c>
      <c r="B4810" s="24" t="s">
        <v>12963</v>
      </c>
      <c r="C4810" s="25" t="s">
        <v>12964</v>
      </c>
      <c r="D4810" s="25" t="s">
        <v>12965</v>
      </c>
      <c r="E4810" s="26">
        <v>113</v>
      </c>
    </row>
    <row r="4811" spans="1:5" x14ac:dyDescent="0.25">
      <c r="A4811" s="24" t="s">
        <v>7</v>
      </c>
      <c r="B4811" s="24" t="s">
        <v>12966</v>
      </c>
      <c r="C4811" s="25" t="s">
        <v>12967</v>
      </c>
      <c r="D4811" s="25" t="s">
        <v>12968</v>
      </c>
      <c r="E4811" s="26">
        <v>611</v>
      </c>
    </row>
    <row r="4812" spans="1:5" x14ac:dyDescent="0.25">
      <c r="A4812" s="24" t="s">
        <v>7</v>
      </c>
      <c r="B4812" s="24" t="s">
        <v>12969</v>
      </c>
      <c r="C4812" s="25" t="s">
        <v>12970</v>
      </c>
      <c r="D4812" s="25" t="s">
        <v>12971</v>
      </c>
      <c r="E4812" s="26">
        <v>814</v>
      </c>
    </row>
    <row r="4813" spans="1:5" x14ac:dyDescent="0.25">
      <c r="A4813" s="24" t="s">
        <v>7</v>
      </c>
      <c r="B4813" s="24" t="s">
        <v>12972</v>
      </c>
      <c r="C4813" s="25" t="s">
        <v>12973</v>
      </c>
      <c r="D4813" s="25" t="s">
        <v>12974</v>
      </c>
      <c r="E4813" s="26">
        <v>118</v>
      </c>
    </row>
    <row r="4814" spans="1:5" x14ac:dyDescent="0.25">
      <c r="A4814" s="24" t="s">
        <v>7</v>
      </c>
      <c r="B4814" s="24" t="s">
        <v>12975</v>
      </c>
      <c r="C4814" s="25" t="s">
        <v>12976</v>
      </c>
      <c r="D4814" s="25" t="s">
        <v>12977</v>
      </c>
      <c r="E4814" s="26">
        <v>94</v>
      </c>
    </row>
    <row r="4815" spans="1:5" x14ac:dyDescent="0.25">
      <c r="A4815" s="24" t="s">
        <v>7</v>
      </c>
      <c r="B4815" s="24" t="s">
        <v>12978</v>
      </c>
      <c r="C4815" s="25" t="s">
        <v>12979</v>
      </c>
      <c r="D4815" s="25" t="s">
        <v>12980</v>
      </c>
      <c r="E4815" s="26">
        <v>25</v>
      </c>
    </row>
    <row r="4816" spans="1:5" x14ac:dyDescent="0.25">
      <c r="A4816" s="24" t="s">
        <v>7</v>
      </c>
      <c r="B4816" s="24" t="s">
        <v>12981</v>
      </c>
      <c r="C4816" s="25" t="s">
        <v>12982</v>
      </c>
      <c r="D4816" s="25" t="s">
        <v>12983</v>
      </c>
      <c r="E4816" s="26">
        <v>11</v>
      </c>
    </row>
    <row r="4817" spans="1:5" x14ac:dyDescent="0.25">
      <c r="A4817" s="24" t="s">
        <v>7</v>
      </c>
      <c r="B4817" s="24" t="s">
        <v>12984</v>
      </c>
      <c r="C4817" s="25" t="s">
        <v>12985</v>
      </c>
      <c r="D4817" s="25" t="s">
        <v>12986</v>
      </c>
      <c r="E4817" s="26">
        <v>95</v>
      </c>
    </row>
    <row r="4818" spans="1:5" x14ac:dyDescent="0.25">
      <c r="A4818" s="24" t="s">
        <v>7</v>
      </c>
      <c r="B4818" s="24" t="s">
        <v>12987</v>
      </c>
      <c r="C4818" s="25" t="s">
        <v>12988</v>
      </c>
      <c r="D4818" s="25" t="s">
        <v>12989</v>
      </c>
      <c r="E4818" s="26">
        <v>146</v>
      </c>
    </row>
    <row r="4819" spans="1:5" x14ac:dyDescent="0.25">
      <c r="A4819" s="24" t="s">
        <v>7</v>
      </c>
      <c r="B4819" s="24" t="s">
        <v>12990</v>
      </c>
      <c r="C4819" s="25" t="s">
        <v>12991</v>
      </c>
      <c r="D4819" s="25" t="s">
        <v>12992</v>
      </c>
      <c r="E4819" s="26">
        <v>144</v>
      </c>
    </row>
    <row r="4820" spans="1:5" x14ac:dyDescent="0.25">
      <c r="A4820" s="24" t="s">
        <v>7</v>
      </c>
      <c r="B4820" s="24" t="s">
        <v>12993</v>
      </c>
      <c r="C4820" s="25" t="s">
        <v>12994</v>
      </c>
      <c r="D4820" s="25" t="s">
        <v>12995</v>
      </c>
      <c r="E4820" s="26">
        <v>391</v>
      </c>
    </row>
    <row r="4821" spans="1:5" x14ac:dyDescent="0.25">
      <c r="A4821" s="24" t="s">
        <v>7</v>
      </c>
      <c r="B4821" s="24" t="s">
        <v>12996</v>
      </c>
      <c r="C4821" s="25" t="s">
        <v>12997</v>
      </c>
      <c r="D4821" s="25" t="s">
        <v>12998</v>
      </c>
      <c r="E4821" s="26">
        <v>2</v>
      </c>
    </row>
    <row r="4822" spans="1:5" x14ac:dyDescent="0.25">
      <c r="A4822" s="24" t="s">
        <v>7</v>
      </c>
      <c r="B4822" s="24" t="s">
        <v>12999</v>
      </c>
      <c r="C4822" s="25" t="s">
        <v>13000</v>
      </c>
      <c r="D4822" s="25" t="s">
        <v>13001</v>
      </c>
      <c r="E4822" s="26">
        <v>53</v>
      </c>
    </row>
    <row r="4823" spans="1:5" x14ac:dyDescent="0.25">
      <c r="A4823" s="24" t="s">
        <v>7</v>
      </c>
      <c r="B4823" s="24" t="s">
        <v>13002</v>
      </c>
      <c r="C4823" s="25" t="s">
        <v>13003</v>
      </c>
      <c r="D4823" s="25" t="s">
        <v>13004</v>
      </c>
      <c r="E4823" s="26">
        <v>1278</v>
      </c>
    </row>
    <row r="4824" spans="1:5" x14ac:dyDescent="0.25">
      <c r="A4824" s="24" t="s">
        <v>7</v>
      </c>
      <c r="B4824" s="24" t="s">
        <v>13005</v>
      </c>
      <c r="C4824" s="25" t="s">
        <v>13006</v>
      </c>
      <c r="D4824" s="25" t="s">
        <v>13007</v>
      </c>
      <c r="E4824" s="26">
        <v>678</v>
      </c>
    </row>
    <row r="4825" spans="1:5" x14ac:dyDescent="0.25">
      <c r="A4825" s="24" t="s">
        <v>7</v>
      </c>
      <c r="B4825" s="24" t="s">
        <v>13008</v>
      </c>
      <c r="C4825" s="25" t="s">
        <v>13009</v>
      </c>
      <c r="D4825" s="25" t="s">
        <v>13010</v>
      </c>
      <c r="E4825" s="26">
        <v>96</v>
      </c>
    </row>
    <row r="4826" spans="1:5" x14ac:dyDescent="0.25">
      <c r="A4826" s="24" t="s">
        <v>7</v>
      </c>
      <c r="B4826" s="24" t="s">
        <v>13011</v>
      </c>
      <c r="C4826" s="25" t="s">
        <v>13012</v>
      </c>
      <c r="D4826" s="25" t="s">
        <v>13013</v>
      </c>
      <c r="E4826" s="26">
        <v>477</v>
      </c>
    </row>
    <row r="4827" spans="1:5" x14ac:dyDescent="0.25">
      <c r="A4827" s="24" t="s">
        <v>7</v>
      </c>
      <c r="B4827" s="24" t="s">
        <v>13014</v>
      </c>
      <c r="C4827" s="25" t="s">
        <v>13015</v>
      </c>
      <c r="D4827" s="25" t="s">
        <v>13016</v>
      </c>
      <c r="E4827" s="26">
        <v>485</v>
      </c>
    </row>
    <row r="4828" spans="1:5" x14ac:dyDescent="0.25">
      <c r="A4828" s="24" t="s">
        <v>7</v>
      </c>
      <c r="B4828" s="24" t="s">
        <v>13017</v>
      </c>
      <c r="C4828" s="25" t="s">
        <v>13018</v>
      </c>
      <c r="D4828" s="25" t="s">
        <v>13019</v>
      </c>
      <c r="E4828" s="26">
        <v>30</v>
      </c>
    </row>
    <row r="4829" spans="1:5" x14ac:dyDescent="0.25">
      <c r="A4829" s="24" t="s">
        <v>7</v>
      </c>
      <c r="B4829" s="24" t="s">
        <v>13020</v>
      </c>
      <c r="C4829" s="25" t="s">
        <v>13021</v>
      </c>
      <c r="D4829" s="25" t="s">
        <v>13022</v>
      </c>
      <c r="E4829" s="26">
        <v>1645</v>
      </c>
    </row>
    <row r="4830" spans="1:5" x14ac:dyDescent="0.25">
      <c r="A4830" s="24" t="s">
        <v>7</v>
      </c>
      <c r="B4830" s="24" t="s">
        <v>13023</v>
      </c>
      <c r="C4830" s="25" t="s">
        <v>13024</v>
      </c>
      <c r="D4830" s="25" t="s">
        <v>13025</v>
      </c>
      <c r="E4830" s="26">
        <v>615</v>
      </c>
    </row>
    <row r="4831" spans="1:5" x14ac:dyDescent="0.25">
      <c r="A4831" s="24" t="s">
        <v>7</v>
      </c>
      <c r="B4831" s="24" t="s">
        <v>13026</v>
      </c>
      <c r="C4831" s="25" t="s">
        <v>13027</v>
      </c>
      <c r="D4831" s="25" t="s">
        <v>13028</v>
      </c>
      <c r="E4831" s="26">
        <v>38</v>
      </c>
    </row>
    <row r="4832" spans="1:5" x14ac:dyDescent="0.25">
      <c r="A4832" s="24" t="s">
        <v>7</v>
      </c>
      <c r="B4832" s="24" t="s">
        <v>13029</v>
      </c>
      <c r="C4832" s="25" t="s">
        <v>13030</v>
      </c>
      <c r="D4832" s="25" t="s">
        <v>13031</v>
      </c>
      <c r="E4832" s="26">
        <v>216</v>
      </c>
    </row>
    <row r="4833" spans="1:5" x14ac:dyDescent="0.25">
      <c r="A4833" s="24" t="s">
        <v>7</v>
      </c>
      <c r="B4833" s="24" t="s">
        <v>13032</v>
      </c>
      <c r="C4833" s="25" t="s">
        <v>13033</v>
      </c>
      <c r="D4833" s="25" t="s">
        <v>13034</v>
      </c>
      <c r="E4833" s="26">
        <v>40</v>
      </c>
    </row>
    <row r="4834" spans="1:5" x14ac:dyDescent="0.25">
      <c r="A4834" s="24" t="s">
        <v>7</v>
      </c>
      <c r="B4834" s="24" t="s">
        <v>13035</v>
      </c>
      <c r="C4834" s="25" t="s">
        <v>13036</v>
      </c>
      <c r="D4834" s="25" t="s">
        <v>13037</v>
      </c>
      <c r="E4834" s="26">
        <v>65</v>
      </c>
    </row>
    <row r="4835" spans="1:5" x14ac:dyDescent="0.25">
      <c r="A4835" s="24" t="s">
        <v>7</v>
      </c>
      <c r="B4835" s="24" t="s">
        <v>13038</v>
      </c>
      <c r="C4835" s="25" t="s">
        <v>13039</v>
      </c>
      <c r="D4835" s="25" t="s">
        <v>13040</v>
      </c>
      <c r="E4835" s="26">
        <v>167</v>
      </c>
    </row>
    <row r="4836" spans="1:5" x14ac:dyDescent="0.25">
      <c r="A4836" s="24" t="s">
        <v>7</v>
      </c>
      <c r="B4836" s="24" t="s">
        <v>13041</v>
      </c>
      <c r="C4836" s="25" t="s">
        <v>13042</v>
      </c>
      <c r="D4836" s="25" t="s">
        <v>13043</v>
      </c>
      <c r="E4836" s="26">
        <v>1090</v>
      </c>
    </row>
    <row r="4837" spans="1:5" x14ac:dyDescent="0.25">
      <c r="A4837" s="24" t="s">
        <v>7</v>
      </c>
      <c r="B4837" s="24" t="s">
        <v>13044</v>
      </c>
      <c r="C4837" s="25" t="s">
        <v>13045</v>
      </c>
      <c r="D4837" s="25" t="s">
        <v>13046</v>
      </c>
      <c r="E4837" s="26">
        <v>3</v>
      </c>
    </row>
    <row r="4838" spans="1:5" x14ac:dyDescent="0.25">
      <c r="A4838" s="24" t="s">
        <v>7</v>
      </c>
      <c r="B4838" s="24" t="s">
        <v>13047</v>
      </c>
      <c r="C4838" s="25" t="s">
        <v>13048</v>
      </c>
      <c r="D4838" s="25" t="s">
        <v>13049</v>
      </c>
      <c r="E4838" s="26">
        <v>188</v>
      </c>
    </row>
    <row r="4839" spans="1:5" x14ac:dyDescent="0.25">
      <c r="A4839" s="24" t="s">
        <v>7</v>
      </c>
      <c r="B4839" s="24" t="s">
        <v>13050</v>
      </c>
      <c r="C4839" s="25" t="s">
        <v>13051</v>
      </c>
      <c r="D4839" s="25" t="s">
        <v>13052</v>
      </c>
      <c r="E4839" s="26">
        <v>178</v>
      </c>
    </row>
    <row r="4840" spans="1:5" x14ac:dyDescent="0.25">
      <c r="A4840" s="24" t="s">
        <v>7</v>
      </c>
      <c r="B4840" s="24" t="s">
        <v>13053</v>
      </c>
      <c r="C4840" s="25" t="s">
        <v>13054</v>
      </c>
      <c r="D4840" s="25" t="s">
        <v>13055</v>
      </c>
      <c r="E4840" s="26">
        <v>5064</v>
      </c>
    </row>
    <row r="4841" spans="1:5" x14ac:dyDescent="0.25">
      <c r="A4841" s="24" t="s">
        <v>7</v>
      </c>
      <c r="B4841" s="24" t="s">
        <v>13056</v>
      </c>
      <c r="C4841" s="25" t="s">
        <v>13057</v>
      </c>
      <c r="D4841" s="25" t="s">
        <v>13058</v>
      </c>
      <c r="E4841" s="26">
        <v>82</v>
      </c>
    </row>
    <row r="4842" spans="1:5" x14ac:dyDescent="0.25">
      <c r="A4842" s="24" t="s">
        <v>7</v>
      </c>
      <c r="B4842" s="24" t="s">
        <v>13059</v>
      </c>
      <c r="C4842" s="25" t="s">
        <v>13060</v>
      </c>
      <c r="D4842" s="25" t="s">
        <v>13061</v>
      </c>
      <c r="E4842" s="26">
        <v>58</v>
      </c>
    </row>
    <row r="4843" spans="1:5" x14ac:dyDescent="0.25">
      <c r="A4843" s="24" t="s">
        <v>7</v>
      </c>
      <c r="B4843" s="24" t="s">
        <v>13062</v>
      </c>
      <c r="C4843" s="25" t="s">
        <v>13063</v>
      </c>
      <c r="D4843" s="25" t="s">
        <v>13064</v>
      </c>
      <c r="E4843" s="26">
        <v>41</v>
      </c>
    </row>
    <row r="4844" spans="1:5" x14ac:dyDescent="0.25">
      <c r="A4844" s="24" t="s">
        <v>7</v>
      </c>
      <c r="B4844" s="24" t="s">
        <v>13065</v>
      </c>
      <c r="C4844" s="25" t="s">
        <v>13066</v>
      </c>
      <c r="D4844" s="25" t="s">
        <v>13067</v>
      </c>
      <c r="E4844" s="26">
        <v>8</v>
      </c>
    </row>
    <row r="4845" spans="1:5" x14ac:dyDescent="0.25">
      <c r="A4845" s="24" t="s">
        <v>7</v>
      </c>
      <c r="B4845" s="24" t="s">
        <v>13068</v>
      </c>
      <c r="C4845" s="25" t="s">
        <v>13069</v>
      </c>
      <c r="D4845" s="25" t="s">
        <v>13067</v>
      </c>
      <c r="E4845" s="26">
        <v>7</v>
      </c>
    </row>
    <row r="4846" spans="1:5" x14ac:dyDescent="0.25">
      <c r="A4846" s="24" t="s">
        <v>7</v>
      </c>
      <c r="B4846" s="24" t="s">
        <v>13070</v>
      </c>
      <c r="C4846" s="25" t="s">
        <v>13071</v>
      </c>
      <c r="D4846" s="25" t="s">
        <v>13067</v>
      </c>
      <c r="E4846" s="26">
        <v>25</v>
      </c>
    </row>
    <row r="4847" spans="1:5" x14ac:dyDescent="0.25">
      <c r="A4847" s="24" t="s">
        <v>7</v>
      </c>
      <c r="B4847" s="24" t="s">
        <v>13072</v>
      </c>
      <c r="C4847" s="25" t="s">
        <v>13073</v>
      </c>
      <c r="D4847" s="25" t="s">
        <v>13074</v>
      </c>
      <c r="E4847" s="26">
        <v>386</v>
      </c>
    </row>
    <row r="4848" spans="1:5" x14ac:dyDescent="0.25">
      <c r="A4848" s="24" t="s">
        <v>7</v>
      </c>
      <c r="B4848" s="24" t="s">
        <v>13075</v>
      </c>
      <c r="C4848" s="25" t="s">
        <v>13076</v>
      </c>
      <c r="D4848" s="25" t="s">
        <v>13077</v>
      </c>
      <c r="E4848" s="26">
        <v>391</v>
      </c>
    </row>
    <row r="4849" spans="1:5" x14ac:dyDescent="0.25">
      <c r="A4849" s="24" t="s">
        <v>7</v>
      </c>
      <c r="B4849" s="24" t="s">
        <v>13078</v>
      </c>
      <c r="C4849" s="25" t="s">
        <v>13079</v>
      </c>
      <c r="D4849" s="25" t="s">
        <v>12848</v>
      </c>
      <c r="E4849" s="26">
        <v>163</v>
      </c>
    </row>
    <row r="4850" spans="1:5" x14ac:dyDescent="0.25">
      <c r="A4850" s="24" t="s">
        <v>7</v>
      </c>
      <c r="B4850" s="24" t="s">
        <v>13080</v>
      </c>
      <c r="C4850" s="25" t="s">
        <v>13081</v>
      </c>
      <c r="D4850" s="25" t="s">
        <v>13082</v>
      </c>
      <c r="E4850" s="26">
        <v>70</v>
      </c>
    </row>
    <row r="4851" spans="1:5" x14ac:dyDescent="0.25">
      <c r="A4851" s="24" t="s">
        <v>7</v>
      </c>
      <c r="B4851" s="24" t="s">
        <v>13083</v>
      </c>
      <c r="C4851" s="25" t="s">
        <v>13084</v>
      </c>
      <c r="D4851" s="25" t="s">
        <v>13085</v>
      </c>
      <c r="E4851" s="26">
        <v>294</v>
      </c>
    </row>
    <row r="4852" spans="1:5" x14ac:dyDescent="0.25">
      <c r="A4852" s="24" t="s">
        <v>7</v>
      </c>
      <c r="B4852" s="24" t="s">
        <v>13086</v>
      </c>
      <c r="C4852" s="25" t="s">
        <v>13087</v>
      </c>
      <c r="D4852" s="25" t="s">
        <v>13088</v>
      </c>
      <c r="E4852" s="26">
        <v>92</v>
      </c>
    </row>
    <row r="4853" spans="1:5" x14ac:dyDescent="0.25">
      <c r="A4853" s="24" t="s">
        <v>7</v>
      </c>
      <c r="B4853" s="24" t="s">
        <v>13089</v>
      </c>
      <c r="C4853" s="25" t="s">
        <v>13090</v>
      </c>
      <c r="D4853" s="25" t="s">
        <v>13091</v>
      </c>
      <c r="E4853" s="26">
        <v>274</v>
      </c>
    </row>
    <row r="4854" spans="1:5" x14ac:dyDescent="0.25">
      <c r="A4854" s="24" t="s">
        <v>7</v>
      </c>
      <c r="B4854" s="24" t="s">
        <v>13092</v>
      </c>
      <c r="C4854" s="25" t="s">
        <v>13093</v>
      </c>
      <c r="D4854" s="25" t="s">
        <v>13094</v>
      </c>
      <c r="E4854" s="26">
        <v>994</v>
      </c>
    </row>
    <row r="4855" spans="1:5" x14ac:dyDescent="0.25">
      <c r="A4855" s="24" t="s">
        <v>7</v>
      </c>
      <c r="B4855" s="24" t="s">
        <v>13095</v>
      </c>
      <c r="C4855" s="25" t="s">
        <v>13096</v>
      </c>
      <c r="D4855" s="25" t="s">
        <v>13091</v>
      </c>
      <c r="E4855" s="26">
        <v>240</v>
      </c>
    </row>
    <row r="4856" spans="1:5" x14ac:dyDescent="0.25">
      <c r="A4856" s="24" t="s">
        <v>7</v>
      </c>
      <c r="B4856" s="24" t="s">
        <v>13097</v>
      </c>
      <c r="C4856" s="25" t="s">
        <v>13098</v>
      </c>
      <c r="D4856" s="25" t="s">
        <v>13099</v>
      </c>
      <c r="E4856" s="26">
        <v>363</v>
      </c>
    </row>
    <row r="4857" spans="1:5" x14ac:dyDescent="0.25">
      <c r="A4857" s="24" t="s">
        <v>7</v>
      </c>
      <c r="B4857" s="24" t="s">
        <v>13100</v>
      </c>
      <c r="C4857" s="25" t="s">
        <v>13101</v>
      </c>
      <c r="D4857" s="25" t="s">
        <v>13102</v>
      </c>
      <c r="E4857" s="26">
        <v>329</v>
      </c>
    </row>
    <row r="4858" spans="1:5" x14ac:dyDescent="0.25">
      <c r="A4858" s="24" t="s">
        <v>7</v>
      </c>
      <c r="B4858" s="24" t="s">
        <v>13103</v>
      </c>
      <c r="C4858" s="25" t="s">
        <v>13104</v>
      </c>
      <c r="D4858" s="25" t="s">
        <v>13105</v>
      </c>
      <c r="E4858" s="26">
        <v>289</v>
      </c>
    </row>
    <row r="4859" spans="1:5" x14ac:dyDescent="0.25">
      <c r="A4859" s="24" t="s">
        <v>7</v>
      </c>
      <c r="B4859" s="24" t="s">
        <v>13106</v>
      </c>
      <c r="C4859" s="25" t="s">
        <v>13107</v>
      </c>
      <c r="D4859" s="25" t="s">
        <v>13108</v>
      </c>
      <c r="E4859" s="26">
        <v>286</v>
      </c>
    </row>
    <row r="4860" spans="1:5" x14ac:dyDescent="0.25">
      <c r="A4860" s="24" t="s">
        <v>7</v>
      </c>
      <c r="B4860" s="24" t="s">
        <v>13109</v>
      </c>
      <c r="C4860" s="25" t="s">
        <v>13110</v>
      </c>
      <c r="D4860" s="25" t="s">
        <v>13111</v>
      </c>
      <c r="E4860" s="26">
        <v>287</v>
      </c>
    </row>
    <row r="4861" spans="1:5" x14ac:dyDescent="0.25">
      <c r="A4861" s="24" t="s">
        <v>7</v>
      </c>
      <c r="B4861" s="24" t="s">
        <v>13112</v>
      </c>
      <c r="C4861" s="25" t="s">
        <v>13113</v>
      </c>
      <c r="D4861" s="25" t="s">
        <v>13114</v>
      </c>
      <c r="E4861" s="26">
        <v>1775</v>
      </c>
    </row>
    <row r="4862" spans="1:5" x14ac:dyDescent="0.25">
      <c r="A4862" s="24" t="s">
        <v>7</v>
      </c>
      <c r="B4862" s="24" t="s">
        <v>13115</v>
      </c>
      <c r="C4862" s="25" t="s">
        <v>13116</v>
      </c>
      <c r="D4862" s="25" t="s">
        <v>13117</v>
      </c>
      <c r="E4862" s="26">
        <v>92</v>
      </c>
    </row>
    <row r="4863" spans="1:5" x14ac:dyDescent="0.25">
      <c r="A4863" s="24" t="s">
        <v>7</v>
      </c>
      <c r="B4863" s="24" t="s">
        <v>13118</v>
      </c>
      <c r="C4863" s="25" t="s">
        <v>13119</v>
      </c>
      <c r="D4863" s="25" t="s">
        <v>13120</v>
      </c>
      <c r="E4863" s="26">
        <v>144</v>
      </c>
    </row>
    <row r="4864" spans="1:5" x14ac:dyDescent="0.25">
      <c r="A4864" s="24" t="s">
        <v>7</v>
      </c>
      <c r="B4864" s="24" t="s">
        <v>13121</v>
      </c>
      <c r="C4864" s="25" t="s">
        <v>13122</v>
      </c>
      <c r="D4864" s="25" t="s">
        <v>13123</v>
      </c>
      <c r="E4864" s="26">
        <v>553</v>
      </c>
    </row>
    <row r="4865" spans="1:5" x14ac:dyDescent="0.25">
      <c r="A4865" s="24" t="s">
        <v>7</v>
      </c>
      <c r="B4865" s="24" t="s">
        <v>13124</v>
      </c>
      <c r="C4865" s="25" t="s">
        <v>13125</v>
      </c>
      <c r="D4865" s="25" t="s">
        <v>13126</v>
      </c>
      <c r="E4865" s="26">
        <v>14</v>
      </c>
    </row>
    <row r="4866" spans="1:5" x14ac:dyDescent="0.25">
      <c r="A4866" s="24" t="s">
        <v>7</v>
      </c>
      <c r="B4866" s="24" t="s">
        <v>13127</v>
      </c>
      <c r="C4866" s="25" t="s">
        <v>13128</v>
      </c>
      <c r="D4866" s="25" t="s">
        <v>13129</v>
      </c>
      <c r="E4866" s="26">
        <v>17</v>
      </c>
    </row>
    <row r="4867" spans="1:5" x14ac:dyDescent="0.25">
      <c r="A4867" s="24" t="s">
        <v>7</v>
      </c>
      <c r="B4867" s="24" t="s">
        <v>13130</v>
      </c>
      <c r="C4867" s="25" t="s">
        <v>13131</v>
      </c>
      <c r="D4867" s="25" t="s">
        <v>13132</v>
      </c>
      <c r="E4867" s="26">
        <v>1504</v>
      </c>
    </row>
    <row r="4868" spans="1:5" x14ac:dyDescent="0.25">
      <c r="A4868" s="24" t="s">
        <v>7</v>
      </c>
      <c r="B4868" s="24" t="s">
        <v>13133</v>
      </c>
      <c r="C4868" s="25" t="s">
        <v>13134</v>
      </c>
      <c r="D4868" s="25" t="s">
        <v>13135</v>
      </c>
      <c r="E4868" s="26">
        <v>32</v>
      </c>
    </row>
    <row r="4869" spans="1:5" x14ac:dyDescent="0.25">
      <c r="A4869" s="24" t="s">
        <v>7</v>
      </c>
      <c r="B4869" s="24" t="s">
        <v>13136</v>
      </c>
      <c r="C4869" s="25" t="s">
        <v>13137</v>
      </c>
      <c r="D4869" s="25" t="s">
        <v>13138</v>
      </c>
      <c r="E4869" s="26">
        <v>27</v>
      </c>
    </row>
    <row r="4870" spans="1:5" x14ac:dyDescent="0.25">
      <c r="A4870" s="24" t="s">
        <v>7</v>
      </c>
      <c r="B4870" s="24" t="s">
        <v>13139</v>
      </c>
      <c r="C4870" s="25" t="s">
        <v>13140</v>
      </c>
      <c r="D4870" s="25" t="s">
        <v>13141</v>
      </c>
      <c r="E4870" s="26">
        <v>15</v>
      </c>
    </row>
    <row r="4871" spans="1:5" x14ac:dyDescent="0.25">
      <c r="A4871" s="24" t="s">
        <v>7</v>
      </c>
      <c r="B4871" s="24" t="s">
        <v>13142</v>
      </c>
      <c r="C4871" s="25" t="s">
        <v>13143</v>
      </c>
      <c r="D4871" s="25" t="s">
        <v>13144</v>
      </c>
      <c r="E4871" s="26">
        <v>45</v>
      </c>
    </row>
    <row r="4872" spans="1:5" x14ac:dyDescent="0.25">
      <c r="A4872" s="24" t="s">
        <v>7</v>
      </c>
      <c r="B4872" s="24" t="s">
        <v>13145</v>
      </c>
      <c r="C4872" s="25" t="s">
        <v>13146</v>
      </c>
      <c r="D4872" s="25" t="s">
        <v>13147</v>
      </c>
      <c r="E4872" s="26">
        <v>45</v>
      </c>
    </row>
    <row r="4873" spans="1:5" x14ac:dyDescent="0.25">
      <c r="A4873" s="24" t="s">
        <v>7</v>
      </c>
      <c r="B4873" s="24" t="s">
        <v>13148</v>
      </c>
      <c r="C4873" s="25" t="s">
        <v>13149</v>
      </c>
      <c r="D4873" s="25" t="s">
        <v>13150</v>
      </c>
      <c r="E4873" s="26">
        <v>33</v>
      </c>
    </row>
    <row r="4874" spans="1:5" x14ac:dyDescent="0.25">
      <c r="A4874" s="24" t="s">
        <v>7</v>
      </c>
      <c r="B4874" s="24" t="s">
        <v>13151</v>
      </c>
      <c r="C4874" s="25" t="s">
        <v>13152</v>
      </c>
      <c r="D4874" s="25" t="s">
        <v>13153</v>
      </c>
      <c r="E4874" s="26">
        <v>274</v>
      </c>
    </row>
    <row r="4875" spans="1:5" x14ac:dyDescent="0.25">
      <c r="A4875" s="24" t="s">
        <v>7</v>
      </c>
      <c r="B4875" s="24" t="s">
        <v>13154</v>
      </c>
      <c r="C4875" s="25" t="s">
        <v>13155</v>
      </c>
      <c r="D4875" s="25" t="s">
        <v>13153</v>
      </c>
      <c r="E4875" s="26">
        <v>71</v>
      </c>
    </row>
    <row r="4876" spans="1:5" x14ac:dyDescent="0.25">
      <c r="A4876" s="24" t="s">
        <v>7</v>
      </c>
      <c r="B4876" s="24" t="s">
        <v>13156</v>
      </c>
      <c r="C4876" s="25" t="s">
        <v>13157</v>
      </c>
      <c r="D4876" s="25" t="s">
        <v>13158</v>
      </c>
      <c r="E4876" s="26">
        <v>311</v>
      </c>
    </row>
    <row r="4877" spans="1:5" x14ac:dyDescent="0.25">
      <c r="A4877" s="24" t="s">
        <v>7</v>
      </c>
      <c r="B4877" s="24" t="s">
        <v>13159</v>
      </c>
      <c r="C4877" s="25" t="s">
        <v>13160</v>
      </c>
      <c r="D4877" s="25" t="s">
        <v>13161</v>
      </c>
      <c r="E4877" s="26">
        <v>28</v>
      </c>
    </row>
    <row r="4878" spans="1:5" x14ac:dyDescent="0.25">
      <c r="A4878" s="24" t="s">
        <v>7</v>
      </c>
      <c r="B4878" s="24" t="s">
        <v>13162</v>
      </c>
      <c r="C4878" s="25" t="s">
        <v>13163</v>
      </c>
      <c r="D4878" s="25" t="s">
        <v>13164</v>
      </c>
      <c r="E4878" s="26">
        <v>388</v>
      </c>
    </row>
    <row r="4879" spans="1:5" x14ac:dyDescent="0.25">
      <c r="A4879" s="24" t="s">
        <v>7</v>
      </c>
      <c r="B4879" s="24" t="s">
        <v>13165</v>
      </c>
      <c r="C4879" s="25" t="s">
        <v>13166</v>
      </c>
      <c r="D4879" s="25" t="s">
        <v>13167</v>
      </c>
      <c r="E4879" s="26">
        <v>440</v>
      </c>
    </row>
    <row r="4880" spans="1:5" x14ac:dyDescent="0.25">
      <c r="A4880" s="24" t="s">
        <v>7</v>
      </c>
      <c r="B4880" s="24" t="s">
        <v>13168</v>
      </c>
      <c r="C4880" s="25" t="s">
        <v>13169</v>
      </c>
      <c r="D4880" s="25" t="s">
        <v>13170</v>
      </c>
      <c r="E4880" s="26">
        <v>25</v>
      </c>
    </row>
    <row r="4881" spans="1:5" x14ac:dyDescent="0.25">
      <c r="A4881" s="24" t="s">
        <v>7</v>
      </c>
      <c r="B4881" s="24" t="s">
        <v>13171</v>
      </c>
      <c r="C4881" s="25" t="s">
        <v>13172</v>
      </c>
      <c r="D4881" s="25" t="s">
        <v>13167</v>
      </c>
      <c r="E4881" s="26">
        <v>356</v>
      </c>
    </row>
    <row r="4882" spans="1:5" x14ac:dyDescent="0.25">
      <c r="A4882" s="24" t="s">
        <v>7</v>
      </c>
      <c r="B4882" s="24" t="s">
        <v>13173</v>
      </c>
      <c r="C4882" s="25" t="s">
        <v>13174</v>
      </c>
      <c r="D4882" s="25" t="s">
        <v>13175</v>
      </c>
      <c r="E4882" s="26">
        <v>26</v>
      </c>
    </row>
    <row r="4883" spans="1:5" x14ac:dyDescent="0.25">
      <c r="A4883" s="24" t="s">
        <v>7</v>
      </c>
      <c r="B4883" s="24" t="s">
        <v>13176</v>
      </c>
      <c r="C4883" s="25" t="s">
        <v>13177</v>
      </c>
      <c r="D4883" s="25" t="s">
        <v>13167</v>
      </c>
      <c r="E4883" s="26">
        <v>460</v>
      </c>
    </row>
    <row r="4884" spans="1:5" x14ac:dyDescent="0.25">
      <c r="A4884" s="24" t="s">
        <v>7</v>
      </c>
      <c r="B4884" s="24" t="s">
        <v>13178</v>
      </c>
      <c r="C4884" s="25" t="s">
        <v>13179</v>
      </c>
      <c r="D4884" s="25" t="s">
        <v>13180</v>
      </c>
      <c r="E4884" s="26">
        <v>333</v>
      </c>
    </row>
    <row r="4885" spans="1:5" x14ac:dyDescent="0.25">
      <c r="A4885" s="24" t="s">
        <v>7</v>
      </c>
      <c r="B4885" s="24" t="s">
        <v>13181</v>
      </c>
      <c r="C4885" s="25" t="s">
        <v>13182</v>
      </c>
      <c r="D4885" s="25" t="s">
        <v>13183</v>
      </c>
      <c r="E4885" s="26">
        <v>4</v>
      </c>
    </row>
    <row r="4886" spans="1:5" x14ac:dyDescent="0.25">
      <c r="A4886" s="24" t="s">
        <v>7</v>
      </c>
      <c r="B4886" s="24" t="s">
        <v>13184</v>
      </c>
      <c r="C4886" s="25" t="s">
        <v>13185</v>
      </c>
      <c r="D4886" s="25" t="s">
        <v>13186</v>
      </c>
      <c r="E4886" s="26">
        <v>500</v>
      </c>
    </row>
    <row r="4887" spans="1:5" x14ac:dyDescent="0.25">
      <c r="A4887" s="24" t="s">
        <v>7</v>
      </c>
      <c r="B4887" s="24" t="s">
        <v>13187</v>
      </c>
      <c r="C4887" s="25" t="s">
        <v>13188</v>
      </c>
      <c r="D4887" s="25" t="s">
        <v>12851</v>
      </c>
      <c r="E4887" s="26">
        <v>59</v>
      </c>
    </row>
    <row r="4888" spans="1:5" x14ac:dyDescent="0.25">
      <c r="A4888" s="24" t="s">
        <v>7</v>
      </c>
      <c r="B4888" s="24" t="s">
        <v>13189</v>
      </c>
      <c r="C4888" s="25" t="s">
        <v>13190</v>
      </c>
      <c r="D4888" s="25" t="s">
        <v>13191</v>
      </c>
      <c r="E4888" s="26">
        <v>2702</v>
      </c>
    </row>
    <row r="4889" spans="1:5" x14ac:dyDescent="0.25">
      <c r="A4889" s="24" t="s">
        <v>7</v>
      </c>
      <c r="B4889" s="24" t="s">
        <v>13192</v>
      </c>
      <c r="C4889" s="25" t="s">
        <v>13193</v>
      </c>
      <c r="D4889" s="25" t="s">
        <v>13194</v>
      </c>
      <c r="E4889" s="26">
        <v>6669</v>
      </c>
    </row>
    <row r="4890" spans="1:5" x14ac:dyDescent="0.25">
      <c r="A4890" s="24" t="s">
        <v>7</v>
      </c>
      <c r="B4890" s="24" t="s">
        <v>13195</v>
      </c>
      <c r="C4890" s="25" t="s">
        <v>13196</v>
      </c>
      <c r="D4890" s="25" t="s">
        <v>13197</v>
      </c>
      <c r="E4890" s="26">
        <v>118</v>
      </c>
    </row>
    <row r="4891" spans="1:5" x14ac:dyDescent="0.25">
      <c r="A4891" s="24" t="s">
        <v>7</v>
      </c>
      <c r="B4891" s="24" t="s">
        <v>13198</v>
      </c>
      <c r="C4891" s="25" t="s">
        <v>13199</v>
      </c>
      <c r="D4891" s="25" t="s">
        <v>13200</v>
      </c>
      <c r="E4891" s="26">
        <v>706</v>
      </c>
    </row>
    <row r="4892" spans="1:5" x14ac:dyDescent="0.25">
      <c r="A4892" s="24" t="s">
        <v>7</v>
      </c>
      <c r="B4892" s="24" t="s">
        <v>13201</v>
      </c>
      <c r="C4892" s="25" t="s">
        <v>13202</v>
      </c>
      <c r="D4892" s="25" t="s">
        <v>13203</v>
      </c>
      <c r="E4892" s="26">
        <v>372</v>
      </c>
    </row>
    <row r="4893" spans="1:5" x14ac:dyDescent="0.25">
      <c r="A4893" s="24" t="s">
        <v>7</v>
      </c>
      <c r="B4893" s="24" t="s">
        <v>13204</v>
      </c>
      <c r="C4893" s="25" t="s">
        <v>13205</v>
      </c>
      <c r="D4893" s="25" t="s">
        <v>13206</v>
      </c>
      <c r="E4893" s="26">
        <v>218</v>
      </c>
    </row>
    <row r="4894" spans="1:5" x14ac:dyDescent="0.25">
      <c r="A4894" s="24" t="s">
        <v>7</v>
      </c>
      <c r="B4894" s="24" t="s">
        <v>13207</v>
      </c>
      <c r="C4894" s="25" t="s">
        <v>13208</v>
      </c>
      <c r="D4894" s="25" t="s">
        <v>13209</v>
      </c>
      <c r="E4894" s="26">
        <v>270</v>
      </c>
    </row>
    <row r="4895" spans="1:5" x14ac:dyDescent="0.25">
      <c r="A4895" s="24" t="s">
        <v>7</v>
      </c>
      <c r="B4895" s="24" t="s">
        <v>13210</v>
      </c>
      <c r="C4895" s="25" t="s">
        <v>13211</v>
      </c>
      <c r="D4895" s="25" t="s">
        <v>13212</v>
      </c>
      <c r="E4895" s="26">
        <v>252</v>
      </c>
    </row>
    <row r="4896" spans="1:5" x14ac:dyDescent="0.25">
      <c r="A4896" s="24" t="s">
        <v>7</v>
      </c>
      <c r="B4896" s="24" t="s">
        <v>13213</v>
      </c>
      <c r="C4896" s="25" t="s">
        <v>13214</v>
      </c>
      <c r="D4896" s="25" t="s">
        <v>13215</v>
      </c>
      <c r="E4896" s="26">
        <v>218</v>
      </c>
    </row>
    <row r="4897" spans="1:5" x14ac:dyDescent="0.25">
      <c r="A4897" s="24" t="s">
        <v>7</v>
      </c>
      <c r="B4897" s="24" t="s">
        <v>13216</v>
      </c>
      <c r="C4897" s="25" t="s">
        <v>13217</v>
      </c>
      <c r="D4897" s="25" t="s">
        <v>13028</v>
      </c>
      <c r="E4897" s="26">
        <v>38</v>
      </c>
    </row>
    <row r="4898" spans="1:5" x14ac:dyDescent="0.25">
      <c r="A4898" s="24" t="s">
        <v>7</v>
      </c>
      <c r="B4898" s="24" t="s">
        <v>13218</v>
      </c>
      <c r="C4898" s="25" t="s">
        <v>13219</v>
      </c>
      <c r="D4898" s="25" t="s">
        <v>13220</v>
      </c>
      <c r="E4898" s="26">
        <v>27</v>
      </c>
    </row>
    <row r="4899" spans="1:5" x14ac:dyDescent="0.25">
      <c r="A4899" s="24" t="s">
        <v>7</v>
      </c>
      <c r="B4899" s="24" t="s">
        <v>13221</v>
      </c>
      <c r="C4899" s="25" t="s">
        <v>13222</v>
      </c>
      <c r="D4899" s="25" t="s">
        <v>13223</v>
      </c>
      <c r="E4899" s="26">
        <v>9</v>
      </c>
    </row>
    <row r="4900" spans="1:5" x14ac:dyDescent="0.25">
      <c r="A4900" s="24" t="s">
        <v>7</v>
      </c>
      <c r="B4900" s="24" t="s">
        <v>13224</v>
      </c>
      <c r="C4900" s="25" t="s">
        <v>13225</v>
      </c>
      <c r="D4900" s="25" t="s">
        <v>13226</v>
      </c>
      <c r="E4900" s="26">
        <v>32</v>
      </c>
    </row>
    <row r="4901" spans="1:5" x14ac:dyDescent="0.25">
      <c r="A4901" s="24" t="s">
        <v>7</v>
      </c>
      <c r="B4901" s="24" t="s">
        <v>13227</v>
      </c>
      <c r="C4901" s="25" t="s">
        <v>13228</v>
      </c>
      <c r="D4901" s="25" t="s">
        <v>13228</v>
      </c>
      <c r="E4901" s="26">
        <v>8</v>
      </c>
    </row>
    <row r="4902" spans="1:5" x14ac:dyDescent="0.25">
      <c r="A4902" s="24" t="s">
        <v>7</v>
      </c>
      <c r="B4902" s="24" t="s">
        <v>13229</v>
      </c>
      <c r="C4902" s="25" t="s">
        <v>13230</v>
      </c>
      <c r="D4902" s="25" t="s">
        <v>13231</v>
      </c>
      <c r="E4902" s="26">
        <v>7</v>
      </c>
    </row>
    <row r="4903" spans="1:5" x14ac:dyDescent="0.25">
      <c r="A4903" s="24" t="s">
        <v>7</v>
      </c>
      <c r="B4903" s="24" t="s">
        <v>13232</v>
      </c>
      <c r="C4903" s="25" t="s">
        <v>13233</v>
      </c>
      <c r="D4903" s="25" t="s">
        <v>13234</v>
      </c>
      <c r="E4903" s="26">
        <v>39</v>
      </c>
    </row>
    <row r="4904" spans="1:5" x14ac:dyDescent="0.25">
      <c r="A4904" s="24" t="s">
        <v>7</v>
      </c>
      <c r="B4904" s="24" t="s">
        <v>13235</v>
      </c>
      <c r="C4904" s="25" t="s">
        <v>13236</v>
      </c>
      <c r="D4904" s="25" t="s">
        <v>13237</v>
      </c>
      <c r="E4904" s="26">
        <v>98</v>
      </c>
    </row>
    <row r="4905" spans="1:5" x14ac:dyDescent="0.25">
      <c r="A4905" s="24" t="s">
        <v>7</v>
      </c>
      <c r="B4905" s="24" t="s">
        <v>13238</v>
      </c>
      <c r="C4905" s="25" t="s">
        <v>13239</v>
      </c>
      <c r="D4905" s="25" t="s">
        <v>13239</v>
      </c>
      <c r="E4905" s="26">
        <v>5</v>
      </c>
    </row>
    <row r="4906" spans="1:5" x14ac:dyDescent="0.25">
      <c r="A4906" s="24" t="s">
        <v>7</v>
      </c>
      <c r="B4906" s="24" t="s">
        <v>13240</v>
      </c>
      <c r="C4906" s="25" t="s">
        <v>13241</v>
      </c>
      <c r="D4906" s="25" t="s">
        <v>13242</v>
      </c>
      <c r="E4906" s="26">
        <v>202</v>
      </c>
    </row>
    <row r="4907" spans="1:5" x14ac:dyDescent="0.25">
      <c r="A4907" s="24" t="s">
        <v>7</v>
      </c>
      <c r="B4907" s="24" t="s">
        <v>13243</v>
      </c>
      <c r="C4907" s="25" t="s">
        <v>13244</v>
      </c>
      <c r="D4907" s="25" t="s">
        <v>13244</v>
      </c>
      <c r="E4907" s="26">
        <v>220</v>
      </c>
    </row>
    <row r="4908" spans="1:5" x14ac:dyDescent="0.25">
      <c r="A4908" s="24" t="s">
        <v>7</v>
      </c>
      <c r="B4908" s="24" t="s">
        <v>13245</v>
      </c>
      <c r="C4908" s="25" t="s">
        <v>13246</v>
      </c>
      <c r="D4908" s="25" t="s">
        <v>13247</v>
      </c>
      <c r="E4908" s="26">
        <v>135</v>
      </c>
    </row>
    <row r="4909" spans="1:5" x14ac:dyDescent="0.25">
      <c r="A4909" s="24" t="s">
        <v>7</v>
      </c>
      <c r="B4909" s="24" t="s">
        <v>13248</v>
      </c>
      <c r="C4909" s="25" t="s">
        <v>13249</v>
      </c>
      <c r="D4909" s="25" t="s">
        <v>13250</v>
      </c>
      <c r="E4909" s="26">
        <v>170</v>
      </c>
    </row>
    <row r="4910" spans="1:5" x14ac:dyDescent="0.25">
      <c r="A4910" s="24" t="s">
        <v>7</v>
      </c>
      <c r="B4910" s="24" t="s">
        <v>13251</v>
      </c>
      <c r="C4910" s="25" t="s">
        <v>13252</v>
      </c>
      <c r="D4910" s="25" t="s">
        <v>13253</v>
      </c>
      <c r="E4910" s="26">
        <v>396</v>
      </c>
    </row>
    <row r="4911" spans="1:5" x14ac:dyDescent="0.25">
      <c r="A4911" s="24" t="s">
        <v>7</v>
      </c>
      <c r="B4911" s="24" t="s">
        <v>13254</v>
      </c>
      <c r="C4911" s="25" t="s">
        <v>13255</v>
      </c>
      <c r="D4911" s="25" t="s">
        <v>13256</v>
      </c>
      <c r="E4911" s="26">
        <v>146</v>
      </c>
    </row>
    <row r="4912" spans="1:5" x14ac:dyDescent="0.25">
      <c r="A4912" s="24" t="s">
        <v>7</v>
      </c>
      <c r="B4912" s="24" t="s">
        <v>13257</v>
      </c>
      <c r="C4912" s="25" t="s">
        <v>13258</v>
      </c>
      <c r="D4912" s="25" t="s">
        <v>13259</v>
      </c>
      <c r="E4912" s="26">
        <v>96</v>
      </c>
    </row>
    <row r="4913" spans="1:5" x14ac:dyDescent="0.25">
      <c r="A4913" s="24" t="s">
        <v>7</v>
      </c>
      <c r="B4913" s="24" t="s">
        <v>13260</v>
      </c>
      <c r="C4913" s="25" t="s">
        <v>13261</v>
      </c>
      <c r="D4913" s="25" t="s">
        <v>13262</v>
      </c>
      <c r="E4913" s="26">
        <v>11</v>
      </c>
    </row>
    <row r="4914" spans="1:5" x14ac:dyDescent="0.25">
      <c r="A4914" s="24" t="s">
        <v>7</v>
      </c>
      <c r="B4914" s="24" t="s">
        <v>13263</v>
      </c>
      <c r="C4914" s="25" t="s">
        <v>13264</v>
      </c>
      <c r="D4914" s="25" t="s">
        <v>13265</v>
      </c>
      <c r="E4914" s="26">
        <v>59</v>
      </c>
    </row>
    <row r="4915" spans="1:5" x14ac:dyDescent="0.25">
      <c r="A4915" s="24" t="s">
        <v>7</v>
      </c>
      <c r="B4915" s="24" t="s">
        <v>13266</v>
      </c>
      <c r="C4915" s="25" t="s">
        <v>13267</v>
      </c>
      <c r="D4915" s="25" t="s">
        <v>13268</v>
      </c>
      <c r="E4915" s="26">
        <v>109</v>
      </c>
    </row>
    <row r="4916" spans="1:5" x14ac:dyDescent="0.25">
      <c r="A4916" s="24" t="s">
        <v>7</v>
      </c>
      <c r="B4916" s="24" t="s">
        <v>13269</v>
      </c>
      <c r="C4916" s="25" t="s">
        <v>13270</v>
      </c>
      <c r="D4916" s="25" t="s">
        <v>13271</v>
      </c>
      <c r="E4916" s="26">
        <v>26</v>
      </c>
    </row>
    <row r="4917" spans="1:5" x14ac:dyDescent="0.25">
      <c r="A4917" s="24" t="s">
        <v>7</v>
      </c>
      <c r="B4917" s="24" t="s">
        <v>13272</v>
      </c>
      <c r="C4917" s="25" t="s">
        <v>13273</v>
      </c>
      <c r="D4917" s="25" t="s">
        <v>13274</v>
      </c>
      <c r="E4917" s="26">
        <v>1164</v>
      </c>
    </row>
    <row r="4918" spans="1:5" x14ac:dyDescent="0.25">
      <c r="A4918" s="24" t="s">
        <v>7</v>
      </c>
      <c r="B4918" s="24" t="s">
        <v>13275</v>
      </c>
      <c r="C4918" s="25" t="s">
        <v>13276</v>
      </c>
      <c r="D4918" s="25" t="s">
        <v>13274</v>
      </c>
      <c r="E4918" s="26">
        <v>521</v>
      </c>
    </row>
    <row r="4919" spans="1:5" x14ac:dyDescent="0.25">
      <c r="A4919" s="24" t="s">
        <v>7</v>
      </c>
      <c r="B4919" s="24" t="s">
        <v>13277</v>
      </c>
      <c r="C4919" s="25" t="s">
        <v>13278</v>
      </c>
      <c r="D4919" s="25" t="s">
        <v>13279</v>
      </c>
      <c r="E4919" s="26">
        <v>2963</v>
      </c>
    </row>
    <row r="4920" spans="1:5" x14ac:dyDescent="0.25">
      <c r="A4920" s="24" t="s">
        <v>7</v>
      </c>
      <c r="B4920" s="24" t="s">
        <v>13280</v>
      </c>
      <c r="C4920" s="25" t="s">
        <v>13281</v>
      </c>
      <c r="D4920" s="25" t="s">
        <v>13282</v>
      </c>
      <c r="E4920" s="26">
        <v>55</v>
      </c>
    </row>
    <row r="4921" spans="1:5" x14ac:dyDescent="0.25">
      <c r="A4921" s="24" t="s">
        <v>7</v>
      </c>
      <c r="B4921" s="24" t="s">
        <v>13283</v>
      </c>
      <c r="C4921" s="25" t="s">
        <v>13284</v>
      </c>
      <c r="D4921" s="25" t="s">
        <v>13285</v>
      </c>
      <c r="E4921" s="26">
        <v>1948</v>
      </c>
    </row>
    <row r="4922" spans="1:5" x14ac:dyDescent="0.25">
      <c r="A4922" s="24" t="s">
        <v>7</v>
      </c>
      <c r="B4922" s="24" t="s">
        <v>13286</v>
      </c>
      <c r="C4922" s="25" t="s">
        <v>13287</v>
      </c>
      <c r="D4922" s="25" t="s">
        <v>13288</v>
      </c>
      <c r="E4922" s="26">
        <v>556</v>
      </c>
    </row>
    <row r="4923" spans="1:5" x14ac:dyDescent="0.25">
      <c r="A4923" s="24" t="s">
        <v>7</v>
      </c>
      <c r="B4923" s="24" t="s">
        <v>13289</v>
      </c>
      <c r="C4923" s="25" t="s">
        <v>13290</v>
      </c>
      <c r="D4923" s="25" t="s">
        <v>13291</v>
      </c>
      <c r="E4923" s="26">
        <v>176</v>
      </c>
    </row>
    <row r="4924" spans="1:5" x14ac:dyDescent="0.25">
      <c r="A4924" s="24" t="s">
        <v>7</v>
      </c>
      <c r="B4924" s="24" t="s">
        <v>13292</v>
      </c>
      <c r="C4924" s="25" t="s">
        <v>13293</v>
      </c>
      <c r="D4924" s="25" t="s">
        <v>13294</v>
      </c>
      <c r="E4924" s="26">
        <v>577</v>
      </c>
    </row>
    <row r="4925" spans="1:5" x14ac:dyDescent="0.25">
      <c r="A4925" s="24" t="s">
        <v>7</v>
      </c>
      <c r="B4925" s="24" t="s">
        <v>13295</v>
      </c>
      <c r="C4925" s="25" t="s">
        <v>13296</v>
      </c>
      <c r="D4925" s="25" t="s">
        <v>13297</v>
      </c>
      <c r="E4925" s="26">
        <v>417</v>
      </c>
    </row>
    <row r="4926" spans="1:5" x14ac:dyDescent="0.25">
      <c r="A4926" s="24" t="s">
        <v>7</v>
      </c>
      <c r="B4926" s="24" t="s">
        <v>13298</v>
      </c>
      <c r="C4926" s="25" t="s">
        <v>13299</v>
      </c>
      <c r="D4926" s="25" t="s">
        <v>13300</v>
      </c>
      <c r="E4926" s="26">
        <v>52</v>
      </c>
    </row>
    <row r="4927" spans="1:5" x14ac:dyDescent="0.25">
      <c r="A4927" s="24" t="s">
        <v>7</v>
      </c>
      <c r="B4927" s="24" t="s">
        <v>13301</v>
      </c>
      <c r="C4927" s="25" t="s">
        <v>13302</v>
      </c>
      <c r="D4927" s="25" t="s">
        <v>13303</v>
      </c>
      <c r="E4927" s="26">
        <v>177</v>
      </c>
    </row>
    <row r="4928" spans="1:5" x14ac:dyDescent="0.25">
      <c r="A4928" s="24" t="s">
        <v>7</v>
      </c>
      <c r="B4928" s="24" t="s">
        <v>13304</v>
      </c>
      <c r="C4928" s="25" t="s">
        <v>13305</v>
      </c>
      <c r="D4928" s="25" t="s">
        <v>13306</v>
      </c>
      <c r="E4928" s="26">
        <v>167</v>
      </c>
    </row>
    <row r="4929" spans="1:5" x14ac:dyDescent="0.25">
      <c r="A4929" s="24" t="s">
        <v>7</v>
      </c>
      <c r="B4929" s="24" t="s">
        <v>13307</v>
      </c>
      <c r="C4929" s="25" t="s">
        <v>13308</v>
      </c>
      <c r="D4929" s="25" t="s">
        <v>13309</v>
      </c>
      <c r="E4929" s="26">
        <v>63</v>
      </c>
    </row>
    <row r="4930" spans="1:5" x14ac:dyDescent="0.25">
      <c r="A4930" s="24" t="s">
        <v>7</v>
      </c>
      <c r="B4930" s="24" t="s">
        <v>13310</v>
      </c>
      <c r="C4930" s="25" t="s">
        <v>13311</v>
      </c>
      <c r="D4930" s="25" t="s">
        <v>13312</v>
      </c>
      <c r="E4930" s="26">
        <v>51</v>
      </c>
    </row>
    <row r="4931" spans="1:5" x14ac:dyDescent="0.25">
      <c r="A4931" s="24" t="s">
        <v>7</v>
      </c>
      <c r="B4931" s="24" t="s">
        <v>13313</v>
      </c>
      <c r="C4931" s="25" t="s">
        <v>13314</v>
      </c>
      <c r="D4931" s="25" t="s">
        <v>13315</v>
      </c>
      <c r="E4931" s="26">
        <v>4328</v>
      </c>
    </row>
    <row r="4932" spans="1:5" x14ac:dyDescent="0.25">
      <c r="A4932" s="24" t="s">
        <v>7</v>
      </c>
      <c r="B4932" s="24" t="s">
        <v>13316</v>
      </c>
      <c r="C4932" s="25" t="s">
        <v>13317</v>
      </c>
      <c r="D4932" s="25" t="s">
        <v>13318</v>
      </c>
      <c r="E4932" s="26">
        <v>133</v>
      </c>
    </row>
    <row r="4933" spans="1:5" x14ac:dyDescent="0.25">
      <c r="A4933" s="24" t="s">
        <v>7</v>
      </c>
      <c r="B4933" s="24" t="s">
        <v>13319</v>
      </c>
      <c r="C4933" s="25" t="s">
        <v>13320</v>
      </c>
      <c r="D4933" s="25" t="s">
        <v>13321</v>
      </c>
      <c r="E4933" s="26">
        <v>3428</v>
      </c>
    </row>
    <row r="4934" spans="1:5" x14ac:dyDescent="0.25">
      <c r="A4934" s="24" t="s">
        <v>7</v>
      </c>
      <c r="B4934" s="24" t="s">
        <v>13322</v>
      </c>
      <c r="C4934" s="25" t="s">
        <v>13323</v>
      </c>
      <c r="D4934" s="25" t="s">
        <v>13324</v>
      </c>
      <c r="E4934" s="26">
        <v>1056</v>
      </c>
    </row>
    <row r="4935" spans="1:5" x14ac:dyDescent="0.25">
      <c r="A4935" s="24" t="s">
        <v>7</v>
      </c>
      <c r="B4935" s="24" t="s">
        <v>13325</v>
      </c>
      <c r="C4935" s="25" t="s">
        <v>13326</v>
      </c>
      <c r="D4935" s="25" t="s">
        <v>13327</v>
      </c>
      <c r="E4935" s="26">
        <v>2057</v>
      </c>
    </row>
    <row r="4936" spans="1:5" x14ac:dyDescent="0.25">
      <c r="A4936" s="24" t="s">
        <v>7</v>
      </c>
      <c r="B4936" s="24" t="s">
        <v>13328</v>
      </c>
      <c r="C4936" s="25" t="s">
        <v>13329</v>
      </c>
      <c r="D4936" s="25" t="s">
        <v>13330</v>
      </c>
      <c r="E4936" s="26">
        <v>26</v>
      </c>
    </row>
    <row r="4937" spans="1:5" x14ac:dyDescent="0.25">
      <c r="A4937" s="24" t="s">
        <v>7</v>
      </c>
      <c r="B4937" s="24" t="s">
        <v>13331</v>
      </c>
      <c r="C4937" s="25" t="s">
        <v>13332</v>
      </c>
      <c r="D4937" s="25" t="s">
        <v>13333</v>
      </c>
      <c r="E4937" s="26">
        <v>17</v>
      </c>
    </row>
    <row r="4938" spans="1:5" x14ac:dyDescent="0.25">
      <c r="A4938" s="24" t="s">
        <v>7</v>
      </c>
      <c r="B4938" s="24" t="s">
        <v>13334</v>
      </c>
      <c r="C4938" s="25" t="s">
        <v>13335</v>
      </c>
      <c r="D4938" s="25" t="s">
        <v>13336</v>
      </c>
      <c r="E4938" s="26">
        <v>39</v>
      </c>
    </row>
    <row r="4939" spans="1:5" x14ac:dyDescent="0.25">
      <c r="A4939" s="24" t="s">
        <v>7</v>
      </c>
      <c r="B4939" s="24" t="s">
        <v>13337</v>
      </c>
      <c r="C4939" s="25" t="s">
        <v>13338</v>
      </c>
      <c r="D4939" s="25" t="s">
        <v>13339</v>
      </c>
      <c r="E4939" s="26">
        <v>84</v>
      </c>
    </row>
    <row r="4940" spans="1:5" x14ac:dyDescent="0.25">
      <c r="A4940" s="24" t="s">
        <v>7</v>
      </c>
      <c r="B4940" s="24" t="s">
        <v>13340</v>
      </c>
      <c r="C4940" s="25" t="s">
        <v>13341</v>
      </c>
      <c r="D4940" s="25" t="s">
        <v>13342</v>
      </c>
      <c r="E4940" s="26">
        <v>18</v>
      </c>
    </row>
    <row r="4941" spans="1:5" x14ac:dyDescent="0.25">
      <c r="A4941" s="24" t="s">
        <v>7</v>
      </c>
      <c r="B4941" s="24" t="s">
        <v>13343</v>
      </c>
      <c r="C4941" s="25" t="s">
        <v>13344</v>
      </c>
      <c r="D4941" s="25" t="s">
        <v>13345</v>
      </c>
      <c r="E4941" s="26">
        <v>1</v>
      </c>
    </row>
    <row r="4942" spans="1:5" x14ac:dyDescent="0.25">
      <c r="A4942" s="24" t="s">
        <v>7</v>
      </c>
      <c r="B4942" s="24" t="s">
        <v>13346</v>
      </c>
      <c r="C4942" s="25" t="s">
        <v>13347</v>
      </c>
      <c r="D4942" s="25" t="s">
        <v>13348</v>
      </c>
      <c r="E4942" s="26">
        <v>19.5</v>
      </c>
    </row>
    <row r="4943" spans="1:5" x14ac:dyDescent="0.25">
      <c r="A4943" s="24" t="s">
        <v>7</v>
      </c>
      <c r="B4943" s="24" t="s">
        <v>13349</v>
      </c>
      <c r="C4943" s="25" t="s">
        <v>13350</v>
      </c>
      <c r="D4943" s="25" t="s">
        <v>13351</v>
      </c>
      <c r="E4943" s="26">
        <v>31</v>
      </c>
    </row>
    <row r="4944" spans="1:5" x14ac:dyDescent="0.25">
      <c r="A4944" s="24" t="s">
        <v>7</v>
      </c>
      <c r="B4944" s="24" t="s">
        <v>13352</v>
      </c>
      <c r="C4944" s="25" t="s">
        <v>13353</v>
      </c>
      <c r="D4944" s="25" t="s">
        <v>13354</v>
      </c>
      <c r="E4944" s="26">
        <v>52</v>
      </c>
    </row>
    <row r="4945" spans="1:5" x14ac:dyDescent="0.25">
      <c r="A4945" s="24" t="s">
        <v>7</v>
      </c>
      <c r="B4945" s="24" t="s">
        <v>13355</v>
      </c>
      <c r="C4945" s="25" t="s">
        <v>13356</v>
      </c>
      <c r="D4945" s="25" t="s">
        <v>13357</v>
      </c>
      <c r="E4945" s="26">
        <v>154</v>
      </c>
    </row>
    <row r="4946" spans="1:5" x14ac:dyDescent="0.25">
      <c r="A4946" s="24" t="s">
        <v>7</v>
      </c>
      <c r="B4946" s="24" t="s">
        <v>13358</v>
      </c>
      <c r="C4946" s="25" t="s">
        <v>13359</v>
      </c>
      <c r="D4946" s="25" t="s">
        <v>13360</v>
      </c>
      <c r="E4946" s="26">
        <v>113</v>
      </c>
    </row>
    <row r="4947" spans="1:5" x14ac:dyDescent="0.25">
      <c r="A4947" s="24" t="s">
        <v>7</v>
      </c>
      <c r="B4947" s="24" t="s">
        <v>13361</v>
      </c>
      <c r="C4947" s="25" t="s">
        <v>13362</v>
      </c>
      <c r="D4947" s="25" t="s">
        <v>13363</v>
      </c>
      <c r="E4947" s="26">
        <v>24</v>
      </c>
    </row>
    <row r="4948" spans="1:5" x14ac:dyDescent="0.25">
      <c r="A4948" s="24" t="s">
        <v>7</v>
      </c>
      <c r="B4948" s="24" t="s">
        <v>13364</v>
      </c>
      <c r="C4948" s="25" t="s">
        <v>13365</v>
      </c>
      <c r="D4948" s="25" t="s">
        <v>13366</v>
      </c>
      <c r="E4948" s="26">
        <v>663</v>
      </c>
    </row>
    <row r="4949" spans="1:5" x14ac:dyDescent="0.25">
      <c r="A4949" s="24" t="s">
        <v>7</v>
      </c>
      <c r="B4949" s="24" t="s">
        <v>13367</v>
      </c>
      <c r="C4949" s="25" t="s">
        <v>13368</v>
      </c>
      <c r="D4949" s="25" t="s">
        <v>13369</v>
      </c>
      <c r="E4949" s="26">
        <v>112</v>
      </c>
    </row>
    <row r="4950" spans="1:5" x14ac:dyDescent="0.25">
      <c r="A4950" s="24" t="s">
        <v>7</v>
      </c>
      <c r="B4950" s="24" t="s">
        <v>13370</v>
      </c>
      <c r="C4950" s="25" t="s">
        <v>13371</v>
      </c>
      <c r="D4950" s="25" t="s">
        <v>13372</v>
      </c>
      <c r="E4950" s="26">
        <v>19</v>
      </c>
    </row>
    <row r="4951" spans="1:5" x14ac:dyDescent="0.25">
      <c r="A4951" s="24" t="s">
        <v>7</v>
      </c>
      <c r="B4951" s="24" t="s">
        <v>13373</v>
      </c>
      <c r="C4951" s="25" t="s">
        <v>13374</v>
      </c>
      <c r="D4951" s="25" t="s">
        <v>13375</v>
      </c>
      <c r="E4951" s="26">
        <v>29</v>
      </c>
    </row>
    <row r="4952" spans="1:5" x14ac:dyDescent="0.25">
      <c r="A4952" s="24" t="s">
        <v>7</v>
      </c>
      <c r="B4952" s="24" t="s">
        <v>13376</v>
      </c>
      <c r="C4952" s="25" t="s">
        <v>13377</v>
      </c>
      <c r="D4952" s="25" t="s">
        <v>13378</v>
      </c>
      <c r="E4952" s="26">
        <v>72</v>
      </c>
    </row>
    <row r="4953" spans="1:5" x14ac:dyDescent="0.25">
      <c r="A4953" s="24" t="s">
        <v>7</v>
      </c>
      <c r="B4953" s="24" t="s">
        <v>13379</v>
      </c>
      <c r="C4953" s="25" t="s">
        <v>13380</v>
      </c>
      <c r="D4953" s="25" t="s">
        <v>13381</v>
      </c>
      <c r="E4953" s="26">
        <v>208</v>
      </c>
    </row>
    <row r="4954" spans="1:5" x14ac:dyDescent="0.25">
      <c r="A4954" s="24" t="s">
        <v>7</v>
      </c>
      <c r="B4954" s="24" t="s">
        <v>13382</v>
      </c>
      <c r="C4954" s="25" t="s">
        <v>13383</v>
      </c>
      <c r="D4954" s="25" t="s">
        <v>13384</v>
      </c>
      <c r="E4954" s="26">
        <v>50</v>
      </c>
    </row>
    <row r="4955" spans="1:5" x14ac:dyDescent="0.25">
      <c r="A4955" s="24" t="s">
        <v>7</v>
      </c>
      <c r="B4955" s="24" t="s">
        <v>13385</v>
      </c>
      <c r="C4955" s="25" t="s">
        <v>13386</v>
      </c>
      <c r="D4955" s="25" t="s">
        <v>13387</v>
      </c>
      <c r="E4955" s="26">
        <v>28</v>
      </c>
    </row>
    <row r="4956" spans="1:5" x14ac:dyDescent="0.25">
      <c r="A4956" s="24" t="s">
        <v>7</v>
      </c>
      <c r="B4956" s="24" t="s">
        <v>13388</v>
      </c>
      <c r="C4956" s="25" t="s">
        <v>13389</v>
      </c>
      <c r="D4956" s="25" t="s">
        <v>13390</v>
      </c>
      <c r="E4956" s="26">
        <v>29</v>
      </c>
    </row>
    <row r="4957" spans="1:5" x14ac:dyDescent="0.25">
      <c r="A4957" s="24" t="s">
        <v>7</v>
      </c>
      <c r="B4957" s="24" t="s">
        <v>13391</v>
      </c>
      <c r="C4957" s="25" t="s">
        <v>13392</v>
      </c>
      <c r="D4957" s="25" t="s">
        <v>13393</v>
      </c>
      <c r="E4957" s="26">
        <v>272</v>
      </c>
    </row>
    <row r="4958" spans="1:5" x14ac:dyDescent="0.25">
      <c r="A4958" s="24" t="s">
        <v>7</v>
      </c>
      <c r="B4958" s="24" t="s">
        <v>13394</v>
      </c>
      <c r="C4958" s="25" t="s">
        <v>13395</v>
      </c>
      <c r="D4958" s="25" t="s">
        <v>13396</v>
      </c>
      <c r="E4958" s="26">
        <v>359</v>
      </c>
    </row>
    <row r="4959" spans="1:5" x14ac:dyDescent="0.25">
      <c r="A4959" s="24" t="s">
        <v>7</v>
      </c>
      <c r="B4959" s="24" t="s">
        <v>13397</v>
      </c>
      <c r="C4959" s="25" t="s">
        <v>13398</v>
      </c>
      <c r="D4959" s="25" t="s">
        <v>13399</v>
      </c>
      <c r="E4959" s="26">
        <v>383</v>
      </c>
    </row>
    <row r="4960" spans="1:5" x14ac:dyDescent="0.25">
      <c r="A4960" s="24" t="s">
        <v>7</v>
      </c>
      <c r="B4960" s="24" t="s">
        <v>13400</v>
      </c>
      <c r="C4960" s="25" t="s">
        <v>13401</v>
      </c>
      <c r="D4960" s="25" t="s">
        <v>13402</v>
      </c>
      <c r="E4960" s="26">
        <v>311</v>
      </c>
    </row>
    <row r="4961" spans="1:5" x14ac:dyDescent="0.25">
      <c r="A4961" s="24" t="s">
        <v>7</v>
      </c>
      <c r="B4961" s="24" t="s">
        <v>13403</v>
      </c>
      <c r="C4961" s="25" t="s">
        <v>13404</v>
      </c>
      <c r="D4961" s="25" t="s">
        <v>13405</v>
      </c>
      <c r="E4961" s="26">
        <v>15</v>
      </c>
    </row>
    <row r="4962" spans="1:5" x14ac:dyDescent="0.25">
      <c r="A4962" s="24" t="s">
        <v>7</v>
      </c>
      <c r="B4962" s="24" t="s">
        <v>13406</v>
      </c>
      <c r="C4962" s="25" t="s">
        <v>13407</v>
      </c>
      <c r="D4962" s="25" t="s">
        <v>13408</v>
      </c>
      <c r="E4962" s="26">
        <v>68</v>
      </c>
    </row>
    <row r="4963" spans="1:5" x14ac:dyDescent="0.25">
      <c r="A4963" s="24" t="s">
        <v>7</v>
      </c>
      <c r="B4963" s="24" t="s">
        <v>13409</v>
      </c>
      <c r="C4963" s="25" t="s">
        <v>13410</v>
      </c>
      <c r="D4963" s="25" t="s">
        <v>13411</v>
      </c>
      <c r="E4963" s="26">
        <v>2094</v>
      </c>
    </row>
    <row r="4964" spans="1:5" x14ac:dyDescent="0.25">
      <c r="A4964" s="24" t="s">
        <v>7</v>
      </c>
      <c r="B4964" s="24" t="s">
        <v>13412</v>
      </c>
      <c r="C4964" s="25" t="s">
        <v>13413</v>
      </c>
      <c r="D4964" s="25" t="s">
        <v>13414</v>
      </c>
      <c r="E4964" s="26">
        <v>30</v>
      </c>
    </row>
    <row r="4965" spans="1:5" x14ac:dyDescent="0.25">
      <c r="A4965" s="24" t="s">
        <v>7</v>
      </c>
      <c r="B4965" s="24" t="s">
        <v>13415</v>
      </c>
      <c r="C4965" s="25" t="s">
        <v>13416</v>
      </c>
      <c r="D4965" s="25" t="s">
        <v>13417</v>
      </c>
      <c r="E4965" s="26">
        <v>37</v>
      </c>
    </row>
    <row r="4966" spans="1:5" x14ac:dyDescent="0.25">
      <c r="A4966" s="24" t="s">
        <v>7</v>
      </c>
      <c r="B4966" s="24" t="s">
        <v>13418</v>
      </c>
      <c r="C4966" s="25" t="s">
        <v>13419</v>
      </c>
      <c r="D4966" s="25" t="s">
        <v>13420</v>
      </c>
      <c r="E4966" s="26">
        <v>731</v>
      </c>
    </row>
    <row r="4967" spans="1:5" x14ac:dyDescent="0.25">
      <c r="A4967" s="24" t="s">
        <v>7</v>
      </c>
      <c r="B4967" s="24" t="s">
        <v>13421</v>
      </c>
      <c r="C4967" s="25" t="s">
        <v>13422</v>
      </c>
      <c r="D4967" s="25" t="s">
        <v>13423</v>
      </c>
      <c r="E4967" s="26">
        <v>39</v>
      </c>
    </row>
    <row r="4968" spans="1:5" x14ac:dyDescent="0.25">
      <c r="A4968" s="24" t="s">
        <v>7</v>
      </c>
      <c r="B4968" s="24" t="s">
        <v>13424</v>
      </c>
      <c r="C4968" s="25" t="s">
        <v>13425</v>
      </c>
      <c r="D4968" s="25" t="s">
        <v>13426</v>
      </c>
      <c r="E4968" s="26">
        <v>3</v>
      </c>
    </row>
    <row r="4969" spans="1:5" x14ac:dyDescent="0.25">
      <c r="A4969" s="24" t="s">
        <v>7</v>
      </c>
      <c r="B4969" s="24" t="s">
        <v>13427</v>
      </c>
      <c r="C4969" s="25" t="s">
        <v>13428</v>
      </c>
      <c r="D4969" s="25" t="s">
        <v>13423</v>
      </c>
      <c r="E4969" s="26">
        <v>14</v>
      </c>
    </row>
    <row r="4970" spans="1:5" x14ac:dyDescent="0.25">
      <c r="A4970" s="24" t="s">
        <v>7</v>
      </c>
      <c r="B4970" s="24" t="s">
        <v>13429</v>
      </c>
      <c r="C4970" s="25" t="s">
        <v>13430</v>
      </c>
      <c r="D4970" s="25" t="s">
        <v>13431</v>
      </c>
      <c r="E4970" s="26">
        <v>120</v>
      </c>
    </row>
    <row r="4971" spans="1:5" x14ac:dyDescent="0.25">
      <c r="A4971" s="24" t="s">
        <v>7</v>
      </c>
      <c r="B4971" s="24" t="s">
        <v>13432</v>
      </c>
      <c r="C4971" s="25" t="s">
        <v>13433</v>
      </c>
      <c r="D4971" s="25" t="s">
        <v>13434</v>
      </c>
      <c r="E4971" s="26">
        <v>158</v>
      </c>
    </row>
    <row r="4972" spans="1:5" x14ac:dyDescent="0.25">
      <c r="A4972" s="24" t="s">
        <v>7</v>
      </c>
      <c r="B4972" s="24" t="s">
        <v>13435</v>
      </c>
      <c r="C4972" s="25" t="s">
        <v>13436</v>
      </c>
      <c r="D4972" s="25" t="s">
        <v>13437</v>
      </c>
      <c r="E4972" s="26">
        <v>590</v>
      </c>
    </row>
    <row r="4973" spans="1:5" x14ac:dyDescent="0.25">
      <c r="A4973" s="24" t="s">
        <v>7</v>
      </c>
      <c r="B4973" s="24" t="s">
        <v>13438</v>
      </c>
      <c r="C4973" s="25" t="s">
        <v>13439</v>
      </c>
      <c r="D4973" s="25" t="s">
        <v>13440</v>
      </c>
      <c r="E4973" s="26">
        <v>474</v>
      </c>
    </row>
    <row r="4974" spans="1:5" x14ac:dyDescent="0.25">
      <c r="A4974" s="24" t="s">
        <v>7</v>
      </c>
      <c r="B4974" s="24" t="s">
        <v>13441</v>
      </c>
      <c r="C4974" s="25" t="s">
        <v>13442</v>
      </c>
      <c r="D4974" s="25" t="s">
        <v>13443</v>
      </c>
      <c r="E4974" s="26">
        <v>180</v>
      </c>
    </row>
    <row r="4975" spans="1:5" x14ac:dyDescent="0.25">
      <c r="A4975" s="24" t="s">
        <v>7</v>
      </c>
      <c r="B4975" s="24" t="s">
        <v>13444</v>
      </c>
      <c r="C4975" s="25" t="s">
        <v>13445</v>
      </c>
      <c r="D4975" s="25" t="s">
        <v>13446</v>
      </c>
      <c r="E4975" s="26">
        <v>360</v>
      </c>
    </row>
    <row r="4976" spans="1:5" x14ac:dyDescent="0.25">
      <c r="A4976" s="24" t="s">
        <v>7</v>
      </c>
      <c r="B4976" s="24" t="s">
        <v>13447</v>
      </c>
      <c r="C4976" s="25" t="s">
        <v>13448</v>
      </c>
      <c r="D4976" s="25" t="s">
        <v>13449</v>
      </c>
      <c r="E4976" s="26">
        <v>299</v>
      </c>
    </row>
    <row r="4977" spans="1:5" x14ac:dyDescent="0.25">
      <c r="A4977" s="24" t="s">
        <v>7</v>
      </c>
      <c r="B4977" s="24" t="s">
        <v>13450</v>
      </c>
      <c r="C4977" s="25" t="s">
        <v>13451</v>
      </c>
      <c r="D4977" s="25" t="s">
        <v>13452</v>
      </c>
      <c r="E4977" s="26">
        <v>39</v>
      </c>
    </row>
    <row r="4978" spans="1:5" x14ac:dyDescent="0.25">
      <c r="A4978" s="24" t="s">
        <v>7</v>
      </c>
      <c r="B4978" s="24" t="s">
        <v>13453</v>
      </c>
      <c r="C4978" s="25" t="s">
        <v>13454</v>
      </c>
      <c r="D4978" s="25" t="s">
        <v>13455</v>
      </c>
      <c r="E4978" s="26">
        <v>22</v>
      </c>
    </row>
    <row r="4979" spans="1:5" x14ac:dyDescent="0.25">
      <c r="A4979" s="24" t="s">
        <v>7</v>
      </c>
      <c r="B4979" s="24" t="s">
        <v>13456</v>
      </c>
      <c r="C4979" s="25" t="s">
        <v>13457</v>
      </c>
      <c r="D4979" s="25" t="s">
        <v>13458</v>
      </c>
      <c r="E4979" s="26">
        <v>188</v>
      </c>
    </row>
    <row r="4980" spans="1:5" x14ac:dyDescent="0.25">
      <c r="A4980" s="24" t="s">
        <v>7</v>
      </c>
      <c r="B4980" s="24" t="s">
        <v>13459</v>
      </c>
      <c r="C4980" s="25" t="s">
        <v>13460</v>
      </c>
      <c r="D4980" s="25" t="s">
        <v>13461</v>
      </c>
      <c r="E4980" s="26">
        <v>197</v>
      </c>
    </row>
    <row r="4981" spans="1:5" x14ac:dyDescent="0.25">
      <c r="A4981" s="24" t="s">
        <v>7</v>
      </c>
      <c r="B4981" s="24" t="s">
        <v>13462</v>
      </c>
      <c r="C4981" s="25" t="s">
        <v>13463</v>
      </c>
      <c r="D4981" s="25" t="s">
        <v>13464</v>
      </c>
      <c r="E4981" s="26">
        <v>279</v>
      </c>
    </row>
    <row r="4982" spans="1:5" x14ac:dyDescent="0.25">
      <c r="A4982" s="24" t="s">
        <v>7</v>
      </c>
      <c r="B4982" s="24" t="s">
        <v>13465</v>
      </c>
      <c r="C4982" s="25" t="s">
        <v>13466</v>
      </c>
      <c r="D4982" s="25" t="s">
        <v>13467</v>
      </c>
      <c r="E4982" s="26">
        <v>429</v>
      </c>
    </row>
    <row r="4983" spans="1:5" x14ac:dyDescent="0.25">
      <c r="A4983" s="24" t="s">
        <v>7</v>
      </c>
      <c r="B4983" s="24" t="s">
        <v>13468</v>
      </c>
      <c r="C4983" s="25" t="s">
        <v>13469</v>
      </c>
      <c r="D4983" s="25" t="s">
        <v>13470</v>
      </c>
      <c r="E4983" s="26">
        <v>74</v>
      </c>
    </row>
    <row r="4984" spans="1:5" x14ac:dyDescent="0.25">
      <c r="A4984" s="24" t="s">
        <v>7</v>
      </c>
      <c r="B4984" s="24" t="s">
        <v>13471</v>
      </c>
      <c r="C4984" s="25" t="s">
        <v>13472</v>
      </c>
      <c r="D4984" s="25" t="s">
        <v>13473</v>
      </c>
      <c r="E4984" s="26">
        <v>69</v>
      </c>
    </row>
    <row r="4985" spans="1:5" x14ac:dyDescent="0.25">
      <c r="A4985" s="24" t="s">
        <v>7</v>
      </c>
      <c r="B4985" s="24" t="s">
        <v>13474</v>
      </c>
      <c r="C4985" s="25" t="s">
        <v>13475</v>
      </c>
      <c r="D4985" s="25" t="s">
        <v>13476</v>
      </c>
      <c r="E4985" s="26">
        <v>118</v>
      </c>
    </row>
    <row r="4986" spans="1:5" x14ac:dyDescent="0.25">
      <c r="A4986" s="24" t="s">
        <v>7</v>
      </c>
      <c r="B4986" s="24" t="s">
        <v>13477</v>
      </c>
      <c r="C4986" s="25" t="s">
        <v>13478</v>
      </c>
      <c r="D4986" s="25" t="s">
        <v>13479</v>
      </c>
      <c r="E4986" s="26">
        <v>179</v>
      </c>
    </row>
    <row r="4987" spans="1:5" x14ac:dyDescent="0.25">
      <c r="A4987" s="24" t="s">
        <v>7</v>
      </c>
      <c r="B4987" s="24" t="s">
        <v>13480</v>
      </c>
      <c r="C4987" s="25" t="s">
        <v>13481</v>
      </c>
      <c r="D4987" s="25" t="s">
        <v>13482</v>
      </c>
      <c r="E4987" s="26">
        <v>3082</v>
      </c>
    </row>
    <row r="4988" spans="1:5" x14ac:dyDescent="0.25">
      <c r="A4988" s="24" t="s">
        <v>7</v>
      </c>
      <c r="B4988" s="24" t="s">
        <v>13483</v>
      </c>
      <c r="C4988" s="25" t="s">
        <v>13484</v>
      </c>
      <c r="D4988" s="25" t="s">
        <v>13485</v>
      </c>
      <c r="E4988" s="26">
        <v>4877</v>
      </c>
    </row>
    <row r="4989" spans="1:5" x14ac:dyDescent="0.25">
      <c r="A4989" s="24" t="s">
        <v>7</v>
      </c>
      <c r="B4989" s="24" t="s">
        <v>13486</v>
      </c>
      <c r="C4989" s="25" t="s">
        <v>13487</v>
      </c>
      <c r="D4989" s="25" t="s">
        <v>13488</v>
      </c>
      <c r="E4989" s="26">
        <v>1109</v>
      </c>
    </row>
    <row r="4990" spans="1:5" x14ac:dyDescent="0.25">
      <c r="A4990" s="24" t="s">
        <v>7</v>
      </c>
      <c r="B4990" s="24" t="s">
        <v>13489</v>
      </c>
      <c r="C4990" s="25" t="s">
        <v>13490</v>
      </c>
      <c r="D4990" s="25" t="s">
        <v>13491</v>
      </c>
      <c r="E4990" s="26">
        <v>1242</v>
      </c>
    </row>
    <row r="4991" spans="1:5" x14ac:dyDescent="0.25">
      <c r="A4991" s="24" t="s">
        <v>7</v>
      </c>
      <c r="B4991" s="24" t="s">
        <v>13492</v>
      </c>
      <c r="C4991" s="25" t="s">
        <v>13493</v>
      </c>
      <c r="D4991" s="25" t="s">
        <v>13494</v>
      </c>
      <c r="E4991" s="26">
        <v>38</v>
      </c>
    </row>
    <row r="4992" spans="1:5" x14ac:dyDescent="0.25">
      <c r="A4992" s="24" t="s">
        <v>7</v>
      </c>
      <c r="B4992" s="24" t="s">
        <v>13495</v>
      </c>
      <c r="C4992" s="25" t="s">
        <v>13496</v>
      </c>
      <c r="D4992" s="25" t="s">
        <v>13497</v>
      </c>
      <c r="E4992" s="26">
        <v>84</v>
      </c>
    </row>
    <row r="4993" spans="1:6" x14ac:dyDescent="0.25">
      <c r="A4993" s="24" t="s">
        <v>7</v>
      </c>
      <c r="B4993" s="24" t="s">
        <v>13498</v>
      </c>
      <c r="C4993" s="25" t="s">
        <v>13499</v>
      </c>
      <c r="D4993" s="25" t="s">
        <v>13500</v>
      </c>
      <c r="E4993" s="26">
        <v>3667</v>
      </c>
    </row>
    <row r="4994" spans="1:6" x14ac:dyDescent="0.25">
      <c r="A4994" s="24" t="s">
        <v>7</v>
      </c>
      <c r="B4994" s="24" t="s">
        <v>13501</v>
      </c>
      <c r="C4994" s="25" t="s">
        <v>13502</v>
      </c>
      <c r="D4994" s="25" t="s">
        <v>13503</v>
      </c>
      <c r="E4994" s="26">
        <v>31</v>
      </c>
    </row>
    <row r="4995" spans="1:6" x14ac:dyDescent="0.25">
      <c r="A4995" s="24" t="s">
        <v>7</v>
      </c>
      <c r="B4995" s="24" t="s">
        <v>13504</v>
      </c>
      <c r="C4995" s="25" t="s">
        <v>13505</v>
      </c>
      <c r="D4995" s="25" t="s">
        <v>13503</v>
      </c>
      <c r="E4995" s="26">
        <v>16</v>
      </c>
    </row>
    <row r="4996" spans="1:6" x14ac:dyDescent="0.25">
      <c r="A4996" s="24" t="s">
        <v>7</v>
      </c>
      <c r="B4996" s="24" t="s">
        <v>13506</v>
      </c>
      <c r="C4996" s="25" t="s">
        <v>13507</v>
      </c>
      <c r="D4996" s="25" t="s">
        <v>13508</v>
      </c>
      <c r="E4996" s="26">
        <v>27</v>
      </c>
    </row>
    <row r="4997" spans="1:6" x14ac:dyDescent="0.25">
      <c r="A4997" s="24" t="s">
        <v>7</v>
      </c>
      <c r="B4997" s="24" t="s">
        <v>13509</v>
      </c>
      <c r="C4997" s="25" t="s">
        <v>13510</v>
      </c>
      <c r="D4997" s="25" t="s">
        <v>13511</v>
      </c>
      <c r="E4997" s="26">
        <v>72</v>
      </c>
    </row>
    <row r="4998" spans="1:6" x14ac:dyDescent="0.25">
      <c r="A4998" s="24" t="s">
        <v>7</v>
      </c>
      <c r="B4998" s="24" t="s">
        <v>13512</v>
      </c>
      <c r="C4998" s="25" t="s">
        <v>13513</v>
      </c>
      <c r="D4998" s="25" t="s">
        <v>13514</v>
      </c>
      <c r="E4998" s="26">
        <v>30</v>
      </c>
    </row>
    <row r="4999" spans="1:6" x14ac:dyDescent="0.25">
      <c r="A4999" s="24" t="s">
        <v>7</v>
      </c>
      <c r="B4999" s="24" t="s">
        <v>13515</v>
      </c>
      <c r="C4999" s="25" t="s">
        <v>13516</v>
      </c>
      <c r="D4999" s="25" t="s">
        <v>13517</v>
      </c>
      <c r="E4999" s="26">
        <v>29</v>
      </c>
    </row>
    <row r="5000" spans="1:6" x14ac:dyDescent="0.25">
      <c r="A5000" s="24" t="s">
        <v>7</v>
      </c>
      <c r="B5000" s="24" t="s">
        <v>13518</v>
      </c>
      <c r="C5000" s="25" t="s">
        <v>13519</v>
      </c>
      <c r="D5000" s="25" t="s">
        <v>13520</v>
      </c>
      <c r="E5000" s="26">
        <v>151</v>
      </c>
    </row>
    <row r="5001" spans="1:6" x14ac:dyDescent="0.25">
      <c r="A5001" s="24" t="s">
        <v>7</v>
      </c>
      <c r="B5001" s="24" t="s">
        <v>13521</v>
      </c>
      <c r="C5001" s="25" t="s">
        <v>13522</v>
      </c>
      <c r="D5001" s="25" t="s">
        <v>13523</v>
      </c>
      <c r="E5001" s="26">
        <v>147</v>
      </c>
    </row>
    <row r="5002" spans="1:6" x14ac:dyDescent="0.25">
      <c r="A5002" s="24" t="s">
        <v>7</v>
      </c>
      <c r="B5002" s="24" t="s">
        <v>13524</v>
      </c>
      <c r="C5002" s="25" t="s">
        <v>13525</v>
      </c>
      <c r="D5002" s="25" t="s">
        <v>13526</v>
      </c>
      <c r="E5002" s="26">
        <v>144</v>
      </c>
    </row>
    <row r="5003" spans="1:6" x14ac:dyDescent="0.25">
      <c r="A5003" s="24" t="s">
        <v>7</v>
      </c>
      <c r="B5003" s="24" t="s">
        <v>13527</v>
      </c>
      <c r="C5003" s="25" t="s">
        <v>13528</v>
      </c>
      <c r="D5003" s="25" t="s">
        <v>13529</v>
      </c>
      <c r="E5003" s="26">
        <v>283</v>
      </c>
    </row>
    <row r="5004" spans="1:6" x14ac:dyDescent="0.25">
      <c r="A5004" s="24" t="s">
        <v>7</v>
      </c>
      <c r="B5004" s="24" t="s">
        <v>13530</v>
      </c>
      <c r="C5004" s="25" t="s">
        <v>13531</v>
      </c>
      <c r="D5004" s="25" t="s">
        <v>13532</v>
      </c>
      <c r="E5004" s="26">
        <v>70</v>
      </c>
    </row>
    <row r="5005" spans="1:6" x14ac:dyDescent="0.25">
      <c r="A5005" s="24" t="s">
        <v>7</v>
      </c>
      <c r="B5005" s="24" t="s">
        <v>13533</v>
      </c>
      <c r="C5005" s="25" t="s">
        <v>13534</v>
      </c>
      <c r="D5005" s="25" t="s">
        <v>13535</v>
      </c>
      <c r="E5005" s="26">
        <v>206</v>
      </c>
    </row>
    <row r="5006" spans="1:6" x14ac:dyDescent="0.25">
      <c r="A5006" s="24" t="s">
        <v>7</v>
      </c>
      <c r="B5006" s="24" t="s">
        <v>13536</v>
      </c>
      <c r="C5006" s="25" t="s">
        <v>13537</v>
      </c>
      <c r="D5006" s="25" t="s">
        <v>13538</v>
      </c>
      <c r="E5006" s="26">
        <v>2473</v>
      </c>
      <c r="F5006" s="24" t="s">
        <v>502</v>
      </c>
    </row>
    <row r="5007" spans="1:6" x14ac:dyDescent="0.25">
      <c r="A5007" s="24" t="s">
        <v>7</v>
      </c>
      <c r="B5007" s="24" t="s">
        <v>13539</v>
      </c>
      <c r="C5007" s="25" t="s">
        <v>13540</v>
      </c>
      <c r="D5007" s="25" t="s">
        <v>13541</v>
      </c>
      <c r="E5007" s="26">
        <v>3671</v>
      </c>
    </row>
    <row r="5008" spans="1:6" x14ac:dyDescent="0.25">
      <c r="A5008" s="24" t="s">
        <v>7</v>
      </c>
      <c r="B5008" s="24" t="s">
        <v>13542</v>
      </c>
      <c r="C5008" s="25" t="s">
        <v>13543</v>
      </c>
      <c r="D5008" s="25" t="s">
        <v>13544</v>
      </c>
      <c r="E5008" s="26">
        <v>1243</v>
      </c>
    </row>
    <row r="5009" spans="1:5" x14ac:dyDescent="0.25">
      <c r="A5009" s="24" t="s">
        <v>7</v>
      </c>
      <c r="B5009" s="24" t="s">
        <v>13545</v>
      </c>
      <c r="C5009" s="25" t="s">
        <v>13546</v>
      </c>
      <c r="D5009" s="25" t="s">
        <v>13547</v>
      </c>
      <c r="E5009" s="26">
        <v>82</v>
      </c>
    </row>
    <row r="5010" spans="1:5" x14ac:dyDescent="0.25">
      <c r="A5010" s="24" t="s">
        <v>7</v>
      </c>
      <c r="B5010" s="24" t="s">
        <v>13548</v>
      </c>
      <c r="C5010" s="25" t="s">
        <v>13549</v>
      </c>
      <c r="D5010" s="25" t="s">
        <v>13550</v>
      </c>
      <c r="E5010" s="26">
        <v>285</v>
      </c>
    </row>
    <row r="5011" spans="1:5" x14ac:dyDescent="0.25">
      <c r="A5011" s="24" t="s">
        <v>7</v>
      </c>
      <c r="B5011" s="24" t="s">
        <v>13551</v>
      </c>
      <c r="C5011" s="25" t="s">
        <v>13552</v>
      </c>
      <c r="D5011" s="25" t="s">
        <v>13553</v>
      </c>
      <c r="E5011" s="26">
        <v>397</v>
      </c>
    </row>
    <row r="5012" spans="1:5" x14ac:dyDescent="0.25">
      <c r="A5012" s="24" t="s">
        <v>7</v>
      </c>
      <c r="B5012" s="24" t="s">
        <v>13554</v>
      </c>
      <c r="C5012" s="25" t="s">
        <v>13555</v>
      </c>
      <c r="D5012" s="25" t="s">
        <v>13556</v>
      </c>
      <c r="E5012" s="26">
        <v>1709</v>
      </c>
    </row>
    <row r="5013" spans="1:5" x14ac:dyDescent="0.25">
      <c r="A5013" s="24" t="s">
        <v>7</v>
      </c>
      <c r="B5013" s="24" t="s">
        <v>13557</v>
      </c>
      <c r="C5013" s="25" t="s">
        <v>13558</v>
      </c>
      <c r="D5013" s="25" t="s">
        <v>13559</v>
      </c>
      <c r="E5013" s="26">
        <v>404</v>
      </c>
    </row>
    <row r="5014" spans="1:5" x14ac:dyDescent="0.25">
      <c r="A5014" s="24" t="s">
        <v>7</v>
      </c>
      <c r="B5014" s="24" t="s">
        <v>13560</v>
      </c>
      <c r="C5014" s="25" t="s">
        <v>13561</v>
      </c>
      <c r="D5014" s="25" t="s">
        <v>13562</v>
      </c>
      <c r="E5014" s="26">
        <v>274</v>
      </c>
    </row>
    <row r="5015" spans="1:5" x14ac:dyDescent="0.25">
      <c r="A5015" s="24" t="s">
        <v>7</v>
      </c>
      <c r="B5015" s="24" t="s">
        <v>13563</v>
      </c>
      <c r="C5015" s="25" t="s">
        <v>13564</v>
      </c>
      <c r="D5015" s="25" t="s">
        <v>13565</v>
      </c>
      <c r="E5015" s="26">
        <v>415</v>
      </c>
    </row>
    <row r="5016" spans="1:5" x14ac:dyDescent="0.25">
      <c r="A5016" s="24" t="s">
        <v>7</v>
      </c>
      <c r="B5016" s="24" t="s">
        <v>13566</v>
      </c>
      <c r="C5016" s="25" t="s">
        <v>13567</v>
      </c>
      <c r="D5016" s="25" t="s">
        <v>13568</v>
      </c>
      <c r="E5016" s="26">
        <v>188</v>
      </c>
    </row>
    <row r="5017" spans="1:5" x14ac:dyDescent="0.25">
      <c r="A5017" s="24" t="s">
        <v>7</v>
      </c>
      <c r="B5017" s="24" t="s">
        <v>13569</v>
      </c>
      <c r="C5017" s="25" t="s">
        <v>13570</v>
      </c>
      <c r="D5017" s="25" t="s">
        <v>13571</v>
      </c>
      <c r="E5017" s="26">
        <v>75</v>
      </c>
    </row>
    <row r="5018" spans="1:5" x14ac:dyDescent="0.25">
      <c r="A5018" s="24" t="s">
        <v>7</v>
      </c>
      <c r="B5018" s="24" t="s">
        <v>13572</v>
      </c>
      <c r="C5018" s="25" t="s">
        <v>13573</v>
      </c>
      <c r="D5018" s="25" t="s">
        <v>13574</v>
      </c>
      <c r="E5018" s="26">
        <v>173</v>
      </c>
    </row>
    <row r="5019" spans="1:5" x14ac:dyDescent="0.25">
      <c r="A5019" s="24" t="s">
        <v>7</v>
      </c>
      <c r="B5019" s="24" t="s">
        <v>13575</v>
      </c>
      <c r="C5019" s="25" t="s">
        <v>13576</v>
      </c>
      <c r="D5019" s="25" t="s">
        <v>13577</v>
      </c>
      <c r="E5019" s="26">
        <v>154</v>
      </c>
    </row>
    <row r="5020" spans="1:5" x14ac:dyDescent="0.25">
      <c r="A5020" s="24" t="s">
        <v>7</v>
      </c>
      <c r="B5020" s="24" t="s">
        <v>13578</v>
      </c>
      <c r="C5020" s="25" t="s">
        <v>13579</v>
      </c>
      <c r="D5020" s="25" t="s">
        <v>13580</v>
      </c>
      <c r="E5020" s="26">
        <v>51</v>
      </c>
    </row>
    <row r="5021" spans="1:5" x14ac:dyDescent="0.25">
      <c r="A5021" s="24" t="s">
        <v>7</v>
      </c>
      <c r="B5021" s="24" t="s">
        <v>13581</v>
      </c>
      <c r="C5021" s="25" t="s">
        <v>13582</v>
      </c>
      <c r="D5021" s="25" t="s">
        <v>13583</v>
      </c>
      <c r="E5021" s="26">
        <v>16</v>
      </c>
    </row>
    <row r="5022" spans="1:5" x14ac:dyDescent="0.25">
      <c r="A5022" s="24" t="s">
        <v>7</v>
      </c>
      <c r="B5022" s="24" t="s">
        <v>13584</v>
      </c>
      <c r="C5022" s="25" t="s">
        <v>13585</v>
      </c>
      <c r="D5022" s="25" t="s">
        <v>13586</v>
      </c>
      <c r="E5022" s="26">
        <v>17</v>
      </c>
    </row>
    <row r="5023" spans="1:5" x14ac:dyDescent="0.25">
      <c r="A5023" s="24" t="s">
        <v>7</v>
      </c>
      <c r="B5023" s="24" t="s">
        <v>13587</v>
      </c>
      <c r="C5023" s="25" t="s">
        <v>13588</v>
      </c>
      <c r="D5023" s="25" t="s">
        <v>13586</v>
      </c>
      <c r="E5023" s="26">
        <v>25</v>
      </c>
    </row>
    <row r="5024" spans="1:5" x14ac:dyDescent="0.25">
      <c r="A5024" s="24" t="s">
        <v>7</v>
      </c>
      <c r="B5024" s="24" t="s">
        <v>13589</v>
      </c>
      <c r="C5024" s="25" t="s">
        <v>13590</v>
      </c>
      <c r="D5024" s="25" t="s">
        <v>13591</v>
      </c>
      <c r="E5024" s="26">
        <v>73</v>
      </c>
    </row>
    <row r="5025" spans="1:5" x14ac:dyDescent="0.25">
      <c r="A5025" s="24" t="s">
        <v>7</v>
      </c>
      <c r="B5025" s="24" t="s">
        <v>13592</v>
      </c>
      <c r="C5025" s="25" t="s">
        <v>13593</v>
      </c>
      <c r="D5025" s="25" t="s">
        <v>13594</v>
      </c>
      <c r="E5025" s="26">
        <v>123</v>
      </c>
    </row>
    <row r="5026" spans="1:5" x14ac:dyDescent="0.25">
      <c r="A5026" s="24" t="s">
        <v>7</v>
      </c>
      <c r="B5026" s="24" t="s">
        <v>13595</v>
      </c>
      <c r="C5026" s="25" t="s">
        <v>13596</v>
      </c>
      <c r="D5026" s="25" t="s">
        <v>13583</v>
      </c>
      <c r="E5026" s="26">
        <v>14</v>
      </c>
    </row>
    <row r="5027" spans="1:5" x14ac:dyDescent="0.25">
      <c r="A5027" s="24" t="s">
        <v>7</v>
      </c>
      <c r="B5027" s="24" t="s">
        <v>13597</v>
      </c>
      <c r="C5027" s="25" t="s">
        <v>13598</v>
      </c>
      <c r="D5027" s="25" t="s">
        <v>13583</v>
      </c>
      <c r="E5027" s="26">
        <v>27</v>
      </c>
    </row>
    <row r="5028" spans="1:5" x14ac:dyDescent="0.25">
      <c r="A5028" s="24" t="s">
        <v>7</v>
      </c>
      <c r="B5028" s="24" t="s">
        <v>13599</v>
      </c>
      <c r="C5028" s="25" t="s">
        <v>13600</v>
      </c>
      <c r="D5028" s="25" t="s">
        <v>13601</v>
      </c>
      <c r="E5028" s="26">
        <v>41</v>
      </c>
    </row>
    <row r="5029" spans="1:5" x14ac:dyDescent="0.25">
      <c r="A5029" s="24" t="s">
        <v>7</v>
      </c>
      <c r="B5029" s="24" t="s">
        <v>13602</v>
      </c>
      <c r="C5029" s="25" t="s">
        <v>13603</v>
      </c>
      <c r="D5029" s="25" t="s">
        <v>13594</v>
      </c>
      <c r="E5029" s="26">
        <v>411</v>
      </c>
    </row>
    <row r="5030" spans="1:5" x14ac:dyDescent="0.25">
      <c r="A5030" s="24" t="s">
        <v>7</v>
      </c>
      <c r="B5030" s="24" t="s">
        <v>13604</v>
      </c>
      <c r="C5030" s="25" t="s">
        <v>13605</v>
      </c>
      <c r="D5030" s="25" t="s">
        <v>13606</v>
      </c>
      <c r="E5030" s="26">
        <v>67</v>
      </c>
    </row>
    <row r="5031" spans="1:5" x14ac:dyDescent="0.25">
      <c r="A5031" s="24" t="s">
        <v>7</v>
      </c>
      <c r="B5031" s="24" t="s">
        <v>13607</v>
      </c>
      <c r="C5031" s="25" t="s">
        <v>13608</v>
      </c>
      <c r="D5031" s="25" t="s">
        <v>13609</v>
      </c>
      <c r="E5031" s="26">
        <v>116</v>
      </c>
    </row>
    <row r="5032" spans="1:5" x14ac:dyDescent="0.25">
      <c r="A5032" s="24" t="s">
        <v>7</v>
      </c>
      <c r="B5032" s="24" t="s">
        <v>13610</v>
      </c>
      <c r="C5032" s="25" t="s">
        <v>13611</v>
      </c>
      <c r="D5032" s="25" t="s">
        <v>13612</v>
      </c>
      <c r="E5032" s="26">
        <v>36</v>
      </c>
    </row>
    <row r="5033" spans="1:5" x14ac:dyDescent="0.25">
      <c r="A5033" s="24" t="s">
        <v>7</v>
      </c>
      <c r="B5033" s="24" t="s">
        <v>13613</v>
      </c>
      <c r="C5033" s="25" t="s">
        <v>13614</v>
      </c>
      <c r="D5033" s="25" t="s">
        <v>13615</v>
      </c>
      <c r="E5033" s="26">
        <v>29</v>
      </c>
    </row>
    <row r="5034" spans="1:5" x14ac:dyDescent="0.25">
      <c r="A5034" s="24" t="s">
        <v>7</v>
      </c>
      <c r="B5034" s="24" t="s">
        <v>13616</v>
      </c>
      <c r="C5034" s="25" t="s">
        <v>13617</v>
      </c>
      <c r="D5034" s="25" t="s">
        <v>13618</v>
      </c>
      <c r="E5034" s="26">
        <v>55</v>
      </c>
    </row>
    <row r="5035" spans="1:5" x14ac:dyDescent="0.25">
      <c r="A5035" s="24" t="s">
        <v>7</v>
      </c>
      <c r="B5035" s="24" t="s">
        <v>13619</v>
      </c>
      <c r="C5035" s="25" t="s">
        <v>13620</v>
      </c>
      <c r="D5035" s="25" t="s">
        <v>13621</v>
      </c>
      <c r="E5035" s="26">
        <v>68</v>
      </c>
    </row>
    <row r="5036" spans="1:5" x14ac:dyDescent="0.25">
      <c r="A5036" s="24" t="s">
        <v>7</v>
      </c>
      <c r="B5036" s="24" t="s">
        <v>13622</v>
      </c>
      <c r="C5036" s="25" t="s">
        <v>13623</v>
      </c>
      <c r="D5036" s="25" t="s">
        <v>13624</v>
      </c>
      <c r="E5036" s="26">
        <v>56</v>
      </c>
    </row>
    <row r="5037" spans="1:5" x14ac:dyDescent="0.25">
      <c r="A5037" s="24" t="s">
        <v>7</v>
      </c>
      <c r="B5037" s="24" t="s">
        <v>13625</v>
      </c>
      <c r="C5037" s="25" t="s">
        <v>13626</v>
      </c>
      <c r="D5037" s="25" t="s">
        <v>13627</v>
      </c>
      <c r="E5037" s="26">
        <v>75</v>
      </c>
    </row>
    <row r="5038" spans="1:5" x14ac:dyDescent="0.25">
      <c r="A5038" s="24" t="s">
        <v>7</v>
      </c>
      <c r="B5038" s="24" t="s">
        <v>13628</v>
      </c>
      <c r="C5038" s="25" t="s">
        <v>13629</v>
      </c>
      <c r="D5038" s="25" t="s">
        <v>13630</v>
      </c>
      <c r="E5038" s="26">
        <v>255</v>
      </c>
    </row>
    <row r="5039" spans="1:5" x14ac:dyDescent="0.25">
      <c r="A5039" s="24" t="s">
        <v>7</v>
      </c>
      <c r="B5039" s="24" t="s">
        <v>13631</v>
      </c>
      <c r="C5039" s="25" t="s">
        <v>13632</v>
      </c>
      <c r="D5039" s="25" t="s">
        <v>13633</v>
      </c>
      <c r="E5039" s="26">
        <v>34</v>
      </c>
    </row>
    <row r="5040" spans="1:5" x14ac:dyDescent="0.25">
      <c r="A5040" s="24" t="s">
        <v>7</v>
      </c>
      <c r="B5040" s="24" t="s">
        <v>13634</v>
      </c>
      <c r="C5040" s="25" t="s">
        <v>13635</v>
      </c>
      <c r="D5040" s="25" t="s">
        <v>13636</v>
      </c>
      <c r="E5040" s="26">
        <v>82</v>
      </c>
    </row>
    <row r="5041" spans="1:5" x14ac:dyDescent="0.25">
      <c r="A5041" s="24" t="s">
        <v>7</v>
      </c>
      <c r="B5041" s="24" t="s">
        <v>13637</v>
      </c>
      <c r="C5041" s="25" t="s">
        <v>13638</v>
      </c>
      <c r="D5041" s="25" t="s">
        <v>13639</v>
      </c>
      <c r="E5041" s="26">
        <v>16</v>
      </c>
    </row>
    <row r="5042" spans="1:5" x14ac:dyDescent="0.25">
      <c r="A5042" s="24" t="s">
        <v>7</v>
      </c>
      <c r="B5042" s="24" t="s">
        <v>13640</v>
      </c>
      <c r="C5042" s="25" t="s">
        <v>13641</v>
      </c>
      <c r="D5042" s="25" t="s">
        <v>13642</v>
      </c>
      <c r="E5042" s="26">
        <v>305</v>
      </c>
    </row>
    <row r="5043" spans="1:5" x14ac:dyDescent="0.25">
      <c r="A5043" s="24" t="s">
        <v>7</v>
      </c>
      <c r="B5043" s="24" t="s">
        <v>13643</v>
      </c>
      <c r="C5043" s="25" t="s">
        <v>13644</v>
      </c>
      <c r="D5043" s="25" t="s">
        <v>13645</v>
      </c>
      <c r="E5043" s="26">
        <v>75</v>
      </c>
    </row>
    <row r="5044" spans="1:5" x14ac:dyDescent="0.25">
      <c r="A5044" s="24" t="s">
        <v>7</v>
      </c>
      <c r="B5044" s="24" t="s">
        <v>13646</v>
      </c>
      <c r="C5044" s="25" t="s">
        <v>13647</v>
      </c>
      <c r="D5044" s="25" t="s">
        <v>13648</v>
      </c>
      <c r="E5044" s="26">
        <v>33</v>
      </c>
    </row>
    <row r="5045" spans="1:5" x14ac:dyDescent="0.25">
      <c r="A5045" s="24" t="s">
        <v>7</v>
      </c>
      <c r="B5045" s="24" t="s">
        <v>13649</v>
      </c>
      <c r="C5045" s="25" t="s">
        <v>13650</v>
      </c>
      <c r="D5045" s="25" t="s">
        <v>13651</v>
      </c>
      <c r="E5045" s="26">
        <v>57</v>
      </c>
    </row>
    <row r="5046" spans="1:5" x14ac:dyDescent="0.25">
      <c r="A5046" s="24" t="s">
        <v>7</v>
      </c>
      <c r="B5046" s="24" t="s">
        <v>13652</v>
      </c>
      <c r="C5046" s="25" t="s">
        <v>13653</v>
      </c>
      <c r="D5046" s="25" t="s">
        <v>13654</v>
      </c>
      <c r="E5046" s="26">
        <v>7</v>
      </c>
    </row>
    <row r="5047" spans="1:5" x14ac:dyDescent="0.25">
      <c r="A5047" s="24" t="s">
        <v>7</v>
      </c>
      <c r="B5047" s="24" t="s">
        <v>13655</v>
      </c>
      <c r="C5047" s="25" t="s">
        <v>13656</v>
      </c>
      <c r="D5047" s="25" t="s">
        <v>13657</v>
      </c>
      <c r="E5047" s="26">
        <v>27</v>
      </c>
    </row>
    <row r="5048" spans="1:5" x14ac:dyDescent="0.25">
      <c r="A5048" s="24" t="s">
        <v>7</v>
      </c>
      <c r="B5048" s="24" t="s">
        <v>13658</v>
      </c>
      <c r="C5048" s="25" t="s">
        <v>13659</v>
      </c>
      <c r="D5048" s="25" t="s">
        <v>13660</v>
      </c>
      <c r="E5048" s="26">
        <v>32</v>
      </c>
    </row>
    <row r="5049" spans="1:5" x14ac:dyDescent="0.25">
      <c r="A5049" s="24" t="s">
        <v>7</v>
      </c>
      <c r="B5049" s="24" t="s">
        <v>13661</v>
      </c>
      <c r="C5049" s="25" t="s">
        <v>13662</v>
      </c>
      <c r="D5049" s="25" t="s">
        <v>13663</v>
      </c>
      <c r="E5049" s="26">
        <v>27</v>
      </c>
    </row>
    <row r="5050" spans="1:5" x14ac:dyDescent="0.25">
      <c r="A5050" s="24" t="s">
        <v>7</v>
      </c>
      <c r="B5050" s="24" t="s">
        <v>13664</v>
      </c>
      <c r="C5050" s="25" t="s">
        <v>13665</v>
      </c>
      <c r="D5050" s="25" t="s">
        <v>13666</v>
      </c>
      <c r="E5050" s="26">
        <v>27</v>
      </c>
    </row>
    <row r="5051" spans="1:5" x14ac:dyDescent="0.25">
      <c r="A5051" s="24" t="s">
        <v>7</v>
      </c>
      <c r="B5051" s="24" t="s">
        <v>13667</v>
      </c>
      <c r="C5051" s="25" t="s">
        <v>13668</v>
      </c>
      <c r="D5051" s="25" t="s">
        <v>13669</v>
      </c>
      <c r="E5051" s="26">
        <v>141</v>
      </c>
    </row>
    <row r="5052" spans="1:5" x14ac:dyDescent="0.25">
      <c r="A5052" s="24" t="s">
        <v>7</v>
      </c>
      <c r="B5052" s="24" t="s">
        <v>13670</v>
      </c>
      <c r="C5052" s="25" t="s">
        <v>13671</v>
      </c>
      <c r="D5052" s="25" t="s">
        <v>13672</v>
      </c>
      <c r="E5052" s="26">
        <v>139</v>
      </c>
    </row>
    <row r="5053" spans="1:5" x14ac:dyDescent="0.25">
      <c r="A5053" s="24" t="s">
        <v>7</v>
      </c>
      <c r="B5053" s="24" t="s">
        <v>13673</v>
      </c>
      <c r="C5053" s="25" t="s">
        <v>13674</v>
      </c>
      <c r="D5053" s="25" t="s">
        <v>13675</v>
      </c>
      <c r="E5053" s="26">
        <v>41</v>
      </c>
    </row>
    <row r="5054" spans="1:5" x14ac:dyDescent="0.25">
      <c r="A5054" s="24" t="s">
        <v>7</v>
      </c>
      <c r="B5054" s="24" t="s">
        <v>13676</v>
      </c>
      <c r="C5054" s="25" t="s">
        <v>13677</v>
      </c>
      <c r="D5054" s="25" t="s">
        <v>13678</v>
      </c>
      <c r="E5054" s="26">
        <v>39</v>
      </c>
    </row>
    <row r="5055" spans="1:5" x14ac:dyDescent="0.25">
      <c r="A5055" s="24" t="s">
        <v>7</v>
      </c>
      <c r="B5055" s="24" t="s">
        <v>13679</v>
      </c>
      <c r="C5055" s="25" t="s">
        <v>13680</v>
      </c>
      <c r="D5055" s="25" t="s">
        <v>13681</v>
      </c>
      <c r="E5055" s="26">
        <v>26</v>
      </c>
    </row>
    <row r="5056" spans="1:5" x14ac:dyDescent="0.25">
      <c r="A5056" s="24" t="s">
        <v>7</v>
      </c>
      <c r="B5056" s="24" t="s">
        <v>13682</v>
      </c>
      <c r="C5056" s="25" t="s">
        <v>13683</v>
      </c>
      <c r="D5056" s="25" t="s">
        <v>13684</v>
      </c>
      <c r="E5056" s="26">
        <v>22</v>
      </c>
    </row>
    <row r="5057" spans="1:5" x14ac:dyDescent="0.25">
      <c r="A5057" s="24" t="s">
        <v>7</v>
      </c>
      <c r="B5057" s="24" t="s">
        <v>13685</v>
      </c>
      <c r="C5057" s="25" t="s">
        <v>13686</v>
      </c>
      <c r="D5057" s="25" t="s">
        <v>13687</v>
      </c>
      <c r="E5057" s="26">
        <v>51</v>
      </c>
    </row>
    <row r="5058" spans="1:5" x14ac:dyDescent="0.25">
      <c r="A5058" s="24" t="s">
        <v>7</v>
      </c>
      <c r="B5058" s="24" t="s">
        <v>13688</v>
      </c>
      <c r="C5058" s="25" t="s">
        <v>13689</v>
      </c>
      <c r="D5058" s="25" t="s">
        <v>13690</v>
      </c>
      <c r="E5058" s="26">
        <v>43</v>
      </c>
    </row>
    <row r="5059" spans="1:5" x14ac:dyDescent="0.25">
      <c r="A5059" s="24" t="s">
        <v>7</v>
      </c>
      <c r="B5059" s="24" t="s">
        <v>13691</v>
      </c>
      <c r="C5059" s="25" t="s">
        <v>13692</v>
      </c>
      <c r="D5059" s="25" t="s">
        <v>13693</v>
      </c>
      <c r="E5059" s="26">
        <v>819</v>
      </c>
    </row>
    <row r="5060" spans="1:5" x14ac:dyDescent="0.25">
      <c r="A5060" s="24" t="s">
        <v>7</v>
      </c>
      <c r="B5060" s="24" t="s">
        <v>13694</v>
      </c>
      <c r="C5060" s="25" t="s">
        <v>13695</v>
      </c>
      <c r="D5060" s="25" t="s">
        <v>13696</v>
      </c>
      <c r="E5060" s="26">
        <v>102</v>
      </c>
    </row>
    <row r="5061" spans="1:5" x14ac:dyDescent="0.25">
      <c r="A5061" s="24" t="s">
        <v>7</v>
      </c>
      <c r="B5061" s="24" t="s">
        <v>13697</v>
      </c>
      <c r="C5061" s="25" t="s">
        <v>13698</v>
      </c>
      <c r="D5061" s="25" t="s">
        <v>13699</v>
      </c>
      <c r="E5061" s="26">
        <v>26</v>
      </c>
    </row>
    <row r="5062" spans="1:5" x14ac:dyDescent="0.25">
      <c r="A5062" s="24" t="s">
        <v>7</v>
      </c>
      <c r="B5062" s="24" t="s">
        <v>13700</v>
      </c>
      <c r="C5062" s="25" t="s">
        <v>13701</v>
      </c>
      <c r="D5062" s="25" t="s">
        <v>13702</v>
      </c>
      <c r="E5062" s="26">
        <v>19.5</v>
      </c>
    </row>
    <row r="5063" spans="1:5" x14ac:dyDescent="0.25">
      <c r="A5063" s="24" t="s">
        <v>7</v>
      </c>
      <c r="B5063" s="24" t="s">
        <v>13703</v>
      </c>
      <c r="C5063" s="25" t="s">
        <v>13704</v>
      </c>
      <c r="D5063" s="25" t="s">
        <v>13705</v>
      </c>
      <c r="E5063" s="26">
        <v>406</v>
      </c>
    </row>
    <row r="5064" spans="1:5" x14ac:dyDescent="0.25">
      <c r="A5064" s="24" t="s">
        <v>7</v>
      </c>
      <c r="B5064" s="24" t="s">
        <v>13706</v>
      </c>
      <c r="C5064" s="25" t="s">
        <v>13707</v>
      </c>
      <c r="D5064" s="25" t="s">
        <v>13708</v>
      </c>
      <c r="E5064" s="26">
        <v>603</v>
      </c>
    </row>
    <row r="5065" spans="1:5" x14ac:dyDescent="0.25">
      <c r="A5065" s="24" t="s">
        <v>7</v>
      </c>
      <c r="B5065" s="24" t="s">
        <v>13709</v>
      </c>
      <c r="C5065" s="25" t="s">
        <v>13710</v>
      </c>
      <c r="D5065" s="25" t="s">
        <v>13711</v>
      </c>
      <c r="E5065" s="26">
        <v>20</v>
      </c>
    </row>
    <row r="5066" spans="1:5" x14ac:dyDescent="0.25">
      <c r="A5066" s="24" t="s">
        <v>7</v>
      </c>
      <c r="B5066" s="24" t="s">
        <v>13712</v>
      </c>
      <c r="C5066" s="25" t="s">
        <v>13713</v>
      </c>
      <c r="D5066" s="25" t="s">
        <v>13714</v>
      </c>
      <c r="E5066" s="26">
        <v>1</v>
      </c>
    </row>
    <row r="5067" spans="1:5" x14ac:dyDescent="0.25">
      <c r="A5067" s="24" t="s">
        <v>7</v>
      </c>
      <c r="B5067" s="24" t="s">
        <v>13715</v>
      </c>
      <c r="C5067" s="25" t="s">
        <v>13716</v>
      </c>
      <c r="D5067" s="25" t="s">
        <v>13717</v>
      </c>
      <c r="E5067" s="26">
        <v>324</v>
      </c>
    </row>
    <row r="5068" spans="1:5" x14ac:dyDescent="0.25">
      <c r="A5068" s="24" t="s">
        <v>7</v>
      </c>
      <c r="B5068" s="24" t="s">
        <v>13718</v>
      </c>
      <c r="C5068" s="25" t="s">
        <v>13719</v>
      </c>
      <c r="D5068" s="25" t="s">
        <v>13720</v>
      </c>
      <c r="E5068" s="26">
        <v>13</v>
      </c>
    </row>
    <row r="5069" spans="1:5" x14ac:dyDescent="0.25">
      <c r="A5069" s="24" t="s">
        <v>7</v>
      </c>
      <c r="B5069" s="24" t="s">
        <v>13721</v>
      </c>
      <c r="C5069" s="25" t="s">
        <v>13722</v>
      </c>
      <c r="D5069" s="25" t="s">
        <v>13723</v>
      </c>
      <c r="E5069" s="26">
        <v>13</v>
      </c>
    </row>
    <row r="5070" spans="1:5" x14ac:dyDescent="0.25">
      <c r="A5070" s="24" t="s">
        <v>7</v>
      </c>
      <c r="B5070" s="24" t="s">
        <v>13724</v>
      </c>
      <c r="C5070" s="25" t="s">
        <v>13725</v>
      </c>
      <c r="D5070" s="25" t="s">
        <v>13726</v>
      </c>
      <c r="E5070" s="26">
        <v>13</v>
      </c>
    </row>
    <row r="5071" spans="1:5" x14ac:dyDescent="0.25">
      <c r="A5071" s="24" t="s">
        <v>7</v>
      </c>
      <c r="B5071" s="24" t="s">
        <v>13727</v>
      </c>
      <c r="C5071" s="25" t="s">
        <v>13728</v>
      </c>
      <c r="D5071" s="25" t="s">
        <v>13729</v>
      </c>
      <c r="E5071" s="26">
        <v>6</v>
      </c>
    </row>
    <row r="5072" spans="1:5" x14ac:dyDescent="0.25">
      <c r="A5072" s="24" t="s">
        <v>7</v>
      </c>
      <c r="B5072" s="24" t="s">
        <v>13730</v>
      </c>
      <c r="C5072" s="25" t="s">
        <v>13731</v>
      </c>
      <c r="D5072" s="25" t="s">
        <v>13732</v>
      </c>
      <c r="E5072" s="26">
        <v>6</v>
      </c>
    </row>
    <row r="5073" spans="1:5" x14ac:dyDescent="0.25">
      <c r="A5073" s="24" t="s">
        <v>7</v>
      </c>
      <c r="B5073" s="24" t="s">
        <v>13733</v>
      </c>
      <c r="C5073" s="25" t="s">
        <v>13734</v>
      </c>
      <c r="D5073" s="25" t="s">
        <v>13735</v>
      </c>
      <c r="E5073" s="26">
        <v>17</v>
      </c>
    </row>
    <row r="5074" spans="1:5" x14ac:dyDescent="0.25">
      <c r="A5074" s="24" t="s">
        <v>7</v>
      </c>
      <c r="B5074" s="24" t="s">
        <v>13736</v>
      </c>
      <c r="C5074" s="25" t="s">
        <v>13737</v>
      </c>
      <c r="D5074" s="25" t="s">
        <v>13738</v>
      </c>
      <c r="E5074" s="26">
        <v>7</v>
      </c>
    </row>
    <row r="5075" spans="1:5" x14ac:dyDescent="0.25">
      <c r="A5075" s="24" t="s">
        <v>7</v>
      </c>
      <c r="B5075" s="24" t="s">
        <v>13739</v>
      </c>
      <c r="C5075" s="25" t="s">
        <v>13740</v>
      </c>
      <c r="D5075" s="25" t="s">
        <v>13741</v>
      </c>
      <c r="E5075" s="26">
        <v>17</v>
      </c>
    </row>
    <row r="5076" spans="1:5" x14ac:dyDescent="0.25">
      <c r="A5076" s="24" t="s">
        <v>7</v>
      </c>
      <c r="B5076" s="24" t="s">
        <v>13742</v>
      </c>
      <c r="C5076" s="25" t="s">
        <v>13743</v>
      </c>
      <c r="D5076" s="25" t="s">
        <v>13744</v>
      </c>
      <c r="E5076" s="26">
        <v>26</v>
      </c>
    </row>
    <row r="5077" spans="1:5" x14ac:dyDescent="0.25">
      <c r="A5077" s="24" t="s">
        <v>7</v>
      </c>
      <c r="B5077" s="24" t="s">
        <v>13745</v>
      </c>
      <c r="C5077" s="25" t="s">
        <v>13746</v>
      </c>
      <c r="D5077" s="25" t="s">
        <v>13747</v>
      </c>
      <c r="E5077" s="26">
        <v>31</v>
      </c>
    </row>
    <row r="5078" spans="1:5" x14ac:dyDescent="0.25">
      <c r="A5078" s="24" t="s">
        <v>7</v>
      </c>
      <c r="B5078" s="24" t="s">
        <v>13748</v>
      </c>
      <c r="C5078" s="25" t="s">
        <v>13749</v>
      </c>
      <c r="D5078" s="25" t="s">
        <v>13750</v>
      </c>
      <c r="E5078" s="26">
        <v>64</v>
      </c>
    </row>
    <row r="5079" spans="1:5" x14ac:dyDescent="0.25">
      <c r="A5079" s="24" t="s">
        <v>7</v>
      </c>
      <c r="B5079" s="24" t="s">
        <v>13751</v>
      </c>
      <c r="C5079" s="25" t="s">
        <v>13752</v>
      </c>
      <c r="D5079" s="25" t="s">
        <v>13753</v>
      </c>
      <c r="E5079" s="26">
        <v>118</v>
      </c>
    </row>
    <row r="5080" spans="1:5" x14ac:dyDescent="0.25">
      <c r="A5080" s="24" t="s">
        <v>7</v>
      </c>
      <c r="B5080" s="24" t="s">
        <v>13754</v>
      </c>
      <c r="C5080" s="25" t="s">
        <v>13755</v>
      </c>
      <c r="D5080" s="25" t="s">
        <v>13756</v>
      </c>
      <c r="E5080" s="26">
        <v>67</v>
      </c>
    </row>
    <row r="5081" spans="1:5" x14ac:dyDescent="0.25">
      <c r="A5081" s="24" t="s">
        <v>7</v>
      </c>
      <c r="B5081" s="24" t="s">
        <v>13757</v>
      </c>
      <c r="C5081" s="25" t="s">
        <v>13758</v>
      </c>
      <c r="D5081" s="25" t="s">
        <v>13759</v>
      </c>
      <c r="E5081" s="26">
        <v>41</v>
      </c>
    </row>
    <row r="5082" spans="1:5" x14ac:dyDescent="0.25">
      <c r="A5082" s="24" t="s">
        <v>7</v>
      </c>
      <c r="B5082" s="24" t="s">
        <v>13760</v>
      </c>
      <c r="C5082" s="25" t="s">
        <v>13761</v>
      </c>
      <c r="D5082" s="25" t="s">
        <v>13762</v>
      </c>
      <c r="E5082" s="26">
        <v>69</v>
      </c>
    </row>
    <row r="5083" spans="1:5" x14ac:dyDescent="0.25">
      <c r="A5083" s="24" t="s">
        <v>7</v>
      </c>
      <c r="B5083" s="24" t="s">
        <v>13763</v>
      </c>
      <c r="C5083" s="25" t="s">
        <v>13764</v>
      </c>
      <c r="D5083" s="25" t="s">
        <v>13765</v>
      </c>
      <c r="E5083" s="26">
        <v>174</v>
      </c>
    </row>
    <row r="5084" spans="1:5" x14ac:dyDescent="0.25">
      <c r="A5084" s="24" t="s">
        <v>7</v>
      </c>
      <c r="B5084" s="24" t="s">
        <v>13766</v>
      </c>
      <c r="C5084" s="25" t="s">
        <v>13767</v>
      </c>
      <c r="D5084" s="25" t="s">
        <v>13768</v>
      </c>
      <c r="E5084" s="26">
        <v>11</v>
      </c>
    </row>
    <row r="5085" spans="1:5" x14ac:dyDescent="0.25">
      <c r="A5085" s="24" t="s">
        <v>7</v>
      </c>
      <c r="B5085" s="24" t="s">
        <v>13769</v>
      </c>
      <c r="C5085" s="25" t="s">
        <v>13770</v>
      </c>
      <c r="D5085" s="25" t="s">
        <v>13771</v>
      </c>
      <c r="E5085" s="26">
        <v>3</v>
      </c>
    </row>
    <row r="5086" spans="1:5" x14ac:dyDescent="0.25">
      <c r="A5086" s="24" t="s">
        <v>7</v>
      </c>
      <c r="B5086" s="24" t="s">
        <v>13772</v>
      </c>
      <c r="C5086" s="25" t="s">
        <v>13773</v>
      </c>
      <c r="D5086" s="25" t="s">
        <v>13774</v>
      </c>
      <c r="E5086" s="26">
        <v>504</v>
      </c>
    </row>
    <row r="5087" spans="1:5" x14ac:dyDescent="0.25">
      <c r="A5087" s="24" t="s">
        <v>7</v>
      </c>
      <c r="B5087" s="24" t="s">
        <v>13775</v>
      </c>
      <c r="C5087" s="25" t="s">
        <v>13776</v>
      </c>
      <c r="D5087" s="25" t="s">
        <v>13777</v>
      </c>
      <c r="E5087" s="26">
        <v>15</v>
      </c>
    </row>
    <row r="5088" spans="1:5" x14ac:dyDescent="0.25">
      <c r="A5088" s="24" t="s">
        <v>7</v>
      </c>
      <c r="B5088" s="24" t="s">
        <v>13778</v>
      </c>
      <c r="C5088" s="25" t="s">
        <v>13779</v>
      </c>
      <c r="D5088" s="25" t="s">
        <v>13780</v>
      </c>
      <c r="E5088" s="26">
        <v>29</v>
      </c>
    </row>
    <row r="5089" spans="1:5" x14ac:dyDescent="0.25">
      <c r="A5089" s="24" t="s">
        <v>7</v>
      </c>
      <c r="B5089" s="24" t="s">
        <v>13781</v>
      </c>
      <c r="C5089" s="25" t="s">
        <v>13782</v>
      </c>
      <c r="D5089" s="25" t="s">
        <v>13783</v>
      </c>
      <c r="E5089" s="26">
        <v>160</v>
      </c>
    </row>
    <row r="5090" spans="1:5" x14ac:dyDescent="0.25">
      <c r="A5090" s="24" t="s">
        <v>7</v>
      </c>
      <c r="B5090" s="24" t="s">
        <v>13784</v>
      </c>
      <c r="C5090" s="25" t="s">
        <v>13785</v>
      </c>
      <c r="D5090" s="25" t="s">
        <v>13786</v>
      </c>
      <c r="E5090" s="26">
        <v>24</v>
      </c>
    </row>
    <row r="5091" spans="1:5" x14ac:dyDescent="0.25">
      <c r="A5091" s="24" t="s">
        <v>7</v>
      </c>
      <c r="B5091" s="24" t="s">
        <v>13787</v>
      </c>
      <c r="C5091" s="25" t="s">
        <v>13788</v>
      </c>
      <c r="D5091" s="25" t="s">
        <v>13789</v>
      </c>
      <c r="E5091" s="26">
        <v>20</v>
      </c>
    </row>
    <row r="5092" spans="1:5" x14ac:dyDescent="0.25">
      <c r="A5092" s="24" t="s">
        <v>7</v>
      </c>
      <c r="B5092" s="24" t="s">
        <v>13790</v>
      </c>
      <c r="C5092" s="25" t="s">
        <v>13791</v>
      </c>
      <c r="D5092" s="25" t="s">
        <v>13792</v>
      </c>
      <c r="E5092" s="26">
        <v>84</v>
      </c>
    </row>
    <row r="5093" spans="1:5" x14ac:dyDescent="0.25">
      <c r="A5093" s="24" t="s">
        <v>7</v>
      </c>
      <c r="B5093" s="24" t="s">
        <v>13793</v>
      </c>
      <c r="C5093" s="25" t="s">
        <v>13794</v>
      </c>
      <c r="D5093" s="25" t="s">
        <v>13795</v>
      </c>
      <c r="E5093" s="26">
        <v>3874</v>
      </c>
    </row>
    <row r="5094" spans="1:5" x14ac:dyDescent="0.25">
      <c r="A5094" s="24" t="s">
        <v>7</v>
      </c>
      <c r="B5094" s="24" t="s">
        <v>13796</v>
      </c>
      <c r="C5094" s="25" t="s">
        <v>13797</v>
      </c>
      <c r="D5094" s="25" t="s">
        <v>13798</v>
      </c>
      <c r="E5094" s="26">
        <v>33</v>
      </c>
    </row>
    <row r="5095" spans="1:5" x14ac:dyDescent="0.25">
      <c r="A5095" s="24" t="s">
        <v>7</v>
      </c>
      <c r="B5095" s="24" t="s">
        <v>13799</v>
      </c>
      <c r="C5095" s="25" t="s">
        <v>13800</v>
      </c>
      <c r="D5095" s="25" t="s">
        <v>13801</v>
      </c>
      <c r="E5095" s="26">
        <v>892</v>
      </c>
    </row>
    <row r="5096" spans="1:5" x14ac:dyDescent="0.25">
      <c r="A5096" s="24" t="s">
        <v>7</v>
      </c>
      <c r="B5096" s="24" t="s">
        <v>13802</v>
      </c>
      <c r="C5096" s="25" t="s">
        <v>13803</v>
      </c>
      <c r="D5096" s="25" t="s">
        <v>13804</v>
      </c>
      <c r="E5096" s="26">
        <v>91</v>
      </c>
    </row>
    <row r="5097" spans="1:5" x14ac:dyDescent="0.25">
      <c r="A5097" s="24" t="s">
        <v>7</v>
      </c>
      <c r="B5097" s="24" t="s">
        <v>13805</v>
      </c>
      <c r="C5097" s="25" t="s">
        <v>13806</v>
      </c>
      <c r="D5097" s="25" t="s">
        <v>13807</v>
      </c>
      <c r="E5097" s="26">
        <v>401</v>
      </c>
    </row>
    <row r="5098" spans="1:5" x14ac:dyDescent="0.25">
      <c r="A5098" s="24" t="s">
        <v>7</v>
      </c>
      <c r="B5098" s="24" t="s">
        <v>13808</v>
      </c>
      <c r="C5098" s="25" t="s">
        <v>13809</v>
      </c>
      <c r="D5098" s="25" t="s">
        <v>13810</v>
      </c>
      <c r="E5098" s="26">
        <v>55</v>
      </c>
    </row>
    <row r="5099" spans="1:5" x14ac:dyDescent="0.25">
      <c r="A5099" s="24" t="s">
        <v>7</v>
      </c>
      <c r="B5099" s="24" t="s">
        <v>13811</v>
      </c>
      <c r="C5099" s="25" t="s">
        <v>13812</v>
      </c>
      <c r="D5099" s="25" t="s">
        <v>13813</v>
      </c>
      <c r="E5099" s="26">
        <v>8</v>
      </c>
    </row>
    <row r="5100" spans="1:5" x14ac:dyDescent="0.25">
      <c r="A5100" s="24" t="s">
        <v>7</v>
      </c>
      <c r="B5100" s="24" t="s">
        <v>13814</v>
      </c>
      <c r="C5100" s="25" t="s">
        <v>13815</v>
      </c>
      <c r="D5100" s="25" t="s">
        <v>13816</v>
      </c>
      <c r="E5100" s="26">
        <v>419</v>
      </c>
    </row>
    <row r="5101" spans="1:5" x14ac:dyDescent="0.25">
      <c r="A5101" s="24" t="s">
        <v>7</v>
      </c>
      <c r="B5101" s="24" t="s">
        <v>13817</v>
      </c>
      <c r="C5101" s="25" t="s">
        <v>13818</v>
      </c>
      <c r="D5101" s="25" t="s">
        <v>13819</v>
      </c>
      <c r="E5101" s="26">
        <v>8</v>
      </c>
    </row>
    <row r="5102" spans="1:5" x14ac:dyDescent="0.25">
      <c r="A5102" s="24" t="s">
        <v>7</v>
      </c>
      <c r="B5102" s="24" t="s">
        <v>13820</v>
      </c>
      <c r="C5102" s="25" t="s">
        <v>13821</v>
      </c>
      <c r="D5102" s="25" t="s">
        <v>13822</v>
      </c>
      <c r="E5102" s="26">
        <v>26</v>
      </c>
    </row>
    <row r="5103" spans="1:5" x14ac:dyDescent="0.25">
      <c r="A5103" s="24" t="s">
        <v>7</v>
      </c>
      <c r="B5103" s="24" t="s">
        <v>13823</v>
      </c>
      <c r="C5103" s="25" t="s">
        <v>13824</v>
      </c>
      <c r="D5103" s="25" t="s">
        <v>13431</v>
      </c>
      <c r="E5103" s="26">
        <v>128</v>
      </c>
    </row>
    <row r="5104" spans="1:5" x14ac:dyDescent="0.25">
      <c r="A5104" s="24" t="s">
        <v>7</v>
      </c>
      <c r="B5104" s="24" t="s">
        <v>13825</v>
      </c>
      <c r="C5104" s="25" t="s">
        <v>13826</v>
      </c>
      <c r="D5104" s="25" t="s">
        <v>13827</v>
      </c>
      <c r="E5104" s="26">
        <v>1660</v>
      </c>
    </row>
    <row r="5105" spans="1:5" x14ac:dyDescent="0.25">
      <c r="A5105" s="24" t="s">
        <v>7</v>
      </c>
      <c r="B5105" s="24" t="s">
        <v>13828</v>
      </c>
      <c r="C5105" s="25" t="s">
        <v>13829</v>
      </c>
      <c r="D5105" s="25" t="s">
        <v>13431</v>
      </c>
      <c r="E5105" s="26">
        <v>120</v>
      </c>
    </row>
    <row r="5106" spans="1:5" x14ac:dyDescent="0.25">
      <c r="A5106" s="24" t="s">
        <v>7</v>
      </c>
      <c r="B5106" s="24" t="s">
        <v>13830</v>
      </c>
      <c r="C5106" s="25" t="s">
        <v>13831</v>
      </c>
      <c r="D5106" s="25" t="s">
        <v>13832</v>
      </c>
      <c r="E5106" s="26">
        <v>625</v>
      </c>
    </row>
    <row r="5107" spans="1:5" x14ac:dyDescent="0.25">
      <c r="A5107" s="24" t="s">
        <v>7</v>
      </c>
      <c r="B5107" s="24" t="s">
        <v>13833</v>
      </c>
      <c r="C5107" s="25" t="s">
        <v>13834</v>
      </c>
      <c r="D5107" s="25" t="s">
        <v>13835</v>
      </c>
      <c r="E5107" s="26">
        <v>987</v>
      </c>
    </row>
    <row r="5108" spans="1:5" x14ac:dyDescent="0.25">
      <c r="A5108" s="24" t="s">
        <v>7</v>
      </c>
      <c r="B5108" s="24" t="s">
        <v>13836</v>
      </c>
      <c r="C5108" s="25" t="s">
        <v>13837</v>
      </c>
      <c r="D5108" s="25" t="s">
        <v>13838</v>
      </c>
      <c r="E5108" s="26">
        <v>258</v>
      </c>
    </row>
    <row r="5109" spans="1:5" x14ac:dyDescent="0.25">
      <c r="A5109" s="24" t="s">
        <v>7</v>
      </c>
      <c r="B5109" s="24" t="s">
        <v>13839</v>
      </c>
      <c r="C5109" s="25" t="s">
        <v>13840</v>
      </c>
      <c r="D5109" s="25" t="s">
        <v>13841</v>
      </c>
      <c r="E5109" s="26">
        <v>563</v>
      </c>
    </row>
    <row r="5110" spans="1:5" x14ac:dyDescent="0.25">
      <c r="A5110" s="24" t="s">
        <v>7</v>
      </c>
      <c r="B5110" s="24" t="s">
        <v>13842</v>
      </c>
      <c r="C5110" s="25" t="s">
        <v>13843</v>
      </c>
      <c r="D5110" s="25" t="s">
        <v>13844</v>
      </c>
      <c r="E5110" s="26">
        <v>800</v>
      </c>
    </row>
    <row r="5111" spans="1:5" x14ac:dyDescent="0.25">
      <c r="A5111" s="24" t="s">
        <v>7</v>
      </c>
      <c r="B5111" s="24" t="s">
        <v>13845</v>
      </c>
      <c r="C5111" s="25" t="s">
        <v>13846</v>
      </c>
      <c r="D5111" s="25" t="s">
        <v>13847</v>
      </c>
      <c r="E5111" s="26">
        <v>1271</v>
      </c>
    </row>
    <row r="5112" spans="1:5" x14ac:dyDescent="0.25">
      <c r="A5112" s="24" t="s">
        <v>7</v>
      </c>
      <c r="B5112" s="24" t="s">
        <v>13848</v>
      </c>
      <c r="C5112" s="25" t="s">
        <v>13849</v>
      </c>
      <c r="D5112" s="25" t="s">
        <v>13850</v>
      </c>
      <c r="E5112" s="26">
        <v>47</v>
      </c>
    </row>
    <row r="5113" spans="1:5" x14ac:dyDescent="0.25">
      <c r="A5113" s="24" t="s">
        <v>7</v>
      </c>
      <c r="B5113" s="24" t="s">
        <v>13851</v>
      </c>
      <c r="C5113" s="25" t="s">
        <v>13852</v>
      </c>
      <c r="D5113" s="25" t="s">
        <v>13853</v>
      </c>
      <c r="E5113" s="26">
        <v>656</v>
      </c>
    </row>
    <row r="5114" spans="1:5" x14ac:dyDescent="0.25">
      <c r="A5114" s="24" t="s">
        <v>7</v>
      </c>
      <c r="B5114" s="24" t="s">
        <v>13854</v>
      </c>
      <c r="C5114" s="25" t="s">
        <v>13855</v>
      </c>
      <c r="D5114" s="25" t="s">
        <v>13856</v>
      </c>
      <c r="E5114" s="26">
        <v>46</v>
      </c>
    </row>
    <row r="5115" spans="1:5" x14ac:dyDescent="0.25">
      <c r="A5115" s="24" t="s">
        <v>7</v>
      </c>
      <c r="B5115" s="24" t="s">
        <v>13857</v>
      </c>
      <c r="C5115" s="25" t="s">
        <v>13858</v>
      </c>
      <c r="D5115" s="25" t="s">
        <v>13859</v>
      </c>
      <c r="E5115" s="26">
        <v>39</v>
      </c>
    </row>
    <row r="5116" spans="1:5" x14ac:dyDescent="0.25">
      <c r="A5116" s="24" t="s">
        <v>7</v>
      </c>
      <c r="B5116" s="24" t="s">
        <v>13860</v>
      </c>
      <c r="C5116" s="25" t="s">
        <v>13861</v>
      </c>
      <c r="D5116" s="25" t="s">
        <v>13862</v>
      </c>
      <c r="E5116" s="26">
        <v>296</v>
      </c>
    </row>
    <row r="5117" spans="1:5" x14ac:dyDescent="0.25">
      <c r="A5117" s="24" t="s">
        <v>7</v>
      </c>
      <c r="B5117" s="24" t="s">
        <v>13863</v>
      </c>
      <c r="C5117" s="25" t="s">
        <v>13864</v>
      </c>
      <c r="D5117" s="25" t="s">
        <v>13865</v>
      </c>
      <c r="E5117" s="26">
        <v>368</v>
      </c>
    </row>
    <row r="5118" spans="1:5" x14ac:dyDescent="0.25">
      <c r="A5118" s="24" t="s">
        <v>7</v>
      </c>
      <c r="B5118" s="24" t="s">
        <v>13866</v>
      </c>
      <c r="C5118" s="25" t="s">
        <v>13867</v>
      </c>
      <c r="D5118" s="25" t="s">
        <v>13868</v>
      </c>
      <c r="E5118" s="26">
        <v>418</v>
      </c>
    </row>
    <row r="5119" spans="1:5" x14ac:dyDescent="0.25">
      <c r="A5119" s="24" t="s">
        <v>7</v>
      </c>
      <c r="B5119" s="24" t="s">
        <v>13869</v>
      </c>
      <c r="C5119" s="25" t="s">
        <v>13870</v>
      </c>
      <c r="D5119" s="25" t="s">
        <v>13871</v>
      </c>
      <c r="E5119" s="26">
        <v>279</v>
      </c>
    </row>
    <row r="5120" spans="1:5" x14ac:dyDescent="0.25">
      <c r="A5120" s="24" t="s">
        <v>7</v>
      </c>
      <c r="B5120" s="24" t="s">
        <v>13872</v>
      </c>
      <c r="C5120" s="25" t="s">
        <v>13873</v>
      </c>
      <c r="D5120" s="25" t="s">
        <v>13874</v>
      </c>
      <c r="E5120" s="26">
        <v>50</v>
      </c>
    </row>
    <row r="5121" spans="1:5" x14ac:dyDescent="0.25">
      <c r="A5121" s="24" t="s">
        <v>7</v>
      </c>
      <c r="B5121" s="24" t="s">
        <v>13875</v>
      </c>
      <c r="C5121" s="25" t="s">
        <v>13876</v>
      </c>
      <c r="D5121" s="25" t="s">
        <v>13877</v>
      </c>
      <c r="E5121" s="26">
        <v>39</v>
      </c>
    </row>
    <row r="5122" spans="1:5" x14ac:dyDescent="0.25">
      <c r="A5122" s="24" t="s">
        <v>7</v>
      </c>
      <c r="B5122" s="24" t="s">
        <v>13878</v>
      </c>
      <c r="C5122" s="25" t="s">
        <v>13879</v>
      </c>
      <c r="D5122" s="25" t="s">
        <v>13880</v>
      </c>
      <c r="E5122" s="26">
        <v>542</v>
      </c>
    </row>
    <row r="5123" spans="1:5" x14ac:dyDescent="0.25">
      <c r="A5123" s="24" t="s">
        <v>7</v>
      </c>
      <c r="B5123" s="24" t="s">
        <v>13881</v>
      </c>
      <c r="C5123" s="25" t="s">
        <v>13882</v>
      </c>
      <c r="D5123" s="25" t="s">
        <v>13883</v>
      </c>
      <c r="E5123" s="26">
        <v>456</v>
      </c>
    </row>
    <row r="5124" spans="1:5" x14ac:dyDescent="0.25">
      <c r="A5124" s="24" t="s">
        <v>7</v>
      </c>
      <c r="B5124" s="24" t="s">
        <v>13884</v>
      </c>
      <c r="C5124" s="25" t="s">
        <v>13885</v>
      </c>
      <c r="D5124" s="25" t="s">
        <v>13886</v>
      </c>
      <c r="E5124" s="26">
        <v>1421</v>
      </c>
    </row>
    <row r="5125" spans="1:5" x14ac:dyDescent="0.25">
      <c r="A5125" s="24" t="s">
        <v>7</v>
      </c>
      <c r="B5125" s="24" t="s">
        <v>13887</v>
      </c>
      <c r="C5125" s="25" t="s">
        <v>13888</v>
      </c>
      <c r="D5125" s="25" t="s">
        <v>13889</v>
      </c>
      <c r="E5125" s="26">
        <v>708</v>
      </c>
    </row>
    <row r="5126" spans="1:5" x14ac:dyDescent="0.25">
      <c r="A5126" s="24" t="s">
        <v>7</v>
      </c>
      <c r="B5126" s="24" t="s">
        <v>13890</v>
      </c>
      <c r="C5126" s="25" t="s">
        <v>13891</v>
      </c>
      <c r="D5126" s="25" t="s">
        <v>13892</v>
      </c>
      <c r="E5126" s="26">
        <v>1236</v>
      </c>
    </row>
    <row r="5127" spans="1:5" x14ac:dyDescent="0.25">
      <c r="A5127" s="24" t="s">
        <v>7</v>
      </c>
      <c r="B5127" s="24" t="s">
        <v>13893</v>
      </c>
      <c r="C5127" s="25" t="s">
        <v>13894</v>
      </c>
      <c r="D5127" s="25" t="s">
        <v>13895</v>
      </c>
      <c r="E5127" s="26">
        <v>443</v>
      </c>
    </row>
    <row r="5128" spans="1:5" x14ac:dyDescent="0.25">
      <c r="A5128" s="24" t="s">
        <v>7</v>
      </c>
      <c r="B5128" s="24" t="s">
        <v>13896</v>
      </c>
      <c r="C5128" s="25" t="s">
        <v>13897</v>
      </c>
      <c r="D5128" s="25" t="s">
        <v>13898</v>
      </c>
      <c r="E5128" s="26">
        <v>1108</v>
      </c>
    </row>
    <row r="5129" spans="1:5" x14ac:dyDescent="0.25">
      <c r="A5129" s="24" t="s">
        <v>7</v>
      </c>
      <c r="B5129" s="24" t="s">
        <v>13899</v>
      </c>
      <c r="C5129" s="25" t="s">
        <v>13900</v>
      </c>
      <c r="D5129" s="25" t="s">
        <v>13901</v>
      </c>
      <c r="E5129" s="26">
        <v>42</v>
      </c>
    </row>
    <row r="5130" spans="1:5" x14ac:dyDescent="0.25">
      <c r="A5130" s="24" t="s">
        <v>7</v>
      </c>
      <c r="B5130" s="24" t="s">
        <v>13902</v>
      </c>
      <c r="C5130" s="25" t="s">
        <v>13903</v>
      </c>
      <c r="D5130" s="25" t="s">
        <v>13904</v>
      </c>
      <c r="E5130" s="26">
        <v>21</v>
      </c>
    </row>
    <row r="5131" spans="1:5" x14ac:dyDescent="0.25">
      <c r="A5131" s="24" t="s">
        <v>7</v>
      </c>
      <c r="B5131" s="24" t="s">
        <v>13905</v>
      </c>
      <c r="C5131" s="25" t="s">
        <v>13906</v>
      </c>
      <c r="D5131" s="25" t="s">
        <v>13907</v>
      </c>
      <c r="E5131" s="26">
        <v>13</v>
      </c>
    </row>
    <row r="5132" spans="1:5" x14ac:dyDescent="0.25">
      <c r="A5132" s="24" t="s">
        <v>7</v>
      </c>
      <c r="B5132" s="24" t="s">
        <v>13908</v>
      </c>
      <c r="C5132" s="25" t="s">
        <v>13909</v>
      </c>
      <c r="D5132" s="25" t="s">
        <v>13910</v>
      </c>
      <c r="E5132" s="26">
        <v>319</v>
      </c>
    </row>
    <row r="5133" spans="1:5" x14ac:dyDescent="0.25">
      <c r="A5133" s="24" t="s">
        <v>7</v>
      </c>
      <c r="B5133" s="24" t="s">
        <v>13911</v>
      </c>
      <c r="C5133" s="25" t="s">
        <v>13912</v>
      </c>
      <c r="D5133" s="25" t="s">
        <v>13913</v>
      </c>
      <c r="E5133" s="26">
        <v>81</v>
      </c>
    </row>
    <row r="5134" spans="1:5" x14ac:dyDescent="0.25">
      <c r="A5134" s="24" t="s">
        <v>7</v>
      </c>
      <c r="B5134" s="24" t="s">
        <v>13914</v>
      </c>
      <c r="C5134" s="25" t="s">
        <v>13915</v>
      </c>
      <c r="D5134" s="25" t="s">
        <v>13904</v>
      </c>
      <c r="E5134" s="26">
        <v>37</v>
      </c>
    </row>
    <row r="5135" spans="1:5" x14ac:dyDescent="0.25">
      <c r="A5135" s="24" t="s">
        <v>7</v>
      </c>
      <c r="B5135" s="24" t="s">
        <v>13916</v>
      </c>
      <c r="C5135" s="25" t="s">
        <v>13917</v>
      </c>
      <c r="D5135" s="25" t="s">
        <v>13907</v>
      </c>
      <c r="E5135" s="26">
        <v>41</v>
      </c>
    </row>
    <row r="5136" spans="1:5" x14ac:dyDescent="0.25">
      <c r="A5136" s="24" t="s">
        <v>7</v>
      </c>
      <c r="B5136" s="24" t="s">
        <v>13918</v>
      </c>
      <c r="C5136" s="25" t="s">
        <v>13919</v>
      </c>
      <c r="D5136" s="25" t="s">
        <v>13920</v>
      </c>
      <c r="E5136" s="26">
        <v>19</v>
      </c>
    </row>
    <row r="5137" spans="1:5" x14ac:dyDescent="0.25">
      <c r="A5137" s="24" t="s">
        <v>7</v>
      </c>
      <c r="B5137" s="24" t="s">
        <v>13921</v>
      </c>
      <c r="C5137" s="25" t="s">
        <v>13922</v>
      </c>
      <c r="D5137" s="25" t="s">
        <v>13923</v>
      </c>
      <c r="E5137" s="26">
        <v>154</v>
      </c>
    </row>
    <row r="5138" spans="1:5" x14ac:dyDescent="0.25">
      <c r="A5138" s="24" t="s">
        <v>7</v>
      </c>
      <c r="B5138" s="24" t="s">
        <v>13924</v>
      </c>
      <c r="C5138" s="25" t="s">
        <v>13925</v>
      </c>
      <c r="D5138" s="25" t="s">
        <v>13926</v>
      </c>
      <c r="E5138" s="26">
        <v>140</v>
      </c>
    </row>
    <row r="5139" spans="1:5" x14ac:dyDescent="0.25">
      <c r="A5139" s="24" t="s">
        <v>7</v>
      </c>
      <c r="B5139" s="24" t="s">
        <v>13927</v>
      </c>
      <c r="C5139" s="25" t="s">
        <v>13928</v>
      </c>
      <c r="D5139" s="25" t="s">
        <v>13929</v>
      </c>
      <c r="E5139" s="26">
        <v>46</v>
      </c>
    </row>
    <row r="5140" spans="1:5" x14ac:dyDescent="0.25">
      <c r="A5140" s="24" t="s">
        <v>7</v>
      </c>
      <c r="B5140" s="24" t="s">
        <v>13930</v>
      </c>
      <c r="C5140" s="25" t="s">
        <v>13931</v>
      </c>
      <c r="D5140" s="25" t="s">
        <v>13932</v>
      </c>
      <c r="E5140" s="26">
        <v>29</v>
      </c>
    </row>
    <row r="5141" spans="1:5" x14ac:dyDescent="0.25">
      <c r="A5141" s="24" t="s">
        <v>7</v>
      </c>
      <c r="B5141" s="24" t="s">
        <v>13933</v>
      </c>
      <c r="C5141" s="25" t="s">
        <v>13934</v>
      </c>
      <c r="D5141" s="25" t="s">
        <v>13935</v>
      </c>
      <c r="E5141" s="26">
        <v>31</v>
      </c>
    </row>
    <row r="5142" spans="1:5" x14ac:dyDescent="0.25">
      <c r="A5142" s="24" t="s">
        <v>7</v>
      </c>
      <c r="B5142" s="24" t="s">
        <v>13936</v>
      </c>
      <c r="C5142" s="25" t="s">
        <v>13937</v>
      </c>
      <c r="D5142" s="25" t="s">
        <v>13938</v>
      </c>
      <c r="E5142" s="26">
        <v>181</v>
      </c>
    </row>
    <row r="5143" spans="1:5" x14ac:dyDescent="0.25">
      <c r="A5143" s="24" t="s">
        <v>7</v>
      </c>
      <c r="B5143" s="24" t="s">
        <v>13939</v>
      </c>
      <c r="C5143" s="25" t="s">
        <v>13940</v>
      </c>
      <c r="D5143" s="25" t="s">
        <v>13941</v>
      </c>
      <c r="E5143" s="26">
        <v>72</v>
      </c>
    </row>
    <row r="5144" spans="1:5" x14ac:dyDescent="0.25">
      <c r="A5144" s="24" t="s">
        <v>7</v>
      </c>
      <c r="B5144" s="24" t="s">
        <v>13942</v>
      </c>
      <c r="C5144" s="25" t="s">
        <v>13943</v>
      </c>
      <c r="D5144" s="25" t="s">
        <v>13944</v>
      </c>
      <c r="E5144" s="26">
        <v>18</v>
      </c>
    </row>
    <row r="5145" spans="1:5" x14ac:dyDescent="0.25">
      <c r="A5145" s="24" t="s">
        <v>7</v>
      </c>
      <c r="B5145" s="24" t="s">
        <v>13945</v>
      </c>
      <c r="C5145" s="25" t="s">
        <v>13946</v>
      </c>
      <c r="D5145" s="25" t="s">
        <v>13947</v>
      </c>
      <c r="E5145" s="26">
        <v>1</v>
      </c>
    </row>
    <row r="5146" spans="1:5" x14ac:dyDescent="0.25">
      <c r="A5146" s="24" t="s">
        <v>7</v>
      </c>
      <c r="B5146" s="24" t="s">
        <v>13948</v>
      </c>
      <c r="C5146" s="25" t="s">
        <v>13949</v>
      </c>
      <c r="D5146" s="25" t="s">
        <v>13950</v>
      </c>
      <c r="E5146" s="26">
        <v>58</v>
      </c>
    </row>
    <row r="5147" spans="1:5" x14ac:dyDescent="0.25">
      <c r="A5147" s="24" t="s">
        <v>7</v>
      </c>
      <c r="B5147" s="24" t="s">
        <v>13951</v>
      </c>
      <c r="C5147" s="25" t="s">
        <v>13952</v>
      </c>
      <c r="D5147" s="25" t="s">
        <v>13953</v>
      </c>
      <c r="E5147" s="26">
        <v>56</v>
      </c>
    </row>
    <row r="5148" spans="1:5" x14ac:dyDescent="0.25">
      <c r="A5148" s="24" t="s">
        <v>7</v>
      </c>
      <c r="B5148" s="24" t="s">
        <v>13954</v>
      </c>
      <c r="C5148" s="25" t="s">
        <v>13955</v>
      </c>
      <c r="D5148" s="25" t="s">
        <v>13956</v>
      </c>
      <c r="E5148" s="26">
        <v>27</v>
      </c>
    </row>
    <row r="5149" spans="1:5" x14ac:dyDescent="0.25">
      <c r="A5149" s="24" t="s">
        <v>7</v>
      </c>
      <c r="B5149" s="24" t="s">
        <v>13957</v>
      </c>
      <c r="C5149" s="25" t="s">
        <v>13958</v>
      </c>
      <c r="D5149" s="25" t="s">
        <v>13959</v>
      </c>
      <c r="E5149" s="26">
        <v>20</v>
      </c>
    </row>
    <row r="5150" spans="1:5" x14ac:dyDescent="0.25">
      <c r="A5150" s="24" t="s">
        <v>7</v>
      </c>
      <c r="B5150" s="24" t="s">
        <v>13960</v>
      </c>
      <c r="C5150" s="25" t="s">
        <v>13961</v>
      </c>
      <c r="D5150" s="25" t="s">
        <v>13962</v>
      </c>
      <c r="E5150" s="26">
        <v>19</v>
      </c>
    </row>
    <row r="5151" spans="1:5" x14ac:dyDescent="0.25">
      <c r="A5151" s="24" t="s">
        <v>7</v>
      </c>
      <c r="B5151" s="24" t="s">
        <v>13963</v>
      </c>
      <c r="C5151" s="25" t="s">
        <v>13964</v>
      </c>
      <c r="D5151" s="25" t="s">
        <v>13965</v>
      </c>
      <c r="E5151" s="26">
        <v>2</v>
      </c>
    </row>
    <row r="5152" spans="1:5" x14ac:dyDescent="0.25">
      <c r="A5152" s="24" t="s">
        <v>7</v>
      </c>
      <c r="B5152" s="24" t="s">
        <v>13966</v>
      </c>
      <c r="C5152" s="25" t="s">
        <v>13967</v>
      </c>
      <c r="D5152" s="25" t="s">
        <v>13968</v>
      </c>
      <c r="E5152" s="26">
        <v>18</v>
      </c>
    </row>
    <row r="5153" spans="1:5" x14ac:dyDescent="0.25">
      <c r="A5153" s="24" t="s">
        <v>7</v>
      </c>
      <c r="B5153" s="24" t="s">
        <v>13969</v>
      </c>
      <c r="C5153" s="25" t="s">
        <v>13970</v>
      </c>
      <c r="D5153" s="25" t="s">
        <v>13971</v>
      </c>
      <c r="E5153" s="26">
        <v>2</v>
      </c>
    </row>
    <row r="5154" spans="1:5" x14ac:dyDescent="0.25">
      <c r="A5154" s="24" t="s">
        <v>7</v>
      </c>
      <c r="B5154" s="24" t="s">
        <v>13972</v>
      </c>
      <c r="C5154" s="25" t="s">
        <v>13973</v>
      </c>
      <c r="D5154" s="25" t="s">
        <v>13974</v>
      </c>
      <c r="E5154" s="26">
        <v>12</v>
      </c>
    </row>
    <row r="5155" spans="1:5" x14ac:dyDescent="0.25">
      <c r="A5155" s="24" t="s">
        <v>7</v>
      </c>
      <c r="B5155" s="24" t="s">
        <v>13975</v>
      </c>
      <c r="C5155" s="25" t="s">
        <v>13976</v>
      </c>
      <c r="D5155" s="25" t="s">
        <v>13977</v>
      </c>
      <c r="E5155" s="26">
        <v>19</v>
      </c>
    </row>
    <row r="5156" spans="1:5" x14ac:dyDescent="0.25">
      <c r="A5156" s="24" t="s">
        <v>7</v>
      </c>
      <c r="B5156" s="24" t="s">
        <v>13978</v>
      </c>
      <c r="C5156" s="25" t="s">
        <v>13979</v>
      </c>
      <c r="D5156" s="25" t="s">
        <v>13980</v>
      </c>
      <c r="E5156" s="26">
        <v>3</v>
      </c>
    </row>
    <row r="5157" spans="1:5" x14ac:dyDescent="0.25">
      <c r="A5157" s="24" t="s">
        <v>7</v>
      </c>
      <c r="B5157" s="24" t="s">
        <v>13981</v>
      </c>
      <c r="C5157" s="25" t="s">
        <v>13982</v>
      </c>
      <c r="D5157" s="25" t="s">
        <v>13983</v>
      </c>
      <c r="E5157" s="26">
        <v>5589</v>
      </c>
    </row>
    <row r="5158" spans="1:5" x14ac:dyDescent="0.25">
      <c r="A5158" s="24" t="s">
        <v>7</v>
      </c>
      <c r="B5158" s="24" t="s">
        <v>13984</v>
      </c>
      <c r="C5158" s="25" t="s">
        <v>13985</v>
      </c>
      <c r="D5158" s="25" t="s">
        <v>13986</v>
      </c>
      <c r="E5158" s="26">
        <v>3099</v>
      </c>
    </row>
    <row r="5159" spans="1:5" x14ac:dyDescent="0.25">
      <c r="A5159" s="24" t="s">
        <v>7</v>
      </c>
      <c r="B5159" s="24" t="s">
        <v>13987</v>
      </c>
      <c r="C5159" s="25" t="s">
        <v>13988</v>
      </c>
      <c r="D5159" s="25" t="s">
        <v>13989</v>
      </c>
      <c r="E5159" s="26">
        <v>1</v>
      </c>
    </row>
    <row r="5160" spans="1:5" x14ac:dyDescent="0.25">
      <c r="A5160" s="24" t="s">
        <v>7</v>
      </c>
      <c r="B5160" s="24" t="s">
        <v>13990</v>
      </c>
      <c r="C5160" s="25" t="s">
        <v>13991</v>
      </c>
      <c r="D5160" s="25" t="s">
        <v>13992</v>
      </c>
      <c r="E5160" s="26">
        <v>1</v>
      </c>
    </row>
    <row r="5161" spans="1:5" x14ac:dyDescent="0.25">
      <c r="A5161" s="24" t="s">
        <v>7</v>
      </c>
      <c r="B5161" s="24" t="s">
        <v>13993</v>
      </c>
      <c r="C5161" s="25" t="s">
        <v>13994</v>
      </c>
      <c r="D5161" s="25" t="s">
        <v>13995</v>
      </c>
      <c r="E5161" s="26">
        <v>114</v>
      </c>
    </row>
    <row r="5162" spans="1:5" x14ac:dyDescent="0.25">
      <c r="A5162" s="24" t="s">
        <v>7</v>
      </c>
      <c r="B5162" s="24" t="s">
        <v>13996</v>
      </c>
      <c r="C5162" s="25" t="s">
        <v>13997</v>
      </c>
      <c r="D5162" s="25" t="s">
        <v>13995</v>
      </c>
      <c r="E5162" s="26">
        <v>95</v>
      </c>
    </row>
    <row r="5163" spans="1:5" x14ac:dyDescent="0.25">
      <c r="A5163" s="24" t="s">
        <v>7</v>
      </c>
      <c r="B5163" s="24" t="s">
        <v>13998</v>
      </c>
      <c r="C5163" s="25" t="s">
        <v>13999</v>
      </c>
      <c r="D5163" s="25" t="s">
        <v>14000</v>
      </c>
      <c r="E5163" s="26">
        <v>121</v>
      </c>
    </row>
    <row r="5164" spans="1:5" x14ac:dyDescent="0.25">
      <c r="A5164" s="24" t="s">
        <v>7</v>
      </c>
      <c r="B5164" s="24" t="s">
        <v>14001</v>
      </c>
      <c r="C5164" s="25" t="s">
        <v>14002</v>
      </c>
      <c r="D5164" s="25" t="s">
        <v>14003</v>
      </c>
      <c r="E5164" s="26">
        <v>15</v>
      </c>
    </row>
    <row r="5165" spans="1:5" x14ac:dyDescent="0.25">
      <c r="A5165" s="24" t="s">
        <v>7</v>
      </c>
      <c r="B5165" s="24" t="s">
        <v>14004</v>
      </c>
      <c r="C5165" s="25" t="s">
        <v>14005</v>
      </c>
      <c r="D5165" s="25" t="s">
        <v>14006</v>
      </c>
      <c r="E5165" s="26">
        <v>370</v>
      </c>
    </row>
    <row r="5166" spans="1:5" x14ac:dyDescent="0.25">
      <c r="A5166" s="24" t="s">
        <v>7</v>
      </c>
      <c r="B5166" s="24" t="s">
        <v>14007</v>
      </c>
      <c r="C5166" s="25" t="s">
        <v>14008</v>
      </c>
      <c r="D5166" s="25" t="s">
        <v>14009</v>
      </c>
      <c r="E5166" s="26">
        <v>648</v>
      </c>
    </row>
    <row r="5167" spans="1:5" x14ac:dyDescent="0.25">
      <c r="A5167" s="24" t="s">
        <v>7</v>
      </c>
      <c r="B5167" s="24" t="s">
        <v>14010</v>
      </c>
      <c r="C5167" s="25" t="s">
        <v>14011</v>
      </c>
      <c r="D5167" s="25" t="s">
        <v>14012</v>
      </c>
      <c r="E5167" s="26">
        <v>70</v>
      </c>
    </row>
    <row r="5168" spans="1:5" x14ac:dyDescent="0.25">
      <c r="A5168" s="24" t="s">
        <v>7</v>
      </c>
      <c r="B5168" s="24" t="s">
        <v>14013</v>
      </c>
      <c r="C5168" s="25" t="s">
        <v>14014</v>
      </c>
      <c r="D5168" s="25" t="s">
        <v>14015</v>
      </c>
      <c r="E5168" s="26">
        <v>106</v>
      </c>
    </row>
    <row r="5169" spans="1:5" x14ac:dyDescent="0.25">
      <c r="A5169" s="24" t="s">
        <v>7</v>
      </c>
      <c r="B5169" s="24" t="s">
        <v>14016</v>
      </c>
      <c r="C5169" s="25" t="s">
        <v>14017</v>
      </c>
      <c r="D5169" s="25" t="s">
        <v>14018</v>
      </c>
      <c r="E5169" s="26">
        <v>19</v>
      </c>
    </row>
    <row r="5170" spans="1:5" x14ac:dyDescent="0.25">
      <c r="A5170" s="24" t="s">
        <v>7</v>
      </c>
      <c r="B5170" s="24" t="s">
        <v>14019</v>
      </c>
      <c r="C5170" s="25" t="s">
        <v>14020</v>
      </c>
      <c r="D5170" s="25" t="s">
        <v>14021</v>
      </c>
      <c r="E5170" s="26">
        <v>26</v>
      </c>
    </row>
    <row r="5171" spans="1:5" x14ac:dyDescent="0.25">
      <c r="A5171" s="24" t="s">
        <v>7</v>
      </c>
      <c r="B5171" s="24" t="s">
        <v>14022</v>
      </c>
      <c r="C5171" s="25" t="s">
        <v>14023</v>
      </c>
      <c r="D5171" s="25" t="s">
        <v>14024</v>
      </c>
      <c r="E5171" s="26">
        <v>81</v>
      </c>
    </row>
    <row r="5172" spans="1:5" x14ac:dyDescent="0.25">
      <c r="A5172" s="24" t="s">
        <v>7</v>
      </c>
      <c r="B5172" s="24" t="s">
        <v>14025</v>
      </c>
      <c r="C5172" s="25" t="s">
        <v>14026</v>
      </c>
      <c r="D5172" s="25" t="s">
        <v>14027</v>
      </c>
      <c r="E5172" s="26">
        <v>31</v>
      </c>
    </row>
    <row r="5173" spans="1:5" x14ac:dyDescent="0.25">
      <c r="A5173" s="24" t="s">
        <v>7</v>
      </c>
      <c r="B5173" s="24" t="s">
        <v>14028</v>
      </c>
      <c r="C5173" s="25" t="s">
        <v>14029</v>
      </c>
      <c r="D5173" s="25" t="s">
        <v>14030</v>
      </c>
      <c r="E5173" s="26">
        <v>113</v>
      </c>
    </row>
    <row r="5174" spans="1:5" x14ac:dyDescent="0.25">
      <c r="A5174" s="24" t="s">
        <v>7</v>
      </c>
      <c r="B5174" s="24" t="s">
        <v>14031</v>
      </c>
      <c r="C5174" s="25" t="s">
        <v>14032</v>
      </c>
      <c r="D5174" s="25" t="s">
        <v>14033</v>
      </c>
      <c r="E5174" s="26">
        <v>22</v>
      </c>
    </row>
    <row r="5175" spans="1:5" x14ac:dyDescent="0.25">
      <c r="A5175" s="24" t="s">
        <v>7</v>
      </c>
      <c r="B5175" s="24" t="s">
        <v>14034</v>
      </c>
      <c r="C5175" s="25" t="s">
        <v>14035</v>
      </c>
      <c r="D5175" s="25" t="s">
        <v>14036</v>
      </c>
      <c r="E5175" s="26">
        <v>73</v>
      </c>
    </row>
    <row r="5176" spans="1:5" x14ac:dyDescent="0.25">
      <c r="A5176" s="24" t="s">
        <v>7</v>
      </c>
      <c r="B5176" s="24" t="s">
        <v>14037</v>
      </c>
      <c r="C5176" s="25" t="s">
        <v>14038</v>
      </c>
      <c r="D5176" s="25" t="s">
        <v>14039</v>
      </c>
      <c r="E5176" s="26">
        <v>30</v>
      </c>
    </row>
    <row r="5177" spans="1:5" x14ac:dyDescent="0.25">
      <c r="A5177" s="24" t="s">
        <v>7</v>
      </c>
      <c r="B5177" s="24" t="s">
        <v>14040</v>
      </c>
      <c r="C5177" s="25" t="s">
        <v>14041</v>
      </c>
      <c r="D5177" s="25" t="s">
        <v>14042</v>
      </c>
      <c r="E5177" s="26">
        <v>54</v>
      </c>
    </row>
    <row r="5178" spans="1:5" x14ac:dyDescent="0.25">
      <c r="A5178" s="24" t="s">
        <v>7</v>
      </c>
      <c r="B5178" s="24" t="s">
        <v>14043</v>
      </c>
      <c r="C5178" s="25" t="s">
        <v>14044</v>
      </c>
      <c r="D5178" s="25" t="s">
        <v>14045</v>
      </c>
      <c r="E5178" s="26">
        <v>40</v>
      </c>
    </row>
    <row r="5179" spans="1:5" x14ac:dyDescent="0.25">
      <c r="A5179" s="24" t="s">
        <v>7</v>
      </c>
      <c r="B5179" s="24" t="s">
        <v>14046</v>
      </c>
      <c r="C5179" s="25" t="s">
        <v>14047</v>
      </c>
      <c r="D5179" s="25" t="s">
        <v>14048</v>
      </c>
      <c r="E5179" s="26">
        <v>15</v>
      </c>
    </row>
    <row r="5180" spans="1:5" x14ac:dyDescent="0.25">
      <c r="A5180" s="24" t="s">
        <v>7</v>
      </c>
      <c r="B5180" s="24" t="s">
        <v>14049</v>
      </c>
      <c r="C5180" s="25" t="s">
        <v>14050</v>
      </c>
      <c r="D5180" s="25" t="s">
        <v>14051</v>
      </c>
      <c r="E5180" s="26">
        <v>15</v>
      </c>
    </row>
    <row r="5181" spans="1:5" x14ac:dyDescent="0.25">
      <c r="A5181" s="24" t="s">
        <v>7</v>
      </c>
      <c r="B5181" s="24" t="s">
        <v>14052</v>
      </c>
      <c r="C5181" s="25" t="s">
        <v>14053</v>
      </c>
      <c r="D5181" s="25" t="s">
        <v>14054</v>
      </c>
      <c r="E5181" s="26">
        <v>2</v>
      </c>
    </row>
    <row r="5182" spans="1:5" x14ac:dyDescent="0.25">
      <c r="A5182" s="24" t="s">
        <v>7</v>
      </c>
      <c r="B5182" s="24" t="s">
        <v>14055</v>
      </c>
      <c r="C5182" s="25" t="s">
        <v>14056</v>
      </c>
      <c r="D5182" s="25" t="s">
        <v>14057</v>
      </c>
      <c r="E5182" s="26">
        <v>10</v>
      </c>
    </row>
    <row r="5183" spans="1:5" x14ac:dyDescent="0.25">
      <c r="A5183" s="24" t="s">
        <v>7</v>
      </c>
      <c r="B5183" s="24" t="s">
        <v>14058</v>
      </c>
      <c r="C5183" s="25" t="s">
        <v>14059</v>
      </c>
      <c r="D5183" s="25" t="s">
        <v>14060</v>
      </c>
      <c r="E5183" s="26">
        <v>12</v>
      </c>
    </row>
    <row r="5184" spans="1:5" x14ac:dyDescent="0.25">
      <c r="A5184" s="24" t="s">
        <v>7</v>
      </c>
      <c r="B5184" s="24" t="s">
        <v>14061</v>
      </c>
      <c r="C5184" s="25" t="s">
        <v>14062</v>
      </c>
      <c r="D5184" s="25" t="s">
        <v>14063</v>
      </c>
      <c r="E5184" s="26">
        <v>9</v>
      </c>
    </row>
    <row r="5185" spans="1:5" x14ac:dyDescent="0.25">
      <c r="A5185" s="24" t="s">
        <v>7</v>
      </c>
      <c r="B5185" s="24" t="s">
        <v>14064</v>
      </c>
      <c r="C5185" s="25" t="s">
        <v>14065</v>
      </c>
      <c r="D5185" s="25" t="s">
        <v>14066</v>
      </c>
      <c r="E5185" s="26">
        <v>176</v>
      </c>
    </row>
    <row r="5186" spans="1:5" x14ac:dyDescent="0.25">
      <c r="A5186" s="24" t="s">
        <v>7</v>
      </c>
      <c r="B5186" s="24" t="s">
        <v>14067</v>
      </c>
      <c r="C5186" s="25" t="s">
        <v>14068</v>
      </c>
      <c r="D5186" s="25" t="s">
        <v>14069</v>
      </c>
      <c r="E5186" s="26">
        <v>316</v>
      </c>
    </row>
    <row r="5187" spans="1:5" x14ac:dyDescent="0.25">
      <c r="A5187" s="24" t="s">
        <v>7</v>
      </c>
      <c r="B5187" s="24" t="s">
        <v>14070</v>
      </c>
      <c r="C5187" s="25" t="s">
        <v>14071</v>
      </c>
      <c r="D5187" s="25" t="s">
        <v>14072</v>
      </c>
      <c r="E5187" s="26">
        <v>19</v>
      </c>
    </row>
    <row r="5188" spans="1:5" x14ac:dyDescent="0.25">
      <c r="A5188" s="24" t="s">
        <v>7</v>
      </c>
      <c r="B5188" s="24" t="s">
        <v>14073</v>
      </c>
      <c r="C5188" s="25" t="s">
        <v>14074</v>
      </c>
      <c r="D5188" s="25" t="s">
        <v>14075</v>
      </c>
      <c r="E5188" s="26">
        <v>4</v>
      </c>
    </row>
    <row r="5189" spans="1:5" x14ac:dyDescent="0.25">
      <c r="A5189" s="24" t="s">
        <v>7</v>
      </c>
      <c r="B5189" s="24" t="s">
        <v>14076</v>
      </c>
      <c r="C5189" s="25" t="s">
        <v>14077</v>
      </c>
      <c r="D5189" s="25" t="s">
        <v>14078</v>
      </c>
      <c r="E5189" s="26">
        <v>1</v>
      </c>
    </row>
    <row r="5190" spans="1:5" x14ac:dyDescent="0.25">
      <c r="A5190" s="24" t="s">
        <v>7</v>
      </c>
      <c r="B5190" s="24" t="s">
        <v>14079</v>
      </c>
      <c r="C5190" s="25" t="s">
        <v>14080</v>
      </c>
      <c r="D5190" s="25" t="s">
        <v>14081</v>
      </c>
      <c r="E5190" s="26">
        <v>10</v>
      </c>
    </row>
    <row r="5191" spans="1:5" x14ac:dyDescent="0.25">
      <c r="A5191" s="24" t="s">
        <v>7</v>
      </c>
      <c r="B5191" s="24" t="s">
        <v>14082</v>
      </c>
      <c r="C5191" s="25" t="s">
        <v>14083</v>
      </c>
      <c r="D5191" s="25" t="s">
        <v>14084</v>
      </c>
      <c r="E5191" s="26">
        <v>1</v>
      </c>
    </row>
    <row r="5192" spans="1:5" x14ac:dyDescent="0.25">
      <c r="A5192" s="24" t="s">
        <v>7</v>
      </c>
      <c r="B5192" s="24" t="s">
        <v>14085</v>
      </c>
      <c r="C5192" s="25" t="s">
        <v>14086</v>
      </c>
      <c r="D5192" s="25" t="s">
        <v>14084</v>
      </c>
      <c r="E5192" s="26">
        <v>2</v>
      </c>
    </row>
    <row r="5193" spans="1:5" x14ac:dyDescent="0.25">
      <c r="A5193" s="24" t="s">
        <v>7</v>
      </c>
      <c r="B5193" s="24" t="s">
        <v>14087</v>
      </c>
      <c r="C5193" s="25" t="s">
        <v>14088</v>
      </c>
      <c r="D5193" s="25" t="s">
        <v>14084</v>
      </c>
      <c r="E5193" s="26">
        <v>3</v>
      </c>
    </row>
    <row r="5194" spans="1:5" x14ac:dyDescent="0.25">
      <c r="A5194" s="24" t="s">
        <v>7</v>
      </c>
      <c r="B5194" s="24" t="s">
        <v>14089</v>
      </c>
      <c r="C5194" s="25" t="s">
        <v>14090</v>
      </c>
      <c r="D5194" s="25" t="s">
        <v>14091</v>
      </c>
      <c r="E5194" s="26">
        <v>478</v>
      </c>
    </row>
    <row r="5195" spans="1:5" x14ac:dyDescent="0.25">
      <c r="A5195" s="24" t="s">
        <v>7</v>
      </c>
      <c r="B5195" s="24" t="s">
        <v>14092</v>
      </c>
      <c r="C5195" s="25" t="s">
        <v>14093</v>
      </c>
      <c r="D5195" s="25" t="s">
        <v>14094</v>
      </c>
      <c r="E5195" s="26">
        <v>13</v>
      </c>
    </row>
    <row r="5196" spans="1:5" x14ac:dyDescent="0.25">
      <c r="A5196" s="24" t="s">
        <v>7</v>
      </c>
      <c r="B5196" s="24" t="s">
        <v>14095</v>
      </c>
      <c r="C5196" s="25" t="s">
        <v>14096</v>
      </c>
      <c r="D5196" s="25" t="s">
        <v>14097</v>
      </c>
      <c r="E5196" s="26">
        <v>13</v>
      </c>
    </row>
    <row r="5197" spans="1:5" x14ac:dyDescent="0.25">
      <c r="A5197" s="24" t="s">
        <v>7</v>
      </c>
      <c r="B5197" s="24" t="s">
        <v>14098</v>
      </c>
      <c r="C5197" s="25" t="s">
        <v>14099</v>
      </c>
      <c r="D5197" s="25" t="s">
        <v>14100</v>
      </c>
      <c r="E5197" s="26">
        <v>6</v>
      </c>
    </row>
    <row r="5198" spans="1:5" x14ac:dyDescent="0.25">
      <c r="A5198" s="24" t="s">
        <v>7</v>
      </c>
      <c r="B5198" s="24" t="s">
        <v>14101</v>
      </c>
      <c r="C5198" s="25" t="s">
        <v>14102</v>
      </c>
      <c r="D5198" s="25" t="s">
        <v>14100</v>
      </c>
      <c r="E5198" s="26">
        <v>2</v>
      </c>
    </row>
    <row r="5199" spans="1:5" x14ac:dyDescent="0.25">
      <c r="A5199" s="24" t="s">
        <v>7</v>
      </c>
      <c r="B5199" s="24" t="s">
        <v>14103</v>
      </c>
      <c r="C5199" s="25" t="s">
        <v>14104</v>
      </c>
      <c r="D5199" s="25" t="s">
        <v>14105</v>
      </c>
      <c r="E5199" s="26">
        <v>25</v>
      </c>
    </row>
    <row r="5200" spans="1:5" x14ac:dyDescent="0.25">
      <c r="A5200" s="24" t="s">
        <v>7</v>
      </c>
      <c r="B5200" s="24" t="s">
        <v>14106</v>
      </c>
      <c r="C5200" s="25" t="s">
        <v>14107</v>
      </c>
      <c r="D5200" s="25" t="s">
        <v>14108</v>
      </c>
      <c r="E5200" s="26">
        <v>710</v>
      </c>
    </row>
    <row r="5201" spans="1:5" x14ac:dyDescent="0.25">
      <c r="A5201" s="24" t="s">
        <v>7</v>
      </c>
      <c r="B5201" s="24" t="s">
        <v>14109</v>
      </c>
      <c r="C5201" s="25" t="s">
        <v>14110</v>
      </c>
      <c r="D5201" s="25" t="s">
        <v>14111</v>
      </c>
      <c r="E5201" s="26">
        <v>242</v>
      </c>
    </row>
    <row r="5202" spans="1:5" x14ac:dyDescent="0.25">
      <c r="A5202" s="24" t="s">
        <v>7</v>
      </c>
      <c r="B5202" s="24" t="s">
        <v>14112</v>
      </c>
      <c r="C5202" s="25" t="s">
        <v>14113</v>
      </c>
      <c r="D5202" s="25" t="s">
        <v>14113</v>
      </c>
      <c r="E5202" s="26">
        <v>1241</v>
      </c>
    </row>
    <row r="5203" spans="1:5" x14ac:dyDescent="0.25">
      <c r="A5203" s="24" t="s">
        <v>7</v>
      </c>
      <c r="B5203" s="24" t="s">
        <v>14114</v>
      </c>
      <c r="C5203" s="25" t="s">
        <v>14115</v>
      </c>
      <c r="D5203" s="25" t="s">
        <v>14116</v>
      </c>
      <c r="E5203" s="26">
        <v>22</v>
      </c>
    </row>
    <row r="5204" spans="1:5" x14ac:dyDescent="0.25">
      <c r="A5204" s="24" t="s">
        <v>7</v>
      </c>
      <c r="B5204" s="24" t="s">
        <v>14117</v>
      </c>
      <c r="C5204" s="25" t="s">
        <v>14118</v>
      </c>
      <c r="D5204" s="25" t="s">
        <v>14119</v>
      </c>
      <c r="E5204" s="26">
        <v>313</v>
      </c>
    </row>
    <row r="5205" spans="1:5" x14ac:dyDescent="0.25">
      <c r="A5205" s="24" t="s">
        <v>7</v>
      </c>
      <c r="B5205" s="24" t="s">
        <v>14120</v>
      </c>
      <c r="C5205" s="25" t="s">
        <v>14121</v>
      </c>
      <c r="D5205" s="25" t="s">
        <v>14122</v>
      </c>
      <c r="E5205" s="26">
        <v>797</v>
      </c>
    </row>
    <row r="5206" spans="1:5" x14ac:dyDescent="0.25">
      <c r="A5206" s="24" t="s">
        <v>7</v>
      </c>
      <c r="B5206" s="24" t="s">
        <v>14123</v>
      </c>
      <c r="C5206" s="25" t="s">
        <v>14124</v>
      </c>
      <c r="D5206" s="25" t="s">
        <v>14125</v>
      </c>
      <c r="E5206" s="26">
        <v>373</v>
      </c>
    </row>
    <row r="5207" spans="1:5" x14ac:dyDescent="0.25">
      <c r="A5207" s="24" t="s">
        <v>7</v>
      </c>
      <c r="B5207" s="24" t="s">
        <v>14126</v>
      </c>
      <c r="C5207" s="25" t="s">
        <v>14127</v>
      </c>
      <c r="D5207" s="25" t="s">
        <v>14128</v>
      </c>
      <c r="E5207" s="26">
        <v>329</v>
      </c>
    </row>
    <row r="5208" spans="1:5" x14ac:dyDescent="0.25">
      <c r="A5208" s="24" t="s">
        <v>7</v>
      </c>
      <c r="B5208" s="24" t="s">
        <v>14129</v>
      </c>
      <c r="C5208" s="25" t="s">
        <v>14130</v>
      </c>
      <c r="D5208" s="25" t="s">
        <v>14131</v>
      </c>
      <c r="E5208" s="26">
        <v>194</v>
      </c>
    </row>
    <row r="5209" spans="1:5" x14ac:dyDescent="0.25">
      <c r="A5209" s="24" t="s">
        <v>7</v>
      </c>
      <c r="B5209" s="24" t="s">
        <v>14132</v>
      </c>
      <c r="C5209" s="25" t="s">
        <v>14133</v>
      </c>
      <c r="D5209" s="25" t="s">
        <v>14134</v>
      </c>
      <c r="E5209" s="26">
        <v>497</v>
      </c>
    </row>
    <row r="5210" spans="1:5" x14ac:dyDescent="0.25">
      <c r="A5210" s="24" t="s">
        <v>7</v>
      </c>
      <c r="B5210" s="24" t="s">
        <v>14135</v>
      </c>
      <c r="C5210" s="25" t="s">
        <v>14136</v>
      </c>
      <c r="D5210" s="25" t="s">
        <v>14137</v>
      </c>
      <c r="E5210" s="26">
        <v>193</v>
      </c>
    </row>
    <row r="5211" spans="1:5" x14ac:dyDescent="0.25">
      <c r="A5211" s="24" t="s">
        <v>7</v>
      </c>
      <c r="B5211" s="24" t="s">
        <v>14138</v>
      </c>
      <c r="C5211" s="25" t="s">
        <v>14139</v>
      </c>
      <c r="D5211" s="25" t="s">
        <v>14140</v>
      </c>
      <c r="E5211" s="26">
        <v>189</v>
      </c>
    </row>
    <row r="5212" spans="1:5" x14ac:dyDescent="0.25">
      <c r="A5212" s="24" t="s">
        <v>7</v>
      </c>
      <c r="B5212" s="24" t="s">
        <v>14141</v>
      </c>
      <c r="C5212" s="25" t="s">
        <v>14142</v>
      </c>
      <c r="D5212" s="25" t="s">
        <v>14143</v>
      </c>
      <c r="E5212" s="26">
        <v>419</v>
      </c>
    </row>
    <row r="5213" spans="1:5" x14ac:dyDescent="0.25">
      <c r="A5213" s="24" t="s">
        <v>7</v>
      </c>
      <c r="B5213" s="24" t="s">
        <v>14144</v>
      </c>
      <c r="C5213" s="25" t="s">
        <v>14145</v>
      </c>
      <c r="D5213" s="25" t="s">
        <v>14146</v>
      </c>
      <c r="E5213" s="26">
        <v>268</v>
      </c>
    </row>
    <row r="5214" spans="1:5" x14ac:dyDescent="0.25">
      <c r="A5214" s="24" t="s">
        <v>7</v>
      </c>
      <c r="B5214" s="24" t="s">
        <v>14147</v>
      </c>
      <c r="C5214" s="25" t="s">
        <v>14148</v>
      </c>
      <c r="D5214" s="25" t="s">
        <v>14149</v>
      </c>
      <c r="E5214" s="26">
        <v>43</v>
      </c>
    </row>
    <row r="5215" spans="1:5" x14ac:dyDescent="0.25">
      <c r="A5215" s="24" t="s">
        <v>7</v>
      </c>
      <c r="B5215" s="24" t="s">
        <v>14150</v>
      </c>
      <c r="C5215" s="25" t="s">
        <v>14151</v>
      </c>
      <c r="D5215" s="25" t="s">
        <v>14152</v>
      </c>
      <c r="E5215" s="26">
        <v>30</v>
      </c>
    </row>
    <row r="5216" spans="1:5" x14ac:dyDescent="0.25">
      <c r="A5216" s="24" t="s">
        <v>7</v>
      </c>
      <c r="B5216" s="24" t="s">
        <v>14153</v>
      </c>
      <c r="C5216" s="25" t="s">
        <v>14154</v>
      </c>
      <c r="D5216" s="25" t="s">
        <v>14155</v>
      </c>
      <c r="E5216" s="26">
        <v>105</v>
      </c>
    </row>
    <row r="5217" spans="1:5" x14ac:dyDescent="0.25">
      <c r="A5217" s="24" t="s">
        <v>7</v>
      </c>
      <c r="B5217" s="24" t="s">
        <v>14156</v>
      </c>
      <c r="C5217" s="25" t="s">
        <v>14157</v>
      </c>
      <c r="D5217" s="25" t="s">
        <v>14158</v>
      </c>
      <c r="E5217" s="26">
        <v>215</v>
      </c>
    </row>
    <row r="5218" spans="1:5" x14ac:dyDescent="0.25">
      <c r="A5218" s="24" t="s">
        <v>7</v>
      </c>
      <c r="B5218" s="24" t="s">
        <v>14159</v>
      </c>
      <c r="C5218" s="25" t="s">
        <v>14160</v>
      </c>
      <c r="D5218" s="25" t="s">
        <v>14161</v>
      </c>
      <c r="E5218" s="26">
        <v>191</v>
      </c>
    </row>
    <row r="5219" spans="1:5" x14ac:dyDescent="0.25">
      <c r="A5219" s="24" t="s">
        <v>7</v>
      </c>
      <c r="B5219" s="24" t="s">
        <v>14162</v>
      </c>
      <c r="C5219" s="25" t="s">
        <v>14163</v>
      </c>
      <c r="D5219" s="25" t="s">
        <v>14164</v>
      </c>
      <c r="E5219" s="26">
        <v>254</v>
      </c>
    </row>
    <row r="5220" spans="1:5" x14ac:dyDescent="0.25">
      <c r="A5220" s="24" t="s">
        <v>7</v>
      </c>
      <c r="B5220" s="24" t="s">
        <v>14165</v>
      </c>
      <c r="C5220" s="25" t="s">
        <v>14166</v>
      </c>
      <c r="D5220" s="25" t="s">
        <v>14167</v>
      </c>
      <c r="E5220" s="26">
        <v>308</v>
      </c>
    </row>
    <row r="5221" spans="1:5" x14ac:dyDescent="0.25">
      <c r="A5221" s="24" t="s">
        <v>7</v>
      </c>
      <c r="B5221" s="24" t="s">
        <v>14168</v>
      </c>
      <c r="C5221" s="25" t="s">
        <v>14169</v>
      </c>
      <c r="D5221" s="25" t="s">
        <v>14170</v>
      </c>
      <c r="E5221" s="26">
        <v>268</v>
      </c>
    </row>
    <row r="5222" spans="1:5" x14ac:dyDescent="0.25">
      <c r="A5222" s="24" t="s">
        <v>7</v>
      </c>
      <c r="B5222" s="24" t="s">
        <v>14171</v>
      </c>
      <c r="C5222" s="25" t="s">
        <v>14172</v>
      </c>
      <c r="D5222" s="25" t="s">
        <v>14173</v>
      </c>
      <c r="E5222" s="26">
        <v>22</v>
      </c>
    </row>
    <row r="5223" spans="1:5" x14ac:dyDescent="0.25">
      <c r="A5223" s="24" t="s">
        <v>7</v>
      </c>
      <c r="B5223" s="24" t="s">
        <v>14174</v>
      </c>
      <c r="C5223" s="25" t="s">
        <v>14175</v>
      </c>
      <c r="D5223" s="25" t="s">
        <v>14176</v>
      </c>
      <c r="E5223" s="26">
        <v>34</v>
      </c>
    </row>
    <row r="5224" spans="1:5" x14ac:dyDescent="0.25">
      <c r="A5224" s="24" t="s">
        <v>7</v>
      </c>
      <c r="B5224" s="24" t="s">
        <v>14177</v>
      </c>
      <c r="C5224" s="25" t="s">
        <v>14178</v>
      </c>
      <c r="D5224" s="25" t="s">
        <v>14179</v>
      </c>
      <c r="E5224" s="26">
        <v>30</v>
      </c>
    </row>
    <row r="5225" spans="1:5" x14ac:dyDescent="0.25">
      <c r="A5225" s="24" t="s">
        <v>7</v>
      </c>
      <c r="B5225" s="24" t="s">
        <v>14180</v>
      </c>
      <c r="C5225" s="25" t="s">
        <v>14181</v>
      </c>
      <c r="D5225" s="25" t="s">
        <v>14182</v>
      </c>
      <c r="E5225" s="26">
        <v>289</v>
      </c>
    </row>
    <row r="5226" spans="1:5" x14ac:dyDescent="0.25">
      <c r="A5226" s="24" t="s">
        <v>7</v>
      </c>
      <c r="B5226" s="24" t="s">
        <v>14183</v>
      </c>
      <c r="C5226" s="25" t="s">
        <v>14184</v>
      </c>
      <c r="D5226" s="25" t="s">
        <v>14185</v>
      </c>
      <c r="E5226" s="26">
        <v>25</v>
      </c>
    </row>
    <row r="5227" spans="1:5" x14ac:dyDescent="0.25">
      <c r="A5227" s="24" t="s">
        <v>7</v>
      </c>
      <c r="B5227" s="24" t="s">
        <v>14186</v>
      </c>
      <c r="C5227" s="25" t="s">
        <v>14187</v>
      </c>
      <c r="D5227" s="25" t="s">
        <v>14188</v>
      </c>
      <c r="E5227" s="26">
        <v>16</v>
      </c>
    </row>
    <row r="5228" spans="1:5" x14ac:dyDescent="0.25">
      <c r="A5228" s="24" t="s">
        <v>7</v>
      </c>
      <c r="B5228" s="24" t="s">
        <v>14189</v>
      </c>
      <c r="C5228" s="25" t="s">
        <v>14190</v>
      </c>
      <c r="D5228" s="25" t="s">
        <v>14191</v>
      </c>
      <c r="E5228" s="26">
        <v>31</v>
      </c>
    </row>
    <row r="5229" spans="1:5" x14ac:dyDescent="0.25">
      <c r="A5229" s="24" t="s">
        <v>7</v>
      </c>
      <c r="B5229" s="24" t="s">
        <v>14192</v>
      </c>
      <c r="C5229" s="25" t="s">
        <v>14193</v>
      </c>
      <c r="D5229" s="25" t="s">
        <v>14194</v>
      </c>
      <c r="E5229" s="26">
        <v>419</v>
      </c>
    </row>
    <row r="5230" spans="1:5" x14ac:dyDescent="0.25">
      <c r="A5230" s="24" t="s">
        <v>7</v>
      </c>
      <c r="B5230" s="24" t="s">
        <v>14195</v>
      </c>
      <c r="C5230" s="25" t="s">
        <v>14196</v>
      </c>
      <c r="D5230" s="25" t="s">
        <v>14197</v>
      </c>
      <c r="E5230" s="26">
        <v>16</v>
      </c>
    </row>
    <row r="5231" spans="1:5" x14ac:dyDescent="0.25">
      <c r="A5231" s="24" t="s">
        <v>7</v>
      </c>
      <c r="B5231" s="24" t="s">
        <v>14198</v>
      </c>
      <c r="C5231" s="25" t="s">
        <v>14199</v>
      </c>
      <c r="D5231" s="25" t="s">
        <v>14200</v>
      </c>
      <c r="E5231" s="26">
        <v>192</v>
      </c>
    </row>
    <row r="5232" spans="1:5" x14ac:dyDescent="0.25">
      <c r="A5232" s="24" t="s">
        <v>7</v>
      </c>
      <c r="B5232" s="24" t="s">
        <v>14201</v>
      </c>
      <c r="C5232" s="25" t="s">
        <v>14202</v>
      </c>
      <c r="D5232" s="25" t="s">
        <v>14203</v>
      </c>
      <c r="E5232" s="26">
        <v>113</v>
      </c>
    </row>
    <row r="5233" spans="1:5" x14ac:dyDescent="0.25">
      <c r="A5233" s="24" t="s">
        <v>7</v>
      </c>
      <c r="B5233" s="24" t="s">
        <v>14204</v>
      </c>
      <c r="C5233" s="25" t="s">
        <v>14205</v>
      </c>
      <c r="D5233" s="25" t="s">
        <v>14206</v>
      </c>
      <c r="E5233" s="26">
        <v>113</v>
      </c>
    </row>
    <row r="5234" spans="1:5" x14ac:dyDescent="0.25">
      <c r="A5234" s="24" t="s">
        <v>7</v>
      </c>
      <c r="B5234" s="24" t="s">
        <v>14207</v>
      </c>
      <c r="C5234" s="25" t="s">
        <v>14208</v>
      </c>
      <c r="D5234" s="25" t="s">
        <v>14209</v>
      </c>
      <c r="E5234" s="26">
        <v>21</v>
      </c>
    </row>
    <row r="5235" spans="1:5" x14ac:dyDescent="0.25">
      <c r="A5235" s="24" t="s">
        <v>7</v>
      </c>
      <c r="B5235" s="24" t="s">
        <v>14210</v>
      </c>
      <c r="C5235" s="25" t="s">
        <v>14211</v>
      </c>
      <c r="D5235" s="25" t="s">
        <v>14212</v>
      </c>
      <c r="E5235" s="26">
        <v>183</v>
      </c>
    </row>
    <row r="5236" spans="1:5" x14ac:dyDescent="0.25">
      <c r="A5236" s="24" t="s">
        <v>7</v>
      </c>
      <c r="B5236" s="24" t="s">
        <v>14213</v>
      </c>
      <c r="C5236" s="25" t="s">
        <v>14214</v>
      </c>
      <c r="D5236" s="25" t="s">
        <v>14215</v>
      </c>
      <c r="E5236" s="26">
        <v>29</v>
      </c>
    </row>
    <row r="5237" spans="1:5" x14ac:dyDescent="0.25">
      <c r="A5237" s="24" t="s">
        <v>7</v>
      </c>
      <c r="B5237" s="24" t="s">
        <v>14216</v>
      </c>
      <c r="C5237" s="25" t="s">
        <v>14217</v>
      </c>
      <c r="D5237" s="25" t="s">
        <v>14218</v>
      </c>
      <c r="E5237" s="26">
        <v>15</v>
      </c>
    </row>
    <row r="5238" spans="1:5" x14ac:dyDescent="0.25">
      <c r="A5238" s="24" t="s">
        <v>7</v>
      </c>
      <c r="B5238" s="24" t="s">
        <v>14219</v>
      </c>
      <c r="C5238" s="25" t="s">
        <v>14220</v>
      </c>
      <c r="D5238" s="25" t="s">
        <v>14221</v>
      </c>
      <c r="E5238" s="26">
        <v>15</v>
      </c>
    </row>
    <row r="5239" spans="1:5" x14ac:dyDescent="0.25">
      <c r="A5239" s="24" t="s">
        <v>7</v>
      </c>
      <c r="B5239" s="24" t="s">
        <v>14222</v>
      </c>
      <c r="C5239" s="25" t="s">
        <v>14223</v>
      </c>
      <c r="D5239" s="25" t="s">
        <v>14224</v>
      </c>
      <c r="E5239" s="26">
        <v>238</v>
      </c>
    </row>
    <row r="5240" spans="1:5" x14ac:dyDescent="0.25">
      <c r="A5240" s="24" t="s">
        <v>7</v>
      </c>
      <c r="B5240" s="24" t="s">
        <v>14225</v>
      </c>
      <c r="C5240" s="25" t="s">
        <v>14226</v>
      </c>
      <c r="D5240" s="25" t="s">
        <v>14227</v>
      </c>
      <c r="E5240" s="26">
        <v>9</v>
      </c>
    </row>
    <row r="5241" spans="1:5" x14ac:dyDescent="0.25">
      <c r="A5241" s="24" t="s">
        <v>7</v>
      </c>
      <c r="B5241" s="24" t="s">
        <v>14228</v>
      </c>
      <c r="C5241" s="25" t="s">
        <v>14229</v>
      </c>
      <c r="D5241" s="25" t="s">
        <v>14230</v>
      </c>
      <c r="E5241" s="26">
        <v>21</v>
      </c>
    </row>
    <row r="5242" spans="1:5" x14ac:dyDescent="0.25">
      <c r="A5242" s="24" t="s">
        <v>7</v>
      </c>
      <c r="B5242" s="24" t="s">
        <v>14231</v>
      </c>
      <c r="C5242" s="25" t="s">
        <v>14232</v>
      </c>
      <c r="D5242" s="25" t="s">
        <v>14232</v>
      </c>
      <c r="E5242" s="26">
        <v>30</v>
      </c>
    </row>
    <row r="5243" spans="1:5" x14ac:dyDescent="0.25">
      <c r="A5243" s="24" t="s">
        <v>7</v>
      </c>
      <c r="B5243" s="24" t="s">
        <v>14233</v>
      </c>
      <c r="C5243" s="25" t="s">
        <v>14234</v>
      </c>
      <c r="D5243" s="25" t="s">
        <v>14235</v>
      </c>
      <c r="E5243" s="26">
        <v>18</v>
      </c>
    </row>
    <row r="5244" spans="1:5" x14ac:dyDescent="0.25">
      <c r="A5244" s="24" t="s">
        <v>7</v>
      </c>
      <c r="B5244" s="24" t="s">
        <v>14236</v>
      </c>
      <c r="C5244" s="25" t="s">
        <v>14237</v>
      </c>
      <c r="D5244" s="25" t="s">
        <v>14238</v>
      </c>
      <c r="E5244" s="26">
        <v>318</v>
      </c>
    </row>
    <row r="5245" spans="1:5" x14ac:dyDescent="0.25">
      <c r="A5245" s="24" t="s">
        <v>7</v>
      </c>
      <c r="B5245" s="24" t="s">
        <v>14239</v>
      </c>
      <c r="C5245" s="25" t="s">
        <v>14240</v>
      </c>
      <c r="D5245" s="25" t="s">
        <v>14241</v>
      </c>
      <c r="E5245" s="26">
        <v>22</v>
      </c>
    </row>
    <row r="5246" spans="1:5" x14ac:dyDescent="0.25">
      <c r="A5246" s="24" t="s">
        <v>7</v>
      </c>
      <c r="B5246" s="24" t="s">
        <v>14242</v>
      </c>
      <c r="C5246" s="25" t="s">
        <v>14243</v>
      </c>
      <c r="D5246" s="25" t="s">
        <v>14244</v>
      </c>
      <c r="E5246" s="26">
        <v>24</v>
      </c>
    </row>
    <row r="5247" spans="1:5" x14ac:dyDescent="0.25">
      <c r="A5247" s="24" t="s">
        <v>7</v>
      </c>
      <c r="B5247" s="24" t="s">
        <v>14245</v>
      </c>
      <c r="C5247" s="25" t="s">
        <v>14246</v>
      </c>
      <c r="D5247" s="25" t="s">
        <v>14247</v>
      </c>
      <c r="E5247" s="26">
        <v>47</v>
      </c>
    </row>
    <row r="5248" spans="1:5" x14ac:dyDescent="0.25">
      <c r="A5248" s="24" t="s">
        <v>7</v>
      </c>
      <c r="B5248" s="24" t="s">
        <v>14248</v>
      </c>
      <c r="C5248" s="25" t="s">
        <v>14249</v>
      </c>
      <c r="D5248" s="25" t="s">
        <v>14250</v>
      </c>
      <c r="E5248" s="26">
        <v>71</v>
      </c>
    </row>
    <row r="5249" spans="1:5" x14ac:dyDescent="0.25">
      <c r="A5249" s="24" t="s">
        <v>7</v>
      </c>
      <c r="B5249" s="24" t="s">
        <v>14251</v>
      </c>
      <c r="C5249" s="25" t="s">
        <v>14252</v>
      </c>
      <c r="D5249" s="25" t="s">
        <v>14253</v>
      </c>
      <c r="E5249" s="26">
        <v>39</v>
      </c>
    </row>
    <row r="5250" spans="1:5" x14ac:dyDescent="0.25">
      <c r="A5250" s="24" t="s">
        <v>7</v>
      </c>
      <c r="B5250" s="24" t="s">
        <v>14254</v>
      </c>
      <c r="C5250" s="25" t="s">
        <v>14255</v>
      </c>
      <c r="D5250" s="25" t="s">
        <v>14256</v>
      </c>
      <c r="E5250" s="26">
        <v>105</v>
      </c>
    </row>
    <row r="5251" spans="1:5" x14ac:dyDescent="0.25">
      <c r="A5251" s="24" t="s">
        <v>7</v>
      </c>
      <c r="B5251" s="24" t="s">
        <v>14257</v>
      </c>
      <c r="C5251" s="25" t="s">
        <v>14258</v>
      </c>
      <c r="D5251" s="25" t="s">
        <v>14259</v>
      </c>
      <c r="E5251" s="26">
        <v>105</v>
      </c>
    </row>
    <row r="5252" spans="1:5" x14ac:dyDescent="0.25">
      <c r="A5252" s="24" t="s">
        <v>7</v>
      </c>
      <c r="B5252" s="24" t="s">
        <v>14260</v>
      </c>
      <c r="C5252" s="25" t="s">
        <v>14261</v>
      </c>
      <c r="D5252" s="25" t="s">
        <v>14262</v>
      </c>
      <c r="E5252" s="26">
        <v>105</v>
      </c>
    </row>
    <row r="5253" spans="1:5" x14ac:dyDescent="0.25">
      <c r="A5253" s="24" t="s">
        <v>7</v>
      </c>
      <c r="B5253" s="24" t="s">
        <v>14263</v>
      </c>
      <c r="C5253" s="25" t="s">
        <v>14264</v>
      </c>
      <c r="D5253" s="25" t="s">
        <v>14265</v>
      </c>
      <c r="E5253" s="26">
        <v>165</v>
      </c>
    </row>
    <row r="5254" spans="1:5" x14ac:dyDescent="0.25">
      <c r="A5254" s="24" t="s">
        <v>7</v>
      </c>
      <c r="B5254" s="24" t="s">
        <v>14266</v>
      </c>
      <c r="C5254" s="25" t="s">
        <v>14267</v>
      </c>
      <c r="D5254" s="25" t="s">
        <v>14268</v>
      </c>
      <c r="E5254" s="26">
        <v>265</v>
      </c>
    </row>
    <row r="5255" spans="1:5" x14ac:dyDescent="0.25">
      <c r="A5255" s="24" t="s">
        <v>7</v>
      </c>
      <c r="B5255" s="24" t="s">
        <v>14269</v>
      </c>
      <c r="C5255" s="25" t="s">
        <v>14270</v>
      </c>
      <c r="D5255" s="25" t="s">
        <v>14271</v>
      </c>
      <c r="E5255" s="26">
        <v>59</v>
      </c>
    </row>
    <row r="5256" spans="1:5" x14ac:dyDescent="0.25">
      <c r="A5256" s="24" t="s">
        <v>7</v>
      </c>
      <c r="B5256" s="24" t="s">
        <v>14272</v>
      </c>
      <c r="C5256" s="25" t="s">
        <v>14273</v>
      </c>
      <c r="D5256" s="25" t="s">
        <v>14274</v>
      </c>
      <c r="E5256" s="26">
        <v>249</v>
      </c>
    </row>
    <row r="5257" spans="1:5" x14ac:dyDescent="0.25">
      <c r="A5257" s="24" t="s">
        <v>7</v>
      </c>
      <c r="B5257" s="24" t="s">
        <v>14275</v>
      </c>
      <c r="C5257" s="25" t="s">
        <v>14276</v>
      </c>
      <c r="D5257" s="25" t="s">
        <v>14277</v>
      </c>
      <c r="E5257" s="26">
        <v>191</v>
      </c>
    </row>
    <row r="5258" spans="1:5" x14ac:dyDescent="0.25">
      <c r="A5258" s="24" t="s">
        <v>7</v>
      </c>
      <c r="B5258" s="24" t="s">
        <v>14278</v>
      </c>
      <c r="C5258" s="25" t="s">
        <v>14279</v>
      </c>
      <c r="D5258" s="25" t="s">
        <v>14280</v>
      </c>
      <c r="E5258" s="26">
        <v>35</v>
      </c>
    </row>
    <row r="5259" spans="1:5" x14ac:dyDescent="0.25">
      <c r="A5259" s="24" t="s">
        <v>7</v>
      </c>
      <c r="B5259" s="24" t="s">
        <v>14281</v>
      </c>
      <c r="C5259" s="25" t="s">
        <v>14282</v>
      </c>
      <c r="D5259" s="25" t="s">
        <v>14283</v>
      </c>
      <c r="E5259" s="26">
        <v>30</v>
      </c>
    </row>
    <row r="5260" spans="1:5" x14ac:dyDescent="0.25">
      <c r="A5260" s="24" t="s">
        <v>7</v>
      </c>
      <c r="B5260" s="24" t="s">
        <v>14284</v>
      </c>
      <c r="C5260" s="25" t="s">
        <v>14285</v>
      </c>
      <c r="D5260" s="25" t="s">
        <v>14286</v>
      </c>
      <c r="E5260" s="26">
        <v>113</v>
      </c>
    </row>
    <row r="5261" spans="1:5" x14ac:dyDescent="0.25">
      <c r="A5261" s="24" t="s">
        <v>7</v>
      </c>
      <c r="B5261" s="24" t="s">
        <v>14287</v>
      </c>
      <c r="C5261" s="25" t="s">
        <v>14288</v>
      </c>
      <c r="D5261" s="25" t="s">
        <v>14289</v>
      </c>
      <c r="E5261" s="26">
        <v>113</v>
      </c>
    </row>
    <row r="5262" spans="1:5" x14ac:dyDescent="0.25">
      <c r="A5262" s="24" t="s">
        <v>7</v>
      </c>
      <c r="B5262" s="24" t="s">
        <v>14290</v>
      </c>
      <c r="C5262" s="25" t="s">
        <v>14291</v>
      </c>
      <c r="D5262" s="25" t="s">
        <v>14292</v>
      </c>
      <c r="E5262" s="26">
        <v>113</v>
      </c>
    </row>
    <row r="5263" spans="1:5" x14ac:dyDescent="0.25">
      <c r="A5263" s="24" t="s">
        <v>7</v>
      </c>
      <c r="B5263" s="24" t="s">
        <v>14293</v>
      </c>
      <c r="C5263" s="25" t="s">
        <v>14294</v>
      </c>
      <c r="D5263" s="25" t="s">
        <v>14292</v>
      </c>
      <c r="E5263" s="26">
        <v>113</v>
      </c>
    </row>
    <row r="5264" spans="1:5" x14ac:dyDescent="0.25">
      <c r="A5264" s="24" t="s">
        <v>7</v>
      </c>
      <c r="B5264" s="24" t="s">
        <v>14295</v>
      </c>
      <c r="C5264" s="25" t="s">
        <v>14296</v>
      </c>
      <c r="D5264" s="25" t="s">
        <v>14297</v>
      </c>
      <c r="E5264" s="26">
        <v>113</v>
      </c>
    </row>
    <row r="5265" spans="1:5" x14ac:dyDescent="0.25">
      <c r="A5265" s="24" t="s">
        <v>7</v>
      </c>
      <c r="B5265" s="24" t="s">
        <v>14298</v>
      </c>
      <c r="C5265" s="25" t="s">
        <v>14299</v>
      </c>
      <c r="D5265" s="25" t="s">
        <v>14300</v>
      </c>
      <c r="E5265" s="26">
        <v>113</v>
      </c>
    </row>
    <row r="5266" spans="1:5" x14ac:dyDescent="0.25">
      <c r="A5266" s="24" t="s">
        <v>7</v>
      </c>
      <c r="B5266" s="24" t="s">
        <v>14301</v>
      </c>
      <c r="C5266" s="25" t="s">
        <v>14302</v>
      </c>
      <c r="D5266" s="25" t="s">
        <v>14303</v>
      </c>
      <c r="E5266" s="26">
        <v>113</v>
      </c>
    </row>
    <row r="5267" spans="1:5" x14ac:dyDescent="0.25">
      <c r="A5267" s="24" t="s">
        <v>7</v>
      </c>
      <c r="B5267" s="24" t="s">
        <v>14304</v>
      </c>
      <c r="C5267" s="25" t="s">
        <v>14305</v>
      </c>
      <c r="D5267" s="25" t="s">
        <v>14306</v>
      </c>
      <c r="E5267" s="26">
        <v>22</v>
      </c>
    </row>
    <row r="5268" spans="1:5" x14ac:dyDescent="0.25">
      <c r="A5268" s="24" t="s">
        <v>7</v>
      </c>
      <c r="B5268" s="24" t="s">
        <v>14307</v>
      </c>
      <c r="C5268" s="25" t="s">
        <v>14308</v>
      </c>
      <c r="D5268" s="25" t="s">
        <v>14309</v>
      </c>
      <c r="E5268" s="26">
        <v>24</v>
      </c>
    </row>
    <row r="5269" spans="1:5" x14ac:dyDescent="0.25">
      <c r="A5269" s="24" t="s">
        <v>7</v>
      </c>
      <c r="B5269" s="24" t="s">
        <v>14310</v>
      </c>
      <c r="C5269" s="25" t="s">
        <v>14311</v>
      </c>
      <c r="D5269" s="25" t="s">
        <v>14312</v>
      </c>
      <c r="E5269" s="26">
        <v>44</v>
      </c>
    </row>
    <row r="5270" spans="1:5" x14ac:dyDescent="0.25">
      <c r="A5270" s="24" t="s">
        <v>7</v>
      </c>
      <c r="B5270" s="24" t="s">
        <v>14313</v>
      </c>
      <c r="C5270" s="25" t="s">
        <v>14314</v>
      </c>
      <c r="D5270" s="25" t="s">
        <v>14315</v>
      </c>
      <c r="E5270" s="26">
        <v>373</v>
      </c>
    </row>
    <row r="5271" spans="1:5" x14ac:dyDescent="0.25">
      <c r="A5271" s="24" t="s">
        <v>7</v>
      </c>
      <c r="B5271" s="24" t="s">
        <v>14316</v>
      </c>
      <c r="C5271" s="25" t="s">
        <v>14317</v>
      </c>
      <c r="D5271" s="25" t="s">
        <v>14318</v>
      </c>
      <c r="E5271" s="26">
        <v>113</v>
      </c>
    </row>
    <row r="5272" spans="1:5" x14ac:dyDescent="0.25">
      <c r="A5272" s="24" t="s">
        <v>7</v>
      </c>
      <c r="B5272" s="24" t="s">
        <v>14319</v>
      </c>
      <c r="C5272" s="25" t="s">
        <v>14320</v>
      </c>
      <c r="D5272" s="25" t="s">
        <v>14321</v>
      </c>
      <c r="E5272" s="26">
        <v>194</v>
      </c>
    </row>
    <row r="5273" spans="1:5" x14ac:dyDescent="0.25">
      <c r="A5273" s="24" t="s">
        <v>7</v>
      </c>
      <c r="B5273" s="24" t="s">
        <v>14322</v>
      </c>
      <c r="C5273" s="25" t="s">
        <v>14323</v>
      </c>
      <c r="D5273" s="25" t="s">
        <v>14324</v>
      </c>
      <c r="E5273" s="26">
        <v>113</v>
      </c>
    </row>
    <row r="5274" spans="1:5" x14ac:dyDescent="0.25">
      <c r="A5274" s="24" t="s">
        <v>7</v>
      </c>
      <c r="B5274" s="24" t="s">
        <v>14325</v>
      </c>
      <c r="C5274" s="25" t="s">
        <v>14326</v>
      </c>
      <c r="D5274" s="25" t="s">
        <v>14327</v>
      </c>
      <c r="E5274" s="26">
        <v>4738</v>
      </c>
    </row>
    <row r="5275" spans="1:5" x14ac:dyDescent="0.25">
      <c r="A5275" s="24" t="s">
        <v>7</v>
      </c>
      <c r="B5275" s="24" t="s">
        <v>14328</v>
      </c>
      <c r="C5275" s="25" t="s">
        <v>14329</v>
      </c>
      <c r="D5275" s="25" t="s">
        <v>14330</v>
      </c>
      <c r="E5275" s="26">
        <v>4078</v>
      </c>
    </row>
    <row r="5276" spans="1:5" x14ac:dyDescent="0.25">
      <c r="A5276" s="24" t="s">
        <v>7</v>
      </c>
      <c r="B5276" s="24" t="s">
        <v>14331</v>
      </c>
      <c r="C5276" s="25" t="s">
        <v>14332</v>
      </c>
      <c r="D5276" s="25" t="s">
        <v>14333</v>
      </c>
      <c r="E5276" s="26">
        <v>9407</v>
      </c>
    </row>
    <row r="5277" spans="1:5" x14ac:dyDescent="0.25">
      <c r="A5277" s="24" t="s">
        <v>7</v>
      </c>
      <c r="B5277" s="24" t="s">
        <v>14334</v>
      </c>
      <c r="C5277" s="25" t="s">
        <v>14335</v>
      </c>
      <c r="D5277" s="25" t="s">
        <v>14336</v>
      </c>
      <c r="E5277" s="26">
        <v>14078</v>
      </c>
    </row>
    <row r="5278" spans="1:5" x14ac:dyDescent="0.25">
      <c r="A5278" s="24" t="s">
        <v>7</v>
      </c>
      <c r="B5278" s="24" t="s">
        <v>14337</v>
      </c>
      <c r="C5278" s="25" t="s">
        <v>14338</v>
      </c>
      <c r="D5278" s="25" t="s">
        <v>14339</v>
      </c>
      <c r="E5278" s="26">
        <v>404</v>
      </c>
    </row>
    <row r="5279" spans="1:5" x14ac:dyDescent="0.25">
      <c r="A5279" s="24" t="s">
        <v>7</v>
      </c>
      <c r="B5279" s="24" t="s">
        <v>14340</v>
      </c>
      <c r="C5279" s="25" t="s">
        <v>14341</v>
      </c>
      <c r="D5279" s="25" t="s">
        <v>14342</v>
      </c>
      <c r="E5279" s="26">
        <v>151</v>
      </c>
    </row>
    <row r="5280" spans="1:5" x14ac:dyDescent="0.25">
      <c r="A5280" s="24" t="s">
        <v>7</v>
      </c>
      <c r="B5280" s="24" t="s">
        <v>14343</v>
      </c>
      <c r="C5280" s="25" t="s">
        <v>14344</v>
      </c>
      <c r="D5280" s="25" t="s">
        <v>14345</v>
      </c>
      <c r="E5280" s="26">
        <v>78</v>
      </c>
    </row>
    <row r="5281" spans="1:5" x14ac:dyDescent="0.25">
      <c r="A5281" s="24" t="s">
        <v>7</v>
      </c>
      <c r="B5281" s="24" t="s">
        <v>14346</v>
      </c>
      <c r="C5281" s="25" t="s">
        <v>14347</v>
      </c>
      <c r="D5281" s="25" t="s">
        <v>14348</v>
      </c>
      <c r="E5281" s="26">
        <v>428</v>
      </c>
    </row>
    <row r="5282" spans="1:5" x14ac:dyDescent="0.25">
      <c r="A5282" s="24" t="s">
        <v>7</v>
      </c>
      <c r="B5282" s="24" t="s">
        <v>14349</v>
      </c>
      <c r="C5282" s="25" t="s">
        <v>14350</v>
      </c>
      <c r="D5282" s="25" t="s">
        <v>14351</v>
      </c>
      <c r="E5282" s="26">
        <v>119</v>
      </c>
    </row>
    <row r="5283" spans="1:5" x14ac:dyDescent="0.25">
      <c r="A5283" s="24" t="s">
        <v>7</v>
      </c>
      <c r="B5283" s="24" t="s">
        <v>14352</v>
      </c>
      <c r="C5283" s="25" t="s">
        <v>14353</v>
      </c>
      <c r="D5283" s="25" t="s">
        <v>14354</v>
      </c>
      <c r="E5283" s="26">
        <v>206</v>
      </c>
    </row>
    <row r="5284" spans="1:5" x14ac:dyDescent="0.25">
      <c r="A5284" s="24" t="s">
        <v>7</v>
      </c>
      <c r="B5284" s="24" t="s">
        <v>14355</v>
      </c>
      <c r="C5284" s="25" t="s">
        <v>14356</v>
      </c>
      <c r="D5284" s="25" t="s">
        <v>14357</v>
      </c>
      <c r="E5284" s="26">
        <v>232</v>
      </c>
    </row>
    <row r="5285" spans="1:5" x14ac:dyDescent="0.25">
      <c r="A5285" s="24" t="s">
        <v>7</v>
      </c>
      <c r="B5285" s="24" t="s">
        <v>14358</v>
      </c>
      <c r="C5285" s="25" t="s">
        <v>14359</v>
      </c>
      <c r="D5285" s="25" t="s">
        <v>14360</v>
      </c>
      <c r="E5285" s="26">
        <v>1778</v>
      </c>
    </row>
    <row r="5286" spans="1:5" x14ac:dyDescent="0.25">
      <c r="A5286" s="24" t="s">
        <v>7</v>
      </c>
      <c r="B5286" s="24" t="s">
        <v>14361</v>
      </c>
      <c r="C5286" s="25" t="s">
        <v>14243</v>
      </c>
      <c r="D5286" s="25" t="s">
        <v>14243</v>
      </c>
      <c r="E5286" s="26">
        <v>249</v>
      </c>
    </row>
    <row r="5287" spans="1:5" x14ac:dyDescent="0.25">
      <c r="A5287" s="24" t="s">
        <v>7</v>
      </c>
      <c r="B5287" s="24" t="s">
        <v>14362</v>
      </c>
      <c r="C5287" s="25" t="s">
        <v>14363</v>
      </c>
      <c r="D5287" s="25" t="s">
        <v>14364</v>
      </c>
      <c r="E5287" s="26">
        <v>448</v>
      </c>
    </row>
    <row r="5288" spans="1:5" x14ac:dyDescent="0.25">
      <c r="A5288" s="24" t="s">
        <v>7</v>
      </c>
      <c r="B5288" s="24" t="s">
        <v>14365</v>
      </c>
      <c r="C5288" s="25" t="s">
        <v>14366</v>
      </c>
      <c r="D5288" s="25" t="s">
        <v>14367</v>
      </c>
      <c r="E5288" s="26">
        <v>71</v>
      </c>
    </row>
    <row r="5289" spans="1:5" x14ac:dyDescent="0.25">
      <c r="A5289" s="24" t="s">
        <v>7</v>
      </c>
      <c r="B5289" s="24" t="s">
        <v>14368</v>
      </c>
      <c r="C5289" s="25" t="s">
        <v>14369</v>
      </c>
      <c r="D5289" s="25" t="s">
        <v>14370</v>
      </c>
      <c r="E5289" s="26">
        <v>97</v>
      </c>
    </row>
    <row r="5290" spans="1:5" x14ac:dyDescent="0.25">
      <c r="A5290" s="24" t="s">
        <v>7</v>
      </c>
      <c r="B5290" s="24" t="s">
        <v>14371</v>
      </c>
      <c r="C5290" s="25" t="s">
        <v>14372</v>
      </c>
      <c r="D5290" s="25" t="s">
        <v>14373</v>
      </c>
      <c r="E5290" s="26">
        <v>184.07</v>
      </c>
    </row>
    <row r="5291" spans="1:5" x14ac:dyDescent="0.25">
      <c r="A5291" s="24" t="s">
        <v>7</v>
      </c>
      <c r="B5291" s="24" t="s">
        <v>14374</v>
      </c>
      <c r="C5291" s="25" t="s">
        <v>14375</v>
      </c>
      <c r="D5291" s="25" t="s">
        <v>14376</v>
      </c>
      <c r="E5291" s="26">
        <v>221</v>
      </c>
    </row>
    <row r="5292" spans="1:5" x14ac:dyDescent="0.25">
      <c r="A5292" s="24" t="s">
        <v>7</v>
      </c>
      <c r="B5292" s="24" t="s">
        <v>14377</v>
      </c>
      <c r="C5292" s="25" t="s">
        <v>14378</v>
      </c>
      <c r="D5292" s="25" t="s">
        <v>14379</v>
      </c>
      <c r="E5292" s="26">
        <v>138</v>
      </c>
    </row>
    <row r="5293" spans="1:5" x14ac:dyDescent="0.25">
      <c r="A5293" s="24" t="s">
        <v>7</v>
      </c>
      <c r="B5293" s="24" t="s">
        <v>14380</v>
      </c>
      <c r="C5293" s="25" t="s">
        <v>14381</v>
      </c>
      <c r="D5293" s="25" t="s">
        <v>14382</v>
      </c>
      <c r="E5293" s="26">
        <v>152</v>
      </c>
    </row>
    <row r="5294" spans="1:5" x14ac:dyDescent="0.25">
      <c r="A5294" s="24" t="s">
        <v>7</v>
      </c>
      <c r="B5294" s="24" t="s">
        <v>14383</v>
      </c>
      <c r="C5294" s="25" t="s">
        <v>14384</v>
      </c>
      <c r="D5294" s="25" t="s">
        <v>14385</v>
      </c>
      <c r="E5294" s="26">
        <v>1417</v>
      </c>
    </row>
    <row r="5295" spans="1:5" x14ac:dyDescent="0.25">
      <c r="A5295" s="24" t="s">
        <v>7</v>
      </c>
      <c r="B5295" s="24" t="s">
        <v>14386</v>
      </c>
      <c r="C5295" s="25" t="s">
        <v>14387</v>
      </c>
      <c r="D5295" s="25" t="s">
        <v>14388</v>
      </c>
      <c r="E5295" s="26">
        <v>160</v>
      </c>
    </row>
    <row r="5296" spans="1:5" x14ac:dyDescent="0.25">
      <c r="A5296" s="24" t="s">
        <v>7</v>
      </c>
      <c r="B5296" s="24" t="s">
        <v>14389</v>
      </c>
      <c r="C5296" s="25" t="s">
        <v>14390</v>
      </c>
      <c r="D5296" s="25" t="s">
        <v>14391</v>
      </c>
      <c r="E5296" s="26">
        <v>32</v>
      </c>
    </row>
    <row r="5297" spans="1:6" x14ac:dyDescent="0.25">
      <c r="A5297" s="24" t="s">
        <v>7</v>
      </c>
      <c r="B5297" s="24" t="s">
        <v>14392</v>
      </c>
      <c r="C5297" s="25" t="s">
        <v>14393</v>
      </c>
      <c r="D5297" s="25" t="s">
        <v>14394</v>
      </c>
      <c r="E5297" s="26">
        <v>32</v>
      </c>
    </row>
    <row r="5298" spans="1:6" x14ac:dyDescent="0.25">
      <c r="A5298" s="24" t="s">
        <v>7</v>
      </c>
      <c r="B5298" s="24" t="s">
        <v>14395</v>
      </c>
      <c r="C5298" s="25" t="s">
        <v>14396</v>
      </c>
      <c r="D5298" s="25" t="s">
        <v>14397</v>
      </c>
      <c r="E5298" s="26">
        <v>32</v>
      </c>
    </row>
    <row r="5299" spans="1:6" x14ac:dyDescent="0.25">
      <c r="A5299" s="24" t="s">
        <v>7</v>
      </c>
      <c r="B5299" s="24" t="s">
        <v>14398</v>
      </c>
      <c r="C5299" s="25" t="s">
        <v>14399</v>
      </c>
      <c r="D5299" s="25" t="s">
        <v>14400</v>
      </c>
      <c r="E5299" s="26">
        <v>867</v>
      </c>
    </row>
    <row r="5300" spans="1:6" x14ac:dyDescent="0.25">
      <c r="A5300" s="24" t="s">
        <v>7</v>
      </c>
      <c r="B5300" s="24" t="s">
        <v>14401</v>
      </c>
      <c r="C5300" s="25" t="s">
        <v>14402</v>
      </c>
      <c r="D5300" s="25" t="s">
        <v>14403</v>
      </c>
      <c r="E5300" s="26">
        <v>354</v>
      </c>
    </row>
    <row r="5301" spans="1:6" x14ac:dyDescent="0.25">
      <c r="A5301" s="24" t="s">
        <v>7</v>
      </c>
      <c r="B5301" s="24" t="s">
        <v>14404</v>
      </c>
      <c r="C5301" s="25" t="s">
        <v>14405</v>
      </c>
      <c r="D5301" s="25" t="s">
        <v>14406</v>
      </c>
      <c r="E5301" s="26">
        <v>354</v>
      </c>
    </row>
    <row r="5302" spans="1:6" x14ac:dyDescent="0.25">
      <c r="A5302" s="24" t="s">
        <v>7</v>
      </c>
      <c r="B5302" s="24" t="s">
        <v>14407</v>
      </c>
      <c r="C5302" s="25" t="s">
        <v>14408</v>
      </c>
      <c r="D5302" s="25" t="s">
        <v>14409</v>
      </c>
      <c r="E5302" s="26">
        <v>354</v>
      </c>
    </row>
    <row r="5303" spans="1:6" x14ac:dyDescent="0.25">
      <c r="A5303" s="24" t="s">
        <v>7</v>
      </c>
      <c r="B5303" s="24" t="s">
        <v>14410</v>
      </c>
      <c r="C5303" s="25" t="s">
        <v>14411</v>
      </c>
      <c r="D5303" s="25" t="s">
        <v>4533</v>
      </c>
      <c r="E5303" s="26">
        <v>1518</v>
      </c>
      <c r="F5303" s="24" t="s">
        <v>502</v>
      </c>
    </row>
    <row r="5304" spans="1:6" x14ac:dyDescent="0.25">
      <c r="A5304" s="24" t="s">
        <v>7</v>
      </c>
      <c r="B5304" s="24" t="s">
        <v>14412</v>
      </c>
      <c r="C5304" s="25" t="s">
        <v>5280</v>
      </c>
      <c r="D5304" s="25" t="s">
        <v>5280</v>
      </c>
      <c r="E5304" s="26">
        <v>659</v>
      </c>
    </row>
    <row r="5305" spans="1:6" x14ac:dyDescent="0.25">
      <c r="A5305" s="24" t="s">
        <v>7</v>
      </c>
      <c r="B5305" s="24" t="s">
        <v>14413</v>
      </c>
      <c r="C5305" s="25" t="s">
        <v>14414</v>
      </c>
      <c r="D5305" s="25" t="s">
        <v>14415</v>
      </c>
      <c r="E5305" s="26">
        <v>354</v>
      </c>
    </row>
    <row r="5306" spans="1:6" x14ac:dyDescent="0.25">
      <c r="A5306" s="24" t="s">
        <v>7</v>
      </c>
      <c r="B5306" s="24" t="s">
        <v>14416</v>
      </c>
      <c r="C5306" s="25" t="s">
        <v>14417</v>
      </c>
      <c r="D5306" s="25" t="s">
        <v>14418</v>
      </c>
      <c r="E5306" s="26">
        <v>40</v>
      </c>
    </row>
    <row r="5307" spans="1:6" x14ac:dyDescent="0.25">
      <c r="A5307" s="24" t="s">
        <v>7</v>
      </c>
      <c r="B5307" s="24" t="s">
        <v>14419</v>
      </c>
      <c r="C5307" s="25" t="s">
        <v>14420</v>
      </c>
      <c r="D5307" s="25" t="s">
        <v>14420</v>
      </c>
      <c r="E5307" s="26">
        <v>477</v>
      </c>
    </row>
    <row r="5308" spans="1:6" x14ac:dyDescent="0.25">
      <c r="A5308" s="24" t="s">
        <v>7</v>
      </c>
      <c r="B5308" s="24" t="s">
        <v>14421</v>
      </c>
      <c r="C5308" s="25" t="s">
        <v>14422</v>
      </c>
      <c r="D5308" s="25" t="s">
        <v>14423</v>
      </c>
      <c r="E5308" s="26">
        <v>867</v>
      </c>
    </row>
    <row r="5309" spans="1:6" x14ac:dyDescent="0.25">
      <c r="A5309" s="24" t="s">
        <v>7</v>
      </c>
      <c r="B5309" s="24" t="s">
        <v>14424</v>
      </c>
      <c r="C5309" s="25" t="s">
        <v>14425</v>
      </c>
      <c r="D5309" s="25" t="s">
        <v>14426</v>
      </c>
      <c r="E5309" s="26">
        <v>837</v>
      </c>
    </row>
    <row r="5310" spans="1:6" x14ac:dyDescent="0.25">
      <c r="A5310" s="24" t="s">
        <v>7</v>
      </c>
      <c r="B5310" s="24" t="s">
        <v>14427</v>
      </c>
      <c r="C5310" s="25" t="s">
        <v>317</v>
      </c>
      <c r="D5310" s="25" t="s">
        <v>318</v>
      </c>
      <c r="E5310" s="26">
        <v>837</v>
      </c>
    </row>
    <row r="5311" spans="1:6" x14ac:dyDescent="0.25">
      <c r="A5311" s="24" t="s">
        <v>7</v>
      </c>
      <c r="B5311" s="24" t="s">
        <v>14428</v>
      </c>
      <c r="C5311" s="25" t="s">
        <v>307</v>
      </c>
      <c r="D5311" s="25" t="s">
        <v>307</v>
      </c>
      <c r="E5311" s="26">
        <v>837</v>
      </c>
    </row>
    <row r="5312" spans="1:6" x14ac:dyDescent="0.25">
      <c r="A5312" s="24" t="s">
        <v>7</v>
      </c>
      <c r="B5312" s="24" t="s">
        <v>14429</v>
      </c>
      <c r="C5312" s="25" t="s">
        <v>14430</v>
      </c>
      <c r="D5312" s="25" t="s">
        <v>14430</v>
      </c>
      <c r="E5312" s="26">
        <v>3620</v>
      </c>
    </row>
    <row r="5313" spans="1:6" x14ac:dyDescent="0.25">
      <c r="A5313" s="24" t="s">
        <v>7</v>
      </c>
      <c r="B5313" s="24" t="s">
        <v>14431</v>
      </c>
      <c r="C5313" s="25" t="s">
        <v>14432</v>
      </c>
      <c r="D5313" s="25" t="s">
        <v>14433</v>
      </c>
      <c r="E5313" s="26">
        <v>3620</v>
      </c>
    </row>
    <row r="5314" spans="1:6" x14ac:dyDescent="0.25">
      <c r="A5314" s="24" t="s">
        <v>7</v>
      </c>
      <c r="B5314" s="24" t="s">
        <v>14434</v>
      </c>
      <c r="C5314" s="25" t="s">
        <v>14435</v>
      </c>
      <c r="D5314" s="25" t="s">
        <v>14436</v>
      </c>
      <c r="E5314" s="26">
        <v>2580</v>
      </c>
    </row>
    <row r="5315" spans="1:6" x14ac:dyDescent="0.25">
      <c r="A5315" s="24" t="s">
        <v>7</v>
      </c>
      <c r="B5315" s="24" t="s">
        <v>14437</v>
      </c>
      <c r="C5315" s="25" t="s">
        <v>14438</v>
      </c>
      <c r="D5315" s="25" t="s">
        <v>14439</v>
      </c>
      <c r="E5315" s="26">
        <v>2580</v>
      </c>
    </row>
    <row r="5316" spans="1:6" x14ac:dyDescent="0.25">
      <c r="A5316" s="24" t="s">
        <v>7</v>
      </c>
      <c r="B5316" s="24" t="s">
        <v>14440</v>
      </c>
      <c r="C5316" s="25" t="s">
        <v>14441</v>
      </c>
      <c r="D5316" s="25" t="s">
        <v>14442</v>
      </c>
      <c r="E5316" s="26">
        <v>8059</v>
      </c>
    </row>
    <row r="5317" spans="1:6" x14ac:dyDescent="0.25">
      <c r="A5317" s="24" t="s">
        <v>7</v>
      </c>
      <c r="B5317" s="24" t="s">
        <v>14443</v>
      </c>
      <c r="C5317" s="25" t="s">
        <v>14444</v>
      </c>
      <c r="D5317" s="25" t="s">
        <v>14445</v>
      </c>
      <c r="E5317" s="26">
        <v>5733</v>
      </c>
    </row>
    <row r="5318" spans="1:6" x14ac:dyDescent="0.25">
      <c r="A5318" s="24" t="s">
        <v>7</v>
      </c>
      <c r="B5318" s="24" t="s">
        <v>14446</v>
      </c>
      <c r="C5318" s="25" t="s">
        <v>14447</v>
      </c>
      <c r="D5318" s="25" t="s">
        <v>14448</v>
      </c>
      <c r="E5318" s="26">
        <v>2925</v>
      </c>
    </row>
    <row r="5319" spans="1:6" x14ac:dyDescent="0.25">
      <c r="A5319" s="24" t="s">
        <v>7</v>
      </c>
      <c r="B5319" s="24" t="s">
        <v>14449</v>
      </c>
      <c r="C5319" s="25" t="s">
        <v>14450</v>
      </c>
      <c r="D5319" s="25" t="s">
        <v>14451</v>
      </c>
      <c r="E5319" s="26">
        <v>5267</v>
      </c>
    </row>
    <row r="5320" spans="1:6" x14ac:dyDescent="0.25">
      <c r="A5320" s="24" t="s">
        <v>7</v>
      </c>
      <c r="B5320" s="24" t="s">
        <v>14452</v>
      </c>
      <c r="C5320" s="25" t="s">
        <v>14453</v>
      </c>
      <c r="D5320" s="25" t="s">
        <v>14454</v>
      </c>
      <c r="E5320" s="26">
        <v>3841</v>
      </c>
    </row>
    <row r="5321" spans="1:6" x14ac:dyDescent="0.25">
      <c r="A5321" s="24" t="s">
        <v>7</v>
      </c>
      <c r="B5321" s="24" t="s">
        <v>14455</v>
      </c>
      <c r="C5321" s="25" t="s">
        <v>14456</v>
      </c>
      <c r="D5321" s="25" t="s">
        <v>14457</v>
      </c>
      <c r="E5321" s="26">
        <v>211</v>
      </c>
    </row>
    <row r="5322" spans="1:6" x14ac:dyDescent="0.25">
      <c r="A5322" s="24" t="s">
        <v>7</v>
      </c>
      <c r="B5322" s="24" t="s">
        <v>14458</v>
      </c>
      <c r="C5322" s="25" t="s">
        <v>14459</v>
      </c>
      <c r="D5322" s="25" t="s">
        <v>14460</v>
      </c>
      <c r="E5322" s="26">
        <v>32</v>
      </c>
      <c r="F5322" s="24" t="s">
        <v>502</v>
      </c>
    </row>
    <row r="5323" spans="1:6" x14ac:dyDescent="0.25">
      <c r="A5323" s="24" t="s">
        <v>7</v>
      </c>
      <c r="B5323" s="24" t="s">
        <v>14461</v>
      </c>
      <c r="C5323" s="25" t="s">
        <v>14462</v>
      </c>
      <c r="D5323" s="25" t="s">
        <v>14463</v>
      </c>
      <c r="E5323" s="26">
        <v>484</v>
      </c>
    </row>
    <row r="5324" spans="1:6" x14ac:dyDescent="0.25">
      <c r="A5324" s="24" t="s">
        <v>7</v>
      </c>
      <c r="B5324" s="24" t="s">
        <v>14464</v>
      </c>
      <c r="C5324" s="25" t="s">
        <v>14465</v>
      </c>
      <c r="D5324" s="25" t="s">
        <v>14465</v>
      </c>
      <c r="E5324" s="26">
        <v>405</v>
      </c>
    </row>
    <row r="5325" spans="1:6" x14ac:dyDescent="0.25">
      <c r="A5325" s="24" t="s">
        <v>7</v>
      </c>
      <c r="B5325" s="24" t="s">
        <v>14466</v>
      </c>
      <c r="C5325" s="25" t="s">
        <v>14467</v>
      </c>
      <c r="D5325" s="25" t="s">
        <v>14468</v>
      </c>
      <c r="E5325" s="26">
        <v>484</v>
      </c>
    </row>
    <row r="5326" spans="1:6" x14ac:dyDescent="0.25">
      <c r="A5326" s="24" t="s">
        <v>7</v>
      </c>
      <c r="B5326" s="24" t="s">
        <v>14469</v>
      </c>
      <c r="C5326" s="25" t="s">
        <v>14470</v>
      </c>
      <c r="D5326" s="25" t="s">
        <v>14470</v>
      </c>
      <c r="E5326" s="26">
        <v>329</v>
      </c>
    </row>
    <row r="5327" spans="1:6" x14ac:dyDescent="0.25">
      <c r="A5327" s="24" t="s">
        <v>7</v>
      </c>
      <c r="B5327" s="24" t="s">
        <v>14471</v>
      </c>
      <c r="C5327" s="25" t="s">
        <v>14472</v>
      </c>
      <c r="D5327" s="25" t="s">
        <v>14473</v>
      </c>
      <c r="E5327" s="26">
        <v>488</v>
      </c>
    </row>
    <row r="5328" spans="1:6" x14ac:dyDescent="0.25">
      <c r="A5328" s="24" t="s">
        <v>7</v>
      </c>
      <c r="B5328" s="24" t="s">
        <v>14474</v>
      </c>
      <c r="C5328" s="25" t="s">
        <v>14475</v>
      </c>
      <c r="D5328" s="25" t="s">
        <v>14476</v>
      </c>
      <c r="E5328" s="26">
        <v>47</v>
      </c>
    </row>
    <row r="5329" spans="1:5" x14ac:dyDescent="0.25">
      <c r="A5329" s="24" t="s">
        <v>7</v>
      </c>
      <c r="B5329" s="24" t="s">
        <v>14477</v>
      </c>
      <c r="C5329" s="25" t="s">
        <v>14478</v>
      </c>
      <c r="D5329" s="25" t="s">
        <v>14479</v>
      </c>
      <c r="E5329" s="26">
        <v>837</v>
      </c>
    </row>
    <row r="5330" spans="1:5" x14ac:dyDescent="0.25">
      <c r="A5330" s="24" t="s">
        <v>7</v>
      </c>
      <c r="B5330" s="24" t="s">
        <v>14480</v>
      </c>
      <c r="C5330" s="25" t="s">
        <v>14481</v>
      </c>
      <c r="D5330" s="25" t="s">
        <v>14482</v>
      </c>
      <c r="E5330" s="26">
        <v>354</v>
      </c>
    </row>
    <row r="5331" spans="1:5" x14ac:dyDescent="0.25">
      <c r="A5331" s="24" t="s">
        <v>7</v>
      </c>
      <c r="B5331" s="24" t="s">
        <v>14483</v>
      </c>
      <c r="C5331" s="25" t="s">
        <v>14484</v>
      </c>
      <c r="D5331" s="25" t="s">
        <v>14484</v>
      </c>
      <c r="E5331" s="26">
        <v>354</v>
      </c>
    </row>
    <row r="5332" spans="1:5" x14ac:dyDescent="0.25">
      <c r="A5332" s="24" t="s">
        <v>7</v>
      </c>
      <c r="B5332" s="24" t="s">
        <v>14485</v>
      </c>
      <c r="C5332" s="25" t="s">
        <v>14486</v>
      </c>
      <c r="D5332" s="25" t="s">
        <v>14486</v>
      </c>
      <c r="E5332" s="26">
        <v>255</v>
      </c>
    </row>
    <row r="5333" spans="1:5" x14ac:dyDescent="0.25">
      <c r="A5333" s="24" t="s">
        <v>7</v>
      </c>
      <c r="B5333" s="24" t="s">
        <v>14487</v>
      </c>
      <c r="C5333" s="25" t="s">
        <v>4189</v>
      </c>
      <c r="D5333" s="25" t="s">
        <v>4189</v>
      </c>
      <c r="E5333" s="26">
        <v>225</v>
      </c>
    </row>
    <row r="5334" spans="1:5" x14ac:dyDescent="0.25">
      <c r="A5334" s="24" t="s">
        <v>7</v>
      </c>
      <c r="B5334" s="24" t="s">
        <v>14488</v>
      </c>
      <c r="C5334" s="25" t="s">
        <v>14489</v>
      </c>
      <c r="D5334" s="25" t="s">
        <v>14490</v>
      </c>
      <c r="E5334" s="26">
        <v>171</v>
      </c>
    </row>
    <row r="5335" spans="1:5" x14ac:dyDescent="0.25">
      <c r="A5335" s="24" t="s">
        <v>7</v>
      </c>
      <c r="B5335" s="24" t="s">
        <v>14491</v>
      </c>
      <c r="C5335" s="25" t="s">
        <v>14492</v>
      </c>
      <c r="D5335" s="25" t="s">
        <v>14493</v>
      </c>
      <c r="E5335" s="26">
        <v>260</v>
      </c>
    </row>
    <row r="5336" spans="1:5" x14ac:dyDescent="0.25">
      <c r="A5336" s="24" t="s">
        <v>7</v>
      </c>
      <c r="B5336" s="24" t="s">
        <v>14494</v>
      </c>
      <c r="C5336" s="25" t="s">
        <v>14495</v>
      </c>
      <c r="D5336" s="25" t="s">
        <v>14496</v>
      </c>
      <c r="E5336" s="26">
        <v>274</v>
      </c>
    </row>
    <row r="5337" spans="1:5" x14ac:dyDescent="0.25">
      <c r="A5337" s="24" t="s">
        <v>7</v>
      </c>
      <c r="B5337" s="24" t="s">
        <v>14497</v>
      </c>
      <c r="C5337" s="25" t="s">
        <v>14498</v>
      </c>
      <c r="D5337" s="25" t="s">
        <v>14499</v>
      </c>
      <c r="E5337" s="26">
        <v>274</v>
      </c>
    </row>
    <row r="5338" spans="1:5" x14ac:dyDescent="0.25">
      <c r="A5338" s="24" t="s">
        <v>7</v>
      </c>
      <c r="B5338" s="24" t="s">
        <v>14500</v>
      </c>
      <c r="C5338" s="25" t="s">
        <v>14501</v>
      </c>
      <c r="D5338" s="25" t="s">
        <v>14502</v>
      </c>
      <c r="E5338" s="26">
        <v>981</v>
      </c>
    </row>
    <row r="5339" spans="1:5" x14ac:dyDescent="0.25">
      <c r="A5339" s="24" t="s">
        <v>7</v>
      </c>
      <c r="B5339" s="24" t="s">
        <v>14503</v>
      </c>
      <c r="C5339" s="25" t="s">
        <v>14504</v>
      </c>
      <c r="D5339" s="25" t="s">
        <v>14505</v>
      </c>
      <c r="E5339" s="26">
        <v>981</v>
      </c>
    </row>
    <row r="5340" spans="1:5" x14ac:dyDescent="0.25">
      <c r="A5340" s="24" t="s">
        <v>7</v>
      </c>
      <c r="B5340" s="24" t="s">
        <v>14506</v>
      </c>
      <c r="C5340" s="25" t="s">
        <v>14507</v>
      </c>
      <c r="D5340" s="25" t="s">
        <v>14508</v>
      </c>
      <c r="E5340" s="26">
        <v>837</v>
      </c>
    </row>
    <row r="5341" spans="1:5" x14ac:dyDescent="0.25">
      <c r="A5341" s="24" t="s">
        <v>7</v>
      </c>
      <c r="B5341" s="24" t="s">
        <v>14509</v>
      </c>
      <c r="C5341" s="25" t="s">
        <v>14510</v>
      </c>
      <c r="D5341" s="25" t="s">
        <v>14511</v>
      </c>
      <c r="E5341" s="26">
        <v>837</v>
      </c>
    </row>
    <row r="5342" spans="1:5" x14ac:dyDescent="0.25">
      <c r="A5342" s="24" t="s">
        <v>7</v>
      </c>
      <c r="B5342" s="24" t="s">
        <v>14512</v>
      </c>
      <c r="C5342" s="25" t="s">
        <v>14513</v>
      </c>
      <c r="D5342" s="25" t="s">
        <v>14514</v>
      </c>
      <c r="E5342" s="26">
        <v>837</v>
      </c>
    </row>
    <row r="5343" spans="1:5" x14ac:dyDescent="0.25">
      <c r="A5343" s="24" t="s">
        <v>7</v>
      </c>
      <c r="B5343" s="24" t="s">
        <v>14515</v>
      </c>
      <c r="C5343" s="25" t="s">
        <v>14516</v>
      </c>
      <c r="D5343" s="25" t="s">
        <v>14517</v>
      </c>
      <c r="E5343" s="26">
        <v>1025</v>
      </c>
    </row>
    <row r="5344" spans="1:5" x14ac:dyDescent="0.25">
      <c r="A5344" s="24" t="s">
        <v>7</v>
      </c>
      <c r="B5344" s="24" t="s">
        <v>14518</v>
      </c>
      <c r="C5344" s="25" t="s">
        <v>14519</v>
      </c>
      <c r="D5344" s="25" t="s">
        <v>14517</v>
      </c>
      <c r="E5344" s="26">
        <v>993</v>
      </c>
    </row>
    <row r="5345" spans="1:5" x14ac:dyDescent="0.25">
      <c r="A5345" s="24" t="s">
        <v>7</v>
      </c>
      <c r="B5345" s="24" t="s">
        <v>14520</v>
      </c>
      <c r="C5345" s="25" t="s">
        <v>14521</v>
      </c>
      <c r="D5345" s="25" t="s">
        <v>14522</v>
      </c>
      <c r="E5345" s="26">
        <v>254</v>
      </c>
    </row>
    <row r="5346" spans="1:5" x14ac:dyDescent="0.25">
      <c r="A5346" s="24" t="s">
        <v>7</v>
      </c>
      <c r="B5346" s="24" t="s">
        <v>14523</v>
      </c>
      <c r="C5346" s="25" t="s">
        <v>14524</v>
      </c>
      <c r="D5346" s="25" t="s">
        <v>14525</v>
      </c>
      <c r="E5346" s="26">
        <v>135</v>
      </c>
    </row>
    <row r="5347" spans="1:5" x14ac:dyDescent="0.25">
      <c r="A5347" s="24" t="s">
        <v>7</v>
      </c>
      <c r="B5347" s="24" t="s">
        <v>14526</v>
      </c>
      <c r="C5347" s="25" t="s">
        <v>14527</v>
      </c>
      <c r="D5347" s="25" t="s">
        <v>14528</v>
      </c>
      <c r="E5347" s="26">
        <v>594</v>
      </c>
    </row>
    <row r="5348" spans="1:5" x14ac:dyDescent="0.25">
      <c r="A5348" s="24" t="s">
        <v>7</v>
      </c>
      <c r="B5348" s="24" t="s">
        <v>14529</v>
      </c>
      <c r="C5348" s="25" t="s">
        <v>14530</v>
      </c>
      <c r="D5348" s="25" t="s">
        <v>14531</v>
      </c>
      <c r="E5348" s="26">
        <v>1150</v>
      </c>
    </row>
    <row r="5349" spans="1:5" x14ac:dyDescent="0.25">
      <c r="A5349" s="24" t="s">
        <v>7</v>
      </c>
      <c r="B5349" s="24" t="s">
        <v>14532</v>
      </c>
      <c r="C5349" s="25" t="s">
        <v>14533</v>
      </c>
      <c r="D5349" s="25" t="s">
        <v>14533</v>
      </c>
      <c r="E5349" s="26">
        <v>4182</v>
      </c>
    </row>
    <row r="5350" spans="1:5" x14ac:dyDescent="0.25">
      <c r="A5350" s="24" t="s">
        <v>7</v>
      </c>
      <c r="B5350" s="24" t="s">
        <v>14534</v>
      </c>
      <c r="C5350" s="25" t="s">
        <v>14535</v>
      </c>
      <c r="D5350" s="25" t="s">
        <v>14536</v>
      </c>
      <c r="E5350" s="26">
        <v>3620</v>
      </c>
    </row>
    <row r="5351" spans="1:5" x14ac:dyDescent="0.25">
      <c r="A5351" s="24" t="s">
        <v>7</v>
      </c>
      <c r="B5351" s="24" t="s">
        <v>14537</v>
      </c>
      <c r="C5351" s="25" t="s">
        <v>320</v>
      </c>
      <c r="D5351" s="25" t="s">
        <v>321</v>
      </c>
      <c r="E5351" s="26">
        <v>13432</v>
      </c>
    </row>
    <row r="5352" spans="1:5" x14ac:dyDescent="0.25">
      <c r="A5352" s="24" t="s">
        <v>7</v>
      </c>
      <c r="B5352" s="24" t="s">
        <v>14538</v>
      </c>
      <c r="C5352" s="25" t="s">
        <v>14539</v>
      </c>
      <c r="D5352" s="25" t="s">
        <v>14540</v>
      </c>
      <c r="E5352" s="26">
        <v>11424</v>
      </c>
    </row>
    <row r="5353" spans="1:5" x14ac:dyDescent="0.25">
      <c r="A5353" s="24" t="s">
        <v>7</v>
      </c>
      <c r="B5353" s="24" t="s">
        <v>14541</v>
      </c>
      <c r="C5353" s="25" t="s">
        <v>14542</v>
      </c>
      <c r="D5353" s="25" t="s">
        <v>14543</v>
      </c>
      <c r="E5353" s="26">
        <v>56</v>
      </c>
    </row>
    <row r="5354" spans="1:5" x14ac:dyDescent="0.25">
      <c r="A5354" s="24" t="s">
        <v>7</v>
      </c>
      <c r="B5354" s="24" t="s">
        <v>14544</v>
      </c>
      <c r="C5354" s="25" t="s">
        <v>14545</v>
      </c>
      <c r="D5354" s="25" t="s">
        <v>14546</v>
      </c>
      <c r="E5354" s="26">
        <v>961</v>
      </c>
    </row>
    <row r="5355" spans="1:5" x14ac:dyDescent="0.25">
      <c r="A5355" s="24" t="s">
        <v>7</v>
      </c>
      <c r="B5355" s="24" t="s">
        <v>14547</v>
      </c>
      <c r="C5355" s="25" t="s">
        <v>14548</v>
      </c>
      <c r="D5355" s="25" t="s">
        <v>14548</v>
      </c>
      <c r="E5355" s="26">
        <v>609</v>
      </c>
    </row>
    <row r="5356" spans="1:5" x14ac:dyDescent="0.25">
      <c r="A5356" s="24" t="s">
        <v>7</v>
      </c>
      <c r="B5356" s="24" t="s">
        <v>14549</v>
      </c>
      <c r="C5356" s="25" t="s">
        <v>14550</v>
      </c>
      <c r="D5356" s="25" t="s">
        <v>14550</v>
      </c>
      <c r="E5356" s="26">
        <v>961</v>
      </c>
    </row>
    <row r="5357" spans="1:5" x14ac:dyDescent="0.25">
      <c r="A5357" s="24" t="s">
        <v>7</v>
      </c>
      <c r="B5357" s="24" t="s">
        <v>14551</v>
      </c>
      <c r="C5357" s="25" t="s">
        <v>14552</v>
      </c>
      <c r="D5357" s="25" t="s">
        <v>14553</v>
      </c>
      <c r="E5357" s="26">
        <v>2578</v>
      </c>
    </row>
    <row r="5358" spans="1:5" x14ac:dyDescent="0.25">
      <c r="A5358" s="24" t="s">
        <v>7</v>
      </c>
      <c r="B5358" s="24" t="s">
        <v>14554</v>
      </c>
      <c r="C5358" s="25" t="s">
        <v>14555</v>
      </c>
      <c r="D5358" s="25" t="s">
        <v>14556</v>
      </c>
      <c r="E5358" s="26">
        <v>278</v>
      </c>
    </row>
    <row r="5359" spans="1:5" x14ac:dyDescent="0.25">
      <c r="A5359" s="24" t="s">
        <v>7</v>
      </c>
      <c r="B5359" s="24" t="s">
        <v>14557</v>
      </c>
      <c r="C5359" s="25" t="s">
        <v>14558</v>
      </c>
      <c r="D5359" s="25" t="s">
        <v>14559</v>
      </c>
      <c r="E5359" s="26">
        <v>276</v>
      </c>
    </row>
    <row r="5360" spans="1:5" x14ac:dyDescent="0.25">
      <c r="A5360" s="24" t="s">
        <v>7</v>
      </c>
      <c r="B5360" s="24" t="s">
        <v>14560</v>
      </c>
      <c r="C5360" s="25" t="s">
        <v>14561</v>
      </c>
      <c r="D5360" s="25" t="s">
        <v>14562</v>
      </c>
      <c r="E5360" s="26">
        <v>267</v>
      </c>
    </row>
    <row r="5361" spans="1:5" x14ac:dyDescent="0.25">
      <c r="A5361" s="24" t="s">
        <v>7</v>
      </c>
      <c r="B5361" s="24" t="s">
        <v>14563</v>
      </c>
      <c r="C5361" s="25" t="s">
        <v>14564</v>
      </c>
      <c r="D5361" s="25" t="s">
        <v>14565</v>
      </c>
      <c r="E5361" s="26">
        <v>329</v>
      </c>
    </row>
    <row r="5362" spans="1:5" x14ac:dyDescent="0.25">
      <c r="A5362" s="24" t="s">
        <v>7</v>
      </c>
      <c r="B5362" s="24" t="s">
        <v>14566</v>
      </c>
      <c r="C5362" s="25" t="s">
        <v>14567</v>
      </c>
      <c r="D5362" s="25" t="s">
        <v>14568</v>
      </c>
      <c r="E5362" s="26">
        <v>438</v>
      </c>
    </row>
    <row r="5363" spans="1:5" x14ac:dyDescent="0.25">
      <c r="A5363" s="24" t="s">
        <v>7</v>
      </c>
      <c r="B5363" s="24" t="s">
        <v>14569</v>
      </c>
      <c r="C5363" s="25" t="s">
        <v>14570</v>
      </c>
      <c r="D5363" s="25" t="s">
        <v>14568</v>
      </c>
      <c r="E5363" s="26">
        <v>495</v>
      </c>
    </row>
    <row r="5364" spans="1:5" x14ac:dyDescent="0.25">
      <c r="A5364" s="24" t="s">
        <v>7</v>
      </c>
      <c r="B5364" s="24" t="s">
        <v>14571</v>
      </c>
      <c r="C5364" s="25" t="s">
        <v>14572</v>
      </c>
      <c r="D5364" s="25" t="s">
        <v>14573</v>
      </c>
      <c r="E5364" s="26">
        <v>415</v>
      </c>
    </row>
    <row r="5365" spans="1:5" x14ac:dyDescent="0.25">
      <c r="A5365" s="24" t="s">
        <v>7</v>
      </c>
      <c r="B5365" s="24" t="s">
        <v>14574</v>
      </c>
      <c r="C5365" s="25" t="s">
        <v>14575</v>
      </c>
      <c r="D5365" s="25" t="s">
        <v>14576</v>
      </c>
      <c r="E5365" s="26">
        <v>177</v>
      </c>
    </row>
    <row r="5366" spans="1:5" x14ac:dyDescent="0.25">
      <c r="A5366" s="24" t="s">
        <v>7</v>
      </c>
      <c r="B5366" s="24" t="s">
        <v>14577</v>
      </c>
      <c r="C5366" s="25" t="s">
        <v>14578</v>
      </c>
      <c r="D5366" s="25" t="s">
        <v>14579</v>
      </c>
      <c r="E5366" s="26">
        <v>437</v>
      </c>
    </row>
    <row r="5367" spans="1:5" x14ac:dyDescent="0.25">
      <c r="A5367" s="24" t="s">
        <v>7</v>
      </c>
      <c r="B5367" s="24" t="s">
        <v>14580</v>
      </c>
      <c r="C5367" s="25" t="s">
        <v>14581</v>
      </c>
      <c r="D5367" s="25" t="s">
        <v>14582</v>
      </c>
      <c r="E5367" s="26">
        <v>535</v>
      </c>
    </row>
    <row r="5368" spans="1:5" x14ac:dyDescent="0.25">
      <c r="A5368" s="24" t="s">
        <v>7</v>
      </c>
      <c r="B5368" s="24" t="s">
        <v>14583</v>
      </c>
      <c r="C5368" s="25" t="s">
        <v>14584</v>
      </c>
      <c r="D5368" s="25" t="s">
        <v>14585</v>
      </c>
      <c r="E5368" s="26">
        <v>419</v>
      </c>
    </row>
    <row r="5369" spans="1:5" x14ac:dyDescent="0.25">
      <c r="A5369" s="24" t="s">
        <v>7</v>
      </c>
      <c r="B5369" s="24" t="s">
        <v>14586</v>
      </c>
      <c r="C5369" s="25" t="s">
        <v>14587</v>
      </c>
      <c r="D5369" s="25" t="s">
        <v>14588</v>
      </c>
      <c r="E5369" s="26">
        <v>281</v>
      </c>
    </row>
    <row r="5370" spans="1:5" x14ac:dyDescent="0.25">
      <c r="A5370" s="24" t="s">
        <v>7</v>
      </c>
      <c r="B5370" s="24" t="s">
        <v>14589</v>
      </c>
      <c r="C5370" s="25" t="s">
        <v>14590</v>
      </c>
      <c r="D5370" s="25" t="s">
        <v>14591</v>
      </c>
      <c r="E5370" s="26">
        <v>278</v>
      </c>
    </row>
    <row r="5371" spans="1:5" x14ac:dyDescent="0.25">
      <c r="A5371" s="24" t="s">
        <v>7</v>
      </c>
      <c r="B5371" s="24" t="s">
        <v>14592</v>
      </c>
      <c r="C5371" s="25" t="s">
        <v>14593</v>
      </c>
      <c r="D5371" s="25" t="s">
        <v>14594</v>
      </c>
      <c r="E5371" s="26">
        <v>276</v>
      </c>
    </row>
    <row r="5372" spans="1:5" x14ac:dyDescent="0.25">
      <c r="A5372" s="24" t="s">
        <v>7</v>
      </c>
      <c r="B5372" s="24" t="s">
        <v>14595</v>
      </c>
      <c r="C5372" s="25" t="s">
        <v>14596</v>
      </c>
      <c r="D5372" s="25" t="s">
        <v>14597</v>
      </c>
      <c r="E5372" s="26">
        <v>437</v>
      </c>
    </row>
    <row r="5373" spans="1:5" x14ac:dyDescent="0.25">
      <c r="A5373" s="24" t="s">
        <v>7</v>
      </c>
      <c r="B5373" s="24" t="s">
        <v>14598</v>
      </c>
      <c r="C5373" s="25" t="s">
        <v>14599</v>
      </c>
      <c r="D5373" s="25" t="s">
        <v>14600</v>
      </c>
      <c r="E5373" s="26">
        <v>306</v>
      </c>
    </row>
    <row r="5374" spans="1:5" x14ac:dyDescent="0.25">
      <c r="A5374" s="24" t="s">
        <v>7</v>
      </c>
      <c r="B5374" s="24" t="s">
        <v>14601</v>
      </c>
      <c r="C5374" s="25" t="s">
        <v>14602</v>
      </c>
      <c r="D5374" s="25" t="s">
        <v>14603</v>
      </c>
      <c r="E5374" s="26">
        <v>458</v>
      </c>
    </row>
    <row r="5375" spans="1:5" x14ac:dyDescent="0.25">
      <c r="A5375" s="24" t="s">
        <v>7</v>
      </c>
      <c r="B5375" s="24" t="s">
        <v>14604</v>
      </c>
      <c r="C5375" s="25" t="s">
        <v>14605</v>
      </c>
      <c r="D5375" s="25" t="s">
        <v>14606</v>
      </c>
      <c r="E5375" s="26">
        <v>612</v>
      </c>
    </row>
    <row r="5376" spans="1:5" x14ac:dyDescent="0.25">
      <c r="A5376" s="24" t="s">
        <v>7</v>
      </c>
      <c r="B5376" s="24" t="s">
        <v>14607</v>
      </c>
      <c r="C5376" s="25" t="s">
        <v>14608</v>
      </c>
      <c r="D5376" s="25" t="s">
        <v>14609</v>
      </c>
      <c r="E5376" s="26">
        <v>267</v>
      </c>
    </row>
    <row r="5377" spans="1:5" x14ac:dyDescent="0.25">
      <c r="A5377" s="24" t="s">
        <v>7</v>
      </c>
      <c r="B5377" s="24" t="s">
        <v>14610</v>
      </c>
      <c r="C5377" s="25" t="s">
        <v>14611</v>
      </c>
      <c r="D5377" s="25" t="s">
        <v>14612</v>
      </c>
      <c r="E5377" s="26">
        <v>213</v>
      </c>
    </row>
    <row r="5378" spans="1:5" x14ac:dyDescent="0.25">
      <c r="A5378" s="24" t="s">
        <v>7</v>
      </c>
      <c r="B5378" s="24" t="s">
        <v>14613</v>
      </c>
      <c r="C5378" s="25" t="s">
        <v>14614</v>
      </c>
      <c r="D5378" s="25" t="s">
        <v>14615</v>
      </c>
      <c r="E5378" s="26">
        <v>194</v>
      </c>
    </row>
    <row r="5379" spans="1:5" x14ac:dyDescent="0.25">
      <c r="A5379" s="24" t="s">
        <v>7</v>
      </c>
      <c r="B5379" s="24" t="s">
        <v>14616</v>
      </c>
      <c r="C5379" s="25" t="s">
        <v>14617</v>
      </c>
      <c r="D5379" s="25" t="s">
        <v>14618</v>
      </c>
      <c r="E5379" s="26">
        <v>495</v>
      </c>
    </row>
    <row r="5380" spans="1:5" x14ac:dyDescent="0.25">
      <c r="A5380" s="24" t="s">
        <v>7</v>
      </c>
      <c r="B5380" s="24" t="s">
        <v>14619</v>
      </c>
      <c r="C5380" s="25" t="s">
        <v>14620</v>
      </c>
      <c r="D5380" s="25" t="s">
        <v>14621</v>
      </c>
      <c r="E5380" s="26">
        <v>177</v>
      </c>
    </row>
    <row r="5381" spans="1:5" x14ac:dyDescent="0.25">
      <c r="A5381" s="24" t="s">
        <v>7</v>
      </c>
      <c r="B5381" s="24" t="s">
        <v>14622</v>
      </c>
      <c r="C5381" s="25" t="s">
        <v>14623</v>
      </c>
      <c r="D5381" s="25" t="s">
        <v>14624</v>
      </c>
      <c r="E5381" s="26">
        <v>89</v>
      </c>
    </row>
    <row r="5382" spans="1:5" x14ac:dyDescent="0.25">
      <c r="A5382" s="24" t="s">
        <v>7</v>
      </c>
      <c r="B5382" s="24" t="s">
        <v>14625</v>
      </c>
      <c r="C5382" s="25" t="s">
        <v>14626</v>
      </c>
      <c r="D5382" s="25" t="s">
        <v>14627</v>
      </c>
      <c r="E5382" s="26">
        <v>164</v>
      </c>
    </row>
    <row r="5383" spans="1:5" x14ac:dyDescent="0.25">
      <c r="A5383" s="24" t="s">
        <v>7</v>
      </c>
      <c r="B5383" s="24" t="s">
        <v>14628</v>
      </c>
      <c r="C5383" s="25" t="s">
        <v>14629</v>
      </c>
      <c r="D5383" s="25" t="s">
        <v>14630</v>
      </c>
      <c r="E5383" s="26">
        <v>144</v>
      </c>
    </row>
    <row r="5384" spans="1:5" x14ac:dyDescent="0.25">
      <c r="A5384" s="24" t="s">
        <v>7</v>
      </c>
      <c r="B5384" s="24" t="s">
        <v>14631</v>
      </c>
      <c r="C5384" s="25" t="s">
        <v>14632</v>
      </c>
      <c r="D5384" s="25" t="s">
        <v>14633</v>
      </c>
      <c r="E5384" s="26">
        <v>161</v>
      </c>
    </row>
    <row r="5385" spans="1:5" x14ac:dyDescent="0.25">
      <c r="A5385" s="24" t="s">
        <v>7</v>
      </c>
      <c r="B5385" s="24" t="s">
        <v>14634</v>
      </c>
      <c r="C5385" s="25" t="s">
        <v>14635</v>
      </c>
      <c r="D5385" s="25" t="s">
        <v>14636</v>
      </c>
      <c r="E5385" s="26">
        <v>338</v>
      </c>
    </row>
    <row r="5386" spans="1:5" x14ac:dyDescent="0.25">
      <c r="A5386" s="24" t="s">
        <v>7</v>
      </c>
      <c r="B5386" s="24" t="s">
        <v>14637</v>
      </c>
      <c r="C5386" s="25" t="s">
        <v>14638</v>
      </c>
      <c r="D5386" s="25" t="s">
        <v>14639</v>
      </c>
      <c r="E5386" s="26">
        <v>240</v>
      </c>
    </row>
    <row r="5387" spans="1:5" x14ac:dyDescent="0.25">
      <c r="A5387" s="24" t="s">
        <v>7</v>
      </c>
      <c r="B5387" s="24" t="s">
        <v>14640</v>
      </c>
      <c r="C5387" s="25" t="s">
        <v>14641</v>
      </c>
      <c r="D5387" s="25" t="s">
        <v>14642</v>
      </c>
      <c r="E5387" s="26">
        <v>338</v>
      </c>
    </row>
    <row r="5388" spans="1:5" x14ac:dyDescent="0.25">
      <c r="A5388" s="24" t="s">
        <v>7</v>
      </c>
      <c r="B5388" s="24" t="s">
        <v>14643</v>
      </c>
      <c r="C5388" s="25" t="s">
        <v>14644</v>
      </c>
      <c r="D5388" s="25" t="s">
        <v>14645</v>
      </c>
      <c r="E5388" s="26">
        <v>651</v>
      </c>
    </row>
    <row r="5389" spans="1:5" x14ac:dyDescent="0.25">
      <c r="A5389" s="24" t="s">
        <v>7</v>
      </c>
      <c r="B5389" s="24" t="s">
        <v>14646</v>
      </c>
      <c r="C5389" s="25" t="s">
        <v>14647</v>
      </c>
      <c r="D5389" s="25" t="s">
        <v>14648</v>
      </c>
      <c r="E5389" s="26">
        <v>338</v>
      </c>
    </row>
    <row r="5390" spans="1:5" x14ac:dyDescent="0.25">
      <c r="A5390" s="24" t="s">
        <v>7</v>
      </c>
      <c r="B5390" s="24" t="s">
        <v>14649</v>
      </c>
      <c r="C5390" s="25" t="s">
        <v>14650</v>
      </c>
      <c r="D5390" s="25" t="s">
        <v>14651</v>
      </c>
      <c r="E5390" s="26">
        <v>437</v>
      </c>
    </row>
    <row r="5391" spans="1:5" x14ac:dyDescent="0.25">
      <c r="A5391" s="24" t="s">
        <v>7</v>
      </c>
      <c r="B5391" s="24" t="s">
        <v>14652</v>
      </c>
      <c r="C5391" s="25" t="s">
        <v>14653</v>
      </c>
      <c r="D5391" s="25" t="s">
        <v>14654</v>
      </c>
      <c r="E5391" s="26">
        <v>421</v>
      </c>
    </row>
    <row r="5392" spans="1:5" x14ac:dyDescent="0.25">
      <c r="A5392" s="24" t="s">
        <v>7</v>
      </c>
      <c r="B5392" s="24" t="s">
        <v>14655</v>
      </c>
      <c r="C5392" s="25" t="s">
        <v>14656</v>
      </c>
      <c r="D5392" s="25" t="s">
        <v>14657</v>
      </c>
      <c r="E5392" s="26">
        <v>438</v>
      </c>
    </row>
    <row r="5393" spans="1:5" x14ac:dyDescent="0.25">
      <c r="A5393" s="24" t="s">
        <v>7</v>
      </c>
      <c r="B5393" s="24" t="s">
        <v>14658</v>
      </c>
      <c r="C5393" s="25" t="s">
        <v>14659</v>
      </c>
      <c r="D5393" s="25" t="s">
        <v>14660</v>
      </c>
      <c r="E5393" s="26">
        <v>177</v>
      </c>
    </row>
    <row r="5394" spans="1:5" x14ac:dyDescent="0.25">
      <c r="A5394" s="24" t="s">
        <v>7</v>
      </c>
      <c r="B5394" s="24" t="s">
        <v>14661</v>
      </c>
      <c r="C5394" s="25" t="s">
        <v>14662</v>
      </c>
      <c r="D5394" s="25" t="s">
        <v>14663</v>
      </c>
      <c r="E5394" s="26">
        <v>504</v>
      </c>
    </row>
    <row r="5395" spans="1:5" x14ac:dyDescent="0.25">
      <c r="A5395" s="24" t="s">
        <v>7</v>
      </c>
      <c r="B5395" s="24" t="s">
        <v>14664</v>
      </c>
      <c r="C5395" s="25" t="s">
        <v>14665</v>
      </c>
      <c r="D5395" s="25" t="s">
        <v>14666</v>
      </c>
      <c r="E5395" s="26">
        <v>419</v>
      </c>
    </row>
    <row r="5396" spans="1:5" x14ac:dyDescent="0.25">
      <c r="A5396" s="24" t="s">
        <v>7</v>
      </c>
      <c r="B5396" s="24" t="s">
        <v>14667</v>
      </c>
      <c r="C5396" s="25" t="s">
        <v>14668</v>
      </c>
      <c r="D5396" s="25" t="s">
        <v>14597</v>
      </c>
      <c r="E5396" s="26">
        <v>437</v>
      </c>
    </row>
    <row r="5397" spans="1:5" x14ac:dyDescent="0.25">
      <c r="A5397" s="24" t="s">
        <v>7</v>
      </c>
      <c r="B5397" s="24" t="s">
        <v>14669</v>
      </c>
      <c r="C5397" s="25" t="s">
        <v>14670</v>
      </c>
      <c r="D5397" s="25" t="s">
        <v>14671</v>
      </c>
      <c r="E5397" s="26">
        <v>306</v>
      </c>
    </row>
    <row r="5398" spans="1:5" x14ac:dyDescent="0.25">
      <c r="A5398" s="24" t="s">
        <v>7</v>
      </c>
      <c r="B5398" s="24" t="s">
        <v>14672</v>
      </c>
      <c r="C5398" s="25" t="s">
        <v>14673</v>
      </c>
      <c r="D5398" s="25" t="s">
        <v>14674</v>
      </c>
      <c r="E5398" s="26">
        <v>458</v>
      </c>
    </row>
    <row r="5399" spans="1:5" x14ac:dyDescent="0.25">
      <c r="A5399" s="24" t="s">
        <v>7</v>
      </c>
      <c r="B5399" s="24" t="s">
        <v>14675</v>
      </c>
      <c r="C5399" s="25" t="s">
        <v>14676</v>
      </c>
      <c r="D5399" s="25" t="s">
        <v>14677</v>
      </c>
      <c r="E5399" s="26">
        <v>612</v>
      </c>
    </row>
    <row r="5400" spans="1:5" x14ac:dyDescent="0.25">
      <c r="A5400" s="24" t="s">
        <v>7</v>
      </c>
      <c r="B5400" s="24" t="s">
        <v>14678</v>
      </c>
      <c r="C5400" s="25" t="s">
        <v>14679</v>
      </c>
      <c r="D5400" s="25" t="s">
        <v>14680</v>
      </c>
      <c r="E5400" s="26">
        <v>213</v>
      </c>
    </row>
    <row r="5401" spans="1:5" x14ac:dyDescent="0.25">
      <c r="A5401" s="24" t="s">
        <v>7</v>
      </c>
      <c r="B5401" s="24" t="s">
        <v>14681</v>
      </c>
      <c r="C5401" s="25" t="s">
        <v>14682</v>
      </c>
      <c r="D5401" s="25" t="s">
        <v>14683</v>
      </c>
      <c r="E5401" s="26">
        <v>194</v>
      </c>
    </row>
    <row r="5402" spans="1:5" x14ac:dyDescent="0.25">
      <c r="A5402" s="24" t="s">
        <v>7</v>
      </c>
      <c r="B5402" s="24" t="s">
        <v>14684</v>
      </c>
      <c r="C5402" s="25" t="s">
        <v>14685</v>
      </c>
      <c r="D5402" s="25" t="s">
        <v>14686</v>
      </c>
      <c r="E5402" s="26">
        <v>177</v>
      </c>
    </row>
    <row r="5403" spans="1:5" x14ac:dyDescent="0.25">
      <c r="A5403" s="24" t="s">
        <v>7</v>
      </c>
      <c r="B5403" s="24" t="s">
        <v>14687</v>
      </c>
      <c r="C5403" s="25" t="s">
        <v>14688</v>
      </c>
      <c r="D5403" s="25" t="s">
        <v>14689</v>
      </c>
      <c r="E5403" s="26">
        <v>89</v>
      </c>
    </row>
    <row r="5404" spans="1:5" x14ac:dyDescent="0.25">
      <c r="A5404" s="24" t="s">
        <v>7</v>
      </c>
      <c r="B5404" s="24" t="s">
        <v>14690</v>
      </c>
      <c r="C5404" s="25" t="s">
        <v>14691</v>
      </c>
      <c r="D5404" s="25" t="s">
        <v>14692</v>
      </c>
      <c r="E5404" s="26">
        <v>164</v>
      </c>
    </row>
    <row r="5405" spans="1:5" x14ac:dyDescent="0.25">
      <c r="A5405" s="24" t="s">
        <v>7</v>
      </c>
      <c r="B5405" s="24" t="s">
        <v>14693</v>
      </c>
      <c r="C5405" s="25" t="s">
        <v>14694</v>
      </c>
      <c r="D5405" s="25" t="s">
        <v>14695</v>
      </c>
      <c r="E5405" s="26">
        <v>474</v>
      </c>
    </row>
    <row r="5406" spans="1:5" x14ac:dyDescent="0.25">
      <c r="A5406" s="24" t="s">
        <v>7</v>
      </c>
      <c r="B5406" s="24" t="s">
        <v>14696</v>
      </c>
      <c r="C5406" s="25" t="s">
        <v>14697</v>
      </c>
      <c r="D5406" s="25" t="s">
        <v>14695</v>
      </c>
      <c r="E5406" s="26">
        <v>474</v>
      </c>
    </row>
    <row r="5407" spans="1:5" x14ac:dyDescent="0.25">
      <c r="A5407" s="24" t="s">
        <v>7</v>
      </c>
      <c r="B5407" s="24" t="s">
        <v>14698</v>
      </c>
      <c r="C5407" s="25" t="s">
        <v>14699</v>
      </c>
      <c r="D5407" s="25" t="s">
        <v>14695</v>
      </c>
      <c r="E5407" s="26">
        <v>1077</v>
      </c>
    </row>
    <row r="5408" spans="1:5" x14ac:dyDescent="0.25">
      <c r="A5408" s="24" t="s">
        <v>7</v>
      </c>
      <c r="B5408" s="24" t="s">
        <v>14700</v>
      </c>
      <c r="C5408" s="25" t="s">
        <v>14701</v>
      </c>
      <c r="D5408" s="25" t="s">
        <v>14702</v>
      </c>
      <c r="E5408" s="26">
        <v>584</v>
      </c>
    </row>
    <row r="5409" spans="1:5" x14ac:dyDescent="0.25">
      <c r="A5409" s="24" t="s">
        <v>7</v>
      </c>
      <c r="B5409" s="24" t="s">
        <v>14703</v>
      </c>
      <c r="C5409" s="25" t="s">
        <v>14704</v>
      </c>
      <c r="D5409" s="25" t="s">
        <v>14705</v>
      </c>
      <c r="E5409" s="26">
        <v>432</v>
      </c>
    </row>
    <row r="5410" spans="1:5" x14ac:dyDescent="0.25">
      <c r="A5410" s="24" t="s">
        <v>7</v>
      </c>
      <c r="B5410" s="24" t="s">
        <v>14706</v>
      </c>
      <c r="C5410" s="25" t="s">
        <v>14707</v>
      </c>
      <c r="D5410" s="25" t="s">
        <v>14708</v>
      </c>
      <c r="E5410" s="26">
        <v>432</v>
      </c>
    </row>
    <row r="5411" spans="1:5" x14ac:dyDescent="0.25">
      <c r="A5411" s="24" t="s">
        <v>7</v>
      </c>
      <c r="B5411" s="24" t="s">
        <v>14709</v>
      </c>
      <c r="C5411" s="25" t="s">
        <v>14710</v>
      </c>
      <c r="D5411" s="25" t="s">
        <v>14711</v>
      </c>
      <c r="E5411" s="26">
        <v>432</v>
      </c>
    </row>
    <row r="5412" spans="1:5" x14ac:dyDescent="0.25">
      <c r="A5412" s="24" t="s">
        <v>7</v>
      </c>
      <c r="B5412" s="24" t="s">
        <v>14712</v>
      </c>
      <c r="C5412" s="25" t="s">
        <v>14713</v>
      </c>
      <c r="D5412" s="25" t="s">
        <v>14714</v>
      </c>
      <c r="E5412" s="26">
        <v>261</v>
      </c>
    </row>
    <row r="5413" spans="1:5" x14ac:dyDescent="0.25">
      <c r="A5413" s="24" t="s">
        <v>7</v>
      </c>
      <c r="B5413" s="24" t="s">
        <v>14715</v>
      </c>
      <c r="C5413" s="25" t="s">
        <v>14716</v>
      </c>
      <c r="D5413" s="25" t="s">
        <v>14717</v>
      </c>
      <c r="E5413" s="26">
        <v>261</v>
      </c>
    </row>
    <row r="5414" spans="1:5" x14ac:dyDescent="0.25">
      <c r="A5414" s="24" t="s">
        <v>7</v>
      </c>
      <c r="B5414" s="24" t="s">
        <v>14718</v>
      </c>
      <c r="C5414" s="25" t="s">
        <v>14719</v>
      </c>
      <c r="D5414" s="25" t="s">
        <v>14720</v>
      </c>
      <c r="E5414" s="26">
        <v>261</v>
      </c>
    </row>
    <row r="5415" spans="1:5" x14ac:dyDescent="0.25">
      <c r="A5415" s="24" t="s">
        <v>7</v>
      </c>
      <c r="B5415" s="24" t="s">
        <v>14721</v>
      </c>
      <c r="C5415" s="25" t="s">
        <v>14722</v>
      </c>
      <c r="D5415" s="25" t="s">
        <v>14723</v>
      </c>
      <c r="E5415" s="26">
        <v>565</v>
      </c>
    </row>
    <row r="5416" spans="1:5" x14ac:dyDescent="0.25">
      <c r="A5416" s="24" t="s">
        <v>7</v>
      </c>
      <c r="B5416" s="24" t="s">
        <v>14724</v>
      </c>
      <c r="C5416" s="25" t="s">
        <v>14725</v>
      </c>
      <c r="D5416" s="25" t="s">
        <v>14726</v>
      </c>
      <c r="E5416" s="26">
        <v>540</v>
      </c>
    </row>
    <row r="5417" spans="1:5" x14ac:dyDescent="0.25">
      <c r="A5417" s="24" t="s">
        <v>7</v>
      </c>
      <c r="B5417" s="24" t="s">
        <v>14727</v>
      </c>
      <c r="C5417" s="25" t="s">
        <v>14728</v>
      </c>
      <c r="D5417" s="25" t="s">
        <v>14729</v>
      </c>
      <c r="E5417" s="26">
        <v>516</v>
      </c>
    </row>
    <row r="5418" spans="1:5" x14ac:dyDescent="0.25">
      <c r="A5418" s="24" t="s">
        <v>7</v>
      </c>
      <c r="B5418" s="24" t="s">
        <v>14730</v>
      </c>
      <c r="C5418" s="25" t="s">
        <v>14731</v>
      </c>
      <c r="D5418" s="25" t="s">
        <v>14732</v>
      </c>
      <c r="E5418" s="26">
        <v>1184</v>
      </c>
    </row>
    <row r="5419" spans="1:5" x14ac:dyDescent="0.25">
      <c r="A5419" s="24" t="s">
        <v>7</v>
      </c>
      <c r="B5419" s="24" t="s">
        <v>14733</v>
      </c>
      <c r="C5419" s="25" t="s">
        <v>14734</v>
      </c>
      <c r="D5419" s="25" t="s">
        <v>14735</v>
      </c>
      <c r="E5419" s="26">
        <v>229</v>
      </c>
    </row>
    <row r="5420" spans="1:5" x14ac:dyDescent="0.25">
      <c r="A5420" s="24" t="s">
        <v>7</v>
      </c>
      <c r="B5420" s="24" t="s">
        <v>14736</v>
      </c>
      <c r="C5420" s="25" t="s">
        <v>14737</v>
      </c>
      <c r="D5420" s="25" t="s">
        <v>14738</v>
      </c>
      <c r="E5420" s="26">
        <v>901</v>
      </c>
    </row>
    <row r="5421" spans="1:5" x14ac:dyDescent="0.25">
      <c r="A5421" s="24" t="s">
        <v>7</v>
      </c>
      <c r="B5421" s="24" t="s">
        <v>14739</v>
      </c>
      <c r="C5421" s="25" t="s">
        <v>14740</v>
      </c>
      <c r="D5421" s="25" t="s">
        <v>14741</v>
      </c>
      <c r="E5421" s="26">
        <v>248</v>
      </c>
    </row>
    <row r="5422" spans="1:5" x14ac:dyDescent="0.25">
      <c r="A5422" s="24" t="s">
        <v>7</v>
      </c>
      <c r="B5422" s="24" t="s">
        <v>14742</v>
      </c>
      <c r="C5422" s="25" t="s">
        <v>14743</v>
      </c>
      <c r="D5422" s="25" t="s">
        <v>14744</v>
      </c>
      <c r="E5422" s="26">
        <v>221</v>
      </c>
    </row>
    <row r="5423" spans="1:5" x14ac:dyDescent="0.25">
      <c r="A5423" s="24" t="s">
        <v>7</v>
      </c>
      <c r="B5423" s="24" t="s">
        <v>14745</v>
      </c>
      <c r="C5423" s="25" t="s">
        <v>14746</v>
      </c>
      <c r="D5423" s="25" t="s">
        <v>14747</v>
      </c>
      <c r="E5423" s="26">
        <v>254</v>
      </c>
    </row>
    <row r="5424" spans="1:5" x14ac:dyDescent="0.25">
      <c r="A5424" s="24" t="s">
        <v>7</v>
      </c>
      <c r="B5424" s="24" t="s">
        <v>14748</v>
      </c>
      <c r="C5424" s="25" t="s">
        <v>14749</v>
      </c>
      <c r="D5424" s="25" t="s">
        <v>14750</v>
      </c>
      <c r="E5424" s="26">
        <v>546</v>
      </c>
    </row>
    <row r="5425" spans="1:5" x14ac:dyDescent="0.25">
      <c r="A5425" s="24" t="s">
        <v>7</v>
      </c>
      <c r="B5425" s="24" t="s">
        <v>14751</v>
      </c>
      <c r="C5425" s="25" t="s">
        <v>14752</v>
      </c>
      <c r="D5425" s="25" t="s">
        <v>14753</v>
      </c>
      <c r="E5425" s="26">
        <v>518</v>
      </c>
    </row>
    <row r="5426" spans="1:5" x14ac:dyDescent="0.25">
      <c r="A5426" s="24" t="s">
        <v>7</v>
      </c>
      <c r="B5426" s="24" t="s">
        <v>14754</v>
      </c>
      <c r="C5426" s="25" t="s">
        <v>190</v>
      </c>
      <c r="D5426" s="25" t="s">
        <v>14755</v>
      </c>
      <c r="E5426" s="26">
        <v>75</v>
      </c>
    </row>
    <row r="5427" spans="1:5" x14ac:dyDescent="0.25">
      <c r="A5427" s="24" t="s">
        <v>7</v>
      </c>
      <c r="B5427" s="24" t="s">
        <v>14756</v>
      </c>
      <c r="C5427" s="25" t="s">
        <v>14757</v>
      </c>
      <c r="D5427" s="25" t="s">
        <v>14758</v>
      </c>
      <c r="E5427" s="26">
        <v>260</v>
      </c>
    </row>
    <row r="5428" spans="1:5" x14ac:dyDescent="0.25">
      <c r="A5428" s="24" t="s">
        <v>7</v>
      </c>
      <c r="B5428" s="24" t="s">
        <v>14759</v>
      </c>
      <c r="C5428" s="25" t="s">
        <v>312</v>
      </c>
      <c r="D5428" s="25" t="s">
        <v>313</v>
      </c>
      <c r="E5428" s="26">
        <v>260</v>
      </c>
    </row>
    <row r="5429" spans="1:5" x14ac:dyDescent="0.25">
      <c r="A5429" s="24" t="s">
        <v>7</v>
      </c>
      <c r="B5429" s="24" t="s">
        <v>14760</v>
      </c>
      <c r="C5429" s="25" t="s">
        <v>14761</v>
      </c>
      <c r="D5429" s="25" t="s">
        <v>14762</v>
      </c>
      <c r="E5429" s="26">
        <v>462</v>
      </c>
    </row>
    <row r="5430" spans="1:5" x14ac:dyDescent="0.25">
      <c r="A5430" s="24" t="s">
        <v>7</v>
      </c>
      <c r="B5430" s="24" t="s">
        <v>14763</v>
      </c>
      <c r="C5430" s="25" t="s">
        <v>14764</v>
      </c>
      <c r="D5430" s="25" t="s">
        <v>14765</v>
      </c>
      <c r="E5430" s="26">
        <v>693</v>
      </c>
    </row>
    <row r="5431" spans="1:5" x14ac:dyDescent="0.25">
      <c r="A5431" s="24" t="s">
        <v>7</v>
      </c>
      <c r="B5431" s="24" t="s">
        <v>14766</v>
      </c>
      <c r="C5431" s="25" t="s">
        <v>14767</v>
      </c>
      <c r="D5431" s="25" t="s">
        <v>14768</v>
      </c>
      <c r="E5431" s="26">
        <v>1155</v>
      </c>
    </row>
    <row r="5432" spans="1:5" x14ac:dyDescent="0.25">
      <c r="A5432" s="24" t="s">
        <v>7</v>
      </c>
      <c r="B5432" s="24" t="s">
        <v>14771</v>
      </c>
      <c r="C5432" s="25" t="s">
        <v>14772</v>
      </c>
      <c r="D5432" s="25" t="s">
        <v>14772</v>
      </c>
      <c r="E5432" s="26">
        <v>739</v>
      </c>
    </row>
    <row r="5433" spans="1:5" x14ac:dyDescent="0.25">
      <c r="A5433" s="24" t="s">
        <v>7</v>
      </c>
      <c r="B5433" s="24" t="s">
        <v>14773</v>
      </c>
      <c r="C5433" s="25" t="s">
        <v>14774</v>
      </c>
      <c r="D5433" s="25" t="s">
        <v>14774</v>
      </c>
      <c r="E5433" s="26">
        <v>473</v>
      </c>
    </row>
    <row r="5434" spans="1:5" x14ac:dyDescent="0.25">
      <c r="A5434" s="24" t="s">
        <v>7</v>
      </c>
      <c r="B5434" s="24" t="s">
        <v>14775</v>
      </c>
      <c r="C5434" s="25" t="s">
        <v>14776</v>
      </c>
      <c r="D5434" s="25" t="s">
        <v>14777</v>
      </c>
      <c r="E5434" s="26">
        <v>4962</v>
      </c>
    </row>
    <row r="5435" spans="1:5" x14ac:dyDescent="0.25">
      <c r="A5435" s="24" t="s">
        <v>7</v>
      </c>
      <c r="B5435" s="24" t="s">
        <v>14778</v>
      </c>
      <c r="C5435" s="25" t="s">
        <v>14779</v>
      </c>
      <c r="D5435" s="25" t="s">
        <v>14779</v>
      </c>
      <c r="E5435" s="26">
        <v>929</v>
      </c>
    </row>
    <row r="5436" spans="1:5" x14ac:dyDescent="0.25">
      <c r="A5436" s="24" t="s">
        <v>7</v>
      </c>
      <c r="B5436" s="24" t="s">
        <v>14780</v>
      </c>
      <c r="C5436" s="25" t="s">
        <v>14781</v>
      </c>
      <c r="D5436" s="25" t="s">
        <v>14782</v>
      </c>
      <c r="E5436" s="26">
        <v>1394</v>
      </c>
    </row>
    <row r="5437" spans="1:5" x14ac:dyDescent="0.25">
      <c r="A5437" s="24" t="s">
        <v>7</v>
      </c>
      <c r="B5437" s="24" t="s">
        <v>14783</v>
      </c>
      <c r="C5437" s="25" t="s">
        <v>14784</v>
      </c>
      <c r="D5437" s="25" t="s">
        <v>14784</v>
      </c>
      <c r="E5437" s="26">
        <v>2626</v>
      </c>
    </row>
    <row r="5438" spans="1:5" x14ac:dyDescent="0.25">
      <c r="A5438" s="24" t="s">
        <v>7</v>
      </c>
      <c r="B5438" s="24" t="s">
        <v>14785</v>
      </c>
      <c r="C5438" s="25" t="s">
        <v>14786</v>
      </c>
      <c r="D5438" s="25" t="s">
        <v>14786</v>
      </c>
      <c r="E5438" s="26">
        <v>3815</v>
      </c>
    </row>
    <row r="5439" spans="1:5" x14ac:dyDescent="0.25">
      <c r="A5439" s="24" t="s">
        <v>7</v>
      </c>
      <c r="B5439" s="24" t="s">
        <v>14787</v>
      </c>
      <c r="C5439" s="25" t="s">
        <v>14788</v>
      </c>
      <c r="D5439" s="25" t="s">
        <v>14789</v>
      </c>
      <c r="E5439" s="26">
        <v>659</v>
      </c>
    </row>
    <row r="5440" spans="1:5" x14ac:dyDescent="0.25">
      <c r="A5440" s="24" t="s">
        <v>7</v>
      </c>
      <c r="B5440" s="24" t="s">
        <v>14790</v>
      </c>
      <c r="C5440" s="25" t="s">
        <v>14791</v>
      </c>
      <c r="D5440" s="25" t="s">
        <v>14792</v>
      </c>
      <c r="E5440" s="26">
        <v>1165</v>
      </c>
    </row>
    <row r="5441" spans="1:5" x14ac:dyDescent="0.25">
      <c r="A5441" s="24" t="s">
        <v>7</v>
      </c>
      <c r="B5441" s="24" t="s">
        <v>14793</v>
      </c>
      <c r="C5441" s="25" t="s">
        <v>214</v>
      </c>
      <c r="D5441" s="25" t="s">
        <v>14794</v>
      </c>
      <c r="E5441" s="26">
        <v>616</v>
      </c>
    </row>
    <row r="5442" spans="1:5" x14ac:dyDescent="0.25">
      <c r="A5442" s="24" t="s">
        <v>7</v>
      </c>
      <c r="B5442" s="24" t="s">
        <v>14795</v>
      </c>
      <c r="C5442" s="25" t="s">
        <v>217</v>
      </c>
      <c r="D5442" s="25" t="s">
        <v>218</v>
      </c>
      <c r="E5442" s="26">
        <v>267</v>
      </c>
    </row>
    <row r="5443" spans="1:5" x14ac:dyDescent="0.25">
      <c r="A5443" s="24" t="s">
        <v>7</v>
      </c>
      <c r="B5443" s="24" t="s">
        <v>14796</v>
      </c>
      <c r="C5443" s="25" t="s">
        <v>220</v>
      </c>
      <c r="D5443" s="25" t="s">
        <v>221</v>
      </c>
      <c r="E5443" s="26">
        <v>560</v>
      </c>
    </row>
    <row r="5444" spans="1:5" x14ac:dyDescent="0.25">
      <c r="A5444" s="24" t="s">
        <v>7</v>
      </c>
      <c r="B5444" s="24" t="s">
        <v>14797</v>
      </c>
      <c r="C5444" s="25" t="s">
        <v>223</v>
      </c>
      <c r="D5444" s="25" t="s">
        <v>224</v>
      </c>
      <c r="E5444" s="26">
        <v>250</v>
      </c>
    </row>
    <row r="5445" spans="1:5" x14ac:dyDescent="0.25">
      <c r="A5445" s="24" t="s">
        <v>7</v>
      </c>
      <c r="B5445" s="24" t="s">
        <v>14798</v>
      </c>
      <c r="C5445" s="25" t="s">
        <v>226</v>
      </c>
      <c r="D5445" s="25" t="s">
        <v>227</v>
      </c>
      <c r="E5445" s="26">
        <v>228</v>
      </c>
    </row>
    <row r="5446" spans="1:5" x14ac:dyDescent="0.25">
      <c r="A5446" s="24" t="s">
        <v>7</v>
      </c>
      <c r="B5446" s="24" t="s">
        <v>14799</v>
      </c>
      <c r="C5446" s="25" t="s">
        <v>229</v>
      </c>
      <c r="D5446" s="25" t="s">
        <v>230</v>
      </c>
      <c r="E5446" s="26">
        <v>148</v>
      </c>
    </row>
    <row r="5447" spans="1:5" x14ac:dyDescent="0.25">
      <c r="A5447" s="24" t="s">
        <v>7</v>
      </c>
      <c r="B5447" s="24" t="s">
        <v>14800</v>
      </c>
      <c r="C5447" s="25" t="s">
        <v>232</v>
      </c>
      <c r="D5447" s="25" t="s">
        <v>233</v>
      </c>
      <c r="E5447" s="26">
        <v>397</v>
      </c>
    </row>
    <row r="5448" spans="1:5" x14ac:dyDescent="0.25">
      <c r="A5448" s="24" t="s">
        <v>7</v>
      </c>
      <c r="B5448" s="24" t="s">
        <v>14801</v>
      </c>
      <c r="C5448" s="25" t="s">
        <v>235</v>
      </c>
      <c r="D5448" s="25" t="s">
        <v>236</v>
      </c>
      <c r="E5448" s="26">
        <v>139</v>
      </c>
    </row>
    <row r="5449" spans="1:5" x14ac:dyDescent="0.25">
      <c r="A5449" s="24" t="s">
        <v>7</v>
      </c>
      <c r="B5449" s="24" t="s">
        <v>14802</v>
      </c>
      <c r="C5449" s="25" t="s">
        <v>238</v>
      </c>
      <c r="D5449" s="25" t="s">
        <v>239</v>
      </c>
      <c r="E5449" s="26">
        <v>251</v>
      </c>
    </row>
    <row r="5450" spans="1:5" x14ac:dyDescent="0.25">
      <c r="A5450" s="24" t="s">
        <v>7</v>
      </c>
      <c r="B5450" s="24" t="s">
        <v>14803</v>
      </c>
      <c r="C5450" s="25" t="s">
        <v>14804</v>
      </c>
      <c r="D5450" s="25" t="s">
        <v>14805</v>
      </c>
      <c r="E5450" s="26">
        <v>1036</v>
      </c>
    </row>
    <row r="5451" spans="1:5" x14ac:dyDescent="0.25">
      <c r="A5451" s="24" t="s">
        <v>7</v>
      </c>
      <c r="B5451" s="24" t="s">
        <v>14806</v>
      </c>
      <c r="C5451" s="25" t="s">
        <v>14807</v>
      </c>
      <c r="D5451" s="25" t="s">
        <v>14808</v>
      </c>
      <c r="E5451" s="26">
        <v>9022</v>
      </c>
    </row>
    <row r="5452" spans="1:5" x14ac:dyDescent="0.25">
      <c r="A5452" s="24" t="s">
        <v>7</v>
      </c>
      <c r="B5452" s="24" t="s">
        <v>14809</v>
      </c>
      <c r="C5452" s="25" t="s">
        <v>241</v>
      </c>
      <c r="D5452" s="25" t="s">
        <v>242</v>
      </c>
      <c r="E5452" s="26">
        <v>167</v>
      </c>
    </row>
    <row r="5453" spans="1:5" x14ac:dyDescent="0.25">
      <c r="A5453" s="24" t="s">
        <v>7</v>
      </c>
      <c r="B5453" s="24" t="s">
        <v>14810</v>
      </c>
      <c r="C5453" s="25" t="s">
        <v>14811</v>
      </c>
      <c r="D5453" s="25" t="s">
        <v>14812</v>
      </c>
      <c r="E5453" s="26">
        <v>1657</v>
      </c>
    </row>
    <row r="5454" spans="1:5" x14ac:dyDescent="0.25">
      <c r="A5454" s="24" t="s">
        <v>7</v>
      </c>
      <c r="B5454" s="24" t="s">
        <v>14813</v>
      </c>
      <c r="C5454" s="25" t="s">
        <v>14814</v>
      </c>
      <c r="D5454" s="25" t="s">
        <v>14815</v>
      </c>
      <c r="E5454" s="26">
        <v>8229</v>
      </c>
    </row>
    <row r="5455" spans="1:5" x14ac:dyDescent="0.25">
      <c r="A5455" s="24" t="s">
        <v>7</v>
      </c>
      <c r="B5455" s="24" t="s">
        <v>14816</v>
      </c>
      <c r="C5455" s="25" t="s">
        <v>14817</v>
      </c>
      <c r="D5455" s="25" t="s">
        <v>14818</v>
      </c>
      <c r="E5455" s="26">
        <v>363</v>
      </c>
    </row>
    <row r="5456" spans="1:5" x14ac:dyDescent="0.25">
      <c r="A5456" s="24" t="s">
        <v>7</v>
      </c>
      <c r="B5456" s="24" t="s">
        <v>14819</v>
      </c>
      <c r="C5456" s="25" t="s">
        <v>14820</v>
      </c>
      <c r="D5456" s="25" t="s">
        <v>14821</v>
      </c>
      <c r="E5456" s="26">
        <v>2492</v>
      </c>
    </row>
    <row r="5457" spans="1:5" x14ac:dyDescent="0.25">
      <c r="A5457" s="24" t="s">
        <v>7</v>
      </c>
      <c r="B5457" s="24" t="s">
        <v>14822</v>
      </c>
      <c r="C5457" s="25" t="s">
        <v>202</v>
      </c>
      <c r="D5457" s="25" t="s">
        <v>203</v>
      </c>
      <c r="E5457" s="26">
        <v>75</v>
      </c>
    </row>
    <row r="5458" spans="1:5" x14ac:dyDescent="0.25">
      <c r="A5458" s="24" t="s">
        <v>7</v>
      </c>
      <c r="B5458" s="24" t="s">
        <v>14823</v>
      </c>
      <c r="C5458" s="25" t="s">
        <v>205</v>
      </c>
      <c r="D5458" s="25" t="s">
        <v>206</v>
      </c>
      <c r="E5458" s="26">
        <v>34</v>
      </c>
    </row>
    <row r="5459" spans="1:5" x14ac:dyDescent="0.25">
      <c r="A5459" s="24" t="s">
        <v>7</v>
      </c>
      <c r="B5459" s="24" t="s">
        <v>14824</v>
      </c>
      <c r="C5459" s="25" t="s">
        <v>14825</v>
      </c>
      <c r="D5459" s="25" t="s">
        <v>5283</v>
      </c>
      <c r="E5459" s="26">
        <v>319</v>
      </c>
    </row>
    <row r="5460" spans="1:5" x14ac:dyDescent="0.25">
      <c r="A5460" s="24" t="s">
        <v>7</v>
      </c>
      <c r="B5460" s="24" t="s">
        <v>14826</v>
      </c>
      <c r="C5460" s="25" t="s">
        <v>5282</v>
      </c>
      <c r="D5460" s="25" t="s">
        <v>5283</v>
      </c>
      <c r="E5460" s="26">
        <v>182</v>
      </c>
    </row>
    <row r="5461" spans="1:5" x14ac:dyDescent="0.25">
      <c r="A5461" s="24" t="s">
        <v>7</v>
      </c>
      <c r="B5461" s="24" t="s">
        <v>14827</v>
      </c>
      <c r="C5461" s="25" t="s">
        <v>5285</v>
      </c>
      <c r="D5461" s="25" t="s">
        <v>5286</v>
      </c>
      <c r="E5461" s="26">
        <v>157</v>
      </c>
    </row>
    <row r="5462" spans="1:5" x14ac:dyDescent="0.25">
      <c r="A5462" s="24" t="s">
        <v>7</v>
      </c>
      <c r="B5462" s="24" t="s">
        <v>14828</v>
      </c>
      <c r="C5462" s="25" t="s">
        <v>14829</v>
      </c>
      <c r="D5462" s="25" t="s">
        <v>14830</v>
      </c>
      <c r="E5462" s="26">
        <v>626</v>
      </c>
    </row>
    <row r="5463" spans="1:5" x14ac:dyDescent="0.25">
      <c r="A5463" s="24" t="s">
        <v>7</v>
      </c>
      <c r="B5463" s="24" t="s">
        <v>14831</v>
      </c>
      <c r="C5463" s="25" t="s">
        <v>14832</v>
      </c>
      <c r="D5463" s="25" t="s">
        <v>14833</v>
      </c>
      <c r="E5463" s="26">
        <v>1964</v>
      </c>
    </row>
    <row r="5464" spans="1:5" x14ac:dyDescent="0.25">
      <c r="A5464" s="24" t="s">
        <v>7</v>
      </c>
      <c r="B5464" s="24" t="s">
        <v>14834</v>
      </c>
      <c r="C5464" s="25" t="s">
        <v>14835</v>
      </c>
      <c r="D5464" s="25" t="s">
        <v>14836</v>
      </c>
      <c r="E5464" s="26">
        <v>3118</v>
      </c>
    </row>
    <row r="5465" spans="1:5" x14ac:dyDescent="0.25">
      <c r="A5465" s="24" t="s">
        <v>7</v>
      </c>
      <c r="B5465" s="24" t="s">
        <v>14837</v>
      </c>
      <c r="C5465" s="25" t="s">
        <v>14838</v>
      </c>
      <c r="D5465" s="25" t="s">
        <v>14839</v>
      </c>
      <c r="E5465" s="26">
        <v>4620</v>
      </c>
    </row>
    <row r="5466" spans="1:5" x14ac:dyDescent="0.25">
      <c r="A5466" s="24" t="s">
        <v>7</v>
      </c>
      <c r="B5466" s="24" t="s">
        <v>14840</v>
      </c>
      <c r="C5466" s="25" t="s">
        <v>14841</v>
      </c>
      <c r="D5466" s="25" t="s">
        <v>14842</v>
      </c>
      <c r="E5466" s="26">
        <v>6352</v>
      </c>
    </row>
    <row r="5467" spans="1:5" x14ac:dyDescent="0.25">
      <c r="A5467" s="24" t="s">
        <v>7</v>
      </c>
      <c r="B5467" s="24" t="s">
        <v>14843</v>
      </c>
      <c r="C5467" s="25" t="s">
        <v>14844</v>
      </c>
      <c r="D5467" s="25" t="s">
        <v>14845</v>
      </c>
      <c r="E5467" s="26">
        <v>8316</v>
      </c>
    </row>
    <row r="5468" spans="1:5" x14ac:dyDescent="0.25">
      <c r="A5468" s="24" t="s">
        <v>7</v>
      </c>
      <c r="B5468" s="24" t="s">
        <v>14846</v>
      </c>
      <c r="C5468" s="25" t="s">
        <v>14847</v>
      </c>
      <c r="D5468" s="25" t="s">
        <v>14848</v>
      </c>
      <c r="E5468" s="26">
        <v>10395</v>
      </c>
    </row>
    <row r="5469" spans="1:5" x14ac:dyDescent="0.25">
      <c r="A5469" s="24" t="s">
        <v>7</v>
      </c>
      <c r="B5469" s="24" t="s">
        <v>14849</v>
      </c>
      <c r="C5469" s="25" t="s">
        <v>14850</v>
      </c>
      <c r="D5469" s="25" t="s">
        <v>14851</v>
      </c>
      <c r="E5469" s="26">
        <v>12705</v>
      </c>
    </row>
    <row r="5470" spans="1:5" x14ac:dyDescent="0.25">
      <c r="A5470" s="24" t="s">
        <v>7</v>
      </c>
      <c r="B5470" s="24" t="s">
        <v>14852</v>
      </c>
      <c r="C5470" s="25" t="s">
        <v>190</v>
      </c>
      <c r="D5470" s="25" t="s">
        <v>14755</v>
      </c>
      <c r="E5470" s="26">
        <v>254</v>
      </c>
    </row>
    <row r="5471" spans="1:5" x14ac:dyDescent="0.25">
      <c r="A5471" s="24" t="s">
        <v>7</v>
      </c>
      <c r="B5471" s="24" t="s">
        <v>14853</v>
      </c>
      <c r="C5471" s="25" t="s">
        <v>14757</v>
      </c>
      <c r="D5471" s="25" t="s">
        <v>14758</v>
      </c>
      <c r="E5471" s="26">
        <v>254</v>
      </c>
    </row>
    <row r="5472" spans="1:5" x14ac:dyDescent="0.25">
      <c r="A5472" s="24" t="s">
        <v>7</v>
      </c>
      <c r="B5472" s="24" t="s">
        <v>14854</v>
      </c>
      <c r="C5472" s="25" t="s">
        <v>312</v>
      </c>
      <c r="D5472" s="25" t="s">
        <v>313</v>
      </c>
      <c r="E5472" s="26">
        <v>254</v>
      </c>
    </row>
    <row r="5473" spans="1:5" x14ac:dyDescent="0.25">
      <c r="A5473" s="24" t="s">
        <v>7</v>
      </c>
      <c r="B5473" s="24" t="s">
        <v>14855</v>
      </c>
      <c r="C5473" s="25" t="s">
        <v>202</v>
      </c>
      <c r="D5473" s="25" t="s">
        <v>203</v>
      </c>
      <c r="E5473" s="26">
        <v>75</v>
      </c>
    </row>
    <row r="5474" spans="1:5" x14ac:dyDescent="0.25">
      <c r="A5474" s="24" t="s">
        <v>7</v>
      </c>
      <c r="B5474" s="24" t="s">
        <v>14856</v>
      </c>
      <c r="C5474" s="25" t="s">
        <v>205</v>
      </c>
      <c r="D5474" s="25" t="s">
        <v>206</v>
      </c>
      <c r="E5474" s="26">
        <v>240</v>
      </c>
    </row>
    <row r="5475" spans="1:5" x14ac:dyDescent="0.25">
      <c r="A5475" s="24" t="s">
        <v>7</v>
      </c>
      <c r="B5475" s="24" t="s">
        <v>14857</v>
      </c>
      <c r="C5475" s="25" t="s">
        <v>214</v>
      </c>
      <c r="D5475" s="25" t="s">
        <v>14794</v>
      </c>
      <c r="E5475" s="26">
        <v>616</v>
      </c>
    </row>
    <row r="5476" spans="1:5" x14ac:dyDescent="0.25">
      <c r="A5476" s="24" t="s">
        <v>7</v>
      </c>
      <c r="B5476" s="24" t="s">
        <v>14858</v>
      </c>
      <c r="C5476" s="25" t="s">
        <v>217</v>
      </c>
      <c r="D5476" s="25" t="s">
        <v>218</v>
      </c>
      <c r="E5476" s="26">
        <v>267</v>
      </c>
    </row>
    <row r="5477" spans="1:5" x14ac:dyDescent="0.25">
      <c r="A5477" s="24" t="s">
        <v>7</v>
      </c>
      <c r="B5477" s="24" t="s">
        <v>14859</v>
      </c>
      <c r="C5477" s="25" t="s">
        <v>220</v>
      </c>
      <c r="D5477" s="25" t="s">
        <v>221</v>
      </c>
      <c r="E5477" s="26">
        <v>560</v>
      </c>
    </row>
    <row r="5478" spans="1:5" x14ac:dyDescent="0.25">
      <c r="A5478" s="24" t="s">
        <v>7</v>
      </c>
      <c r="B5478" s="24" t="s">
        <v>14860</v>
      </c>
      <c r="C5478" s="25" t="s">
        <v>223</v>
      </c>
      <c r="D5478" s="25" t="s">
        <v>224</v>
      </c>
      <c r="E5478" s="26">
        <v>549</v>
      </c>
    </row>
    <row r="5479" spans="1:5" x14ac:dyDescent="0.25">
      <c r="A5479" s="24" t="s">
        <v>7</v>
      </c>
      <c r="B5479" s="24" t="s">
        <v>14861</v>
      </c>
      <c r="C5479" s="25" t="s">
        <v>226</v>
      </c>
      <c r="D5479" s="25" t="s">
        <v>227</v>
      </c>
      <c r="E5479" s="26">
        <v>549</v>
      </c>
    </row>
    <row r="5480" spans="1:5" x14ac:dyDescent="0.25">
      <c r="A5480" s="24" t="s">
        <v>7</v>
      </c>
      <c r="B5480" s="24" t="s">
        <v>14862</v>
      </c>
      <c r="C5480" s="25" t="s">
        <v>229</v>
      </c>
      <c r="D5480" s="25" t="s">
        <v>230</v>
      </c>
      <c r="E5480" s="26">
        <v>549</v>
      </c>
    </row>
    <row r="5481" spans="1:5" x14ac:dyDescent="0.25">
      <c r="A5481" s="24" t="s">
        <v>7</v>
      </c>
      <c r="B5481" s="24" t="s">
        <v>14863</v>
      </c>
      <c r="C5481" s="25" t="s">
        <v>241</v>
      </c>
      <c r="D5481" s="25" t="s">
        <v>242</v>
      </c>
      <c r="E5481" s="26">
        <v>167</v>
      </c>
    </row>
    <row r="5482" spans="1:5" x14ac:dyDescent="0.25">
      <c r="A5482" s="24" t="s">
        <v>7</v>
      </c>
      <c r="B5482" s="24" t="s">
        <v>14864</v>
      </c>
      <c r="C5482" s="25" t="s">
        <v>232</v>
      </c>
      <c r="D5482" s="25" t="s">
        <v>233</v>
      </c>
      <c r="E5482" s="26">
        <v>397</v>
      </c>
    </row>
    <row r="5483" spans="1:5" x14ac:dyDescent="0.25">
      <c r="A5483" s="24" t="s">
        <v>7</v>
      </c>
      <c r="B5483" s="24" t="s">
        <v>14865</v>
      </c>
      <c r="C5483" s="25" t="s">
        <v>235</v>
      </c>
      <c r="D5483" s="25" t="s">
        <v>236</v>
      </c>
      <c r="E5483" s="26">
        <v>139</v>
      </c>
    </row>
    <row r="5484" spans="1:5" x14ac:dyDescent="0.25">
      <c r="A5484" s="24" t="s">
        <v>7</v>
      </c>
      <c r="B5484" s="24" t="s">
        <v>14866</v>
      </c>
      <c r="C5484" s="25" t="s">
        <v>238</v>
      </c>
      <c r="D5484" s="25" t="s">
        <v>239</v>
      </c>
      <c r="E5484" s="26">
        <v>251</v>
      </c>
    </row>
    <row r="5485" spans="1:5" x14ac:dyDescent="0.25">
      <c r="A5485" s="24" t="s">
        <v>7</v>
      </c>
      <c r="B5485" s="24" t="s">
        <v>14867</v>
      </c>
      <c r="C5485" s="25" t="s">
        <v>14761</v>
      </c>
      <c r="D5485" s="25" t="s">
        <v>14762</v>
      </c>
      <c r="E5485" s="26">
        <v>462</v>
      </c>
    </row>
    <row r="5486" spans="1:5" x14ac:dyDescent="0.25">
      <c r="A5486" s="24" t="s">
        <v>7</v>
      </c>
      <c r="B5486" s="24" t="s">
        <v>14868</v>
      </c>
      <c r="C5486" s="25" t="s">
        <v>14764</v>
      </c>
      <c r="D5486" s="25" t="s">
        <v>14765</v>
      </c>
      <c r="E5486" s="26">
        <v>693</v>
      </c>
    </row>
    <row r="5487" spans="1:5" x14ac:dyDescent="0.25">
      <c r="A5487" s="24" t="s">
        <v>7</v>
      </c>
      <c r="B5487" s="24" t="s">
        <v>14869</v>
      </c>
      <c r="C5487" s="25" t="s">
        <v>14767</v>
      </c>
      <c r="D5487" s="25" t="s">
        <v>14768</v>
      </c>
      <c r="E5487" s="26">
        <v>1155</v>
      </c>
    </row>
    <row r="5488" spans="1:5" x14ac:dyDescent="0.25">
      <c r="A5488" s="24" t="s">
        <v>7</v>
      </c>
      <c r="B5488" s="24" t="s">
        <v>14870</v>
      </c>
      <c r="C5488" s="25" t="s">
        <v>193</v>
      </c>
      <c r="D5488" s="25" t="s">
        <v>194</v>
      </c>
      <c r="E5488" s="26">
        <v>2416</v>
      </c>
    </row>
    <row r="5489" spans="1:5" x14ac:dyDescent="0.25">
      <c r="A5489" s="24" t="s">
        <v>7</v>
      </c>
      <c r="B5489" s="24" t="s">
        <v>14871</v>
      </c>
      <c r="C5489" s="25" t="s">
        <v>196</v>
      </c>
      <c r="D5489" s="25" t="s">
        <v>197</v>
      </c>
      <c r="E5489" s="26">
        <v>561</v>
      </c>
    </row>
    <row r="5490" spans="1:5" x14ac:dyDescent="0.25">
      <c r="A5490" s="24" t="s">
        <v>7</v>
      </c>
      <c r="B5490" s="24" t="s">
        <v>14872</v>
      </c>
      <c r="C5490" s="25" t="s">
        <v>14873</v>
      </c>
      <c r="D5490" s="25" t="s">
        <v>14874</v>
      </c>
      <c r="E5490" s="26">
        <v>473</v>
      </c>
    </row>
    <row r="5491" spans="1:5" x14ac:dyDescent="0.25">
      <c r="A5491" s="24" t="s">
        <v>7</v>
      </c>
      <c r="B5491" s="24" t="s">
        <v>14875</v>
      </c>
      <c r="C5491" s="25" t="s">
        <v>14876</v>
      </c>
      <c r="D5491" s="25" t="s">
        <v>14874</v>
      </c>
      <c r="E5491" s="26">
        <v>929</v>
      </c>
    </row>
    <row r="5492" spans="1:5" x14ac:dyDescent="0.25">
      <c r="A5492" s="24" t="s">
        <v>7</v>
      </c>
      <c r="B5492" s="24" t="s">
        <v>14877</v>
      </c>
      <c r="C5492" s="25" t="s">
        <v>14878</v>
      </c>
      <c r="D5492" s="25" t="s">
        <v>14874</v>
      </c>
      <c r="E5492" s="26">
        <v>1394</v>
      </c>
    </row>
    <row r="5493" spans="1:5" x14ac:dyDescent="0.25">
      <c r="A5493" s="24" t="s">
        <v>7</v>
      </c>
      <c r="B5493" s="24" t="s">
        <v>14879</v>
      </c>
      <c r="C5493" s="25" t="s">
        <v>14880</v>
      </c>
      <c r="D5493" s="25" t="s">
        <v>14874</v>
      </c>
      <c r="E5493" s="26">
        <v>2626</v>
      </c>
    </row>
    <row r="5494" spans="1:5" x14ac:dyDescent="0.25">
      <c r="A5494" s="24" t="s">
        <v>7</v>
      </c>
      <c r="B5494" s="24" t="s">
        <v>14881</v>
      </c>
      <c r="C5494" s="25" t="s">
        <v>14882</v>
      </c>
      <c r="D5494" s="25" t="s">
        <v>14874</v>
      </c>
      <c r="E5494" s="26">
        <v>3815</v>
      </c>
    </row>
    <row r="5495" spans="1:5" x14ac:dyDescent="0.25">
      <c r="A5495" s="24" t="s">
        <v>7</v>
      </c>
      <c r="B5495" s="24" t="s">
        <v>14883</v>
      </c>
      <c r="C5495" s="25" t="s">
        <v>14776</v>
      </c>
      <c r="D5495" s="25" t="s">
        <v>14884</v>
      </c>
      <c r="E5495" s="26">
        <v>18275</v>
      </c>
    </row>
    <row r="5496" spans="1:5" x14ac:dyDescent="0.25">
      <c r="A5496" s="24" t="s">
        <v>7</v>
      </c>
      <c r="B5496" s="24" t="s">
        <v>14885</v>
      </c>
      <c r="C5496" s="25" t="s">
        <v>14820</v>
      </c>
      <c r="D5496" s="25" t="s">
        <v>14821</v>
      </c>
      <c r="E5496" s="26">
        <v>7408</v>
      </c>
    </row>
    <row r="5497" spans="1:5" x14ac:dyDescent="0.25">
      <c r="A5497" s="24" t="s">
        <v>7</v>
      </c>
      <c r="B5497" s="24" t="s">
        <v>14886</v>
      </c>
      <c r="C5497" s="25" t="s">
        <v>14832</v>
      </c>
      <c r="D5497" s="25" t="s">
        <v>14833</v>
      </c>
      <c r="E5497" s="26">
        <v>1964</v>
      </c>
    </row>
    <row r="5498" spans="1:5" x14ac:dyDescent="0.25">
      <c r="A5498" s="24" t="s">
        <v>7</v>
      </c>
      <c r="B5498" s="24" t="s">
        <v>14887</v>
      </c>
      <c r="C5498" s="25" t="s">
        <v>14835</v>
      </c>
      <c r="D5498" s="25" t="s">
        <v>14836</v>
      </c>
      <c r="E5498" s="26">
        <v>3118</v>
      </c>
    </row>
    <row r="5499" spans="1:5" x14ac:dyDescent="0.25">
      <c r="A5499" s="24" t="s">
        <v>7</v>
      </c>
      <c r="B5499" s="24" t="s">
        <v>14888</v>
      </c>
      <c r="C5499" s="25" t="s">
        <v>14838</v>
      </c>
      <c r="D5499" s="25" t="s">
        <v>14839</v>
      </c>
      <c r="E5499" s="26">
        <v>4620</v>
      </c>
    </row>
    <row r="5500" spans="1:5" x14ac:dyDescent="0.25">
      <c r="A5500" s="24" t="s">
        <v>7</v>
      </c>
      <c r="B5500" s="24" t="s">
        <v>14889</v>
      </c>
      <c r="C5500" s="25" t="s">
        <v>14841</v>
      </c>
      <c r="D5500" s="25" t="s">
        <v>14842</v>
      </c>
      <c r="E5500" s="26">
        <v>6352</v>
      </c>
    </row>
    <row r="5501" spans="1:5" x14ac:dyDescent="0.25">
      <c r="A5501" s="24" t="s">
        <v>7</v>
      </c>
      <c r="B5501" s="24" t="s">
        <v>14890</v>
      </c>
      <c r="C5501" s="25" t="s">
        <v>14844</v>
      </c>
      <c r="D5501" s="25" t="s">
        <v>14845</v>
      </c>
      <c r="E5501" s="26">
        <v>8316</v>
      </c>
    </row>
    <row r="5502" spans="1:5" x14ac:dyDescent="0.25">
      <c r="A5502" s="24" t="s">
        <v>7</v>
      </c>
      <c r="B5502" s="24" t="s">
        <v>14891</v>
      </c>
      <c r="C5502" s="25" t="s">
        <v>14847</v>
      </c>
      <c r="D5502" s="25" t="s">
        <v>14848</v>
      </c>
      <c r="E5502" s="26">
        <v>10395</v>
      </c>
    </row>
    <row r="5503" spans="1:5" x14ac:dyDescent="0.25">
      <c r="A5503" s="24" t="s">
        <v>7</v>
      </c>
      <c r="B5503" s="24" t="s">
        <v>14892</v>
      </c>
      <c r="C5503" s="25" t="s">
        <v>14850</v>
      </c>
      <c r="D5503" s="25" t="s">
        <v>14851</v>
      </c>
      <c r="E5503" s="26">
        <v>12705</v>
      </c>
    </row>
    <row r="5504" spans="1:5" x14ac:dyDescent="0.25">
      <c r="A5504" s="24" t="s">
        <v>7</v>
      </c>
      <c r="B5504" s="24" t="s">
        <v>14893</v>
      </c>
      <c r="C5504" s="25" t="s">
        <v>14894</v>
      </c>
      <c r="D5504" s="25" t="s">
        <v>14895</v>
      </c>
      <c r="E5504" s="26">
        <v>782</v>
      </c>
    </row>
    <row r="5505" spans="1:5" x14ac:dyDescent="0.25">
      <c r="A5505" s="24" t="s">
        <v>7</v>
      </c>
      <c r="B5505" s="24" t="s">
        <v>14896</v>
      </c>
      <c r="C5505" s="25" t="s">
        <v>14897</v>
      </c>
      <c r="D5505" s="25" t="s">
        <v>14898</v>
      </c>
      <c r="E5505" s="26">
        <v>180</v>
      </c>
    </row>
    <row r="5506" spans="1:5" x14ac:dyDescent="0.25">
      <c r="A5506" s="24" t="s">
        <v>7</v>
      </c>
      <c r="B5506" s="24" t="s">
        <v>14899</v>
      </c>
      <c r="C5506" s="25" t="s">
        <v>14900</v>
      </c>
      <c r="D5506" s="25" t="s">
        <v>14901</v>
      </c>
      <c r="E5506" s="26">
        <v>180</v>
      </c>
    </row>
    <row r="5507" spans="1:5" x14ac:dyDescent="0.25">
      <c r="A5507" s="24" t="s">
        <v>7</v>
      </c>
      <c r="B5507" s="24" t="s">
        <v>14902</v>
      </c>
      <c r="C5507" s="25" t="s">
        <v>14903</v>
      </c>
      <c r="D5507" s="25" t="s">
        <v>14904</v>
      </c>
      <c r="E5507" s="26">
        <v>180</v>
      </c>
    </row>
    <row r="5508" spans="1:5" x14ac:dyDescent="0.25">
      <c r="A5508" s="24" t="s">
        <v>7</v>
      </c>
      <c r="B5508" s="24" t="s">
        <v>14905</v>
      </c>
      <c r="C5508" s="25" t="s">
        <v>14906</v>
      </c>
      <c r="D5508" s="25" t="s">
        <v>14907</v>
      </c>
      <c r="E5508" s="26">
        <v>918</v>
      </c>
    </row>
    <row r="5509" spans="1:5" x14ac:dyDescent="0.25">
      <c r="A5509" s="24" t="s">
        <v>7</v>
      </c>
      <c r="B5509" s="24" t="s">
        <v>14908</v>
      </c>
      <c r="C5509" s="25" t="s">
        <v>14909</v>
      </c>
      <c r="D5509" s="25" t="s">
        <v>14910</v>
      </c>
      <c r="E5509" s="26">
        <v>848</v>
      </c>
    </row>
    <row r="5510" spans="1:5" x14ac:dyDescent="0.25">
      <c r="A5510" s="24" t="s">
        <v>7</v>
      </c>
      <c r="B5510" s="24" t="s">
        <v>14911</v>
      </c>
      <c r="C5510" s="25" t="s">
        <v>14912</v>
      </c>
      <c r="D5510" s="25" t="s">
        <v>14913</v>
      </c>
      <c r="E5510" s="26">
        <v>576</v>
      </c>
    </row>
    <row r="5511" spans="1:5" x14ac:dyDescent="0.25">
      <c r="A5511" s="24" t="s">
        <v>7</v>
      </c>
      <c r="B5511" s="24" t="s">
        <v>14914</v>
      </c>
      <c r="C5511" s="25" t="s">
        <v>14915</v>
      </c>
      <c r="D5511" s="25" t="s">
        <v>14916</v>
      </c>
      <c r="E5511" s="26">
        <v>180</v>
      </c>
    </row>
    <row r="5512" spans="1:5" x14ac:dyDescent="0.25">
      <c r="A5512" s="24" t="s">
        <v>7</v>
      </c>
      <c r="B5512" s="24" t="s">
        <v>14917</v>
      </c>
      <c r="C5512" s="25" t="s">
        <v>14897</v>
      </c>
      <c r="D5512" s="25" t="s">
        <v>14898</v>
      </c>
      <c r="E5512" s="26">
        <v>1116</v>
      </c>
    </row>
    <row r="5513" spans="1:5" x14ac:dyDescent="0.25">
      <c r="A5513" s="24" t="s">
        <v>7</v>
      </c>
      <c r="B5513" s="24" t="s">
        <v>14918</v>
      </c>
      <c r="C5513" s="25" t="s">
        <v>14915</v>
      </c>
      <c r="D5513" s="25" t="s">
        <v>14916</v>
      </c>
      <c r="E5513" s="26">
        <v>1326</v>
      </c>
    </row>
    <row r="5514" spans="1:5" x14ac:dyDescent="0.25">
      <c r="A5514" s="24" t="s">
        <v>7</v>
      </c>
      <c r="B5514" s="24" t="s">
        <v>14919</v>
      </c>
      <c r="C5514" s="25" t="s">
        <v>14900</v>
      </c>
      <c r="D5514" s="25" t="s">
        <v>14901</v>
      </c>
      <c r="E5514" s="26">
        <v>1041</v>
      </c>
    </row>
    <row r="5515" spans="1:5" x14ac:dyDescent="0.25">
      <c r="A5515" s="24" t="s">
        <v>7</v>
      </c>
      <c r="B5515" s="24" t="s">
        <v>14920</v>
      </c>
      <c r="C5515" s="25" t="s">
        <v>14894</v>
      </c>
      <c r="D5515" s="25" t="s">
        <v>14895</v>
      </c>
      <c r="E5515" s="26">
        <v>831</v>
      </c>
    </row>
    <row r="5516" spans="1:5" x14ac:dyDescent="0.25">
      <c r="A5516" s="24" t="s">
        <v>7</v>
      </c>
      <c r="B5516" s="24" t="s">
        <v>14921</v>
      </c>
      <c r="C5516" s="25" t="s">
        <v>14903</v>
      </c>
      <c r="D5516" s="25" t="s">
        <v>14904</v>
      </c>
      <c r="E5516" s="26">
        <v>1041</v>
      </c>
    </row>
    <row r="5517" spans="1:5" x14ac:dyDescent="0.25">
      <c r="A5517" s="24" t="s">
        <v>7</v>
      </c>
      <c r="B5517" s="24" t="s">
        <v>14922</v>
      </c>
      <c r="C5517" s="25" t="s">
        <v>14923</v>
      </c>
      <c r="D5517" s="25" t="s">
        <v>14924</v>
      </c>
      <c r="E5517" s="26">
        <v>550</v>
      </c>
    </row>
    <row r="5518" spans="1:5" x14ac:dyDescent="0.25">
      <c r="A5518" s="24" t="s">
        <v>7</v>
      </c>
      <c r="B5518" s="24" t="s">
        <v>14925</v>
      </c>
      <c r="C5518" s="25" t="s">
        <v>14926</v>
      </c>
      <c r="D5518" s="25" t="s">
        <v>14927</v>
      </c>
      <c r="E5518" s="26">
        <v>550</v>
      </c>
    </row>
    <row r="5519" spans="1:5" x14ac:dyDescent="0.25">
      <c r="A5519" s="24" t="s">
        <v>7</v>
      </c>
      <c r="B5519" s="24" t="s">
        <v>14928</v>
      </c>
      <c r="C5519" s="25" t="s">
        <v>14929</v>
      </c>
      <c r="D5519" s="25" t="s">
        <v>14930</v>
      </c>
      <c r="E5519" s="26">
        <v>165</v>
      </c>
    </row>
    <row r="5520" spans="1:5" x14ac:dyDescent="0.25">
      <c r="A5520" s="24" t="s">
        <v>7</v>
      </c>
      <c r="B5520" s="24" t="s">
        <v>14931</v>
      </c>
      <c r="C5520" s="25" t="s">
        <v>14932</v>
      </c>
      <c r="D5520" s="25" t="s">
        <v>14933</v>
      </c>
      <c r="E5520" s="26">
        <v>550</v>
      </c>
    </row>
    <row r="5521" spans="1:5" x14ac:dyDescent="0.25">
      <c r="A5521" s="24" t="s">
        <v>7</v>
      </c>
      <c r="B5521" s="24" t="s">
        <v>14934</v>
      </c>
      <c r="C5521" s="25" t="s">
        <v>14935</v>
      </c>
      <c r="D5521" s="25" t="s">
        <v>14936</v>
      </c>
      <c r="E5521" s="26">
        <v>550</v>
      </c>
    </row>
    <row r="5522" spans="1:5" x14ac:dyDescent="0.25">
      <c r="A5522" s="24" t="s">
        <v>7</v>
      </c>
      <c r="B5522" s="24" t="s">
        <v>14937</v>
      </c>
      <c r="C5522" s="25" t="s">
        <v>14938</v>
      </c>
      <c r="D5522" s="25" t="s">
        <v>14939</v>
      </c>
      <c r="E5522" s="26">
        <v>550</v>
      </c>
    </row>
    <row r="5523" spans="1:5" x14ac:dyDescent="0.25">
      <c r="A5523" s="24" t="s">
        <v>7</v>
      </c>
      <c r="B5523" s="24" t="s">
        <v>14940</v>
      </c>
      <c r="C5523" s="25" t="s">
        <v>14941</v>
      </c>
      <c r="D5523" s="25" t="s">
        <v>14942</v>
      </c>
      <c r="E5523" s="26">
        <v>550</v>
      </c>
    </row>
    <row r="5524" spans="1:5" x14ac:dyDescent="0.25">
      <c r="A5524" s="24" t="s">
        <v>7</v>
      </c>
      <c r="B5524" s="24" t="s">
        <v>14943</v>
      </c>
      <c r="C5524" s="25" t="s">
        <v>14944</v>
      </c>
      <c r="D5524" s="25" t="s">
        <v>14945</v>
      </c>
      <c r="E5524" s="26">
        <v>550</v>
      </c>
    </row>
    <row r="5525" spans="1:5" x14ac:dyDescent="0.25">
      <c r="A5525" s="24" t="s">
        <v>7</v>
      </c>
      <c r="B5525" s="24" t="s">
        <v>14946</v>
      </c>
      <c r="C5525" s="25" t="s">
        <v>14947</v>
      </c>
      <c r="D5525" s="25" t="s">
        <v>14948</v>
      </c>
      <c r="E5525" s="26">
        <v>550</v>
      </c>
    </row>
    <row r="5526" spans="1:5" x14ac:dyDescent="0.25">
      <c r="A5526" s="24" t="s">
        <v>7</v>
      </c>
      <c r="B5526" s="24" t="s">
        <v>14949</v>
      </c>
      <c r="C5526" s="25" t="s">
        <v>14950</v>
      </c>
      <c r="D5526" s="25" t="s">
        <v>14951</v>
      </c>
      <c r="E5526" s="26">
        <v>550</v>
      </c>
    </row>
    <row r="5527" spans="1:5" x14ac:dyDescent="0.25">
      <c r="A5527" s="24" t="s">
        <v>7</v>
      </c>
      <c r="B5527" s="24" t="s">
        <v>14952</v>
      </c>
      <c r="C5527" s="25" t="s">
        <v>190</v>
      </c>
      <c r="D5527" s="25" t="s">
        <v>14755</v>
      </c>
      <c r="E5527" s="26">
        <v>75</v>
      </c>
    </row>
    <row r="5528" spans="1:5" x14ac:dyDescent="0.25">
      <c r="A5528" s="24" t="s">
        <v>7</v>
      </c>
      <c r="B5528" s="24" t="s">
        <v>14953</v>
      </c>
      <c r="C5528" s="25" t="s">
        <v>14757</v>
      </c>
      <c r="D5528" s="25" t="s">
        <v>14758</v>
      </c>
      <c r="E5528" s="26">
        <v>75</v>
      </c>
    </row>
    <row r="5529" spans="1:5" x14ac:dyDescent="0.25">
      <c r="A5529" s="24" t="s">
        <v>7</v>
      </c>
      <c r="B5529" s="24" t="s">
        <v>14954</v>
      </c>
      <c r="C5529" s="25" t="s">
        <v>312</v>
      </c>
      <c r="D5529" s="25" t="s">
        <v>14955</v>
      </c>
      <c r="E5529" s="26">
        <v>75</v>
      </c>
    </row>
    <row r="5530" spans="1:5" x14ac:dyDescent="0.25">
      <c r="A5530" s="24" t="s">
        <v>7</v>
      </c>
      <c r="B5530" s="24" t="s">
        <v>14956</v>
      </c>
      <c r="C5530" s="25" t="s">
        <v>14957</v>
      </c>
      <c r="D5530" s="25" t="s">
        <v>14958</v>
      </c>
      <c r="E5530" s="26">
        <v>1119</v>
      </c>
    </row>
    <row r="5531" spans="1:5" x14ac:dyDescent="0.25">
      <c r="A5531" s="24" t="s">
        <v>7</v>
      </c>
      <c r="B5531" s="24" t="s">
        <v>14959</v>
      </c>
      <c r="C5531" s="25" t="s">
        <v>14960</v>
      </c>
      <c r="D5531" s="25" t="s">
        <v>14961</v>
      </c>
      <c r="E5531" s="26">
        <v>1119</v>
      </c>
    </row>
    <row r="5532" spans="1:5" x14ac:dyDescent="0.25">
      <c r="A5532" s="24" t="s">
        <v>7</v>
      </c>
      <c r="B5532" s="24" t="s">
        <v>14962</v>
      </c>
      <c r="C5532" s="25" t="s">
        <v>14963</v>
      </c>
      <c r="D5532" s="25" t="s">
        <v>14964</v>
      </c>
      <c r="E5532" s="26">
        <v>1119</v>
      </c>
    </row>
    <row r="5533" spans="1:5" x14ac:dyDescent="0.25">
      <c r="A5533" s="24" t="s">
        <v>7</v>
      </c>
      <c r="B5533" s="24" t="s">
        <v>14965</v>
      </c>
      <c r="C5533" s="25" t="s">
        <v>14966</v>
      </c>
      <c r="D5533" s="25" t="s">
        <v>14967</v>
      </c>
      <c r="E5533" s="26">
        <v>1119</v>
      </c>
    </row>
    <row r="5534" spans="1:5" x14ac:dyDescent="0.25">
      <c r="A5534" s="24" t="s">
        <v>7</v>
      </c>
      <c r="B5534" s="24" t="s">
        <v>14968</v>
      </c>
      <c r="C5534" s="25" t="s">
        <v>14969</v>
      </c>
      <c r="D5534" s="25" t="s">
        <v>14970</v>
      </c>
      <c r="E5534" s="26">
        <v>1119</v>
      </c>
    </row>
    <row r="5535" spans="1:5" x14ac:dyDescent="0.25">
      <c r="A5535" s="24" t="s">
        <v>7</v>
      </c>
      <c r="B5535" s="24" t="s">
        <v>14971</v>
      </c>
      <c r="C5535" s="25" t="s">
        <v>14972</v>
      </c>
      <c r="D5535" s="25" t="s">
        <v>14973</v>
      </c>
      <c r="E5535" s="26">
        <v>1119</v>
      </c>
    </row>
    <row r="5536" spans="1:5" x14ac:dyDescent="0.25">
      <c r="A5536" s="24" t="s">
        <v>7</v>
      </c>
      <c r="B5536" s="24" t="s">
        <v>14974</v>
      </c>
      <c r="C5536" s="25" t="s">
        <v>14975</v>
      </c>
      <c r="D5536" s="25" t="s">
        <v>14976</v>
      </c>
      <c r="E5536" s="26">
        <v>2829</v>
      </c>
    </row>
    <row r="5537" spans="1:5" x14ac:dyDescent="0.25">
      <c r="A5537" s="24" t="s">
        <v>7</v>
      </c>
      <c r="B5537" s="24" t="s">
        <v>14977</v>
      </c>
      <c r="C5537" s="25" t="s">
        <v>202</v>
      </c>
      <c r="D5537" s="25" t="s">
        <v>203</v>
      </c>
      <c r="E5537" s="26">
        <v>75</v>
      </c>
    </row>
    <row r="5538" spans="1:5" x14ac:dyDescent="0.25">
      <c r="A5538" s="24" t="s">
        <v>7</v>
      </c>
      <c r="B5538" s="24" t="s">
        <v>14978</v>
      </c>
      <c r="C5538" s="25" t="s">
        <v>205</v>
      </c>
      <c r="D5538" s="25" t="s">
        <v>206</v>
      </c>
      <c r="E5538" s="26">
        <v>34</v>
      </c>
    </row>
    <row r="5539" spans="1:5" x14ac:dyDescent="0.25">
      <c r="A5539" s="24" t="s">
        <v>7</v>
      </c>
      <c r="B5539" s="24" t="s">
        <v>14979</v>
      </c>
      <c r="C5539" s="25" t="s">
        <v>214</v>
      </c>
      <c r="D5539" s="25" t="s">
        <v>14794</v>
      </c>
      <c r="E5539" s="26">
        <v>616</v>
      </c>
    </row>
    <row r="5540" spans="1:5" x14ac:dyDescent="0.25">
      <c r="A5540" s="24" t="s">
        <v>7</v>
      </c>
      <c r="B5540" s="24" t="s">
        <v>14980</v>
      </c>
      <c r="C5540" s="25" t="s">
        <v>217</v>
      </c>
      <c r="D5540" s="25" t="s">
        <v>218</v>
      </c>
      <c r="E5540" s="26">
        <v>267</v>
      </c>
    </row>
    <row r="5541" spans="1:5" x14ac:dyDescent="0.25">
      <c r="A5541" s="24" t="s">
        <v>7</v>
      </c>
      <c r="B5541" s="24" t="s">
        <v>14981</v>
      </c>
      <c r="C5541" s="25" t="s">
        <v>220</v>
      </c>
      <c r="D5541" s="25" t="s">
        <v>221</v>
      </c>
      <c r="E5541" s="26">
        <v>560</v>
      </c>
    </row>
    <row r="5542" spans="1:5" x14ac:dyDescent="0.25">
      <c r="A5542" s="24" t="s">
        <v>7</v>
      </c>
      <c r="B5542" s="24" t="s">
        <v>14982</v>
      </c>
      <c r="C5542" s="25" t="s">
        <v>223</v>
      </c>
      <c r="D5542" s="25" t="s">
        <v>224</v>
      </c>
      <c r="E5542" s="26">
        <v>250</v>
      </c>
    </row>
    <row r="5543" spans="1:5" x14ac:dyDescent="0.25">
      <c r="A5543" s="24" t="s">
        <v>7</v>
      </c>
      <c r="B5543" s="24" t="s">
        <v>14983</v>
      </c>
      <c r="C5543" s="25" t="s">
        <v>226</v>
      </c>
      <c r="D5543" s="25" t="s">
        <v>227</v>
      </c>
      <c r="E5543" s="26">
        <v>228</v>
      </c>
    </row>
    <row r="5544" spans="1:5" x14ac:dyDescent="0.25">
      <c r="A5544" s="24" t="s">
        <v>7</v>
      </c>
      <c r="B5544" s="24" t="s">
        <v>14984</v>
      </c>
      <c r="C5544" s="25" t="s">
        <v>229</v>
      </c>
      <c r="D5544" s="25" t="s">
        <v>230</v>
      </c>
      <c r="E5544" s="26">
        <v>148</v>
      </c>
    </row>
    <row r="5545" spans="1:5" x14ac:dyDescent="0.25">
      <c r="A5545" s="24" t="s">
        <v>7</v>
      </c>
      <c r="B5545" s="24" t="s">
        <v>14985</v>
      </c>
      <c r="C5545" s="25" t="s">
        <v>232</v>
      </c>
      <c r="D5545" s="25" t="s">
        <v>233</v>
      </c>
      <c r="E5545" s="26">
        <v>397</v>
      </c>
    </row>
    <row r="5546" spans="1:5" x14ac:dyDescent="0.25">
      <c r="A5546" s="24" t="s">
        <v>7</v>
      </c>
      <c r="B5546" s="24" t="s">
        <v>14986</v>
      </c>
      <c r="C5546" s="25" t="s">
        <v>235</v>
      </c>
      <c r="D5546" s="25" t="s">
        <v>236</v>
      </c>
      <c r="E5546" s="26">
        <v>139</v>
      </c>
    </row>
    <row r="5547" spans="1:5" x14ac:dyDescent="0.25">
      <c r="A5547" s="24" t="s">
        <v>7</v>
      </c>
      <c r="B5547" s="24" t="s">
        <v>14987</v>
      </c>
      <c r="C5547" s="25" t="s">
        <v>238</v>
      </c>
      <c r="D5547" s="25" t="s">
        <v>239</v>
      </c>
      <c r="E5547" s="26">
        <v>251</v>
      </c>
    </row>
    <row r="5548" spans="1:5" x14ac:dyDescent="0.25">
      <c r="A5548" s="24" t="s">
        <v>7</v>
      </c>
      <c r="B5548" s="24" t="s">
        <v>14988</v>
      </c>
      <c r="C5548" s="25" t="s">
        <v>241</v>
      </c>
      <c r="D5548" s="25" t="s">
        <v>242</v>
      </c>
      <c r="E5548" s="26">
        <v>167</v>
      </c>
    </row>
    <row r="5549" spans="1:5" x14ac:dyDescent="0.25">
      <c r="A5549" s="24" t="s">
        <v>7</v>
      </c>
      <c r="B5549" s="24" t="s">
        <v>14989</v>
      </c>
      <c r="C5549" s="25" t="s">
        <v>14990</v>
      </c>
      <c r="D5549" s="25" t="s">
        <v>14990</v>
      </c>
      <c r="E5549" s="26">
        <v>329</v>
      </c>
    </row>
    <row r="5550" spans="1:5" x14ac:dyDescent="0.25">
      <c r="A5550" s="24" t="s">
        <v>7</v>
      </c>
      <c r="B5550" s="24" t="s">
        <v>14991</v>
      </c>
      <c r="C5550" s="25" t="s">
        <v>14992</v>
      </c>
      <c r="D5550" s="25" t="s">
        <v>14992</v>
      </c>
      <c r="E5550" s="26">
        <v>1309</v>
      </c>
    </row>
    <row r="5551" spans="1:5" x14ac:dyDescent="0.25">
      <c r="A5551" s="24" t="s">
        <v>7</v>
      </c>
      <c r="B5551" s="24" t="s">
        <v>14993</v>
      </c>
      <c r="C5551" s="25" t="s">
        <v>14994</v>
      </c>
      <c r="D5551" s="25" t="s">
        <v>14994</v>
      </c>
      <c r="E5551" s="26">
        <v>3840</v>
      </c>
    </row>
    <row r="5552" spans="1:5" x14ac:dyDescent="0.25">
      <c r="A5552" s="24" t="s">
        <v>7</v>
      </c>
      <c r="B5552" s="24" t="s">
        <v>14995</v>
      </c>
      <c r="C5552" s="25" t="s">
        <v>14996</v>
      </c>
      <c r="D5552" s="25" t="s">
        <v>14997</v>
      </c>
      <c r="E5552" s="26">
        <v>936</v>
      </c>
    </row>
    <row r="5553" spans="1:5" x14ac:dyDescent="0.25">
      <c r="A5553" s="24" t="s">
        <v>7</v>
      </c>
      <c r="B5553" s="24" t="s">
        <v>14998</v>
      </c>
      <c r="C5553" s="25" t="s">
        <v>4992</v>
      </c>
      <c r="D5553" s="25" t="s">
        <v>4992</v>
      </c>
      <c r="E5553" s="26">
        <v>793</v>
      </c>
    </row>
    <row r="5554" spans="1:5" x14ac:dyDescent="0.25">
      <c r="A5554" s="24" t="s">
        <v>7</v>
      </c>
      <c r="B5554" s="24" t="s">
        <v>14999</v>
      </c>
      <c r="C5554" s="25" t="s">
        <v>14825</v>
      </c>
      <c r="D5554" s="25" t="s">
        <v>5283</v>
      </c>
      <c r="E5554" s="26">
        <v>717</v>
      </c>
    </row>
    <row r="5555" spans="1:5" x14ac:dyDescent="0.25">
      <c r="A5555" s="24" t="s">
        <v>7</v>
      </c>
      <c r="B5555" s="24" t="s">
        <v>15000</v>
      </c>
      <c r="C5555" s="25" t="s">
        <v>5282</v>
      </c>
      <c r="D5555" s="25" t="s">
        <v>5283</v>
      </c>
      <c r="E5555" s="26">
        <v>182</v>
      </c>
    </row>
    <row r="5556" spans="1:5" x14ac:dyDescent="0.25">
      <c r="A5556" s="24" t="s">
        <v>7</v>
      </c>
      <c r="B5556" s="24" t="s">
        <v>15001</v>
      </c>
      <c r="C5556" s="25" t="s">
        <v>5285</v>
      </c>
      <c r="D5556" s="25" t="s">
        <v>5286</v>
      </c>
      <c r="E5556" s="26">
        <v>368</v>
      </c>
    </row>
    <row r="5557" spans="1:5" x14ac:dyDescent="0.25">
      <c r="A5557" s="24" t="s">
        <v>7</v>
      </c>
      <c r="B5557" s="24" t="s">
        <v>15004</v>
      </c>
      <c r="C5557" s="25" t="s">
        <v>436</v>
      </c>
      <c r="D5557" s="25" t="s">
        <v>437</v>
      </c>
      <c r="E5557" s="26">
        <v>185</v>
      </c>
    </row>
    <row r="5558" spans="1:5" x14ac:dyDescent="0.25">
      <c r="A5558" s="24" t="s">
        <v>7</v>
      </c>
      <c r="B5558" s="24" t="s">
        <v>15005</v>
      </c>
      <c r="C5558" s="25" t="s">
        <v>439</v>
      </c>
      <c r="D5558" s="25" t="s">
        <v>440</v>
      </c>
      <c r="E5558" s="26">
        <v>98</v>
      </c>
    </row>
    <row r="5559" spans="1:5" x14ac:dyDescent="0.25">
      <c r="A5559" s="24" t="s">
        <v>7</v>
      </c>
      <c r="B5559" s="24" t="s">
        <v>15006</v>
      </c>
      <c r="C5559" s="25" t="s">
        <v>14900</v>
      </c>
      <c r="D5559" s="25" t="s">
        <v>15007</v>
      </c>
      <c r="E5559" s="26">
        <v>865</v>
      </c>
    </row>
    <row r="5560" spans="1:5" x14ac:dyDescent="0.25">
      <c r="A5560" s="24" t="s">
        <v>7</v>
      </c>
      <c r="B5560" s="24" t="s">
        <v>15008</v>
      </c>
      <c r="C5560" s="25" t="s">
        <v>15009</v>
      </c>
      <c r="D5560" s="25" t="s">
        <v>15010</v>
      </c>
      <c r="E5560" s="26">
        <v>1826</v>
      </c>
    </row>
    <row r="5561" spans="1:5" x14ac:dyDescent="0.25">
      <c r="A5561" s="24" t="s">
        <v>7</v>
      </c>
      <c r="B5561" s="24" t="s">
        <v>15011</v>
      </c>
      <c r="C5561" s="25" t="s">
        <v>15012</v>
      </c>
      <c r="D5561" s="25" t="s">
        <v>15013</v>
      </c>
      <c r="E5561" s="26">
        <v>3225</v>
      </c>
    </row>
    <row r="5562" spans="1:5" x14ac:dyDescent="0.25">
      <c r="A5562" s="24" t="s">
        <v>7</v>
      </c>
      <c r="B5562" s="24" t="s">
        <v>15014</v>
      </c>
      <c r="C5562" s="25" t="s">
        <v>15015</v>
      </c>
      <c r="D5562" s="25" t="s">
        <v>15013</v>
      </c>
      <c r="E5562" s="26">
        <v>3276</v>
      </c>
    </row>
    <row r="5563" spans="1:5" x14ac:dyDescent="0.25">
      <c r="A5563" s="24" t="s">
        <v>7</v>
      </c>
      <c r="B5563" s="24" t="s">
        <v>15016</v>
      </c>
      <c r="C5563" s="25" t="s">
        <v>15017</v>
      </c>
      <c r="D5563" s="25" t="s">
        <v>15013</v>
      </c>
      <c r="E5563" s="26">
        <v>626</v>
      </c>
    </row>
    <row r="5564" spans="1:5" x14ac:dyDescent="0.25">
      <c r="A5564" s="24" t="s">
        <v>7</v>
      </c>
      <c r="B5564" s="24" t="s">
        <v>15018</v>
      </c>
      <c r="C5564" s="25" t="s">
        <v>15019</v>
      </c>
      <c r="D5564" s="25" t="s">
        <v>15013</v>
      </c>
      <c r="E5564" s="26">
        <v>5016</v>
      </c>
    </row>
    <row r="5565" spans="1:5" x14ac:dyDescent="0.25">
      <c r="A5565" s="24" t="s">
        <v>7</v>
      </c>
      <c r="B5565" s="24" t="s">
        <v>15020</v>
      </c>
      <c r="C5565" s="25" t="s">
        <v>15021</v>
      </c>
      <c r="D5565" s="25" t="s">
        <v>15013</v>
      </c>
      <c r="E5565" s="26">
        <v>5118</v>
      </c>
    </row>
    <row r="5566" spans="1:5" x14ac:dyDescent="0.25">
      <c r="A5566" s="24" t="s">
        <v>7</v>
      </c>
      <c r="B5566" s="24" t="s">
        <v>15022</v>
      </c>
      <c r="C5566" s="25" t="s">
        <v>15023</v>
      </c>
      <c r="D5566" s="25" t="s">
        <v>15013</v>
      </c>
      <c r="E5566" s="26">
        <v>3276</v>
      </c>
    </row>
    <row r="5567" spans="1:5" x14ac:dyDescent="0.25">
      <c r="A5567" s="24" t="s">
        <v>7</v>
      </c>
      <c r="B5567" s="24" t="s">
        <v>15024</v>
      </c>
      <c r="C5567" s="25" t="s">
        <v>15025</v>
      </c>
      <c r="D5567" s="25" t="s">
        <v>15013</v>
      </c>
      <c r="E5567" s="26">
        <v>4650</v>
      </c>
    </row>
    <row r="5568" spans="1:5" x14ac:dyDescent="0.25">
      <c r="A5568" s="24" t="s">
        <v>7</v>
      </c>
      <c r="B5568" s="24" t="s">
        <v>15026</v>
      </c>
      <c r="C5568" s="25" t="s">
        <v>15027</v>
      </c>
      <c r="D5568" s="25" t="s">
        <v>15013</v>
      </c>
      <c r="E5568" s="26">
        <v>2903</v>
      </c>
    </row>
    <row r="5569" spans="1:5" x14ac:dyDescent="0.25">
      <c r="A5569" s="24" t="s">
        <v>7</v>
      </c>
      <c r="B5569" s="24" t="s">
        <v>15028</v>
      </c>
      <c r="C5569" s="25" t="s">
        <v>15029</v>
      </c>
      <c r="D5569" s="25" t="s">
        <v>15030</v>
      </c>
      <c r="E5569" s="26">
        <v>313</v>
      </c>
    </row>
    <row r="5570" spans="1:5" x14ac:dyDescent="0.25">
      <c r="A5570" s="24" t="s">
        <v>7</v>
      </c>
      <c r="B5570" s="24" t="s">
        <v>15031</v>
      </c>
      <c r="C5570" s="25" t="s">
        <v>15032</v>
      </c>
      <c r="D5570" s="25" t="s">
        <v>15030</v>
      </c>
      <c r="E5570" s="26">
        <v>338</v>
      </c>
    </row>
    <row r="5571" spans="1:5" x14ac:dyDescent="0.25">
      <c r="A5571" s="24" t="s">
        <v>7</v>
      </c>
      <c r="B5571" s="24" t="s">
        <v>15033</v>
      </c>
      <c r="C5571" s="25" t="s">
        <v>15034</v>
      </c>
      <c r="D5571" s="25" t="s">
        <v>15035</v>
      </c>
      <c r="E5571" s="26">
        <v>4263</v>
      </c>
    </row>
    <row r="5572" spans="1:5" x14ac:dyDescent="0.25">
      <c r="A5572" s="24" t="s">
        <v>7</v>
      </c>
      <c r="B5572" s="24" t="s">
        <v>15036</v>
      </c>
      <c r="C5572" s="25" t="s">
        <v>15037</v>
      </c>
      <c r="D5572" s="25" t="s">
        <v>15038</v>
      </c>
      <c r="E5572" s="26">
        <v>367</v>
      </c>
    </row>
    <row r="5573" spans="1:5" x14ac:dyDescent="0.25">
      <c r="A5573" s="24" t="s">
        <v>7</v>
      </c>
      <c r="B5573" s="24" t="s">
        <v>15039</v>
      </c>
      <c r="C5573" s="25" t="s">
        <v>15040</v>
      </c>
      <c r="D5573" s="25" t="s">
        <v>15041</v>
      </c>
      <c r="E5573" s="26">
        <v>488</v>
      </c>
    </row>
    <row r="5574" spans="1:5" x14ac:dyDescent="0.25">
      <c r="A5574" s="24" t="s">
        <v>7</v>
      </c>
      <c r="B5574" s="24" t="s">
        <v>15042</v>
      </c>
      <c r="C5574" s="25" t="s">
        <v>15043</v>
      </c>
      <c r="D5574" s="25" t="s">
        <v>15044</v>
      </c>
      <c r="E5574" s="26">
        <v>221</v>
      </c>
    </row>
    <row r="5575" spans="1:5" x14ac:dyDescent="0.25">
      <c r="A5575" s="24" t="s">
        <v>7</v>
      </c>
      <c r="B5575" s="24" t="s">
        <v>15045</v>
      </c>
      <c r="C5575" s="25" t="s">
        <v>15046</v>
      </c>
      <c r="D5575" s="25" t="s">
        <v>15047</v>
      </c>
      <c r="E5575" s="26">
        <v>651</v>
      </c>
    </row>
    <row r="5576" spans="1:5" x14ac:dyDescent="0.25">
      <c r="A5576" s="24" t="s">
        <v>7</v>
      </c>
      <c r="B5576" s="24" t="s">
        <v>15048</v>
      </c>
      <c r="C5576" s="25" t="s">
        <v>15049</v>
      </c>
      <c r="D5576" s="25" t="s">
        <v>15050</v>
      </c>
      <c r="E5576" s="26">
        <v>244</v>
      </c>
    </row>
    <row r="5577" spans="1:5" x14ac:dyDescent="0.25">
      <c r="A5577" s="24" t="s">
        <v>7</v>
      </c>
      <c r="B5577" s="24" t="s">
        <v>15051</v>
      </c>
      <c r="C5577" s="25" t="s">
        <v>15052</v>
      </c>
      <c r="D5577" s="25" t="s">
        <v>15053</v>
      </c>
      <c r="E5577" s="26">
        <v>986</v>
      </c>
    </row>
    <row r="5578" spans="1:5" x14ac:dyDescent="0.25">
      <c r="A5578" s="24" t="s">
        <v>7</v>
      </c>
      <c r="B5578" s="24" t="s">
        <v>15054</v>
      </c>
      <c r="C5578" s="25" t="s">
        <v>15055</v>
      </c>
      <c r="D5578" s="25" t="s">
        <v>15056</v>
      </c>
      <c r="E5578" s="26">
        <v>429</v>
      </c>
    </row>
    <row r="5579" spans="1:5" x14ac:dyDescent="0.25">
      <c r="A5579" s="24" t="s">
        <v>7</v>
      </c>
      <c r="B5579" s="24" t="s">
        <v>15057</v>
      </c>
      <c r="C5579" s="25" t="s">
        <v>15058</v>
      </c>
      <c r="D5579" s="25" t="s">
        <v>15059</v>
      </c>
      <c r="E5579" s="26">
        <v>1508</v>
      </c>
    </row>
    <row r="5580" spans="1:5" x14ac:dyDescent="0.25">
      <c r="A5580" s="24" t="s">
        <v>7</v>
      </c>
      <c r="B5580" s="24" t="s">
        <v>15060</v>
      </c>
      <c r="C5580" s="25" t="s">
        <v>15061</v>
      </c>
      <c r="D5580" s="25" t="s">
        <v>15062</v>
      </c>
      <c r="E5580" s="26">
        <v>1197</v>
      </c>
    </row>
    <row r="5581" spans="1:5" x14ac:dyDescent="0.25">
      <c r="A5581" s="24" t="s">
        <v>7</v>
      </c>
      <c r="B5581" s="24" t="s">
        <v>15063</v>
      </c>
      <c r="C5581" s="25" t="s">
        <v>15064</v>
      </c>
      <c r="D5581" s="25" t="s">
        <v>15065</v>
      </c>
      <c r="E5581" s="26">
        <v>859</v>
      </c>
    </row>
    <row r="5582" spans="1:5" x14ac:dyDescent="0.25">
      <c r="A5582" s="24" t="s">
        <v>7</v>
      </c>
      <c r="B5582" s="24" t="s">
        <v>15066</v>
      </c>
      <c r="C5582" s="25" t="s">
        <v>15067</v>
      </c>
      <c r="D5582" s="25" t="s">
        <v>15065</v>
      </c>
      <c r="E5582" s="26">
        <v>1203</v>
      </c>
    </row>
    <row r="5583" spans="1:5" x14ac:dyDescent="0.25">
      <c r="A5583" s="24" t="s">
        <v>7</v>
      </c>
      <c r="B5583" s="24" t="s">
        <v>15068</v>
      </c>
      <c r="C5583" s="25" t="s">
        <v>6323</v>
      </c>
      <c r="D5583" s="25" t="s">
        <v>15069</v>
      </c>
      <c r="E5583" s="26">
        <v>338</v>
      </c>
    </row>
    <row r="5584" spans="1:5" x14ac:dyDescent="0.25">
      <c r="A5584" s="24" t="s">
        <v>7</v>
      </c>
      <c r="B5584" s="24" t="s">
        <v>15070</v>
      </c>
      <c r="C5584" s="25" t="s">
        <v>15071</v>
      </c>
      <c r="D5584" s="25" t="s">
        <v>15072</v>
      </c>
      <c r="E5584" s="26">
        <v>338</v>
      </c>
    </row>
    <row r="5585" spans="1:5" x14ac:dyDescent="0.25">
      <c r="A5585" s="24" t="s">
        <v>7</v>
      </c>
      <c r="B5585" s="24" t="s">
        <v>15073</v>
      </c>
      <c r="C5585" s="25" t="s">
        <v>15074</v>
      </c>
      <c r="D5585" s="25" t="s">
        <v>15075</v>
      </c>
      <c r="E5585" s="26">
        <v>468</v>
      </c>
    </row>
    <row r="5586" spans="1:5" x14ac:dyDescent="0.25">
      <c r="A5586" s="24" t="s">
        <v>7</v>
      </c>
      <c r="B5586" s="24" t="s">
        <v>15076</v>
      </c>
      <c r="C5586" s="25" t="s">
        <v>15077</v>
      </c>
      <c r="D5586" s="25" t="s">
        <v>15078</v>
      </c>
      <c r="E5586" s="26">
        <v>313</v>
      </c>
    </row>
    <row r="5587" spans="1:5" x14ac:dyDescent="0.25">
      <c r="A5587" s="24" t="s">
        <v>7</v>
      </c>
      <c r="B5587" s="24" t="s">
        <v>15079</v>
      </c>
      <c r="C5587" s="25" t="s">
        <v>15080</v>
      </c>
      <c r="D5587" s="25" t="s">
        <v>15081</v>
      </c>
      <c r="E5587" s="26">
        <v>454</v>
      </c>
    </row>
    <row r="5588" spans="1:5" x14ac:dyDescent="0.25">
      <c r="A5588" s="24" t="s">
        <v>7</v>
      </c>
      <c r="B5588" s="24" t="s">
        <v>15082</v>
      </c>
      <c r="C5588" s="25" t="s">
        <v>15083</v>
      </c>
      <c r="D5588" s="25" t="s">
        <v>15084</v>
      </c>
      <c r="E5588" s="26">
        <v>266</v>
      </c>
    </row>
    <row r="5589" spans="1:5" x14ac:dyDescent="0.25">
      <c r="A5589" s="24" t="s">
        <v>7</v>
      </c>
      <c r="B5589" s="24" t="s">
        <v>15085</v>
      </c>
      <c r="C5589" s="25" t="s">
        <v>15086</v>
      </c>
      <c r="D5589" s="25" t="s">
        <v>15087</v>
      </c>
      <c r="E5589" s="26">
        <v>266</v>
      </c>
    </row>
    <row r="5590" spans="1:5" x14ac:dyDescent="0.25">
      <c r="A5590" s="24" t="s">
        <v>7</v>
      </c>
      <c r="B5590" s="24" t="s">
        <v>15088</v>
      </c>
      <c r="C5590" s="25" t="s">
        <v>15089</v>
      </c>
      <c r="D5590" s="25" t="s">
        <v>15081</v>
      </c>
      <c r="E5590" s="26">
        <v>1756</v>
      </c>
    </row>
    <row r="5591" spans="1:5" x14ac:dyDescent="0.25">
      <c r="A5591" s="24" t="s">
        <v>7</v>
      </c>
      <c r="B5591" s="24" t="s">
        <v>15090</v>
      </c>
      <c r="C5591" s="25" t="s">
        <v>15091</v>
      </c>
      <c r="D5591" s="25" t="s">
        <v>15092</v>
      </c>
      <c r="E5591" s="26">
        <v>4302</v>
      </c>
    </row>
    <row r="5592" spans="1:5" x14ac:dyDescent="0.25">
      <c r="A5592" s="24" t="s">
        <v>7</v>
      </c>
      <c r="B5592" s="24" t="s">
        <v>15093</v>
      </c>
      <c r="C5592" s="25" t="s">
        <v>15094</v>
      </c>
      <c r="D5592" s="25" t="s">
        <v>15095</v>
      </c>
      <c r="E5592" s="26">
        <v>16074</v>
      </c>
    </row>
    <row r="5593" spans="1:5" x14ac:dyDescent="0.25">
      <c r="A5593" s="24" t="s">
        <v>7</v>
      </c>
      <c r="B5593" s="24" t="s">
        <v>15096</v>
      </c>
      <c r="C5593" s="25" t="s">
        <v>6204</v>
      </c>
      <c r="D5593" s="25" t="s">
        <v>15097</v>
      </c>
      <c r="E5593" s="26">
        <v>2494</v>
      </c>
    </row>
    <row r="5594" spans="1:5" x14ac:dyDescent="0.25">
      <c r="A5594" s="24" t="s">
        <v>7</v>
      </c>
      <c r="B5594" s="24" t="s">
        <v>15098</v>
      </c>
      <c r="C5594" s="25" t="s">
        <v>15099</v>
      </c>
      <c r="D5594" s="25" t="s">
        <v>15100</v>
      </c>
      <c r="E5594" s="26">
        <v>4302</v>
      </c>
    </row>
    <row r="5595" spans="1:5" x14ac:dyDescent="0.25">
      <c r="A5595" s="24" t="s">
        <v>7</v>
      </c>
      <c r="B5595" s="24" t="s">
        <v>15101</v>
      </c>
      <c r="C5595" s="25" t="s">
        <v>15102</v>
      </c>
      <c r="D5595" s="25" t="s">
        <v>15103</v>
      </c>
      <c r="E5595" s="26">
        <v>2763</v>
      </c>
    </row>
    <row r="5596" spans="1:5" x14ac:dyDescent="0.25">
      <c r="A5596" s="24" t="s">
        <v>7</v>
      </c>
      <c r="B5596" s="24" t="s">
        <v>15104</v>
      </c>
      <c r="C5596" s="25" t="s">
        <v>15105</v>
      </c>
      <c r="D5596" s="25" t="s">
        <v>15106</v>
      </c>
      <c r="E5596" s="26">
        <v>2763</v>
      </c>
    </row>
    <row r="5597" spans="1:5" x14ac:dyDescent="0.25">
      <c r="A5597" s="24" t="s">
        <v>7</v>
      </c>
      <c r="B5597" s="24" t="s">
        <v>15107</v>
      </c>
      <c r="C5597" s="25" t="s">
        <v>14897</v>
      </c>
      <c r="D5597" s="25" t="s">
        <v>14898</v>
      </c>
      <c r="E5597" s="26">
        <v>180</v>
      </c>
    </row>
    <row r="5598" spans="1:5" x14ac:dyDescent="0.25">
      <c r="A5598" s="24" t="s">
        <v>7</v>
      </c>
      <c r="B5598" s="24" t="s">
        <v>15108</v>
      </c>
      <c r="C5598" s="25" t="s">
        <v>14915</v>
      </c>
      <c r="D5598" s="25" t="s">
        <v>14916</v>
      </c>
      <c r="E5598" s="26">
        <v>180</v>
      </c>
    </row>
    <row r="5599" spans="1:5" x14ac:dyDescent="0.25">
      <c r="A5599" s="24" t="s">
        <v>7</v>
      </c>
      <c r="B5599" s="24" t="s">
        <v>15109</v>
      </c>
      <c r="C5599" s="25" t="s">
        <v>15110</v>
      </c>
      <c r="D5599" s="25" t="s">
        <v>15111</v>
      </c>
      <c r="E5599" s="26">
        <v>180</v>
      </c>
    </row>
    <row r="5600" spans="1:5" x14ac:dyDescent="0.25">
      <c r="A5600" s="24" t="s">
        <v>7</v>
      </c>
      <c r="B5600" s="24" t="s">
        <v>15112</v>
      </c>
      <c r="C5600" s="25" t="s">
        <v>15113</v>
      </c>
      <c r="D5600" s="25" t="s">
        <v>15114</v>
      </c>
      <c r="E5600" s="26">
        <v>180</v>
      </c>
    </row>
    <row r="5601" spans="1:5" x14ac:dyDescent="0.25">
      <c r="A5601" s="24" t="s">
        <v>7</v>
      </c>
      <c r="B5601" s="24" t="s">
        <v>15115</v>
      </c>
      <c r="C5601" s="25" t="s">
        <v>15116</v>
      </c>
      <c r="D5601" s="25" t="s">
        <v>15117</v>
      </c>
      <c r="E5601" s="26">
        <v>1339</v>
      </c>
    </row>
    <row r="5602" spans="1:5" x14ac:dyDescent="0.25">
      <c r="A5602" s="24" t="s">
        <v>7</v>
      </c>
      <c r="B5602" s="24" t="s">
        <v>15118</v>
      </c>
      <c r="C5602" s="25" t="s">
        <v>15119</v>
      </c>
      <c r="D5602" s="25" t="s">
        <v>15120</v>
      </c>
      <c r="E5602" s="26">
        <v>1785</v>
      </c>
    </row>
    <row r="5603" spans="1:5" x14ac:dyDescent="0.25">
      <c r="A5603" s="24" t="s">
        <v>7</v>
      </c>
      <c r="B5603" s="24" t="s">
        <v>15121</v>
      </c>
      <c r="C5603" s="25" t="s">
        <v>15122</v>
      </c>
      <c r="D5603" s="25" t="s">
        <v>15120</v>
      </c>
      <c r="E5603" s="26">
        <v>1038</v>
      </c>
    </row>
    <row r="5604" spans="1:5" x14ac:dyDescent="0.25">
      <c r="A5604" s="24" t="s">
        <v>7</v>
      </c>
      <c r="B5604" s="24" t="s">
        <v>15123</v>
      </c>
      <c r="C5604" s="25" t="s">
        <v>15124</v>
      </c>
      <c r="D5604" s="25" t="s">
        <v>15125</v>
      </c>
      <c r="E5604" s="26">
        <v>651</v>
      </c>
    </row>
    <row r="5605" spans="1:5" x14ac:dyDescent="0.25">
      <c r="A5605" s="24" t="s">
        <v>7</v>
      </c>
      <c r="B5605" s="24" t="s">
        <v>15126</v>
      </c>
      <c r="C5605" s="25" t="s">
        <v>15127</v>
      </c>
      <c r="D5605" s="25" t="s">
        <v>15128</v>
      </c>
      <c r="E5605" s="26">
        <v>1038</v>
      </c>
    </row>
    <row r="5606" spans="1:5" x14ac:dyDescent="0.25">
      <c r="A5606" s="24" t="s">
        <v>7</v>
      </c>
      <c r="B5606" s="24" t="s">
        <v>15129</v>
      </c>
      <c r="C5606" s="25" t="s">
        <v>15130</v>
      </c>
      <c r="D5606" s="25" t="s">
        <v>15131</v>
      </c>
      <c r="E5606" s="26">
        <v>986</v>
      </c>
    </row>
    <row r="5607" spans="1:5" x14ac:dyDescent="0.25">
      <c r="A5607" s="24" t="s">
        <v>7</v>
      </c>
      <c r="B5607" s="24" t="s">
        <v>15132</v>
      </c>
      <c r="C5607" s="25" t="s">
        <v>15133</v>
      </c>
      <c r="D5607" s="25" t="s">
        <v>15134</v>
      </c>
      <c r="E5607" s="26">
        <v>1038</v>
      </c>
    </row>
    <row r="5608" spans="1:5" x14ac:dyDescent="0.25">
      <c r="A5608" s="24" t="s">
        <v>7</v>
      </c>
      <c r="B5608" s="24" t="s">
        <v>15135</v>
      </c>
      <c r="C5608" s="25" t="s">
        <v>14894</v>
      </c>
      <c r="D5608" s="25" t="s">
        <v>14895</v>
      </c>
      <c r="E5608" s="26">
        <v>180</v>
      </c>
    </row>
    <row r="5609" spans="1:5" x14ac:dyDescent="0.25">
      <c r="A5609" s="24" t="s">
        <v>7</v>
      </c>
      <c r="B5609" s="24" t="s">
        <v>15136</v>
      </c>
      <c r="C5609" s="25" t="s">
        <v>14900</v>
      </c>
      <c r="D5609" s="25" t="s">
        <v>14901</v>
      </c>
      <c r="E5609" s="26">
        <v>180</v>
      </c>
    </row>
    <row r="5610" spans="1:5" x14ac:dyDescent="0.25">
      <c r="A5610" s="24" t="s">
        <v>7</v>
      </c>
      <c r="B5610" s="24" t="s">
        <v>15137</v>
      </c>
      <c r="C5610" s="25" t="s">
        <v>4252</v>
      </c>
      <c r="D5610" s="25" t="s">
        <v>4253</v>
      </c>
      <c r="E5610" s="26">
        <v>1406</v>
      </c>
    </row>
    <row r="5611" spans="1:5" x14ac:dyDescent="0.25">
      <c r="A5611" s="24" t="s">
        <v>7</v>
      </c>
      <c r="B5611" s="24" t="s">
        <v>15138</v>
      </c>
      <c r="C5611" s="25" t="s">
        <v>4198</v>
      </c>
      <c r="D5611" s="25" t="s">
        <v>4199</v>
      </c>
      <c r="E5611" s="26">
        <v>1895</v>
      </c>
    </row>
    <row r="5612" spans="1:5" x14ac:dyDescent="0.25">
      <c r="A5612" s="24" t="s">
        <v>7</v>
      </c>
      <c r="B5612" s="24" t="s">
        <v>15139</v>
      </c>
      <c r="C5612" s="25" t="s">
        <v>15140</v>
      </c>
      <c r="D5612" s="25" t="s">
        <v>15141</v>
      </c>
      <c r="E5612" s="26">
        <v>1058</v>
      </c>
    </row>
    <row r="5613" spans="1:5" x14ac:dyDescent="0.25">
      <c r="A5613" s="24" t="s">
        <v>7</v>
      </c>
      <c r="B5613" s="24" t="s">
        <v>15142</v>
      </c>
      <c r="C5613" s="25" t="s">
        <v>14903</v>
      </c>
      <c r="D5613" s="25" t="s">
        <v>14904</v>
      </c>
      <c r="E5613" s="26">
        <v>180</v>
      </c>
    </row>
    <row r="5614" spans="1:5" x14ac:dyDescent="0.25">
      <c r="A5614" s="24" t="s">
        <v>7</v>
      </c>
      <c r="B5614" s="24" t="s">
        <v>15143</v>
      </c>
      <c r="C5614" s="25" t="s">
        <v>15144</v>
      </c>
      <c r="D5614" s="25" t="s">
        <v>15145</v>
      </c>
      <c r="E5614" s="26">
        <v>180</v>
      </c>
    </row>
    <row r="5615" spans="1:5" x14ac:dyDescent="0.25">
      <c r="A5615" s="24" t="s">
        <v>7</v>
      </c>
      <c r="B5615" s="24" t="s">
        <v>15146</v>
      </c>
      <c r="C5615" s="25" t="s">
        <v>15147</v>
      </c>
      <c r="D5615" s="25" t="s">
        <v>15148</v>
      </c>
      <c r="E5615" s="26">
        <v>180</v>
      </c>
    </row>
    <row r="5616" spans="1:5" x14ac:dyDescent="0.25">
      <c r="A5616" s="24" t="s">
        <v>7</v>
      </c>
      <c r="B5616" s="24" t="s">
        <v>15149</v>
      </c>
      <c r="C5616" s="25" t="s">
        <v>15150</v>
      </c>
      <c r="D5616" s="25" t="s">
        <v>15151</v>
      </c>
      <c r="E5616" s="26">
        <v>338</v>
      </c>
    </row>
    <row r="5617" spans="1:5" x14ac:dyDescent="0.25">
      <c r="A5617" s="24" t="s">
        <v>7</v>
      </c>
      <c r="B5617" s="24" t="s">
        <v>15152</v>
      </c>
      <c r="C5617" s="25" t="s">
        <v>15153</v>
      </c>
      <c r="D5617" s="25" t="s">
        <v>15154</v>
      </c>
      <c r="E5617" s="26">
        <v>240</v>
      </c>
    </row>
    <row r="5618" spans="1:5" x14ac:dyDescent="0.25">
      <c r="A5618" s="24" t="s">
        <v>7</v>
      </c>
      <c r="B5618" s="24" t="s">
        <v>15155</v>
      </c>
      <c r="C5618" s="25" t="s">
        <v>15156</v>
      </c>
      <c r="D5618" s="25" t="s">
        <v>15157</v>
      </c>
      <c r="E5618" s="26">
        <v>762</v>
      </c>
    </row>
    <row r="5619" spans="1:5" x14ac:dyDescent="0.25">
      <c r="A5619" s="24" t="s">
        <v>7</v>
      </c>
      <c r="B5619" s="24" t="s">
        <v>15158</v>
      </c>
      <c r="C5619" s="25" t="s">
        <v>15159</v>
      </c>
      <c r="D5619" s="25" t="s">
        <v>15160</v>
      </c>
      <c r="E5619" s="26">
        <v>338</v>
      </c>
    </row>
    <row r="5620" spans="1:5" x14ac:dyDescent="0.25">
      <c r="A5620" s="24" t="s">
        <v>7</v>
      </c>
      <c r="B5620" s="24" t="s">
        <v>15161</v>
      </c>
      <c r="C5620" s="25" t="s">
        <v>15162</v>
      </c>
      <c r="D5620" s="25" t="s">
        <v>15160</v>
      </c>
      <c r="E5620" s="26">
        <v>1047</v>
      </c>
    </row>
    <row r="5621" spans="1:5" x14ac:dyDescent="0.25">
      <c r="A5621" s="24" t="s">
        <v>7</v>
      </c>
      <c r="B5621" s="24" t="s">
        <v>15163</v>
      </c>
      <c r="C5621" s="25" t="s">
        <v>15164</v>
      </c>
      <c r="D5621" s="25" t="s">
        <v>15165</v>
      </c>
      <c r="E5621" s="26">
        <v>482</v>
      </c>
    </row>
    <row r="5622" spans="1:5" x14ac:dyDescent="0.25">
      <c r="A5622" s="24" t="s">
        <v>7</v>
      </c>
      <c r="B5622" s="24" t="s">
        <v>15166</v>
      </c>
      <c r="C5622" s="25" t="s">
        <v>15167</v>
      </c>
      <c r="D5622" s="25" t="s">
        <v>15168</v>
      </c>
      <c r="E5622" s="26">
        <v>482</v>
      </c>
    </row>
    <row r="5623" spans="1:5" x14ac:dyDescent="0.25">
      <c r="A5623" s="24" t="s">
        <v>7</v>
      </c>
      <c r="B5623" s="24" t="s">
        <v>15169</v>
      </c>
      <c r="C5623" s="25" t="s">
        <v>15170</v>
      </c>
      <c r="D5623" s="25" t="s">
        <v>15171</v>
      </c>
      <c r="E5623" s="26">
        <v>2903</v>
      </c>
    </row>
    <row r="5624" spans="1:5" x14ac:dyDescent="0.25">
      <c r="A5624" s="24" t="s">
        <v>7</v>
      </c>
      <c r="B5624" s="24" t="s">
        <v>15172</v>
      </c>
      <c r="C5624" s="25" t="s">
        <v>15173</v>
      </c>
      <c r="D5624" s="25" t="s">
        <v>15174</v>
      </c>
      <c r="E5624" s="26">
        <v>251</v>
      </c>
    </row>
    <row r="5625" spans="1:5" x14ac:dyDescent="0.25">
      <c r="A5625" s="24" t="s">
        <v>7</v>
      </c>
      <c r="B5625" s="24" t="s">
        <v>15175</v>
      </c>
      <c r="C5625" s="25" t="s">
        <v>4294</v>
      </c>
      <c r="D5625" s="25" t="s">
        <v>4295</v>
      </c>
      <c r="E5625" s="26">
        <v>1898</v>
      </c>
    </row>
    <row r="5626" spans="1:5" x14ac:dyDescent="0.25">
      <c r="A5626" s="24" t="s">
        <v>7</v>
      </c>
      <c r="B5626" s="24" t="s">
        <v>15176</v>
      </c>
      <c r="C5626" s="25" t="s">
        <v>15177</v>
      </c>
      <c r="D5626" s="25" t="s">
        <v>15178</v>
      </c>
      <c r="E5626" s="26">
        <v>4088</v>
      </c>
    </row>
    <row r="5627" spans="1:5" x14ac:dyDescent="0.25">
      <c r="A5627" s="24" t="s">
        <v>7</v>
      </c>
      <c r="B5627" s="24" t="s">
        <v>15179</v>
      </c>
      <c r="C5627" s="25" t="s">
        <v>15180</v>
      </c>
      <c r="D5627" s="25" t="s">
        <v>15181</v>
      </c>
      <c r="E5627" s="26">
        <v>209.33</v>
      </c>
    </row>
    <row r="5628" spans="1:5" x14ac:dyDescent="0.25">
      <c r="A5628" s="24" t="s">
        <v>7</v>
      </c>
      <c r="B5628" s="24" t="s">
        <v>15182</v>
      </c>
      <c r="C5628" s="25" t="s">
        <v>15183</v>
      </c>
      <c r="D5628" s="25" t="s">
        <v>15184</v>
      </c>
      <c r="E5628" s="26">
        <v>209.33</v>
      </c>
    </row>
    <row r="5629" spans="1:5" x14ac:dyDescent="0.25">
      <c r="A5629" s="24" t="s">
        <v>7</v>
      </c>
      <c r="B5629" s="24" t="s">
        <v>15185</v>
      </c>
      <c r="C5629" s="25" t="s">
        <v>15186</v>
      </c>
      <c r="D5629" s="25" t="s">
        <v>15187</v>
      </c>
      <c r="E5629" s="26">
        <v>343.86</v>
      </c>
    </row>
    <row r="5630" spans="1:5" x14ac:dyDescent="0.25">
      <c r="A5630" s="24" t="s">
        <v>7</v>
      </c>
      <c r="B5630" s="24" t="s">
        <v>15188</v>
      </c>
      <c r="C5630" s="25" t="s">
        <v>15189</v>
      </c>
      <c r="D5630" s="25" t="s">
        <v>15190</v>
      </c>
      <c r="E5630" s="26">
        <v>425.12</v>
      </c>
    </row>
    <row r="5631" spans="1:5" x14ac:dyDescent="0.25">
      <c r="A5631" s="24" t="s">
        <v>7</v>
      </c>
      <c r="B5631" s="24" t="s">
        <v>15191</v>
      </c>
      <c r="C5631" s="25" t="s">
        <v>15192</v>
      </c>
      <c r="D5631" s="25" t="s">
        <v>15193</v>
      </c>
      <c r="E5631" s="26">
        <v>538.13</v>
      </c>
    </row>
    <row r="5632" spans="1:5" x14ac:dyDescent="0.25">
      <c r="A5632" s="24" t="s">
        <v>7</v>
      </c>
      <c r="B5632" s="24" t="s">
        <v>15194</v>
      </c>
      <c r="C5632" s="25" t="s">
        <v>15195</v>
      </c>
      <c r="D5632" s="25" t="s">
        <v>15196</v>
      </c>
      <c r="E5632" s="26">
        <v>511.22</v>
      </c>
    </row>
    <row r="5633" spans="1:5" x14ac:dyDescent="0.25">
      <c r="A5633" s="24" t="s">
        <v>7</v>
      </c>
      <c r="B5633" s="24" t="s">
        <v>15197</v>
      </c>
      <c r="C5633" s="25" t="s">
        <v>15198</v>
      </c>
      <c r="D5633" s="25" t="s">
        <v>15199</v>
      </c>
      <c r="E5633" s="26">
        <v>145.29</v>
      </c>
    </row>
    <row r="5634" spans="1:5" x14ac:dyDescent="0.25">
      <c r="A5634" s="24" t="s">
        <v>7</v>
      </c>
      <c r="B5634" s="24" t="s">
        <v>15200</v>
      </c>
      <c r="C5634" s="25" t="s">
        <v>3189</v>
      </c>
      <c r="D5634" s="25" t="s">
        <v>3190</v>
      </c>
      <c r="E5634" s="26">
        <v>13</v>
      </c>
    </row>
    <row r="5635" spans="1:5" x14ac:dyDescent="0.25">
      <c r="A5635" s="24" t="s">
        <v>7</v>
      </c>
      <c r="B5635" s="24" t="s">
        <v>15201</v>
      </c>
      <c r="C5635" s="25" t="s">
        <v>15202</v>
      </c>
      <c r="D5635" s="25" t="s">
        <v>15203</v>
      </c>
      <c r="E5635" s="26">
        <v>161.44</v>
      </c>
    </row>
    <row r="5636" spans="1:5" x14ac:dyDescent="0.25">
      <c r="A5636" s="24" t="s">
        <v>7</v>
      </c>
      <c r="B5636" s="24" t="s">
        <v>15204</v>
      </c>
      <c r="C5636" s="25" t="s">
        <v>15205</v>
      </c>
      <c r="D5636" s="25" t="s">
        <v>15206</v>
      </c>
      <c r="E5636" s="26">
        <v>59.19</v>
      </c>
    </row>
    <row r="5637" spans="1:5" x14ac:dyDescent="0.25">
      <c r="A5637" s="24" t="s">
        <v>7</v>
      </c>
      <c r="B5637" s="24" t="s">
        <v>15207</v>
      </c>
      <c r="C5637" s="25" t="s">
        <v>15208</v>
      </c>
      <c r="D5637" s="25" t="s">
        <v>15208</v>
      </c>
      <c r="E5637" s="26">
        <v>127</v>
      </c>
    </row>
    <row r="5638" spans="1:5" x14ac:dyDescent="0.25">
      <c r="A5638" s="24" t="s">
        <v>7</v>
      </c>
      <c r="B5638" s="24" t="s">
        <v>15209</v>
      </c>
      <c r="C5638" s="25" t="s">
        <v>15210</v>
      </c>
      <c r="D5638" s="25" t="s">
        <v>15211</v>
      </c>
      <c r="E5638" s="26">
        <v>96.86</v>
      </c>
    </row>
    <row r="5639" spans="1:5" x14ac:dyDescent="0.25">
      <c r="A5639" s="24" t="s">
        <v>7</v>
      </c>
      <c r="B5639" s="24" t="s">
        <v>15212</v>
      </c>
      <c r="C5639" s="25" t="s">
        <v>15213</v>
      </c>
      <c r="D5639" s="25" t="s">
        <v>15214</v>
      </c>
      <c r="E5639" s="26">
        <v>90.41</v>
      </c>
    </row>
    <row r="5640" spans="1:5" x14ac:dyDescent="0.25">
      <c r="A5640" s="24" t="s">
        <v>7</v>
      </c>
      <c r="B5640" s="24" t="s">
        <v>15215</v>
      </c>
      <c r="C5640" s="25" t="s">
        <v>15216</v>
      </c>
      <c r="D5640" s="25" t="s">
        <v>15217</v>
      </c>
      <c r="E5640" s="26">
        <v>91.48</v>
      </c>
    </row>
    <row r="5641" spans="1:5" x14ac:dyDescent="0.25">
      <c r="A5641" s="24" t="s">
        <v>7</v>
      </c>
      <c r="B5641" s="24" t="s">
        <v>15218</v>
      </c>
      <c r="C5641" s="25" t="s">
        <v>15219</v>
      </c>
      <c r="D5641" s="25" t="s">
        <v>15219</v>
      </c>
      <c r="E5641" s="26">
        <v>574</v>
      </c>
    </row>
    <row r="5642" spans="1:5" x14ac:dyDescent="0.25">
      <c r="A5642" s="24" t="s">
        <v>7</v>
      </c>
      <c r="B5642" s="24" t="s">
        <v>15220</v>
      </c>
      <c r="C5642" s="25" t="s">
        <v>15221</v>
      </c>
      <c r="D5642" s="25" t="s">
        <v>3369</v>
      </c>
      <c r="E5642" s="26">
        <v>138.16</v>
      </c>
    </row>
    <row r="5643" spans="1:5" x14ac:dyDescent="0.25">
      <c r="A5643" s="24" t="s">
        <v>7</v>
      </c>
      <c r="B5643" s="24" t="s">
        <v>15222</v>
      </c>
      <c r="C5643" s="25" t="s">
        <v>3422</v>
      </c>
      <c r="D5643" s="25" t="s">
        <v>3423</v>
      </c>
      <c r="E5643" s="26">
        <v>53.83</v>
      </c>
    </row>
    <row r="5644" spans="1:5" x14ac:dyDescent="0.25">
      <c r="A5644" s="24" t="s">
        <v>7</v>
      </c>
      <c r="B5644" s="24" t="s">
        <v>15223</v>
      </c>
      <c r="C5644" s="25" t="s">
        <v>15224</v>
      </c>
      <c r="D5644" s="25" t="s">
        <v>15225</v>
      </c>
      <c r="E5644" s="26">
        <v>75.34</v>
      </c>
    </row>
    <row r="5645" spans="1:5" x14ac:dyDescent="0.25">
      <c r="A5645" s="24" t="s">
        <v>7</v>
      </c>
      <c r="B5645" s="24" t="s">
        <v>15226</v>
      </c>
      <c r="C5645" s="25" t="s">
        <v>15227</v>
      </c>
      <c r="D5645" s="25" t="s">
        <v>15227</v>
      </c>
      <c r="E5645" s="26">
        <v>13.91</v>
      </c>
    </row>
    <row r="5646" spans="1:5" x14ac:dyDescent="0.25">
      <c r="A5646" s="24" t="s">
        <v>7</v>
      </c>
      <c r="B5646" s="24" t="s">
        <v>15228</v>
      </c>
      <c r="C5646" s="25" t="s">
        <v>15229</v>
      </c>
      <c r="D5646" s="25" t="s">
        <v>15230</v>
      </c>
      <c r="E5646" s="26">
        <v>393.1</v>
      </c>
    </row>
    <row r="5647" spans="1:5" x14ac:dyDescent="0.25">
      <c r="A5647" s="24" t="s">
        <v>7</v>
      </c>
      <c r="B5647" s="24" t="s">
        <v>15231</v>
      </c>
      <c r="C5647" s="25" t="s">
        <v>15232</v>
      </c>
      <c r="D5647" s="25" t="s">
        <v>15233</v>
      </c>
      <c r="E5647" s="26">
        <v>19.100000000000001</v>
      </c>
    </row>
    <row r="5648" spans="1:5" x14ac:dyDescent="0.25">
      <c r="A5648" s="24" t="s">
        <v>7</v>
      </c>
      <c r="B5648" s="24" t="s">
        <v>15234</v>
      </c>
      <c r="C5648" s="25" t="s">
        <v>15235</v>
      </c>
      <c r="D5648" s="25" t="s">
        <v>15233</v>
      </c>
      <c r="E5648" s="26">
        <v>13.38</v>
      </c>
    </row>
    <row r="5649" spans="1:5" x14ac:dyDescent="0.25">
      <c r="A5649" s="24" t="s">
        <v>7</v>
      </c>
      <c r="B5649" s="24" t="s">
        <v>15236</v>
      </c>
      <c r="C5649" s="25" t="s">
        <v>3667</v>
      </c>
      <c r="D5649" s="25" t="s">
        <v>3668</v>
      </c>
      <c r="E5649" s="26">
        <v>10.71</v>
      </c>
    </row>
    <row r="5650" spans="1:5" x14ac:dyDescent="0.25">
      <c r="A5650" s="24" t="s">
        <v>7</v>
      </c>
      <c r="B5650" s="24" t="s">
        <v>15237</v>
      </c>
      <c r="C5650" s="25" t="s">
        <v>15238</v>
      </c>
      <c r="D5650" s="25" t="s">
        <v>3927</v>
      </c>
      <c r="E5650" s="26">
        <v>352.79</v>
      </c>
    </row>
    <row r="5651" spans="1:5" x14ac:dyDescent="0.25">
      <c r="A5651" s="24" t="s">
        <v>7</v>
      </c>
      <c r="B5651" s="24" t="s">
        <v>15239</v>
      </c>
      <c r="C5651" s="25" t="s">
        <v>15240</v>
      </c>
      <c r="D5651" s="25" t="s">
        <v>15241</v>
      </c>
      <c r="E5651" s="26">
        <v>13.39</v>
      </c>
    </row>
    <row r="5652" spans="1:5" x14ac:dyDescent="0.25">
      <c r="A5652" s="24" t="s">
        <v>7</v>
      </c>
      <c r="B5652" s="24" t="s">
        <v>15242</v>
      </c>
      <c r="C5652" s="25" t="s">
        <v>15243</v>
      </c>
      <c r="D5652" s="25" t="s">
        <v>3862</v>
      </c>
      <c r="E5652" s="26">
        <v>153.80000000000001</v>
      </c>
    </row>
    <row r="5653" spans="1:5" x14ac:dyDescent="0.25">
      <c r="A5653" s="24" t="s">
        <v>7</v>
      </c>
      <c r="B5653" s="24" t="s">
        <v>15244</v>
      </c>
      <c r="C5653" s="25" t="s">
        <v>3832</v>
      </c>
      <c r="D5653" s="25" t="s">
        <v>3833</v>
      </c>
      <c r="E5653" s="26">
        <v>94.5</v>
      </c>
    </row>
    <row r="5654" spans="1:5" x14ac:dyDescent="0.25">
      <c r="A5654" s="24" t="s">
        <v>7</v>
      </c>
      <c r="B5654" s="24" t="s">
        <v>15245</v>
      </c>
      <c r="C5654" s="25" t="s">
        <v>3861</v>
      </c>
      <c r="D5654" s="25" t="s">
        <v>3862</v>
      </c>
      <c r="E5654" s="26">
        <v>484.83</v>
      </c>
    </row>
    <row r="5655" spans="1:5" x14ac:dyDescent="0.25">
      <c r="A5655" s="24" t="s">
        <v>7</v>
      </c>
      <c r="B5655" s="24" t="s">
        <v>15246</v>
      </c>
      <c r="C5655" s="25" t="s">
        <v>15247</v>
      </c>
      <c r="D5655" s="25" t="s">
        <v>3862</v>
      </c>
      <c r="E5655" s="26">
        <v>134</v>
      </c>
    </row>
    <row r="5656" spans="1:5" x14ac:dyDescent="0.25">
      <c r="A5656" s="24" t="s">
        <v>7</v>
      </c>
      <c r="B5656" s="24" t="s">
        <v>15248</v>
      </c>
      <c r="C5656" s="25" t="s">
        <v>3866</v>
      </c>
      <c r="D5656" s="25" t="s">
        <v>3867</v>
      </c>
      <c r="E5656" s="26">
        <v>94.5</v>
      </c>
    </row>
    <row r="5657" spans="1:5" x14ac:dyDescent="0.25">
      <c r="A5657" s="24" t="s">
        <v>7</v>
      </c>
      <c r="B5657" s="24" t="s">
        <v>15249</v>
      </c>
      <c r="C5657" s="25" t="s">
        <v>15250</v>
      </c>
      <c r="D5657" s="25" t="s">
        <v>15250</v>
      </c>
      <c r="E5657" s="26">
        <v>169.4</v>
      </c>
    </row>
    <row r="5658" spans="1:5" x14ac:dyDescent="0.25">
      <c r="A5658" s="24" t="s">
        <v>7</v>
      </c>
      <c r="B5658" s="24" t="s">
        <v>15251</v>
      </c>
      <c r="C5658" s="25" t="s">
        <v>15252</v>
      </c>
      <c r="D5658" s="25" t="s">
        <v>15253</v>
      </c>
      <c r="E5658" s="26">
        <v>95.48</v>
      </c>
    </row>
    <row r="5659" spans="1:5" x14ac:dyDescent="0.25">
      <c r="A5659" s="24" t="s">
        <v>7</v>
      </c>
      <c r="B5659" s="24" t="s">
        <v>15254</v>
      </c>
      <c r="C5659" s="25" t="s">
        <v>15255</v>
      </c>
      <c r="D5659" s="25" t="s">
        <v>15256</v>
      </c>
      <c r="E5659" s="26">
        <v>93</v>
      </c>
    </row>
    <row r="5660" spans="1:5" x14ac:dyDescent="0.25">
      <c r="A5660" s="24" t="s">
        <v>7</v>
      </c>
      <c r="B5660" s="24" t="s">
        <v>15257</v>
      </c>
      <c r="C5660" s="25" t="s">
        <v>15258</v>
      </c>
      <c r="D5660" s="25" t="s">
        <v>15258</v>
      </c>
      <c r="E5660" s="26">
        <v>69.959999999999994</v>
      </c>
    </row>
    <row r="5661" spans="1:5" x14ac:dyDescent="0.25">
      <c r="A5661" s="24" t="s">
        <v>7</v>
      </c>
      <c r="B5661" s="24" t="s">
        <v>15259</v>
      </c>
      <c r="C5661" s="25" t="s">
        <v>3951</v>
      </c>
      <c r="D5661" s="25" t="s">
        <v>3952</v>
      </c>
      <c r="E5661" s="26">
        <v>66.150000000000006</v>
      </c>
    </row>
    <row r="5662" spans="1:5" x14ac:dyDescent="0.25">
      <c r="A5662" s="24" t="s">
        <v>7</v>
      </c>
      <c r="B5662" s="24" t="s">
        <v>15260</v>
      </c>
      <c r="C5662" s="25" t="s">
        <v>15261</v>
      </c>
      <c r="D5662" s="25" t="s">
        <v>15181</v>
      </c>
      <c r="E5662" s="26">
        <v>16</v>
      </c>
    </row>
    <row r="5663" spans="1:5" x14ac:dyDescent="0.25">
      <c r="A5663" s="24" t="s">
        <v>7</v>
      </c>
      <c r="B5663" s="24" t="s">
        <v>15262</v>
      </c>
      <c r="C5663" s="25" t="s">
        <v>15263</v>
      </c>
      <c r="D5663" s="25" t="s">
        <v>15264</v>
      </c>
      <c r="E5663" s="26">
        <v>22.65</v>
      </c>
    </row>
    <row r="5664" spans="1:5" x14ac:dyDescent="0.25">
      <c r="A5664" s="24" t="s">
        <v>7</v>
      </c>
      <c r="B5664" s="24" t="s">
        <v>15265</v>
      </c>
      <c r="C5664" s="25" t="s">
        <v>15255</v>
      </c>
      <c r="D5664" s="25" t="s">
        <v>15256</v>
      </c>
      <c r="E5664" s="26">
        <v>141.5</v>
      </c>
    </row>
    <row r="5665" spans="1:5" x14ac:dyDescent="0.25">
      <c r="A5665" s="24" t="s">
        <v>7</v>
      </c>
      <c r="B5665" s="24" t="s">
        <v>15266</v>
      </c>
      <c r="C5665" s="25" t="s">
        <v>15267</v>
      </c>
      <c r="D5665" s="25" t="s">
        <v>15267</v>
      </c>
      <c r="E5665" s="26">
        <v>39.4</v>
      </c>
    </row>
    <row r="5666" spans="1:5" x14ac:dyDescent="0.25">
      <c r="A5666" s="24" t="s">
        <v>7</v>
      </c>
      <c r="B5666" s="24" t="s">
        <v>15268</v>
      </c>
      <c r="C5666" s="25" t="s">
        <v>15269</v>
      </c>
      <c r="D5666" s="25" t="s">
        <v>15269</v>
      </c>
      <c r="E5666" s="26">
        <v>33.799999999999997</v>
      </c>
    </row>
    <row r="5667" spans="1:5" x14ac:dyDescent="0.25">
      <c r="A5667" s="24" t="s">
        <v>7</v>
      </c>
      <c r="B5667" s="24" t="s">
        <v>15270</v>
      </c>
      <c r="C5667" s="25" t="s">
        <v>15271</v>
      </c>
      <c r="D5667" s="25" t="s">
        <v>15272</v>
      </c>
      <c r="E5667" s="26">
        <v>85.25</v>
      </c>
    </row>
    <row r="5668" spans="1:5" x14ac:dyDescent="0.25">
      <c r="A5668" s="24" t="s">
        <v>7</v>
      </c>
      <c r="B5668" s="24" t="s">
        <v>15273</v>
      </c>
      <c r="C5668" s="25" t="s">
        <v>15274</v>
      </c>
      <c r="D5668" s="25" t="s">
        <v>15275</v>
      </c>
      <c r="E5668" s="26">
        <v>37.450000000000003</v>
      </c>
    </row>
    <row r="5669" spans="1:5" x14ac:dyDescent="0.25">
      <c r="A5669" s="24" t="s">
        <v>7</v>
      </c>
      <c r="B5669" s="24" t="s">
        <v>15276</v>
      </c>
      <c r="C5669" s="25" t="s">
        <v>15277</v>
      </c>
      <c r="D5669" s="25" t="s">
        <v>15278</v>
      </c>
      <c r="E5669" s="26">
        <v>22.7</v>
      </c>
    </row>
    <row r="5670" spans="1:5" x14ac:dyDescent="0.25">
      <c r="A5670" s="24" t="s">
        <v>7</v>
      </c>
      <c r="B5670" s="24" t="s">
        <v>15279</v>
      </c>
      <c r="C5670" s="25" t="s">
        <v>15280</v>
      </c>
      <c r="D5670" s="25" t="s">
        <v>15281</v>
      </c>
      <c r="E5670" s="26">
        <v>73.25</v>
      </c>
    </row>
    <row r="5671" spans="1:5" x14ac:dyDescent="0.25">
      <c r="A5671" s="24" t="s">
        <v>7</v>
      </c>
      <c r="B5671" s="24" t="s">
        <v>15282</v>
      </c>
      <c r="C5671" s="25" t="s">
        <v>15283</v>
      </c>
      <c r="D5671" s="25" t="s">
        <v>3927</v>
      </c>
      <c r="E5671" s="26">
        <v>205</v>
      </c>
    </row>
    <row r="5672" spans="1:5" x14ac:dyDescent="0.25">
      <c r="A5672" s="24" t="s">
        <v>7</v>
      </c>
      <c r="B5672" s="24" t="s">
        <v>15284</v>
      </c>
      <c r="C5672" s="25" t="s">
        <v>15285</v>
      </c>
      <c r="D5672" s="25" t="s">
        <v>15285</v>
      </c>
      <c r="E5672" s="26">
        <v>112.25</v>
      </c>
    </row>
    <row r="5673" spans="1:5" x14ac:dyDescent="0.25">
      <c r="A5673" s="24" t="s">
        <v>7</v>
      </c>
      <c r="B5673" s="24" t="s">
        <v>15286</v>
      </c>
      <c r="C5673" s="25" t="s">
        <v>15287</v>
      </c>
      <c r="D5673" s="25" t="s">
        <v>15288</v>
      </c>
      <c r="E5673" s="26">
        <v>15.95</v>
      </c>
    </row>
    <row r="5674" spans="1:5" x14ac:dyDescent="0.25">
      <c r="A5674" s="24" t="s">
        <v>7</v>
      </c>
      <c r="B5674" s="24" t="s">
        <v>15289</v>
      </c>
      <c r="C5674" s="25" t="s">
        <v>3117</v>
      </c>
      <c r="D5674" s="25" t="s">
        <v>3118</v>
      </c>
      <c r="E5674" s="26">
        <v>20</v>
      </c>
    </row>
    <row r="5675" spans="1:5" x14ac:dyDescent="0.25">
      <c r="A5675" s="24" t="s">
        <v>7</v>
      </c>
      <c r="B5675" s="24" t="s">
        <v>15290</v>
      </c>
      <c r="C5675" s="25" t="s">
        <v>15291</v>
      </c>
      <c r="D5675" s="25" t="s">
        <v>15291</v>
      </c>
      <c r="E5675" s="26">
        <v>51.25</v>
      </c>
    </row>
    <row r="5676" spans="1:5" x14ac:dyDescent="0.25">
      <c r="A5676" s="24" t="s">
        <v>7</v>
      </c>
      <c r="B5676" s="24" t="s">
        <v>15292</v>
      </c>
      <c r="C5676" s="25" t="s">
        <v>15293</v>
      </c>
      <c r="D5676" s="25" t="s">
        <v>15293</v>
      </c>
      <c r="E5676" s="26">
        <v>559</v>
      </c>
    </row>
    <row r="5677" spans="1:5" x14ac:dyDescent="0.25">
      <c r="A5677" s="24" t="s">
        <v>7</v>
      </c>
      <c r="B5677" s="24" t="s">
        <v>15294</v>
      </c>
      <c r="C5677" s="25" t="s">
        <v>15295</v>
      </c>
      <c r="D5677" s="25" t="s">
        <v>15288</v>
      </c>
      <c r="E5677" s="26">
        <v>15.95</v>
      </c>
    </row>
    <row r="5678" spans="1:5" x14ac:dyDescent="0.25">
      <c r="A5678" s="24" t="s">
        <v>7</v>
      </c>
      <c r="B5678" s="24" t="s">
        <v>15296</v>
      </c>
      <c r="C5678" s="25" t="s">
        <v>15297</v>
      </c>
      <c r="D5678" s="25" t="s">
        <v>15298</v>
      </c>
      <c r="E5678" s="26">
        <v>61.05</v>
      </c>
    </row>
    <row r="5679" spans="1:5" x14ac:dyDescent="0.25">
      <c r="A5679" s="24" t="s">
        <v>7</v>
      </c>
      <c r="B5679" s="24" t="s">
        <v>15299</v>
      </c>
      <c r="C5679" s="25" t="s">
        <v>15300</v>
      </c>
      <c r="D5679" s="25" t="s">
        <v>15301</v>
      </c>
      <c r="E5679" s="26">
        <v>28</v>
      </c>
    </row>
    <row r="5680" spans="1:5" x14ac:dyDescent="0.25">
      <c r="A5680" s="24" t="s">
        <v>7</v>
      </c>
      <c r="B5680" s="24" t="s">
        <v>15302</v>
      </c>
      <c r="C5680" s="25" t="s">
        <v>15303</v>
      </c>
      <c r="D5680" s="25" t="s">
        <v>15304</v>
      </c>
      <c r="E5680" s="26">
        <v>16</v>
      </c>
    </row>
    <row r="5681" spans="1:5" x14ac:dyDescent="0.25">
      <c r="A5681" s="24" t="s">
        <v>7</v>
      </c>
      <c r="B5681" s="24" t="s">
        <v>15305</v>
      </c>
      <c r="C5681" s="25" t="s">
        <v>3523</v>
      </c>
      <c r="D5681" s="25" t="s">
        <v>3521</v>
      </c>
      <c r="E5681" s="26">
        <v>10.199999999999999</v>
      </c>
    </row>
    <row r="5682" spans="1:5" x14ac:dyDescent="0.25">
      <c r="A5682" s="24" t="s">
        <v>7</v>
      </c>
      <c r="B5682" s="24" t="s">
        <v>15306</v>
      </c>
      <c r="C5682" s="25" t="s">
        <v>15307</v>
      </c>
      <c r="D5682" s="25" t="s">
        <v>15307</v>
      </c>
      <c r="E5682" s="26">
        <v>57</v>
      </c>
    </row>
    <row r="5683" spans="1:5" x14ac:dyDescent="0.25">
      <c r="A5683" s="24" t="s">
        <v>7</v>
      </c>
      <c r="B5683" s="24" t="s">
        <v>15308</v>
      </c>
      <c r="C5683" s="25" t="s">
        <v>15309</v>
      </c>
      <c r="D5683" s="25" t="s">
        <v>15310</v>
      </c>
      <c r="E5683" s="26">
        <v>127.5</v>
      </c>
    </row>
    <row r="5684" spans="1:5" x14ac:dyDescent="0.25">
      <c r="A5684" s="24" t="s">
        <v>7</v>
      </c>
      <c r="B5684" s="24" t="s">
        <v>15311</v>
      </c>
      <c r="C5684" s="25" t="s">
        <v>15312</v>
      </c>
      <c r="D5684" s="25" t="s">
        <v>15288</v>
      </c>
      <c r="E5684" s="26">
        <v>56.5</v>
      </c>
    </row>
    <row r="5685" spans="1:5" x14ac:dyDescent="0.25">
      <c r="A5685" s="24" t="s">
        <v>7</v>
      </c>
      <c r="B5685" s="24" t="s">
        <v>15313</v>
      </c>
      <c r="C5685" s="25" t="s">
        <v>15314</v>
      </c>
      <c r="D5685" s="25" t="s">
        <v>15314</v>
      </c>
      <c r="E5685" s="26">
        <v>169.25</v>
      </c>
    </row>
    <row r="5686" spans="1:5" x14ac:dyDescent="0.25">
      <c r="A5686" s="24" t="s">
        <v>7</v>
      </c>
      <c r="B5686" s="24" t="s">
        <v>15315</v>
      </c>
      <c r="C5686" s="25" t="s">
        <v>3120</v>
      </c>
      <c r="D5686" s="25" t="s">
        <v>3118</v>
      </c>
      <c r="E5686" s="26">
        <v>7.98</v>
      </c>
    </row>
    <row r="5687" spans="1:5" x14ac:dyDescent="0.25">
      <c r="A5687" s="24" t="s">
        <v>7</v>
      </c>
      <c r="B5687" s="24" t="s">
        <v>15316</v>
      </c>
      <c r="C5687" s="25" t="s">
        <v>3122</v>
      </c>
      <c r="D5687" s="25" t="s">
        <v>3118</v>
      </c>
      <c r="E5687" s="26">
        <v>7.98</v>
      </c>
    </row>
    <row r="5688" spans="1:5" x14ac:dyDescent="0.25">
      <c r="A5688" s="24" t="s">
        <v>7</v>
      </c>
      <c r="B5688" s="24" t="s">
        <v>15317</v>
      </c>
      <c r="C5688" s="25" t="s">
        <v>15318</v>
      </c>
      <c r="D5688" s="25" t="s">
        <v>15318</v>
      </c>
      <c r="E5688" s="26">
        <v>411</v>
      </c>
    </row>
    <row r="5689" spans="1:5" x14ac:dyDescent="0.25">
      <c r="A5689" s="24" t="s">
        <v>7</v>
      </c>
      <c r="B5689" s="24" t="s">
        <v>15319</v>
      </c>
      <c r="C5689" s="25" t="s">
        <v>15320</v>
      </c>
      <c r="D5689" s="25" t="s">
        <v>3118</v>
      </c>
      <c r="E5689" s="26">
        <v>267</v>
      </c>
    </row>
    <row r="5690" spans="1:5" x14ac:dyDescent="0.25">
      <c r="A5690" s="24" t="s">
        <v>7</v>
      </c>
      <c r="B5690" s="24" t="s">
        <v>15321</v>
      </c>
      <c r="C5690" s="25" t="s">
        <v>3133</v>
      </c>
      <c r="D5690" s="25" t="s">
        <v>3118</v>
      </c>
      <c r="E5690" s="26">
        <v>126</v>
      </c>
    </row>
    <row r="5691" spans="1:5" x14ac:dyDescent="0.25">
      <c r="A5691" s="24" t="s">
        <v>7</v>
      </c>
      <c r="B5691" s="24" t="s">
        <v>15322</v>
      </c>
      <c r="C5691" s="25" t="s">
        <v>15186</v>
      </c>
      <c r="D5691" s="25" t="s">
        <v>15187</v>
      </c>
      <c r="E5691" s="26">
        <v>669</v>
      </c>
    </row>
    <row r="5692" spans="1:5" x14ac:dyDescent="0.25">
      <c r="A5692" s="24" t="s">
        <v>7</v>
      </c>
      <c r="B5692" s="24" t="s">
        <v>15323</v>
      </c>
      <c r="C5692" s="25" t="s">
        <v>15324</v>
      </c>
      <c r="D5692" s="25" t="s">
        <v>15325</v>
      </c>
      <c r="E5692" s="26">
        <v>34.15</v>
      </c>
    </row>
    <row r="5693" spans="1:5" x14ac:dyDescent="0.25">
      <c r="A5693" s="24" t="s">
        <v>7</v>
      </c>
      <c r="B5693" s="24" t="s">
        <v>15326</v>
      </c>
      <c r="C5693" s="25" t="s">
        <v>15327</v>
      </c>
      <c r="D5693" s="25" t="s">
        <v>3476</v>
      </c>
      <c r="E5693" s="26">
        <v>11.35</v>
      </c>
    </row>
    <row r="5694" spans="1:5" x14ac:dyDescent="0.25">
      <c r="A5694" s="24" t="s">
        <v>7</v>
      </c>
      <c r="B5694" s="24" t="s">
        <v>15328</v>
      </c>
      <c r="C5694" s="25" t="s">
        <v>15329</v>
      </c>
      <c r="D5694" s="25" t="s">
        <v>15329</v>
      </c>
      <c r="E5694" s="26">
        <v>13.65</v>
      </c>
    </row>
    <row r="5695" spans="1:5" x14ac:dyDescent="0.25">
      <c r="A5695" s="24" t="s">
        <v>7</v>
      </c>
      <c r="B5695" s="24" t="s">
        <v>15330</v>
      </c>
      <c r="C5695" s="25" t="s">
        <v>15331</v>
      </c>
      <c r="D5695" s="25" t="s">
        <v>15332</v>
      </c>
      <c r="E5695" s="26">
        <v>40.65</v>
      </c>
    </row>
    <row r="5696" spans="1:5" x14ac:dyDescent="0.25">
      <c r="A5696" s="24" t="s">
        <v>7</v>
      </c>
      <c r="B5696" s="24" t="s">
        <v>15333</v>
      </c>
      <c r="C5696" s="25" t="s">
        <v>15334</v>
      </c>
      <c r="D5696" s="25" t="s">
        <v>15334</v>
      </c>
      <c r="E5696" s="26">
        <v>79</v>
      </c>
    </row>
    <row r="5697" spans="1:5" x14ac:dyDescent="0.25">
      <c r="A5697" s="24" t="s">
        <v>7</v>
      </c>
      <c r="B5697" s="24" t="s">
        <v>15335</v>
      </c>
      <c r="C5697" s="25" t="s">
        <v>15336</v>
      </c>
      <c r="D5697" s="25" t="s">
        <v>15337</v>
      </c>
      <c r="E5697" s="26">
        <v>537.5</v>
      </c>
    </row>
    <row r="5698" spans="1:5" x14ac:dyDescent="0.25">
      <c r="A5698" s="24" t="s">
        <v>7</v>
      </c>
      <c r="B5698" s="24" t="s">
        <v>15338</v>
      </c>
      <c r="C5698" s="25" t="s">
        <v>15339</v>
      </c>
      <c r="D5698" s="25" t="s">
        <v>15340</v>
      </c>
      <c r="E5698" s="26">
        <v>537.5</v>
      </c>
    </row>
    <row r="5699" spans="1:5" x14ac:dyDescent="0.25">
      <c r="A5699" s="24" t="s">
        <v>7</v>
      </c>
      <c r="B5699" s="24" t="s">
        <v>15341</v>
      </c>
      <c r="C5699" s="25" t="s">
        <v>15342</v>
      </c>
      <c r="D5699" s="25" t="s">
        <v>15343</v>
      </c>
      <c r="E5699" s="26">
        <v>70</v>
      </c>
    </row>
    <row r="5700" spans="1:5" x14ac:dyDescent="0.25">
      <c r="A5700" s="24" t="s">
        <v>7</v>
      </c>
      <c r="B5700" s="24" t="s">
        <v>15344</v>
      </c>
      <c r="C5700" s="25" t="s">
        <v>15345</v>
      </c>
      <c r="D5700" s="25" t="s">
        <v>15346</v>
      </c>
      <c r="E5700" s="26">
        <v>499.99</v>
      </c>
    </row>
    <row r="5701" spans="1:5" x14ac:dyDescent="0.25">
      <c r="A5701" s="24" t="s">
        <v>7</v>
      </c>
      <c r="B5701" s="24" t="s">
        <v>15347</v>
      </c>
      <c r="C5701" s="25" t="s">
        <v>15348</v>
      </c>
      <c r="D5701" s="25" t="s">
        <v>15349</v>
      </c>
      <c r="E5701" s="26">
        <v>229</v>
      </c>
    </row>
    <row r="5702" spans="1:5" x14ac:dyDescent="0.25">
      <c r="A5702" s="24" t="s">
        <v>7</v>
      </c>
      <c r="B5702" s="24" t="s">
        <v>15350</v>
      </c>
      <c r="C5702" s="25" t="s">
        <v>15351</v>
      </c>
      <c r="D5702" s="25" t="s">
        <v>15352</v>
      </c>
      <c r="E5702" s="26">
        <v>28.5</v>
      </c>
    </row>
    <row r="5703" spans="1:5" x14ac:dyDescent="0.25">
      <c r="A5703" s="24" t="s">
        <v>7</v>
      </c>
      <c r="B5703" s="24" t="s">
        <v>15353</v>
      </c>
      <c r="C5703" s="25" t="s">
        <v>15354</v>
      </c>
      <c r="D5703" s="25" t="s">
        <v>3180</v>
      </c>
      <c r="E5703" s="26">
        <v>8.4</v>
      </c>
    </row>
    <row r="5704" spans="1:5" x14ac:dyDescent="0.25">
      <c r="A5704" s="24" t="s">
        <v>7</v>
      </c>
      <c r="B5704" s="24" t="s">
        <v>15355</v>
      </c>
      <c r="C5704" s="25" t="s">
        <v>3438</v>
      </c>
      <c r="D5704" s="25" t="s">
        <v>3438</v>
      </c>
      <c r="E5704" s="26">
        <v>81</v>
      </c>
    </row>
    <row r="5705" spans="1:5" x14ac:dyDescent="0.25">
      <c r="A5705" s="24" t="s">
        <v>7</v>
      </c>
      <c r="B5705" s="24" t="s">
        <v>15356</v>
      </c>
      <c r="C5705" s="25" t="s">
        <v>15250</v>
      </c>
      <c r="D5705" s="25" t="s">
        <v>15250</v>
      </c>
      <c r="E5705" s="26">
        <v>475</v>
      </c>
    </row>
    <row r="5706" spans="1:5" x14ac:dyDescent="0.25">
      <c r="A5706" s="24" t="s">
        <v>7</v>
      </c>
      <c r="B5706" s="24" t="s">
        <v>15357</v>
      </c>
      <c r="C5706" s="25" t="s">
        <v>15358</v>
      </c>
      <c r="D5706" s="25" t="s">
        <v>15359</v>
      </c>
      <c r="E5706" s="26">
        <v>282.5</v>
      </c>
    </row>
    <row r="5707" spans="1:5" x14ac:dyDescent="0.25">
      <c r="A5707" s="24" t="s">
        <v>7</v>
      </c>
      <c r="B5707" s="24" t="s">
        <v>15360</v>
      </c>
      <c r="C5707" s="25" t="s">
        <v>15361</v>
      </c>
      <c r="D5707" s="25" t="s">
        <v>15362</v>
      </c>
      <c r="E5707" s="26">
        <v>45</v>
      </c>
    </row>
    <row r="5708" spans="1:5" x14ac:dyDescent="0.25">
      <c r="A5708" s="24" t="s">
        <v>7</v>
      </c>
      <c r="B5708" s="24" t="s">
        <v>15363</v>
      </c>
      <c r="C5708" s="25" t="s">
        <v>15364</v>
      </c>
      <c r="D5708" s="25" t="s">
        <v>15365</v>
      </c>
      <c r="E5708" s="26">
        <v>147.5</v>
      </c>
    </row>
    <row r="5709" spans="1:5" x14ac:dyDescent="0.25">
      <c r="A5709" s="24" t="s">
        <v>7</v>
      </c>
      <c r="B5709" s="24" t="s">
        <v>15366</v>
      </c>
      <c r="C5709" s="25" t="s">
        <v>3112</v>
      </c>
      <c r="D5709" s="25" t="s">
        <v>3112</v>
      </c>
      <c r="E5709" s="26">
        <v>18.5</v>
      </c>
    </row>
    <row r="5710" spans="1:5" x14ac:dyDescent="0.25">
      <c r="A5710" s="24" t="s">
        <v>7</v>
      </c>
      <c r="B5710" s="24" t="s">
        <v>15367</v>
      </c>
      <c r="C5710" s="25" t="s">
        <v>15368</v>
      </c>
      <c r="D5710" s="25" t="s">
        <v>15368</v>
      </c>
      <c r="E5710" s="26">
        <v>72.5</v>
      </c>
    </row>
    <row r="5711" spans="1:5" x14ac:dyDescent="0.25">
      <c r="A5711" s="24" t="s">
        <v>7</v>
      </c>
      <c r="B5711" s="24" t="s">
        <v>15369</v>
      </c>
      <c r="C5711" s="25" t="s">
        <v>15370</v>
      </c>
      <c r="D5711" s="25" t="s">
        <v>3710</v>
      </c>
      <c r="E5711" s="26">
        <v>28.5</v>
      </c>
    </row>
    <row r="5712" spans="1:5" x14ac:dyDescent="0.25">
      <c r="A5712" s="24" t="s">
        <v>7</v>
      </c>
      <c r="B5712" s="24" t="s">
        <v>15371</v>
      </c>
      <c r="C5712" s="25" t="s">
        <v>15372</v>
      </c>
      <c r="D5712" s="25" t="s">
        <v>15373</v>
      </c>
      <c r="E5712" s="26">
        <v>1010</v>
      </c>
    </row>
    <row r="5713" spans="1:5" x14ac:dyDescent="0.25">
      <c r="A5713" s="24" t="s">
        <v>7</v>
      </c>
      <c r="B5713" s="24" t="s">
        <v>15374</v>
      </c>
      <c r="C5713" s="25" t="s">
        <v>15375</v>
      </c>
      <c r="D5713" s="25" t="s">
        <v>15376</v>
      </c>
      <c r="E5713" s="26">
        <v>165</v>
      </c>
    </row>
    <row r="5714" spans="1:5" x14ac:dyDescent="0.25">
      <c r="A5714" s="24" t="s">
        <v>7</v>
      </c>
      <c r="B5714" s="24" t="s">
        <v>15377</v>
      </c>
      <c r="C5714" s="25" t="s">
        <v>15378</v>
      </c>
      <c r="D5714" s="25" t="s">
        <v>15379</v>
      </c>
      <c r="E5714" s="26">
        <v>1010</v>
      </c>
    </row>
    <row r="5715" spans="1:5" x14ac:dyDescent="0.25">
      <c r="A5715" s="24" t="s">
        <v>7</v>
      </c>
      <c r="B5715" s="24" t="s">
        <v>15380</v>
      </c>
      <c r="C5715" s="25" t="s">
        <v>15381</v>
      </c>
      <c r="D5715" s="25" t="s">
        <v>15382</v>
      </c>
      <c r="E5715" s="26">
        <v>252.25</v>
      </c>
    </row>
    <row r="5716" spans="1:5" x14ac:dyDescent="0.25">
      <c r="A5716" s="24" t="s">
        <v>7</v>
      </c>
      <c r="B5716" s="24" t="s">
        <v>15383</v>
      </c>
      <c r="C5716" s="25" t="s">
        <v>15384</v>
      </c>
      <c r="D5716" s="25" t="s">
        <v>15385</v>
      </c>
      <c r="E5716" s="26">
        <v>270</v>
      </c>
    </row>
    <row r="5717" spans="1:5" x14ac:dyDescent="0.25">
      <c r="A5717" s="24" t="s">
        <v>7</v>
      </c>
      <c r="B5717" s="24" t="s">
        <v>15386</v>
      </c>
      <c r="C5717" s="25" t="s">
        <v>15387</v>
      </c>
      <c r="D5717" s="25" t="s">
        <v>15388</v>
      </c>
      <c r="E5717" s="26">
        <v>593.75</v>
      </c>
    </row>
    <row r="5718" spans="1:5" x14ac:dyDescent="0.25">
      <c r="A5718" s="24" t="s">
        <v>7</v>
      </c>
      <c r="B5718" s="24" t="s">
        <v>15389</v>
      </c>
      <c r="C5718" s="25" t="s">
        <v>15390</v>
      </c>
      <c r="D5718" s="25" t="s">
        <v>15390</v>
      </c>
      <c r="E5718" s="26">
        <v>84.15</v>
      </c>
    </row>
    <row r="5719" spans="1:5" x14ac:dyDescent="0.25">
      <c r="A5719" s="24" t="s">
        <v>7</v>
      </c>
      <c r="B5719" s="24" t="s">
        <v>15391</v>
      </c>
      <c r="C5719" s="25" t="s">
        <v>15392</v>
      </c>
      <c r="D5719" s="25" t="s">
        <v>15393</v>
      </c>
      <c r="E5719" s="26">
        <v>28.4</v>
      </c>
    </row>
    <row r="5720" spans="1:5" x14ac:dyDescent="0.25">
      <c r="A5720" s="24" t="s">
        <v>7</v>
      </c>
      <c r="B5720" s="24" t="s">
        <v>15394</v>
      </c>
      <c r="C5720" s="25" t="s">
        <v>15395</v>
      </c>
      <c r="D5720" s="25" t="s">
        <v>15395</v>
      </c>
      <c r="E5720" s="26">
        <v>56.95</v>
      </c>
    </row>
    <row r="5721" spans="1:5" x14ac:dyDescent="0.25">
      <c r="A5721" s="24" t="s">
        <v>7</v>
      </c>
      <c r="B5721" s="24" t="s">
        <v>15396</v>
      </c>
      <c r="C5721" s="25" t="s">
        <v>15397</v>
      </c>
      <c r="D5721" s="25" t="s">
        <v>15397</v>
      </c>
      <c r="E5721" s="26">
        <v>19.5</v>
      </c>
    </row>
    <row r="5722" spans="1:5" x14ac:dyDescent="0.25">
      <c r="A5722" s="24" t="s">
        <v>7</v>
      </c>
      <c r="B5722" s="24" t="s">
        <v>15398</v>
      </c>
      <c r="C5722" s="25" t="s">
        <v>15399</v>
      </c>
      <c r="D5722" s="25" t="s">
        <v>15399</v>
      </c>
      <c r="E5722" s="26">
        <v>36.549999999999997</v>
      </c>
    </row>
    <row r="5723" spans="1:5" x14ac:dyDescent="0.25">
      <c r="A5723" s="24" t="s">
        <v>7</v>
      </c>
      <c r="B5723" s="24" t="s">
        <v>15400</v>
      </c>
      <c r="C5723" s="25" t="s">
        <v>15401</v>
      </c>
      <c r="D5723" s="25" t="s">
        <v>15402</v>
      </c>
      <c r="E5723" s="26">
        <v>22.9</v>
      </c>
    </row>
    <row r="5724" spans="1:5" x14ac:dyDescent="0.25">
      <c r="A5724" s="24" t="s">
        <v>7</v>
      </c>
      <c r="B5724" s="24" t="s">
        <v>15403</v>
      </c>
      <c r="C5724" s="25" t="s">
        <v>15404</v>
      </c>
      <c r="D5724" s="25" t="s">
        <v>15404</v>
      </c>
      <c r="E5724" s="26">
        <v>37.549999999999997</v>
      </c>
    </row>
    <row r="5725" spans="1:5" x14ac:dyDescent="0.25">
      <c r="A5725" s="24" t="s">
        <v>7</v>
      </c>
      <c r="B5725" s="24" t="s">
        <v>15405</v>
      </c>
      <c r="C5725" s="25" t="s">
        <v>15406</v>
      </c>
      <c r="D5725" s="25" t="s">
        <v>15407</v>
      </c>
      <c r="E5725" s="26">
        <v>122</v>
      </c>
    </row>
    <row r="5726" spans="1:5" x14ac:dyDescent="0.25">
      <c r="A5726" s="24" t="s">
        <v>7</v>
      </c>
      <c r="B5726" s="24" t="s">
        <v>15408</v>
      </c>
      <c r="C5726" s="25" t="s">
        <v>15409</v>
      </c>
      <c r="D5726" s="25" t="s">
        <v>15409</v>
      </c>
      <c r="E5726" s="26">
        <v>122</v>
      </c>
    </row>
    <row r="5727" spans="1:5" x14ac:dyDescent="0.25">
      <c r="A5727" s="24" t="s">
        <v>7</v>
      </c>
      <c r="B5727" s="24" t="s">
        <v>15410</v>
      </c>
      <c r="C5727" s="25" t="s">
        <v>15411</v>
      </c>
      <c r="D5727" s="25" t="s">
        <v>3118</v>
      </c>
      <c r="E5727" s="26">
        <v>157</v>
      </c>
    </row>
    <row r="5728" spans="1:5" x14ac:dyDescent="0.25">
      <c r="A5728" s="24" t="s">
        <v>7</v>
      </c>
      <c r="B5728" s="24" t="s">
        <v>15412</v>
      </c>
      <c r="C5728" s="25" t="s">
        <v>15413</v>
      </c>
      <c r="D5728" s="25" t="s">
        <v>15413</v>
      </c>
      <c r="E5728" s="26">
        <v>28.35</v>
      </c>
    </row>
    <row r="5729" spans="1:5" x14ac:dyDescent="0.25">
      <c r="A5729" s="24" t="s">
        <v>7</v>
      </c>
      <c r="B5729" s="24" t="s">
        <v>15414</v>
      </c>
      <c r="C5729" s="25" t="s">
        <v>15415</v>
      </c>
      <c r="D5729" s="25" t="s">
        <v>15416</v>
      </c>
      <c r="E5729" s="26">
        <v>25</v>
      </c>
    </row>
    <row r="5730" spans="1:5" x14ac:dyDescent="0.25">
      <c r="A5730" s="24" t="s">
        <v>7</v>
      </c>
      <c r="B5730" s="24" t="s">
        <v>15417</v>
      </c>
      <c r="C5730" s="25" t="s">
        <v>15418</v>
      </c>
      <c r="D5730" s="25" t="s">
        <v>3118</v>
      </c>
      <c r="E5730" s="26">
        <v>165</v>
      </c>
    </row>
    <row r="5731" spans="1:5" x14ac:dyDescent="0.25">
      <c r="A5731" s="24" t="s">
        <v>7</v>
      </c>
      <c r="B5731" s="24" t="s">
        <v>15419</v>
      </c>
      <c r="C5731" s="25" t="s">
        <v>3167</v>
      </c>
      <c r="D5731" s="25" t="s">
        <v>3118</v>
      </c>
      <c r="E5731" s="26">
        <v>28.5</v>
      </c>
    </row>
    <row r="5732" spans="1:5" x14ac:dyDescent="0.25">
      <c r="A5732" s="24" t="s">
        <v>7</v>
      </c>
      <c r="B5732" s="24" t="s">
        <v>15420</v>
      </c>
      <c r="C5732" s="25" t="s">
        <v>15421</v>
      </c>
      <c r="D5732" s="25" t="s">
        <v>15275</v>
      </c>
      <c r="E5732" s="26">
        <v>45.5</v>
      </c>
    </row>
    <row r="5733" spans="1:5" x14ac:dyDescent="0.25">
      <c r="A5733" s="24" t="s">
        <v>7</v>
      </c>
      <c r="B5733" s="24" t="s">
        <v>15422</v>
      </c>
      <c r="C5733" s="25" t="s">
        <v>15423</v>
      </c>
      <c r="D5733" s="25" t="s">
        <v>15275</v>
      </c>
      <c r="E5733" s="26">
        <v>45.5</v>
      </c>
    </row>
    <row r="5734" spans="1:5" x14ac:dyDescent="0.25">
      <c r="A5734" s="24" t="s">
        <v>7</v>
      </c>
      <c r="B5734" s="24" t="s">
        <v>15424</v>
      </c>
      <c r="C5734" s="25" t="s">
        <v>15425</v>
      </c>
      <c r="D5734" s="25" t="s">
        <v>15402</v>
      </c>
      <c r="E5734" s="26">
        <v>115</v>
      </c>
    </row>
    <row r="5735" spans="1:5" x14ac:dyDescent="0.25">
      <c r="A5735" s="24" t="s">
        <v>7</v>
      </c>
      <c r="B5735" s="24" t="s">
        <v>15426</v>
      </c>
      <c r="C5735" s="25" t="s">
        <v>15427</v>
      </c>
      <c r="D5735" s="25" t="s">
        <v>15428</v>
      </c>
      <c r="E5735" s="26">
        <v>197</v>
      </c>
    </row>
    <row r="5736" spans="1:5" x14ac:dyDescent="0.25">
      <c r="A5736" s="24" t="s">
        <v>7</v>
      </c>
      <c r="B5736" s="24" t="s">
        <v>15429</v>
      </c>
      <c r="C5736" s="25" t="s">
        <v>15430</v>
      </c>
      <c r="D5736" s="25" t="s">
        <v>15430</v>
      </c>
      <c r="E5736" s="26">
        <v>78.75</v>
      </c>
    </row>
    <row r="5737" spans="1:5" x14ac:dyDescent="0.25">
      <c r="A5737" s="24" t="s">
        <v>7</v>
      </c>
      <c r="B5737" s="24" t="s">
        <v>15431</v>
      </c>
      <c r="C5737" s="25" t="s">
        <v>15432</v>
      </c>
      <c r="D5737" s="25" t="s">
        <v>15433</v>
      </c>
      <c r="E5737" s="26">
        <v>39.369999999999997</v>
      </c>
    </row>
    <row r="5738" spans="1:5" x14ac:dyDescent="0.25">
      <c r="A5738" s="24" t="s">
        <v>7</v>
      </c>
      <c r="B5738" s="24" t="s">
        <v>15434</v>
      </c>
      <c r="C5738" s="25" t="s">
        <v>15435</v>
      </c>
      <c r="D5738" s="25" t="s">
        <v>15435</v>
      </c>
      <c r="E5738" s="26">
        <v>86.25</v>
      </c>
    </row>
    <row r="5739" spans="1:5" x14ac:dyDescent="0.25">
      <c r="A5739" s="24" t="s">
        <v>7</v>
      </c>
      <c r="B5739" s="24" t="s">
        <v>15436</v>
      </c>
      <c r="C5739" s="25" t="s">
        <v>15437</v>
      </c>
      <c r="D5739" s="25" t="s">
        <v>3927</v>
      </c>
      <c r="E5739" s="26">
        <v>307.5</v>
      </c>
    </row>
    <row r="5740" spans="1:5" x14ac:dyDescent="0.25">
      <c r="A5740" s="24" t="s">
        <v>7</v>
      </c>
      <c r="B5740" s="24" t="s">
        <v>15438</v>
      </c>
      <c r="C5740" s="25" t="s">
        <v>15439</v>
      </c>
      <c r="D5740" s="25" t="s">
        <v>15439</v>
      </c>
      <c r="E5740" s="26">
        <v>307</v>
      </c>
    </row>
    <row r="5741" spans="1:5" x14ac:dyDescent="0.25">
      <c r="A5741" s="24" t="s">
        <v>7</v>
      </c>
      <c r="B5741" s="24" t="s">
        <v>15440</v>
      </c>
      <c r="C5741" s="25" t="s">
        <v>15441</v>
      </c>
      <c r="D5741" s="25" t="s">
        <v>15441</v>
      </c>
      <c r="E5741" s="26">
        <v>123</v>
      </c>
    </row>
    <row r="5742" spans="1:5" x14ac:dyDescent="0.25">
      <c r="A5742" s="24" t="s">
        <v>7</v>
      </c>
      <c r="B5742" s="24" t="s">
        <v>15442</v>
      </c>
      <c r="C5742" s="25" t="s">
        <v>15443</v>
      </c>
      <c r="D5742" s="25" t="s">
        <v>15443</v>
      </c>
      <c r="E5742" s="26">
        <v>115</v>
      </c>
    </row>
    <row r="5743" spans="1:5" x14ac:dyDescent="0.25">
      <c r="A5743" s="24" t="s">
        <v>7</v>
      </c>
      <c r="B5743" s="24" t="s">
        <v>15444</v>
      </c>
      <c r="C5743" s="25" t="s">
        <v>15445</v>
      </c>
      <c r="D5743" s="25" t="s">
        <v>15446</v>
      </c>
      <c r="E5743" s="26">
        <v>136.68</v>
      </c>
    </row>
    <row r="5744" spans="1:5" x14ac:dyDescent="0.25">
      <c r="A5744" s="24" t="s">
        <v>7</v>
      </c>
      <c r="B5744" s="24" t="s">
        <v>15447</v>
      </c>
      <c r="C5744" s="25" t="s">
        <v>15448</v>
      </c>
      <c r="D5744" s="25" t="s">
        <v>15449</v>
      </c>
      <c r="E5744" s="26">
        <v>56.5</v>
      </c>
    </row>
    <row r="5745" spans="1:5" x14ac:dyDescent="0.25">
      <c r="A5745" s="24" t="s">
        <v>7</v>
      </c>
      <c r="B5745" s="24" t="s">
        <v>15450</v>
      </c>
      <c r="C5745" s="25" t="s">
        <v>15451</v>
      </c>
      <c r="D5745" s="25" t="s">
        <v>15452</v>
      </c>
      <c r="E5745" s="26">
        <v>145</v>
      </c>
    </row>
    <row r="5746" spans="1:5" x14ac:dyDescent="0.25">
      <c r="A5746" s="24" t="s">
        <v>7</v>
      </c>
      <c r="B5746" s="24" t="s">
        <v>15453</v>
      </c>
      <c r="C5746" s="25" t="s">
        <v>15454</v>
      </c>
      <c r="D5746" s="25" t="s">
        <v>15455</v>
      </c>
      <c r="E5746" s="26">
        <v>2022.5</v>
      </c>
    </row>
    <row r="5747" spans="1:5" x14ac:dyDescent="0.25">
      <c r="A5747" s="24" t="s">
        <v>7</v>
      </c>
      <c r="B5747" s="24" t="s">
        <v>15456</v>
      </c>
      <c r="C5747" s="25" t="s">
        <v>15457</v>
      </c>
      <c r="D5747" s="25" t="s">
        <v>15458</v>
      </c>
      <c r="E5747" s="26">
        <v>275</v>
      </c>
    </row>
    <row r="5748" spans="1:5" x14ac:dyDescent="0.25">
      <c r="A5748" s="24" t="s">
        <v>7</v>
      </c>
      <c r="B5748" s="24" t="s">
        <v>15459</v>
      </c>
      <c r="C5748" s="25" t="s">
        <v>15460</v>
      </c>
      <c r="D5748" s="25" t="s">
        <v>15461</v>
      </c>
      <c r="E5748" s="26">
        <v>275</v>
      </c>
    </row>
    <row r="5749" spans="1:5" x14ac:dyDescent="0.25">
      <c r="A5749" s="24" t="s">
        <v>7</v>
      </c>
      <c r="B5749" s="24" t="s">
        <v>15462</v>
      </c>
      <c r="C5749" s="25" t="s">
        <v>15463</v>
      </c>
      <c r="D5749" s="25" t="s">
        <v>15464</v>
      </c>
      <c r="E5749" s="26">
        <v>1030</v>
      </c>
    </row>
    <row r="5750" spans="1:5" x14ac:dyDescent="0.25">
      <c r="A5750" s="24" t="s">
        <v>7</v>
      </c>
      <c r="B5750" s="24" t="s">
        <v>15465</v>
      </c>
      <c r="C5750" s="25" t="s">
        <v>15466</v>
      </c>
      <c r="D5750" s="25" t="s">
        <v>15467</v>
      </c>
      <c r="E5750" s="26">
        <v>150</v>
      </c>
    </row>
    <row r="5751" spans="1:5" x14ac:dyDescent="0.25">
      <c r="A5751" s="24" t="s">
        <v>7</v>
      </c>
      <c r="B5751" s="24" t="s">
        <v>15468</v>
      </c>
      <c r="C5751" s="25" t="s">
        <v>15469</v>
      </c>
      <c r="D5751" s="25" t="s">
        <v>15470</v>
      </c>
      <c r="E5751" s="26">
        <v>273.75</v>
      </c>
    </row>
    <row r="5752" spans="1:5" x14ac:dyDescent="0.25">
      <c r="A5752" s="24" t="s">
        <v>7</v>
      </c>
      <c r="B5752" s="24" t="s">
        <v>15471</v>
      </c>
      <c r="C5752" s="25" t="s">
        <v>15472</v>
      </c>
      <c r="D5752" s="25" t="s">
        <v>15473</v>
      </c>
      <c r="E5752" s="26">
        <v>50</v>
      </c>
    </row>
    <row r="5753" spans="1:5" x14ac:dyDescent="0.25">
      <c r="A5753" s="24" t="s">
        <v>7</v>
      </c>
      <c r="B5753" s="24" t="s">
        <v>15474</v>
      </c>
      <c r="C5753" s="25" t="s">
        <v>15475</v>
      </c>
      <c r="D5753" s="25" t="s">
        <v>15476</v>
      </c>
      <c r="E5753" s="26">
        <v>60</v>
      </c>
    </row>
    <row r="5754" spans="1:5" x14ac:dyDescent="0.25">
      <c r="A5754" s="24" t="s">
        <v>7</v>
      </c>
      <c r="B5754" s="24" t="s">
        <v>15477</v>
      </c>
      <c r="C5754" s="25" t="s">
        <v>15478</v>
      </c>
      <c r="D5754" s="25" t="s">
        <v>15478</v>
      </c>
      <c r="E5754" s="26">
        <v>16.5</v>
      </c>
    </row>
    <row r="5755" spans="1:5" x14ac:dyDescent="0.25">
      <c r="A5755" s="24" t="s">
        <v>7</v>
      </c>
      <c r="B5755" s="24" t="s">
        <v>15479</v>
      </c>
      <c r="C5755" s="25" t="s">
        <v>15480</v>
      </c>
      <c r="D5755" s="25" t="s">
        <v>15481</v>
      </c>
      <c r="E5755" s="26">
        <v>273.75</v>
      </c>
    </row>
    <row r="5756" spans="1:5" x14ac:dyDescent="0.25">
      <c r="A5756" s="24" t="s">
        <v>7</v>
      </c>
      <c r="B5756" s="24" t="s">
        <v>15482</v>
      </c>
      <c r="C5756" s="25" t="s">
        <v>15483</v>
      </c>
      <c r="D5756" s="25" t="s">
        <v>15484</v>
      </c>
      <c r="E5756" s="26">
        <v>325</v>
      </c>
    </row>
    <row r="5757" spans="1:5" x14ac:dyDescent="0.25">
      <c r="A5757" s="24" t="s">
        <v>7</v>
      </c>
      <c r="B5757" s="24" t="s">
        <v>15485</v>
      </c>
      <c r="C5757" s="25" t="s">
        <v>15486</v>
      </c>
      <c r="D5757" s="25" t="s">
        <v>15487</v>
      </c>
      <c r="E5757" s="26">
        <v>273.75</v>
      </c>
    </row>
    <row r="5758" spans="1:5" x14ac:dyDescent="0.25">
      <c r="A5758" s="24" t="s">
        <v>7</v>
      </c>
      <c r="B5758" s="24" t="s">
        <v>15488</v>
      </c>
      <c r="C5758" s="25" t="s">
        <v>15489</v>
      </c>
      <c r="D5758" s="25" t="s">
        <v>15490</v>
      </c>
      <c r="E5758" s="26">
        <v>389</v>
      </c>
    </row>
    <row r="5759" spans="1:5" x14ac:dyDescent="0.25">
      <c r="A5759" s="24" t="s">
        <v>7</v>
      </c>
      <c r="B5759" s="24" t="s">
        <v>15491</v>
      </c>
      <c r="C5759" s="25" t="s">
        <v>15492</v>
      </c>
      <c r="D5759" s="25" t="s">
        <v>15493</v>
      </c>
      <c r="E5759" s="26">
        <v>326.75</v>
      </c>
    </row>
    <row r="5760" spans="1:5" x14ac:dyDescent="0.25">
      <c r="A5760" s="24" t="s">
        <v>7</v>
      </c>
      <c r="B5760" s="24" t="s">
        <v>15494</v>
      </c>
      <c r="C5760" s="25" t="s">
        <v>15495</v>
      </c>
      <c r="D5760" s="25" t="s">
        <v>15496</v>
      </c>
      <c r="E5760" s="26">
        <v>49.25</v>
      </c>
    </row>
    <row r="5761" spans="1:5" x14ac:dyDescent="0.25">
      <c r="A5761" s="24" t="s">
        <v>7</v>
      </c>
      <c r="B5761" s="24" t="s">
        <v>15497</v>
      </c>
      <c r="C5761" s="25" t="s">
        <v>15498</v>
      </c>
      <c r="D5761" s="25" t="s">
        <v>15499</v>
      </c>
      <c r="E5761" s="26">
        <v>49.25</v>
      </c>
    </row>
    <row r="5762" spans="1:5" x14ac:dyDescent="0.25">
      <c r="A5762" s="24" t="s">
        <v>7</v>
      </c>
      <c r="B5762" s="24" t="s">
        <v>15500</v>
      </c>
      <c r="C5762" s="25" t="s">
        <v>15501</v>
      </c>
      <c r="D5762" s="25" t="s">
        <v>15502</v>
      </c>
      <c r="E5762" s="26">
        <v>273.75</v>
      </c>
    </row>
    <row r="5763" spans="1:5" x14ac:dyDescent="0.25">
      <c r="A5763" s="24" t="s">
        <v>7</v>
      </c>
      <c r="B5763" s="24" t="s">
        <v>15503</v>
      </c>
      <c r="C5763" s="25" t="s">
        <v>15504</v>
      </c>
      <c r="D5763" s="25" t="s">
        <v>15505</v>
      </c>
      <c r="E5763" s="26">
        <v>520</v>
      </c>
    </row>
    <row r="5764" spans="1:5" x14ac:dyDescent="0.25">
      <c r="A5764" s="24" t="s">
        <v>7</v>
      </c>
      <c r="B5764" s="24" t="s">
        <v>15506</v>
      </c>
      <c r="C5764" s="25" t="s">
        <v>15507</v>
      </c>
      <c r="D5764" s="25" t="s">
        <v>15508</v>
      </c>
      <c r="E5764" s="26">
        <v>49.25</v>
      </c>
    </row>
    <row r="5765" spans="1:5" x14ac:dyDescent="0.25">
      <c r="A5765" s="24" t="s">
        <v>7</v>
      </c>
      <c r="B5765" s="24" t="s">
        <v>15509</v>
      </c>
      <c r="C5765" s="25" t="s">
        <v>15510</v>
      </c>
      <c r="D5765" s="25" t="s">
        <v>15505</v>
      </c>
      <c r="E5765" s="26">
        <v>520</v>
      </c>
    </row>
    <row r="5766" spans="1:5" x14ac:dyDescent="0.25">
      <c r="A5766" s="24" t="s">
        <v>7</v>
      </c>
      <c r="B5766" s="24" t="s">
        <v>15511</v>
      </c>
      <c r="C5766" s="25" t="s">
        <v>15512</v>
      </c>
      <c r="D5766" s="25" t="s">
        <v>15513</v>
      </c>
      <c r="E5766" s="26">
        <v>49.25</v>
      </c>
    </row>
    <row r="5767" spans="1:5" x14ac:dyDescent="0.25">
      <c r="A5767" s="24" t="s">
        <v>7</v>
      </c>
      <c r="B5767" s="24" t="s">
        <v>15514</v>
      </c>
      <c r="C5767" s="25" t="s">
        <v>15515</v>
      </c>
      <c r="D5767" s="25" t="s">
        <v>15516</v>
      </c>
      <c r="E5767" s="26">
        <v>537.5</v>
      </c>
    </row>
    <row r="5768" spans="1:5" x14ac:dyDescent="0.25">
      <c r="A5768" s="24" t="s">
        <v>7</v>
      </c>
      <c r="B5768" s="24" t="s">
        <v>15517</v>
      </c>
      <c r="C5768" s="25" t="s">
        <v>15518</v>
      </c>
      <c r="D5768" s="25" t="s">
        <v>15519</v>
      </c>
      <c r="E5768" s="26">
        <v>520</v>
      </c>
    </row>
    <row r="5769" spans="1:5" x14ac:dyDescent="0.25">
      <c r="A5769" s="24" t="s">
        <v>7</v>
      </c>
      <c r="B5769" s="24" t="s">
        <v>15520</v>
      </c>
      <c r="C5769" s="25" t="s">
        <v>15521</v>
      </c>
      <c r="D5769" s="25" t="s">
        <v>15522</v>
      </c>
      <c r="E5769" s="26">
        <v>49.25</v>
      </c>
    </row>
    <row r="5770" spans="1:5" x14ac:dyDescent="0.25">
      <c r="A5770" s="24" t="s">
        <v>7</v>
      </c>
      <c r="B5770" s="24" t="s">
        <v>15523</v>
      </c>
      <c r="C5770" s="25" t="s">
        <v>15524</v>
      </c>
      <c r="D5770" s="25" t="s">
        <v>15525</v>
      </c>
      <c r="E5770" s="26">
        <v>445</v>
      </c>
    </row>
    <row r="5771" spans="1:5" x14ac:dyDescent="0.25">
      <c r="A5771" s="24" t="s">
        <v>7</v>
      </c>
      <c r="B5771" s="24" t="s">
        <v>15526</v>
      </c>
      <c r="C5771" s="25" t="s">
        <v>15527</v>
      </c>
      <c r="D5771" s="25" t="s">
        <v>15528</v>
      </c>
      <c r="E5771" s="26">
        <v>158</v>
      </c>
    </row>
    <row r="5772" spans="1:5" x14ac:dyDescent="0.25">
      <c r="A5772" s="24" t="s">
        <v>7</v>
      </c>
      <c r="B5772" s="24" t="s">
        <v>15529</v>
      </c>
      <c r="C5772" s="25" t="s">
        <v>15530</v>
      </c>
      <c r="D5772" s="25" t="s">
        <v>15531</v>
      </c>
      <c r="E5772" s="26">
        <v>17</v>
      </c>
    </row>
    <row r="5773" spans="1:5" x14ac:dyDescent="0.25">
      <c r="A5773" s="24" t="s">
        <v>7</v>
      </c>
      <c r="B5773" s="24" t="s">
        <v>15532</v>
      </c>
      <c r="C5773" s="25" t="s">
        <v>15533</v>
      </c>
      <c r="D5773" s="25" t="s">
        <v>15534</v>
      </c>
      <c r="E5773" s="26">
        <v>44.9</v>
      </c>
    </row>
    <row r="5774" spans="1:5" x14ac:dyDescent="0.25">
      <c r="A5774" s="24" t="s">
        <v>7</v>
      </c>
      <c r="B5774" s="24" t="s">
        <v>15535</v>
      </c>
      <c r="C5774" s="25" t="s">
        <v>15536</v>
      </c>
      <c r="D5774" s="25" t="s">
        <v>15537</v>
      </c>
      <c r="E5774" s="26">
        <v>28.35</v>
      </c>
    </row>
    <row r="5775" spans="1:5" x14ac:dyDescent="0.25">
      <c r="A5775" s="24" t="s">
        <v>7</v>
      </c>
      <c r="B5775" s="24" t="s">
        <v>15538</v>
      </c>
      <c r="C5775" s="25" t="s">
        <v>15539</v>
      </c>
      <c r="D5775" s="25" t="s">
        <v>15540</v>
      </c>
      <c r="E5775" s="26">
        <v>39.4</v>
      </c>
    </row>
    <row r="5776" spans="1:5" x14ac:dyDescent="0.25">
      <c r="A5776" s="24" t="s">
        <v>7</v>
      </c>
      <c r="B5776" s="24" t="s">
        <v>15541</v>
      </c>
      <c r="C5776" s="25" t="s">
        <v>15542</v>
      </c>
      <c r="D5776" s="25" t="s">
        <v>15542</v>
      </c>
      <c r="E5776" s="26">
        <v>21</v>
      </c>
    </row>
    <row r="5777" spans="1:5" x14ac:dyDescent="0.25">
      <c r="A5777" s="24" t="s">
        <v>7</v>
      </c>
      <c r="B5777" s="24" t="s">
        <v>15543</v>
      </c>
      <c r="C5777" s="25" t="s">
        <v>15544</v>
      </c>
      <c r="D5777" s="25" t="s">
        <v>15545</v>
      </c>
      <c r="E5777" s="26">
        <v>10.199999999999999</v>
      </c>
    </row>
    <row r="5778" spans="1:5" x14ac:dyDescent="0.25">
      <c r="A5778" s="24" t="s">
        <v>7</v>
      </c>
      <c r="B5778" s="24" t="s">
        <v>15546</v>
      </c>
      <c r="C5778" s="25" t="s">
        <v>15547</v>
      </c>
      <c r="D5778" s="25" t="s">
        <v>15548</v>
      </c>
      <c r="E5778" s="26">
        <v>12.45</v>
      </c>
    </row>
    <row r="5779" spans="1:5" x14ac:dyDescent="0.25">
      <c r="A5779" s="24" t="s">
        <v>7</v>
      </c>
      <c r="B5779" s="24" t="s">
        <v>15549</v>
      </c>
      <c r="C5779" s="25" t="s">
        <v>3667</v>
      </c>
      <c r="D5779" s="25" t="s">
        <v>3668</v>
      </c>
      <c r="E5779" s="26">
        <v>14.6</v>
      </c>
    </row>
    <row r="5780" spans="1:5" x14ac:dyDescent="0.25">
      <c r="A5780" s="24" t="s">
        <v>7</v>
      </c>
      <c r="B5780" s="24" t="s">
        <v>15550</v>
      </c>
      <c r="C5780" s="25" t="s">
        <v>3177</v>
      </c>
      <c r="D5780" s="25" t="s">
        <v>3177</v>
      </c>
      <c r="E5780" s="26">
        <v>21.2</v>
      </c>
    </row>
    <row r="5781" spans="1:5" x14ac:dyDescent="0.25">
      <c r="A5781" s="24" t="s">
        <v>7</v>
      </c>
      <c r="B5781" s="24" t="s">
        <v>15551</v>
      </c>
      <c r="C5781" s="25" t="s">
        <v>3179</v>
      </c>
      <c r="D5781" s="25" t="s">
        <v>3180</v>
      </c>
      <c r="E5781" s="26">
        <v>6</v>
      </c>
    </row>
    <row r="5782" spans="1:5" x14ac:dyDescent="0.25">
      <c r="A5782" s="24" t="s">
        <v>7</v>
      </c>
      <c r="B5782" s="24" t="s">
        <v>15552</v>
      </c>
      <c r="C5782" s="25" t="s">
        <v>15553</v>
      </c>
      <c r="D5782" s="25" t="s">
        <v>15553</v>
      </c>
      <c r="E5782" s="26">
        <v>9.65</v>
      </c>
    </row>
    <row r="5783" spans="1:5" x14ac:dyDescent="0.25">
      <c r="A5783" s="24" t="s">
        <v>7</v>
      </c>
      <c r="B5783" s="24" t="s">
        <v>15554</v>
      </c>
      <c r="C5783" s="25" t="s">
        <v>15555</v>
      </c>
      <c r="D5783" s="25" t="s">
        <v>15555</v>
      </c>
      <c r="E5783" s="26">
        <v>28.25</v>
      </c>
    </row>
    <row r="5784" spans="1:5" x14ac:dyDescent="0.25">
      <c r="A5784" s="24" t="s">
        <v>7</v>
      </c>
      <c r="B5784" s="24" t="s">
        <v>15556</v>
      </c>
      <c r="C5784" s="25" t="s">
        <v>15557</v>
      </c>
      <c r="D5784" s="25" t="s">
        <v>15557</v>
      </c>
      <c r="E5784" s="26">
        <v>28.4</v>
      </c>
    </row>
    <row r="5785" spans="1:5" x14ac:dyDescent="0.25">
      <c r="A5785" s="24" t="s">
        <v>7</v>
      </c>
      <c r="B5785" s="24" t="s">
        <v>15558</v>
      </c>
      <c r="C5785" s="25" t="s">
        <v>15559</v>
      </c>
      <c r="D5785" s="25" t="s">
        <v>15531</v>
      </c>
      <c r="E5785" s="26">
        <v>17</v>
      </c>
    </row>
    <row r="5786" spans="1:5" x14ac:dyDescent="0.25">
      <c r="A5786" s="24" t="s">
        <v>7</v>
      </c>
      <c r="B5786" s="24" t="s">
        <v>15560</v>
      </c>
      <c r="C5786" s="25" t="s">
        <v>15561</v>
      </c>
      <c r="D5786" s="25" t="s">
        <v>15561</v>
      </c>
      <c r="E5786" s="26">
        <v>12</v>
      </c>
    </row>
    <row r="5787" spans="1:5" x14ac:dyDescent="0.25">
      <c r="A5787" s="24" t="s">
        <v>7</v>
      </c>
      <c r="B5787" s="24" t="s">
        <v>15562</v>
      </c>
      <c r="C5787" s="25" t="s">
        <v>3182</v>
      </c>
      <c r="D5787" s="25" t="s">
        <v>3183</v>
      </c>
      <c r="E5787" s="26">
        <v>10.199999999999999</v>
      </c>
    </row>
    <row r="5788" spans="1:5" x14ac:dyDescent="0.25">
      <c r="A5788" s="24" t="s">
        <v>7</v>
      </c>
      <c r="B5788" s="24" t="s">
        <v>15563</v>
      </c>
      <c r="C5788" s="25" t="s">
        <v>3189</v>
      </c>
      <c r="D5788" s="25" t="s">
        <v>3190</v>
      </c>
      <c r="E5788" s="26">
        <v>16.899999999999999</v>
      </c>
    </row>
    <row r="5789" spans="1:5" x14ac:dyDescent="0.25">
      <c r="A5789" s="24" t="s">
        <v>7</v>
      </c>
      <c r="B5789" s="24" t="s">
        <v>15564</v>
      </c>
      <c r="C5789" s="25" t="s">
        <v>15565</v>
      </c>
      <c r="D5789" s="25" t="s">
        <v>15566</v>
      </c>
      <c r="E5789" s="26">
        <v>57</v>
      </c>
    </row>
    <row r="5790" spans="1:5" x14ac:dyDescent="0.25">
      <c r="A5790" s="24" t="s">
        <v>7</v>
      </c>
      <c r="B5790" s="24" t="s">
        <v>15567</v>
      </c>
      <c r="C5790" s="25" t="s">
        <v>15568</v>
      </c>
      <c r="D5790" s="25" t="s">
        <v>15569</v>
      </c>
      <c r="E5790" s="26">
        <v>148.75</v>
      </c>
    </row>
    <row r="5791" spans="1:5" x14ac:dyDescent="0.25">
      <c r="A5791" s="24" t="s">
        <v>7</v>
      </c>
      <c r="B5791" s="24" t="s">
        <v>15570</v>
      </c>
      <c r="C5791" s="25" t="s">
        <v>15571</v>
      </c>
      <c r="D5791" s="25" t="s">
        <v>15572</v>
      </c>
      <c r="E5791" s="26">
        <v>39.380000000000003</v>
      </c>
    </row>
    <row r="5792" spans="1:5" x14ac:dyDescent="0.25">
      <c r="A5792" s="24" t="s">
        <v>7</v>
      </c>
      <c r="B5792" s="24" t="s">
        <v>15573</v>
      </c>
      <c r="C5792" s="25" t="s">
        <v>3202</v>
      </c>
      <c r="D5792" s="25" t="s">
        <v>3202</v>
      </c>
      <c r="E5792" s="26">
        <v>13.6</v>
      </c>
    </row>
    <row r="5793" spans="1:5" x14ac:dyDescent="0.25">
      <c r="A5793" s="24" t="s">
        <v>7</v>
      </c>
      <c r="B5793" s="24" t="s">
        <v>15574</v>
      </c>
      <c r="C5793" s="25" t="s">
        <v>15575</v>
      </c>
      <c r="D5793" s="25" t="s">
        <v>15576</v>
      </c>
      <c r="E5793" s="26">
        <v>33.75</v>
      </c>
    </row>
    <row r="5794" spans="1:5" x14ac:dyDescent="0.25">
      <c r="A5794" s="24" t="s">
        <v>7</v>
      </c>
      <c r="B5794" s="24" t="s">
        <v>15577</v>
      </c>
      <c r="C5794" s="25" t="s">
        <v>15578</v>
      </c>
      <c r="D5794" s="25" t="s">
        <v>15579</v>
      </c>
      <c r="E5794" s="26">
        <v>42.65</v>
      </c>
    </row>
    <row r="5795" spans="1:5" x14ac:dyDescent="0.25">
      <c r="A5795" s="24" t="s">
        <v>7</v>
      </c>
      <c r="B5795" s="24" t="s">
        <v>15580</v>
      </c>
      <c r="C5795" s="25" t="s">
        <v>15581</v>
      </c>
      <c r="D5795" s="25" t="s">
        <v>15581</v>
      </c>
      <c r="E5795" s="26">
        <v>19.5</v>
      </c>
    </row>
    <row r="5796" spans="1:5" x14ac:dyDescent="0.25">
      <c r="A5796" s="24" t="s">
        <v>7</v>
      </c>
      <c r="B5796" s="24" t="s">
        <v>15582</v>
      </c>
      <c r="C5796" s="25" t="s">
        <v>15583</v>
      </c>
      <c r="D5796" s="25" t="s">
        <v>15583</v>
      </c>
      <c r="E5796" s="26">
        <v>20.3</v>
      </c>
    </row>
    <row r="5797" spans="1:5" x14ac:dyDescent="0.25">
      <c r="A5797" s="24" t="s">
        <v>7</v>
      </c>
      <c r="B5797" s="24" t="s">
        <v>15584</v>
      </c>
      <c r="C5797" s="25" t="s">
        <v>15585</v>
      </c>
      <c r="D5797" s="25" t="s">
        <v>15585</v>
      </c>
      <c r="E5797" s="26">
        <v>20.3</v>
      </c>
    </row>
    <row r="5798" spans="1:5" x14ac:dyDescent="0.25">
      <c r="A5798" s="24" t="s">
        <v>7</v>
      </c>
      <c r="B5798" s="24" t="s">
        <v>15586</v>
      </c>
      <c r="C5798" s="25" t="s">
        <v>15587</v>
      </c>
      <c r="D5798" s="25" t="s">
        <v>15587</v>
      </c>
      <c r="E5798" s="26">
        <v>27.35</v>
      </c>
    </row>
    <row r="5799" spans="1:5" x14ac:dyDescent="0.25">
      <c r="A5799" s="24" t="s">
        <v>7</v>
      </c>
      <c r="B5799" s="24" t="s">
        <v>15588</v>
      </c>
      <c r="C5799" s="25" t="s">
        <v>3172</v>
      </c>
      <c r="D5799" s="25" t="s">
        <v>3118</v>
      </c>
      <c r="E5799" s="26">
        <v>7.98</v>
      </c>
    </row>
    <row r="5800" spans="1:5" x14ac:dyDescent="0.25">
      <c r="A5800" s="24" t="s">
        <v>7</v>
      </c>
      <c r="B5800" s="24" t="s">
        <v>15589</v>
      </c>
      <c r="C5800" s="25" t="s">
        <v>15590</v>
      </c>
      <c r="D5800" s="25" t="s">
        <v>15428</v>
      </c>
      <c r="E5800" s="26">
        <v>90.25</v>
      </c>
    </row>
    <row r="5801" spans="1:5" x14ac:dyDescent="0.25">
      <c r="A5801" s="24" t="s">
        <v>7</v>
      </c>
      <c r="B5801" s="24" t="s">
        <v>15591</v>
      </c>
      <c r="C5801" s="25" t="s">
        <v>15592</v>
      </c>
      <c r="D5801" s="25" t="s">
        <v>15592</v>
      </c>
      <c r="E5801" s="26">
        <v>89.85</v>
      </c>
    </row>
    <row r="5802" spans="1:5" x14ac:dyDescent="0.25">
      <c r="A5802" s="24" t="s">
        <v>7</v>
      </c>
      <c r="B5802" s="24" t="s">
        <v>15593</v>
      </c>
      <c r="C5802" s="25" t="s">
        <v>3185</v>
      </c>
      <c r="D5802" s="25" t="s">
        <v>3118</v>
      </c>
      <c r="E5802" s="26">
        <v>7.98</v>
      </c>
    </row>
    <row r="5803" spans="1:5" x14ac:dyDescent="0.25">
      <c r="A5803" s="24" t="s">
        <v>7</v>
      </c>
      <c r="B5803" s="24" t="s">
        <v>15594</v>
      </c>
      <c r="C5803" s="25" t="s">
        <v>3210</v>
      </c>
      <c r="D5803" s="25" t="s">
        <v>3211</v>
      </c>
      <c r="E5803" s="26">
        <v>12</v>
      </c>
    </row>
    <row r="5804" spans="1:5" x14ac:dyDescent="0.25">
      <c r="A5804" s="24" t="s">
        <v>7</v>
      </c>
      <c r="B5804" s="24" t="s">
        <v>15595</v>
      </c>
      <c r="C5804" s="25" t="s">
        <v>15596</v>
      </c>
      <c r="D5804" s="25" t="s">
        <v>15597</v>
      </c>
      <c r="E5804" s="26">
        <v>12</v>
      </c>
    </row>
    <row r="5805" spans="1:5" x14ac:dyDescent="0.25">
      <c r="A5805" s="24" t="s">
        <v>7</v>
      </c>
      <c r="B5805" s="24" t="s">
        <v>15598</v>
      </c>
      <c r="C5805" s="25" t="s">
        <v>15599</v>
      </c>
      <c r="D5805" s="25" t="s">
        <v>15600</v>
      </c>
      <c r="E5805" s="26">
        <v>10.25</v>
      </c>
    </row>
    <row r="5806" spans="1:5" x14ac:dyDescent="0.25">
      <c r="A5806" s="24" t="s">
        <v>7</v>
      </c>
      <c r="B5806" s="24" t="s">
        <v>15601</v>
      </c>
      <c r="C5806" s="25" t="s">
        <v>15602</v>
      </c>
      <c r="D5806" s="25" t="s">
        <v>15603</v>
      </c>
      <c r="E5806" s="26">
        <v>42</v>
      </c>
    </row>
    <row r="5807" spans="1:5" x14ac:dyDescent="0.25">
      <c r="A5807" s="24" t="s">
        <v>7</v>
      </c>
      <c r="B5807" s="24" t="s">
        <v>15604</v>
      </c>
      <c r="C5807" s="25" t="s">
        <v>15605</v>
      </c>
      <c r="D5807" s="25" t="s">
        <v>15606</v>
      </c>
      <c r="E5807" s="26">
        <v>22.9</v>
      </c>
    </row>
    <row r="5808" spans="1:5" x14ac:dyDescent="0.25">
      <c r="A5808" s="24" t="s">
        <v>7</v>
      </c>
      <c r="B5808" s="24" t="s">
        <v>15607</v>
      </c>
      <c r="C5808" s="25" t="s">
        <v>15608</v>
      </c>
      <c r="D5808" s="25" t="s">
        <v>15608</v>
      </c>
      <c r="E5808" s="26">
        <v>18.2</v>
      </c>
    </row>
    <row r="5809" spans="1:5" x14ac:dyDescent="0.25">
      <c r="A5809" s="24" t="s">
        <v>7</v>
      </c>
      <c r="B5809" s="24" t="s">
        <v>15609</v>
      </c>
      <c r="C5809" s="25" t="s">
        <v>15610</v>
      </c>
      <c r="D5809" s="25" t="s">
        <v>15610</v>
      </c>
      <c r="E5809" s="26">
        <v>18.2</v>
      </c>
    </row>
    <row r="5810" spans="1:5" x14ac:dyDescent="0.25">
      <c r="A5810" s="24" t="s">
        <v>7</v>
      </c>
      <c r="B5810" s="24" t="s">
        <v>15611</v>
      </c>
      <c r="C5810" s="25" t="s">
        <v>15612</v>
      </c>
      <c r="D5810" s="25" t="s">
        <v>15612</v>
      </c>
      <c r="E5810" s="26">
        <v>48.3</v>
      </c>
    </row>
    <row r="5811" spans="1:5" x14ac:dyDescent="0.25">
      <c r="A5811" s="24" t="s">
        <v>7</v>
      </c>
      <c r="B5811" s="24" t="s">
        <v>15613</v>
      </c>
      <c r="C5811" s="25" t="s">
        <v>15614</v>
      </c>
      <c r="D5811" s="25" t="s">
        <v>15614</v>
      </c>
      <c r="E5811" s="26">
        <v>29.25</v>
      </c>
    </row>
    <row r="5812" spans="1:5" x14ac:dyDescent="0.25">
      <c r="A5812" s="24" t="s">
        <v>7</v>
      </c>
      <c r="B5812" s="24" t="s">
        <v>15615</v>
      </c>
      <c r="C5812" s="25" t="s">
        <v>3232</v>
      </c>
      <c r="D5812" s="25" t="s">
        <v>3232</v>
      </c>
      <c r="E5812" s="26">
        <v>13.6</v>
      </c>
    </row>
    <row r="5813" spans="1:5" x14ac:dyDescent="0.25">
      <c r="A5813" s="24" t="s">
        <v>7</v>
      </c>
      <c r="B5813" s="24" t="s">
        <v>15616</v>
      </c>
      <c r="C5813" s="25" t="s">
        <v>3236</v>
      </c>
      <c r="D5813" s="25" t="s">
        <v>3237</v>
      </c>
      <c r="E5813" s="26">
        <v>10.199999999999999</v>
      </c>
    </row>
    <row r="5814" spans="1:5" x14ac:dyDescent="0.25">
      <c r="A5814" s="24" t="s">
        <v>7</v>
      </c>
      <c r="B5814" s="24" t="s">
        <v>15617</v>
      </c>
      <c r="C5814" s="25" t="s">
        <v>15618</v>
      </c>
      <c r="D5814" s="25" t="s">
        <v>15619</v>
      </c>
      <c r="E5814" s="26">
        <v>28.25</v>
      </c>
    </row>
    <row r="5815" spans="1:5" x14ac:dyDescent="0.25">
      <c r="A5815" s="24" t="s">
        <v>7</v>
      </c>
      <c r="B5815" s="24" t="s">
        <v>15620</v>
      </c>
      <c r="C5815" s="25" t="s">
        <v>15621</v>
      </c>
      <c r="D5815" s="25" t="s">
        <v>15622</v>
      </c>
      <c r="E5815" s="26">
        <v>27</v>
      </c>
    </row>
    <row r="5816" spans="1:5" x14ac:dyDescent="0.25">
      <c r="A5816" s="24" t="s">
        <v>7</v>
      </c>
      <c r="B5816" s="24" t="s">
        <v>15623</v>
      </c>
      <c r="C5816" s="25" t="s">
        <v>15624</v>
      </c>
      <c r="D5816" s="25" t="s">
        <v>15625</v>
      </c>
      <c r="E5816" s="26">
        <v>9</v>
      </c>
    </row>
    <row r="5817" spans="1:5" x14ac:dyDescent="0.25">
      <c r="A5817" s="24" t="s">
        <v>7</v>
      </c>
      <c r="B5817" s="24" t="s">
        <v>15626</v>
      </c>
      <c r="C5817" s="25" t="s">
        <v>15627</v>
      </c>
      <c r="D5817" s="25" t="s">
        <v>15628</v>
      </c>
      <c r="E5817" s="26">
        <v>18</v>
      </c>
    </row>
    <row r="5818" spans="1:5" x14ac:dyDescent="0.25">
      <c r="A5818" s="24" t="s">
        <v>7</v>
      </c>
      <c r="B5818" s="24" t="s">
        <v>15629</v>
      </c>
      <c r="C5818" s="25" t="s">
        <v>15630</v>
      </c>
      <c r="D5818" s="25" t="s">
        <v>15630</v>
      </c>
      <c r="E5818" s="26">
        <v>11.4</v>
      </c>
    </row>
    <row r="5819" spans="1:5" x14ac:dyDescent="0.25">
      <c r="A5819" s="24" t="s">
        <v>7</v>
      </c>
      <c r="B5819" s="24" t="s">
        <v>15631</v>
      </c>
      <c r="C5819" s="25" t="s">
        <v>15632</v>
      </c>
      <c r="D5819" s="25" t="s">
        <v>15632</v>
      </c>
      <c r="E5819" s="26">
        <v>110</v>
      </c>
    </row>
    <row r="5820" spans="1:5" x14ac:dyDescent="0.25">
      <c r="A5820" s="24" t="s">
        <v>7</v>
      </c>
      <c r="B5820" s="24" t="s">
        <v>15633</v>
      </c>
      <c r="C5820" s="25" t="s">
        <v>15634</v>
      </c>
      <c r="D5820" s="25" t="s">
        <v>15635</v>
      </c>
      <c r="E5820" s="26">
        <v>19.25</v>
      </c>
    </row>
    <row r="5821" spans="1:5" x14ac:dyDescent="0.25">
      <c r="A5821" s="24" t="s">
        <v>7</v>
      </c>
      <c r="B5821" s="24" t="s">
        <v>15636</v>
      </c>
      <c r="C5821" s="25" t="s">
        <v>15637</v>
      </c>
      <c r="D5821" s="25" t="s">
        <v>15638</v>
      </c>
      <c r="E5821" s="26">
        <v>19.25</v>
      </c>
    </row>
    <row r="5822" spans="1:5" x14ac:dyDescent="0.25">
      <c r="A5822" s="24" t="s">
        <v>7</v>
      </c>
      <c r="B5822" s="24" t="s">
        <v>15639</v>
      </c>
      <c r="C5822" s="25" t="s">
        <v>15640</v>
      </c>
      <c r="D5822" s="25" t="s">
        <v>15640</v>
      </c>
      <c r="E5822" s="26">
        <v>67.25</v>
      </c>
    </row>
    <row r="5823" spans="1:5" x14ac:dyDescent="0.25">
      <c r="A5823" s="24" t="s">
        <v>7</v>
      </c>
      <c r="B5823" s="24" t="s">
        <v>15641</v>
      </c>
      <c r="C5823" s="25" t="s">
        <v>15642</v>
      </c>
      <c r="D5823" s="25" t="s">
        <v>15642</v>
      </c>
      <c r="E5823" s="26">
        <v>13.5</v>
      </c>
    </row>
    <row r="5824" spans="1:5" x14ac:dyDescent="0.25">
      <c r="A5824" s="24" t="s">
        <v>7</v>
      </c>
      <c r="B5824" s="24" t="s">
        <v>15643</v>
      </c>
      <c r="C5824" s="25" t="s">
        <v>15644</v>
      </c>
      <c r="D5824" s="25" t="s">
        <v>15644</v>
      </c>
      <c r="E5824" s="26">
        <v>15.7</v>
      </c>
    </row>
    <row r="5825" spans="1:5" x14ac:dyDescent="0.25">
      <c r="A5825" s="24" t="s">
        <v>7</v>
      </c>
      <c r="B5825" s="24" t="s">
        <v>15645</v>
      </c>
      <c r="C5825" s="25" t="s">
        <v>15646</v>
      </c>
      <c r="D5825" s="25" t="s">
        <v>15647</v>
      </c>
      <c r="E5825" s="26">
        <v>84</v>
      </c>
    </row>
    <row r="5826" spans="1:5" x14ac:dyDescent="0.25">
      <c r="A5826" s="24" t="s">
        <v>7</v>
      </c>
      <c r="B5826" s="24" t="s">
        <v>15648</v>
      </c>
      <c r="C5826" s="25" t="s">
        <v>15649</v>
      </c>
      <c r="D5826" s="25" t="s">
        <v>15650</v>
      </c>
      <c r="E5826" s="26">
        <v>245</v>
      </c>
    </row>
    <row r="5827" spans="1:5" x14ac:dyDescent="0.25">
      <c r="A5827" s="24" t="s">
        <v>7</v>
      </c>
      <c r="B5827" s="24" t="s">
        <v>15651</v>
      </c>
      <c r="C5827" s="25" t="s">
        <v>15652</v>
      </c>
      <c r="D5827" s="25" t="s">
        <v>15652</v>
      </c>
      <c r="E5827" s="26">
        <v>115</v>
      </c>
    </row>
    <row r="5828" spans="1:5" x14ac:dyDescent="0.25">
      <c r="A5828" s="24" t="s">
        <v>7</v>
      </c>
      <c r="B5828" s="24" t="s">
        <v>15653</v>
      </c>
      <c r="C5828" s="25" t="s">
        <v>3261</v>
      </c>
      <c r="D5828" s="25" t="s">
        <v>3262</v>
      </c>
      <c r="E5828" s="26">
        <v>9</v>
      </c>
    </row>
    <row r="5829" spans="1:5" x14ac:dyDescent="0.25">
      <c r="A5829" s="24" t="s">
        <v>7</v>
      </c>
      <c r="B5829" s="24" t="s">
        <v>15654</v>
      </c>
      <c r="C5829" s="25" t="s">
        <v>15655</v>
      </c>
      <c r="D5829" s="25" t="s">
        <v>15655</v>
      </c>
      <c r="E5829" s="26">
        <v>22.65</v>
      </c>
    </row>
    <row r="5830" spans="1:5" x14ac:dyDescent="0.25">
      <c r="A5830" s="24" t="s">
        <v>7</v>
      </c>
      <c r="B5830" s="24" t="s">
        <v>15656</v>
      </c>
      <c r="C5830" s="25" t="s">
        <v>15657</v>
      </c>
      <c r="D5830" s="25" t="s">
        <v>15657</v>
      </c>
      <c r="E5830" s="26">
        <v>79.25</v>
      </c>
    </row>
    <row r="5831" spans="1:5" x14ac:dyDescent="0.25">
      <c r="A5831" s="24" t="s">
        <v>7</v>
      </c>
      <c r="B5831" s="24" t="s">
        <v>15658</v>
      </c>
      <c r="C5831" s="25" t="s">
        <v>15659</v>
      </c>
      <c r="D5831" s="25" t="s">
        <v>15660</v>
      </c>
      <c r="E5831" s="26">
        <v>90.35</v>
      </c>
    </row>
    <row r="5832" spans="1:5" x14ac:dyDescent="0.25">
      <c r="A5832" s="24" t="s">
        <v>7</v>
      </c>
      <c r="B5832" s="24" t="s">
        <v>15661</v>
      </c>
      <c r="C5832" s="25" t="s">
        <v>15662</v>
      </c>
      <c r="D5832" s="25" t="s">
        <v>15385</v>
      </c>
      <c r="E5832" s="26">
        <v>78.75</v>
      </c>
    </row>
    <row r="5833" spans="1:5" x14ac:dyDescent="0.25">
      <c r="A5833" s="24" t="s">
        <v>7</v>
      </c>
      <c r="B5833" s="24" t="s">
        <v>15663</v>
      </c>
      <c r="C5833" s="25" t="s">
        <v>15664</v>
      </c>
      <c r="D5833" s="25" t="s">
        <v>15665</v>
      </c>
      <c r="E5833" s="26">
        <v>204</v>
      </c>
    </row>
    <row r="5834" spans="1:5" x14ac:dyDescent="0.25">
      <c r="A5834" s="24" t="s">
        <v>7</v>
      </c>
      <c r="B5834" s="24" t="s">
        <v>15666</v>
      </c>
      <c r="C5834" s="25" t="s">
        <v>15667</v>
      </c>
      <c r="D5834" s="25" t="s">
        <v>15668</v>
      </c>
      <c r="E5834" s="26">
        <v>75</v>
      </c>
    </row>
    <row r="5835" spans="1:5" x14ac:dyDescent="0.25">
      <c r="A5835" s="24" t="s">
        <v>7</v>
      </c>
      <c r="B5835" s="24" t="s">
        <v>15669</v>
      </c>
      <c r="C5835" s="25" t="s">
        <v>3187</v>
      </c>
      <c r="D5835" s="25" t="s">
        <v>3118</v>
      </c>
      <c r="E5835" s="26">
        <v>7.98</v>
      </c>
    </row>
    <row r="5836" spans="1:5" x14ac:dyDescent="0.25">
      <c r="A5836" s="24" t="s">
        <v>7</v>
      </c>
      <c r="B5836" s="24" t="s">
        <v>15670</v>
      </c>
      <c r="C5836" s="25" t="s">
        <v>3281</v>
      </c>
      <c r="D5836" s="25" t="s">
        <v>3282</v>
      </c>
      <c r="E5836" s="26">
        <v>6</v>
      </c>
    </row>
    <row r="5837" spans="1:5" x14ac:dyDescent="0.25">
      <c r="A5837" s="24" t="s">
        <v>7</v>
      </c>
      <c r="B5837" s="24" t="s">
        <v>15671</v>
      </c>
      <c r="C5837" s="25" t="s">
        <v>15672</v>
      </c>
      <c r="D5837" s="25" t="s">
        <v>3282</v>
      </c>
      <c r="E5837" s="26">
        <v>8.4</v>
      </c>
    </row>
    <row r="5838" spans="1:5" x14ac:dyDescent="0.25">
      <c r="A5838" s="24" t="s">
        <v>7</v>
      </c>
      <c r="B5838" s="24" t="s">
        <v>15673</v>
      </c>
      <c r="C5838" s="25" t="s">
        <v>15674</v>
      </c>
      <c r="D5838" s="25" t="s">
        <v>15675</v>
      </c>
      <c r="E5838" s="26">
        <v>7.5</v>
      </c>
    </row>
    <row r="5839" spans="1:5" x14ac:dyDescent="0.25">
      <c r="A5839" s="24" t="s">
        <v>7</v>
      </c>
      <c r="B5839" s="24" t="s">
        <v>15676</v>
      </c>
      <c r="C5839" s="25" t="s">
        <v>15677</v>
      </c>
      <c r="D5839" s="25" t="s">
        <v>15677</v>
      </c>
      <c r="E5839" s="26">
        <v>33</v>
      </c>
    </row>
    <row r="5840" spans="1:5" x14ac:dyDescent="0.25">
      <c r="A5840" s="24" t="s">
        <v>7</v>
      </c>
      <c r="B5840" s="24" t="s">
        <v>15678</v>
      </c>
      <c r="C5840" s="25" t="s">
        <v>15679</v>
      </c>
      <c r="D5840" s="25" t="s">
        <v>15679</v>
      </c>
      <c r="E5840" s="26">
        <v>56.5</v>
      </c>
    </row>
    <row r="5841" spans="1:5" x14ac:dyDescent="0.25">
      <c r="A5841" s="24" t="s">
        <v>7</v>
      </c>
      <c r="B5841" s="24" t="s">
        <v>15680</v>
      </c>
      <c r="C5841" s="25" t="s">
        <v>15681</v>
      </c>
      <c r="D5841" s="25" t="s">
        <v>15682</v>
      </c>
      <c r="E5841" s="26">
        <v>80.2</v>
      </c>
    </row>
    <row r="5842" spans="1:5" x14ac:dyDescent="0.25">
      <c r="A5842" s="24" t="s">
        <v>7</v>
      </c>
      <c r="B5842" s="24" t="s">
        <v>15683</v>
      </c>
      <c r="C5842" s="25" t="s">
        <v>15684</v>
      </c>
      <c r="D5842" s="25" t="s">
        <v>15685</v>
      </c>
      <c r="E5842" s="26">
        <v>152.5</v>
      </c>
    </row>
    <row r="5843" spans="1:5" x14ac:dyDescent="0.25">
      <c r="A5843" s="24" t="s">
        <v>7</v>
      </c>
      <c r="B5843" s="24" t="s">
        <v>15686</v>
      </c>
      <c r="C5843" s="25" t="s">
        <v>15687</v>
      </c>
      <c r="D5843" s="25" t="s">
        <v>15688</v>
      </c>
      <c r="E5843" s="26">
        <v>24</v>
      </c>
    </row>
    <row r="5844" spans="1:5" x14ac:dyDescent="0.25">
      <c r="A5844" s="24" t="s">
        <v>7</v>
      </c>
      <c r="B5844" s="24" t="s">
        <v>15689</v>
      </c>
      <c r="C5844" s="25" t="s">
        <v>3208</v>
      </c>
      <c r="D5844" s="25" t="s">
        <v>3118</v>
      </c>
      <c r="E5844" s="26">
        <v>104</v>
      </c>
    </row>
    <row r="5845" spans="1:5" x14ac:dyDescent="0.25">
      <c r="A5845" s="24" t="s">
        <v>7</v>
      </c>
      <c r="B5845" s="24" t="s">
        <v>15690</v>
      </c>
      <c r="C5845" s="25" t="s">
        <v>15205</v>
      </c>
      <c r="D5845" s="25" t="s">
        <v>15206</v>
      </c>
      <c r="E5845" s="26">
        <v>209.3</v>
      </c>
    </row>
    <row r="5846" spans="1:5" x14ac:dyDescent="0.25">
      <c r="A5846" s="24" t="s">
        <v>7</v>
      </c>
      <c r="B5846" s="24" t="s">
        <v>15691</v>
      </c>
      <c r="C5846" s="25" t="s">
        <v>15692</v>
      </c>
      <c r="D5846" s="25" t="s">
        <v>15692</v>
      </c>
      <c r="E5846" s="26">
        <v>15</v>
      </c>
    </row>
    <row r="5847" spans="1:5" x14ac:dyDescent="0.25">
      <c r="A5847" s="24" t="s">
        <v>7</v>
      </c>
      <c r="B5847" s="24" t="s">
        <v>15693</v>
      </c>
      <c r="C5847" s="25" t="s">
        <v>15208</v>
      </c>
      <c r="D5847" s="25" t="s">
        <v>15208</v>
      </c>
      <c r="E5847" s="26">
        <v>12</v>
      </c>
    </row>
    <row r="5848" spans="1:5" x14ac:dyDescent="0.25">
      <c r="A5848" s="24" t="s">
        <v>7</v>
      </c>
      <c r="B5848" s="24" t="s">
        <v>15694</v>
      </c>
      <c r="C5848" s="25" t="s">
        <v>15695</v>
      </c>
      <c r="D5848" s="25" t="s">
        <v>15696</v>
      </c>
      <c r="E5848" s="26">
        <v>45</v>
      </c>
    </row>
    <row r="5849" spans="1:5" x14ac:dyDescent="0.25">
      <c r="A5849" s="24" t="s">
        <v>7</v>
      </c>
      <c r="B5849" s="24" t="s">
        <v>15697</v>
      </c>
      <c r="C5849" s="25" t="s">
        <v>15698</v>
      </c>
      <c r="D5849" s="25" t="s">
        <v>15685</v>
      </c>
      <c r="E5849" s="26">
        <v>168.75</v>
      </c>
    </row>
    <row r="5850" spans="1:5" x14ac:dyDescent="0.25">
      <c r="A5850" s="24" t="s">
        <v>7</v>
      </c>
      <c r="B5850" s="24" t="s">
        <v>15699</v>
      </c>
      <c r="C5850" s="25" t="s">
        <v>15700</v>
      </c>
      <c r="D5850" s="25" t="s">
        <v>15700</v>
      </c>
      <c r="E5850" s="26">
        <v>43.4</v>
      </c>
    </row>
    <row r="5851" spans="1:5" x14ac:dyDescent="0.25">
      <c r="A5851" s="24" t="s">
        <v>7</v>
      </c>
      <c r="B5851" s="24" t="s">
        <v>15701</v>
      </c>
      <c r="C5851" s="25" t="s">
        <v>15702</v>
      </c>
      <c r="D5851" s="25" t="s">
        <v>15703</v>
      </c>
      <c r="E5851" s="26">
        <v>7.8</v>
      </c>
    </row>
    <row r="5852" spans="1:5" x14ac:dyDescent="0.25">
      <c r="A5852" s="24" t="s">
        <v>7</v>
      </c>
      <c r="B5852" s="24" t="s">
        <v>15704</v>
      </c>
      <c r="C5852" s="25" t="s">
        <v>3301</v>
      </c>
      <c r="D5852" s="25" t="s">
        <v>3302</v>
      </c>
      <c r="E5852" s="26">
        <v>215</v>
      </c>
    </row>
    <row r="5853" spans="1:5" x14ac:dyDescent="0.25">
      <c r="A5853" s="24" t="s">
        <v>7</v>
      </c>
      <c r="B5853" s="24" t="s">
        <v>15705</v>
      </c>
      <c r="C5853" s="25" t="s">
        <v>15706</v>
      </c>
      <c r="D5853" s="25" t="s">
        <v>15707</v>
      </c>
      <c r="E5853" s="26">
        <v>131</v>
      </c>
    </row>
    <row r="5854" spans="1:5" x14ac:dyDescent="0.25">
      <c r="A5854" s="24" t="s">
        <v>7</v>
      </c>
      <c r="B5854" s="24" t="s">
        <v>15708</v>
      </c>
      <c r="C5854" s="25" t="s">
        <v>15709</v>
      </c>
      <c r="D5854" s="25" t="s">
        <v>15709</v>
      </c>
      <c r="E5854" s="26">
        <v>15</v>
      </c>
    </row>
    <row r="5855" spans="1:5" x14ac:dyDescent="0.25">
      <c r="A5855" s="24" t="s">
        <v>7</v>
      </c>
      <c r="B5855" s="24" t="s">
        <v>15710</v>
      </c>
      <c r="C5855" s="25" t="s">
        <v>15711</v>
      </c>
      <c r="D5855" s="25" t="s">
        <v>15712</v>
      </c>
      <c r="E5855" s="26">
        <v>10.199999999999999</v>
      </c>
    </row>
    <row r="5856" spans="1:5" x14ac:dyDescent="0.25">
      <c r="A5856" s="24" t="s">
        <v>7</v>
      </c>
      <c r="B5856" s="24" t="s">
        <v>15713</v>
      </c>
      <c r="C5856" s="25" t="s">
        <v>15714</v>
      </c>
      <c r="D5856" s="25" t="s">
        <v>15715</v>
      </c>
      <c r="E5856" s="26">
        <v>28.5</v>
      </c>
    </row>
    <row r="5857" spans="1:5" x14ac:dyDescent="0.25">
      <c r="A5857" s="24" t="s">
        <v>7</v>
      </c>
      <c r="B5857" s="24" t="s">
        <v>15716</v>
      </c>
      <c r="C5857" s="25" t="s">
        <v>3359</v>
      </c>
      <c r="D5857" s="25" t="s">
        <v>3360</v>
      </c>
      <c r="E5857" s="26">
        <v>28.5</v>
      </c>
    </row>
    <row r="5858" spans="1:5" x14ac:dyDescent="0.25">
      <c r="A5858" s="24" t="s">
        <v>7</v>
      </c>
      <c r="B5858" s="24" t="s">
        <v>15717</v>
      </c>
      <c r="C5858" s="25" t="s">
        <v>15718</v>
      </c>
      <c r="D5858" s="25" t="s">
        <v>15718</v>
      </c>
      <c r="E5858" s="26">
        <v>18</v>
      </c>
    </row>
    <row r="5859" spans="1:5" x14ac:dyDescent="0.25">
      <c r="A5859" s="24" t="s">
        <v>7</v>
      </c>
      <c r="B5859" s="24" t="s">
        <v>15719</v>
      </c>
      <c r="C5859" s="25" t="s">
        <v>15720</v>
      </c>
      <c r="D5859" s="25" t="s">
        <v>15720</v>
      </c>
      <c r="E5859" s="26">
        <v>13.5</v>
      </c>
    </row>
    <row r="5860" spans="1:5" x14ac:dyDescent="0.25">
      <c r="A5860" s="24" t="s">
        <v>7</v>
      </c>
      <c r="B5860" s="24" t="s">
        <v>15721</v>
      </c>
      <c r="C5860" s="25" t="s">
        <v>3312</v>
      </c>
      <c r="D5860" s="25" t="s">
        <v>3313</v>
      </c>
      <c r="E5860" s="26">
        <v>9.1</v>
      </c>
    </row>
    <row r="5861" spans="1:5" x14ac:dyDescent="0.25">
      <c r="A5861" s="24" t="s">
        <v>7</v>
      </c>
      <c r="B5861" s="24" t="s">
        <v>15722</v>
      </c>
      <c r="C5861" s="25" t="s">
        <v>15723</v>
      </c>
      <c r="D5861" s="25" t="s">
        <v>3313</v>
      </c>
      <c r="E5861" s="26">
        <v>7.5</v>
      </c>
    </row>
    <row r="5862" spans="1:5" x14ac:dyDescent="0.25">
      <c r="A5862" s="24" t="s">
        <v>7</v>
      </c>
      <c r="B5862" s="24" t="s">
        <v>15724</v>
      </c>
      <c r="C5862" s="25" t="s">
        <v>15725</v>
      </c>
      <c r="D5862" s="25" t="s">
        <v>15725</v>
      </c>
      <c r="E5862" s="26">
        <v>24.9</v>
      </c>
    </row>
    <row r="5863" spans="1:5" x14ac:dyDescent="0.25">
      <c r="A5863" s="24" t="s">
        <v>7</v>
      </c>
      <c r="B5863" s="24" t="s">
        <v>15726</v>
      </c>
      <c r="C5863" s="25" t="s">
        <v>3330</v>
      </c>
      <c r="D5863" s="25" t="s">
        <v>3313</v>
      </c>
      <c r="E5863" s="26">
        <v>19.350000000000001</v>
      </c>
    </row>
    <row r="5864" spans="1:5" x14ac:dyDescent="0.25">
      <c r="A5864" s="24" t="s">
        <v>7</v>
      </c>
      <c r="B5864" s="24" t="s">
        <v>15727</v>
      </c>
      <c r="C5864" s="25" t="s">
        <v>3337</v>
      </c>
      <c r="D5864" s="25" t="s">
        <v>3337</v>
      </c>
      <c r="E5864" s="26">
        <v>10.199999999999999</v>
      </c>
    </row>
    <row r="5865" spans="1:5" x14ac:dyDescent="0.25">
      <c r="A5865" s="24" t="s">
        <v>7</v>
      </c>
      <c r="B5865" s="24" t="s">
        <v>15728</v>
      </c>
      <c r="C5865" s="25" t="s">
        <v>15729</v>
      </c>
      <c r="D5865" s="25" t="s">
        <v>15730</v>
      </c>
      <c r="E5865" s="26">
        <v>13.6</v>
      </c>
    </row>
    <row r="5866" spans="1:5" x14ac:dyDescent="0.25">
      <c r="A5866" s="24" t="s">
        <v>7</v>
      </c>
      <c r="B5866" s="24" t="s">
        <v>15731</v>
      </c>
      <c r="C5866" s="25" t="s">
        <v>3339</v>
      </c>
      <c r="D5866" s="25" t="s">
        <v>3340</v>
      </c>
      <c r="E5866" s="26">
        <v>11.4</v>
      </c>
    </row>
    <row r="5867" spans="1:5" x14ac:dyDescent="0.25">
      <c r="A5867" s="24" t="s">
        <v>7</v>
      </c>
      <c r="B5867" s="24" t="s">
        <v>15732</v>
      </c>
      <c r="C5867" s="25" t="s">
        <v>15210</v>
      </c>
      <c r="D5867" s="25" t="s">
        <v>15211</v>
      </c>
      <c r="E5867" s="26">
        <v>8.4</v>
      </c>
    </row>
    <row r="5868" spans="1:5" x14ac:dyDescent="0.25">
      <c r="A5868" s="24" t="s">
        <v>7</v>
      </c>
      <c r="B5868" s="24" t="s">
        <v>15733</v>
      </c>
      <c r="C5868" s="25" t="s">
        <v>15213</v>
      </c>
      <c r="D5868" s="25" t="s">
        <v>15214</v>
      </c>
      <c r="E5868" s="26">
        <v>10.5</v>
      </c>
    </row>
    <row r="5869" spans="1:5" x14ac:dyDescent="0.25">
      <c r="A5869" s="24" t="s">
        <v>7</v>
      </c>
      <c r="B5869" s="24" t="s">
        <v>15734</v>
      </c>
      <c r="C5869" s="25" t="s">
        <v>15735</v>
      </c>
      <c r="D5869" s="25" t="s">
        <v>15736</v>
      </c>
      <c r="E5869" s="26">
        <v>20.5</v>
      </c>
    </row>
    <row r="5870" spans="1:5" x14ac:dyDescent="0.25">
      <c r="A5870" s="24" t="s">
        <v>7</v>
      </c>
      <c r="B5870" s="24" t="s">
        <v>15737</v>
      </c>
      <c r="C5870" s="25" t="s">
        <v>3342</v>
      </c>
      <c r="D5870" s="25" t="s">
        <v>3342</v>
      </c>
      <c r="E5870" s="26">
        <v>12.6</v>
      </c>
    </row>
    <row r="5871" spans="1:5" x14ac:dyDescent="0.25">
      <c r="A5871" s="24" t="s">
        <v>7</v>
      </c>
      <c r="B5871" s="24" t="s">
        <v>15738</v>
      </c>
      <c r="C5871" s="25" t="s">
        <v>15739</v>
      </c>
      <c r="D5871" s="25" t="s">
        <v>15740</v>
      </c>
      <c r="E5871" s="26">
        <v>13.6</v>
      </c>
    </row>
    <row r="5872" spans="1:5" x14ac:dyDescent="0.25">
      <c r="A5872" s="24" t="s">
        <v>7</v>
      </c>
      <c r="B5872" s="24" t="s">
        <v>15741</v>
      </c>
      <c r="C5872" s="25" t="s">
        <v>15742</v>
      </c>
      <c r="D5872" s="25" t="s">
        <v>15743</v>
      </c>
      <c r="E5872" s="26">
        <v>90.25</v>
      </c>
    </row>
    <row r="5873" spans="1:5" x14ac:dyDescent="0.25">
      <c r="A5873" s="24" t="s">
        <v>7</v>
      </c>
      <c r="B5873" s="24" t="s">
        <v>15744</v>
      </c>
      <c r="C5873" s="25" t="s">
        <v>3350</v>
      </c>
      <c r="D5873" s="25" t="s">
        <v>3351</v>
      </c>
      <c r="E5873" s="26">
        <v>22.6</v>
      </c>
    </row>
    <row r="5874" spans="1:5" x14ac:dyDescent="0.25">
      <c r="A5874" s="24" t="s">
        <v>7</v>
      </c>
      <c r="B5874" s="24" t="s">
        <v>15745</v>
      </c>
      <c r="C5874" s="25" t="s">
        <v>15746</v>
      </c>
      <c r="D5874" s="25" t="s">
        <v>15743</v>
      </c>
      <c r="E5874" s="26">
        <v>79</v>
      </c>
    </row>
    <row r="5875" spans="1:5" x14ac:dyDescent="0.25">
      <c r="A5875" s="24" t="s">
        <v>7</v>
      </c>
      <c r="B5875" s="24" t="s">
        <v>15747</v>
      </c>
      <c r="C5875" s="25" t="s">
        <v>15748</v>
      </c>
      <c r="D5875" s="25" t="s">
        <v>15749</v>
      </c>
      <c r="E5875" s="26">
        <v>15.9</v>
      </c>
    </row>
    <row r="5876" spans="1:5" x14ac:dyDescent="0.25">
      <c r="A5876" s="24" t="s">
        <v>7</v>
      </c>
      <c r="B5876" s="24" t="s">
        <v>15750</v>
      </c>
      <c r="C5876" s="25" t="s">
        <v>15751</v>
      </c>
      <c r="D5876" s="25" t="s">
        <v>15752</v>
      </c>
      <c r="E5876" s="26">
        <v>15</v>
      </c>
    </row>
    <row r="5877" spans="1:5" x14ac:dyDescent="0.25">
      <c r="A5877" s="24" t="s">
        <v>7</v>
      </c>
      <c r="B5877" s="24" t="s">
        <v>15753</v>
      </c>
      <c r="C5877" s="25" t="s">
        <v>15754</v>
      </c>
      <c r="D5877" s="25" t="s">
        <v>15752</v>
      </c>
      <c r="E5877" s="26">
        <v>9</v>
      </c>
    </row>
    <row r="5878" spans="1:5" x14ac:dyDescent="0.25">
      <c r="A5878" s="24" t="s">
        <v>7</v>
      </c>
      <c r="B5878" s="24" t="s">
        <v>15755</v>
      </c>
      <c r="C5878" s="25" t="s">
        <v>15756</v>
      </c>
      <c r="D5878" s="25" t="s">
        <v>15743</v>
      </c>
      <c r="E5878" s="26">
        <v>90.25</v>
      </c>
    </row>
    <row r="5879" spans="1:5" x14ac:dyDescent="0.25">
      <c r="A5879" s="24" t="s">
        <v>7</v>
      </c>
      <c r="B5879" s="24" t="s">
        <v>15757</v>
      </c>
      <c r="C5879" s="25" t="s">
        <v>15758</v>
      </c>
      <c r="D5879" s="25" t="s">
        <v>15759</v>
      </c>
      <c r="E5879" s="26">
        <v>18.5</v>
      </c>
    </row>
    <row r="5880" spans="1:5" x14ac:dyDescent="0.25">
      <c r="A5880" s="24" t="s">
        <v>7</v>
      </c>
      <c r="B5880" s="24" t="s">
        <v>15760</v>
      </c>
      <c r="C5880" s="25" t="s">
        <v>3353</v>
      </c>
      <c r="D5880" s="25" t="s">
        <v>3354</v>
      </c>
      <c r="E5880" s="26">
        <v>13.7</v>
      </c>
    </row>
    <row r="5881" spans="1:5" x14ac:dyDescent="0.25">
      <c r="A5881" s="24" t="s">
        <v>7</v>
      </c>
      <c r="B5881" s="24" t="s">
        <v>15761</v>
      </c>
      <c r="C5881" s="25" t="s">
        <v>15762</v>
      </c>
      <c r="D5881" s="25" t="s">
        <v>15763</v>
      </c>
      <c r="E5881" s="26">
        <v>43.2</v>
      </c>
    </row>
    <row r="5882" spans="1:5" x14ac:dyDescent="0.25">
      <c r="A5882" s="24" t="s">
        <v>7</v>
      </c>
      <c r="B5882" s="24" t="s">
        <v>15764</v>
      </c>
      <c r="C5882" s="25" t="s">
        <v>15765</v>
      </c>
      <c r="D5882" s="25" t="s">
        <v>15763</v>
      </c>
      <c r="E5882" s="26">
        <v>51.25</v>
      </c>
    </row>
    <row r="5883" spans="1:5" x14ac:dyDescent="0.25">
      <c r="A5883" s="24" t="s">
        <v>7</v>
      </c>
      <c r="B5883" s="24" t="s">
        <v>15766</v>
      </c>
      <c r="C5883" s="25" t="s">
        <v>15767</v>
      </c>
      <c r="D5883" s="25" t="s">
        <v>15768</v>
      </c>
      <c r="E5883" s="26">
        <v>315</v>
      </c>
    </row>
    <row r="5884" spans="1:5" x14ac:dyDescent="0.25">
      <c r="A5884" s="24" t="s">
        <v>7</v>
      </c>
      <c r="B5884" s="24" t="s">
        <v>15769</v>
      </c>
      <c r="C5884" s="25" t="s">
        <v>15770</v>
      </c>
      <c r="D5884" s="25" t="s">
        <v>15264</v>
      </c>
      <c r="E5884" s="26">
        <v>135</v>
      </c>
    </row>
    <row r="5885" spans="1:5" x14ac:dyDescent="0.25">
      <c r="A5885" s="24" t="s">
        <v>7</v>
      </c>
      <c r="B5885" s="24" t="s">
        <v>15771</v>
      </c>
      <c r="C5885" s="25" t="s">
        <v>15772</v>
      </c>
      <c r="D5885" s="25" t="s">
        <v>15773</v>
      </c>
      <c r="E5885" s="26">
        <v>141.25</v>
      </c>
    </row>
    <row r="5886" spans="1:5" x14ac:dyDescent="0.25">
      <c r="A5886" s="24" t="s">
        <v>7</v>
      </c>
      <c r="B5886" s="24" t="s">
        <v>15774</v>
      </c>
      <c r="C5886" s="25" t="s">
        <v>15775</v>
      </c>
      <c r="D5886" s="25" t="s">
        <v>15775</v>
      </c>
      <c r="E5886" s="26">
        <v>27.9</v>
      </c>
    </row>
    <row r="5887" spans="1:5" x14ac:dyDescent="0.25">
      <c r="A5887" s="24" t="s">
        <v>7</v>
      </c>
      <c r="B5887" s="24" t="s">
        <v>15776</v>
      </c>
      <c r="C5887" s="25" t="s">
        <v>15777</v>
      </c>
      <c r="D5887" s="25" t="s">
        <v>15752</v>
      </c>
      <c r="E5887" s="26">
        <v>34.200000000000003</v>
      </c>
    </row>
    <row r="5888" spans="1:5" x14ac:dyDescent="0.25">
      <c r="A5888" s="24" t="s">
        <v>7</v>
      </c>
      <c r="B5888" s="24" t="s">
        <v>15778</v>
      </c>
      <c r="C5888" s="25" t="s">
        <v>15779</v>
      </c>
      <c r="D5888" s="25" t="s">
        <v>15780</v>
      </c>
      <c r="E5888" s="26">
        <v>14.8</v>
      </c>
    </row>
    <row r="5889" spans="1:5" x14ac:dyDescent="0.25">
      <c r="A5889" s="24" t="s">
        <v>7</v>
      </c>
      <c r="B5889" s="24" t="s">
        <v>15781</v>
      </c>
      <c r="C5889" s="25" t="s">
        <v>15782</v>
      </c>
      <c r="D5889" s="25" t="s">
        <v>15783</v>
      </c>
      <c r="E5889" s="26">
        <v>24.95</v>
      </c>
    </row>
    <row r="5890" spans="1:5" x14ac:dyDescent="0.25">
      <c r="A5890" s="24" t="s">
        <v>7</v>
      </c>
      <c r="B5890" s="24" t="s">
        <v>15784</v>
      </c>
      <c r="C5890" s="25" t="s">
        <v>15785</v>
      </c>
      <c r="D5890" s="25" t="s">
        <v>15786</v>
      </c>
      <c r="E5890" s="26">
        <v>20.5</v>
      </c>
    </row>
    <row r="5891" spans="1:5" x14ac:dyDescent="0.25">
      <c r="A5891" s="24" t="s">
        <v>7</v>
      </c>
      <c r="B5891" s="24" t="s">
        <v>15787</v>
      </c>
      <c r="C5891" s="25" t="s">
        <v>15788</v>
      </c>
      <c r="D5891" s="25" t="s">
        <v>15789</v>
      </c>
      <c r="E5891" s="26">
        <v>10.5</v>
      </c>
    </row>
    <row r="5892" spans="1:5" x14ac:dyDescent="0.25">
      <c r="A5892" s="24" t="s">
        <v>7</v>
      </c>
      <c r="B5892" s="24" t="s">
        <v>15790</v>
      </c>
      <c r="C5892" s="25" t="s">
        <v>15791</v>
      </c>
      <c r="D5892" s="25" t="s">
        <v>15373</v>
      </c>
      <c r="E5892" s="26">
        <v>215.5</v>
      </c>
    </row>
    <row r="5893" spans="1:5" x14ac:dyDescent="0.25">
      <c r="A5893" s="24" t="s">
        <v>7</v>
      </c>
      <c r="B5893" s="24" t="s">
        <v>15792</v>
      </c>
      <c r="C5893" s="25" t="s">
        <v>15793</v>
      </c>
      <c r="D5893" s="25" t="s">
        <v>15793</v>
      </c>
      <c r="E5893" s="26">
        <v>13.65</v>
      </c>
    </row>
    <row r="5894" spans="1:5" x14ac:dyDescent="0.25">
      <c r="A5894" s="24" t="s">
        <v>7</v>
      </c>
      <c r="B5894" s="24" t="s">
        <v>15794</v>
      </c>
      <c r="C5894" s="25" t="s">
        <v>15795</v>
      </c>
      <c r="D5894" s="25" t="s">
        <v>15288</v>
      </c>
      <c r="E5894" s="26">
        <v>112.88</v>
      </c>
    </row>
    <row r="5895" spans="1:5" x14ac:dyDescent="0.25">
      <c r="A5895" s="24" t="s">
        <v>7</v>
      </c>
      <c r="B5895" s="24" t="s">
        <v>15796</v>
      </c>
      <c r="C5895" s="25" t="s">
        <v>15797</v>
      </c>
      <c r="D5895" s="25" t="s">
        <v>15288</v>
      </c>
      <c r="E5895" s="26">
        <v>56.5</v>
      </c>
    </row>
    <row r="5896" spans="1:5" x14ac:dyDescent="0.25">
      <c r="A5896" s="24" t="s">
        <v>7</v>
      </c>
      <c r="B5896" s="24" t="s">
        <v>15798</v>
      </c>
      <c r="C5896" s="25" t="s">
        <v>15799</v>
      </c>
      <c r="D5896" s="25" t="s">
        <v>15800</v>
      </c>
      <c r="E5896" s="26">
        <v>28.4</v>
      </c>
    </row>
    <row r="5897" spans="1:5" x14ac:dyDescent="0.25">
      <c r="A5897" s="24" t="s">
        <v>7</v>
      </c>
      <c r="B5897" s="24" t="s">
        <v>15801</v>
      </c>
      <c r="C5897" s="25" t="s">
        <v>15802</v>
      </c>
      <c r="D5897" s="25" t="s">
        <v>15802</v>
      </c>
      <c r="E5897" s="26">
        <v>34</v>
      </c>
    </row>
    <row r="5898" spans="1:5" x14ac:dyDescent="0.25">
      <c r="A5898" s="24" t="s">
        <v>7</v>
      </c>
      <c r="B5898" s="24" t="s">
        <v>15803</v>
      </c>
      <c r="C5898" s="25" t="s">
        <v>15804</v>
      </c>
      <c r="D5898" s="25" t="s">
        <v>15230</v>
      </c>
      <c r="E5898" s="26">
        <v>864</v>
      </c>
    </row>
    <row r="5899" spans="1:5" x14ac:dyDescent="0.25">
      <c r="A5899" s="24" t="s">
        <v>7</v>
      </c>
      <c r="B5899" s="24" t="s">
        <v>15805</v>
      </c>
      <c r="C5899" s="25" t="s">
        <v>3362</v>
      </c>
      <c r="D5899" s="25" t="s">
        <v>3363</v>
      </c>
      <c r="E5899" s="26">
        <v>6</v>
      </c>
    </row>
    <row r="5900" spans="1:5" x14ac:dyDescent="0.25">
      <c r="A5900" s="24" t="s">
        <v>7</v>
      </c>
      <c r="B5900" s="24" t="s">
        <v>15806</v>
      </c>
      <c r="C5900" s="25" t="s">
        <v>15807</v>
      </c>
      <c r="D5900" s="25" t="s">
        <v>15807</v>
      </c>
      <c r="E5900" s="26">
        <v>10.199999999999999</v>
      </c>
    </row>
    <row r="5901" spans="1:5" x14ac:dyDescent="0.25">
      <c r="A5901" s="24" t="s">
        <v>7</v>
      </c>
      <c r="B5901" s="24" t="s">
        <v>15808</v>
      </c>
      <c r="C5901" s="25" t="s">
        <v>3365</v>
      </c>
      <c r="D5901" s="25" t="s">
        <v>3366</v>
      </c>
      <c r="E5901" s="26">
        <v>10.199999999999999</v>
      </c>
    </row>
    <row r="5902" spans="1:5" x14ac:dyDescent="0.25">
      <c r="A5902" s="24" t="s">
        <v>7</v>
      </c>
      <c r="B5902" s="24" t="s">
        <v>15809</v>
      </c>
      <c r="C5902" s="25" t="s">
        <v>15810</v>
      </c>
      <c r="D5902" s="25" t="s">
        <v>15811</v>
      </c>
      <c r="E5902" s="26">
        <v>6</v>
      </c>
    </row>
    <row r="5903" spans="1:5" x14ac:dyDescent="0.25">
      <c r="A5903" s="24" t="s">
        <v>7</v>
      </c>
      <c r="B5903" s="24" t="s">
        <v>15812</v>
      </c>
      <c r="C5903" s="25" t="s">
        <v>15813</v>
      </c>
      <c r="D5903" s="25" t="s">
        <v>15288</v>
      </c>
      <c r="E5903" s="26">
        <v>14.56</v>
      </c>
    </row>
    <row r="5904" spans="1:5" x14ac:dyDescent="0.25">
      <c r="A5904" s="24" t="s">
        <v>7</v>
      </c>
      <c r="B5904" s="24" t="s">
        <v>15814</v>
      </c>
      <c r="C5904" s="25" t="s">
        <v>15815</v>
      </c>
      <c r="D5904" s="25" t="s">
        <v>15816</v>
      </c>
      <c r="E5904" s="26">
        <v>6.3</v>
      </c>
    </row>
    <row r="5905" spans="1:5" x14ac:dyDescent="0.25">
      <c r="A5905" s="24" t="s">
        <v>7</v>
      </c>
      <c r="B5905" s="24" t="s">
        <v>15817</v>
      </c>
      <c r="C5905" s="25" t="s">
        <v>15818</v>
      </c>
      <c r="D5905" s="25" t="s">
        <v>15819</v>
      </c>
      <c r="E5905" s="26">
        <v>16.5</v>
      </c>
    </row>
    <row r="5906" spans="1:5" x14ac:dyDescent="0.25">
      <c r="A5906" s="24" t="s">
        <v>7</v>
      </c>
      <c r="B5906" s="24" t="s">
        <v>15820</v>
      </c>
      <c r="C5906" s="25" t="s">
        <v>15821</v>
      </c>
      <c r="D5906" s="25" t="s">
        <v>15821</v>
      </c>
      <c r="E5906" s="26">
        <v>480</v>
      </c>
    </row>
    <row r="5907" spans="1:5" x14ac:dyDescent="0.25">
      <c r="A5907" s="24" t="s">
        <v>7</v>
      </c>
      <c r="B5907" s="24" t="s">
        <v>15822</v>
      </c>
      <c r="C5907" s="25" t="s">
        <v>15823</v>
      </c>
      <c r="D5907" s="25" t="s">
        <v>15823</v>
      </c>
      <c r="E5907" s="26">
        <v>39.700000000000003</v>
      </c>
    </row>
    <row r="5908" spans="1:5" x14ac:dyDescent="0.25">
      <c r="A5908" s="24" t="s">
        <v>7</v>
      </c>
      <c r="B5908" s="24" t="s">
        <v>15824</v>
      </c>
      <c r="C5908" s="25" t="s">
        <v>3373</v>
      </c>
      <c r="D5908" s="25" t="s">
        <v>3374</v>
      </c>
      <c r="E5908" s="26">
        <v>7.95</v>
      </c>
    </row>
    <row r="5909" spans="1:5" x14ac:dyDescent="0.25">
      <c r="A5909" s="24" t="s">
        <v>7</v>
      </c>
      <c r="B5909" s="24" t="s">
        <v>15825</v>
      </c>
      <c r="C5909" s="25" t="s">
        <v>3376</v>
      </c>
      <c r="D5909" s="25" t="s">
        <v>3376</v>
      </c>
      <c r="E5909" s="26">
        <v>115</v>
      </c>
    </row>
    <row r="5910" spans="1:5" x14ac:dyDescent="0.25">
      <c r="A5910" s="24" t="s">
        <v>7</v>
      </c>
      <c r="B5910" s="24" t="s">
        <v>15826</v>
      </c>
      <c r="C5910" s="25" t="s">
        <v>15827</v>
      </c>
      <c r="D5910" s="25" t="s">
        <v>15828</v>
      </c>
      <c r="E5910" s="26">
        <v>42</v>
      </c>
    </row>
    <row r="5911" spans="1:5" x14ac:dyDescent="0.25">
      <c r="A5911" s="24" t="s">
        <v>7</v>
      </c>
      <c r="B5911" s="24" t="s">
        <v>15829</v>
      </c>
      <c r="C5911" s="25" t="s">
        <v>3368</v>
      </c>
      <c r="D5911" s="25" t="s">
        <v>3369</v>
      </c>
      <c r="E5911" s="26">
        <v>90.5</v>
      </c>
    </row>
    <row r="5912" spans="1:5" x14ac:dyDescent="0.25">
      <c r="A5912" s="24" t="s">
        <v>7</v>
      </c>
      <c r="B5912" s="24" t="s">
        <v>15830</v>
      </c>
      <c r="C5912" s="25" t="s">
        <v>3381</v>
      </c>
      <c r="D5912" s="25" t="s">
        <v>3382</v>
      </c>
      <c r="E5912" s="26">
        <v>10</v>
      </c>
    </row>
    <row r="5913" spans="1:5" x14ac:dyDescent="0.25">
      <c r="A5913" s="24" t="s">
        <v>7</v>
      </c>
      <c r="B5913" s="24" t="s">
        <v>15831</v>
      </c>
      <c r="C5913" s="25" t="s">
        <v>15832</v>
      </c>
      <c r="D5913" s="25" t="s">
        <v>15206</v>
      </c>
      <c r="E5913" s="26">
        <v>41.95</v>
      </c>
    </row>
    <row r="5914" spans="1:5" x14ac:dyDescent="0.25">
      <c r="A5914" s="24" t="s">
        <v>7</v>
      </c>
      <c r="B5914" s="24" t="s">
        <v>15833</v>
      </c>
      <c r="C5914" s="25" t="s">
        <v>15834</v>
      </c>
      <c r="D5914" s="25" t="s">
        <v>15206</v>
      </c>
      <c r="E5914" s="26">
        <v>87.5</v>
      </c>
    </row>
    <row r="5915" spans="1:5" x14ac:dyDescent="0.25">
      <c r="A5915" s="24" t="s">
        <v>7</v>
      </c>
      <c r="B5915" s="24" t="s">
        <v>15835</v>
      </c>
      <c r="C5915" s="25" t="s">
        <v>15836</v>
      </c>
      <c r="D5915" s="25" t="s">
        <v>15837</v>
      </c>
      <c r="E5915" s="26">
        <v>160</v>
      </c>
    </row>
    <row r="5916" spans="1:5" x14ac:dyDescent="0.25">
      <c r="A5916" s="24" t="s">
        <v>7</v>
      </c>
      <c r="B5916" s="24" t="s">
        <v>15838</v>
      </c>
      <c r="C5916" s="25" t="s">
        <v>15839</v>
      </c>
      <c r="D5916" s="25" t="s">
        <v>15288</v>
      </c>
      <c r="E5916" s="26">
        <v>144.75</v>
      </c>
    </row>
    <row r="5917" spans="1:5" x14ac:dyDescent="0.25">
      <c r="A5917" s="24" t="s">
        <v>7</v>
      </c>
      <c r="B5917" s="24" t="s">
        <v>15840</v>
      </c>
      <c r="C5917" s="25" t="s">
        <v>15841</v>
      </c>
      <c r="D5917" s="25" t="s">
        <v>15841</v>
      </c>
      <c r="E5917" s="26">
        <v>187</v>
      </c>
    </row>
    <row r="5918" spans="1:5" x14ac:dyDescent="0.25">
      <c r="A5918" s="24" t="s">
        <v>7</v>
      </c>
      <c r="B5918" s="24" t="s">
        <v>15842</v>
      </c>
      <c r="C5918" s="25" t="s">
        <v>15843</v>
      </c>
      <c r="D5918" s="25" t="s">
        <v>15843</v>
      </c>
      <c r="E5918" s="26">
        <v>275</v>
      </c>
    </row>
    <row r="5919" spans="1:5" x14ac:dyDescent="0.25">
      <c r="A5919" s="24" t="s">
        <v>7</v>
      </c>
      <c r="B5919" s="24" t="s">
        <v>15844</v>
      </c>
      <c r="C5919" s="25" t="s">
        <v>15845</v>
      </c>
      <c r="D5919" s="25" t="s">
        <v>15846</v>
      </c>
      <c r="E5919" s="26">
        <v>18</v>
      </c>
    </row>
    <row r="5920" spans="1:5" x14ac:dyDescent="0.25">
      <c r="A5920" s="24" t="s">
        <v>7</v>
      </c>
      <c r="B5920" s="24" t="s">
        <v>15847</v>
      </c>
      <c r="C5920" s="25" t="s">
        <v>15848</v>
      </c>
      <c r="D5920" s="25" t="s">
        <v>15849</v>
      </c>
      <c r="E5920" s="26">
        <v>135</v>
      </c>
    </row>
    <row r="5921" spans="1:5" x14ac:dyDescent="0.25">
      <c r="A5921" s="24" t="s">
        <v>7</v>
      </c>
      <c r="B5921" s="24" t="s">
        <v>15850</v>
      </c>
      <c r="C5921" s="25" t="s">
        <v>15851</v>
      </c>
      <c r="D5921" s="25" t="s">
        <v>15852</v>
      </c>
      <c r="E5921" s="26">
        <v>30</v>
      </c>
    </row>
    <row r="5922" spans="1:5" x14ac:dyDescent="0.25">
      <c r="A5922" s="24" t="s">
        <v>7</v>
      </c>
      <c r="B5922" s="24" t="s">
        <v>15853</v>
      </c>
      <c r="C5922" s="25" t="s">
        <v>3384</v>
      </c>
      <c r="D5922" s="25" t="s">
        <v>3385</v>
      </c>
      <c r="E5922" s="26">
        <v>11.35</v>
      </c>
    </row>
    <row r="5923" spans="1:5" x14ac:dyDescent="0.25">
      <c r="A5923" s="24" t="s">
        <v>7</v>
      </c>
      <c r="B5923" s="24" t="s">
        <v>15854</v>
      </c>
      <c r="C5923" s="25" t="s">
        <v>3387</v>
      </c>
      <c r="D5923" s="25" t="s">
        <v>3388</v>
      </c>
      <c r="E5923" s="26">
        <v>12.5</v>
      </c>
    </row>
    <row r="5924" spans="1:5" x14ac:dyDescent="0.25">
      <c r="A5924" s="24" t="s">
        <v>7</v>
      </c>
      <c r="B5924" s="24" t="s">
        <v>15855</v>
      </c>
      <c r="C5924" s="25" t="s">
        <v>15856</v>
      </c>
      <c r="D5924" s="25" t="s">
        <v>15857</v>
      </c>
      <c r="E5924" s="26">
        <v>10.25</v>
      </c>
    </row>
    <row r="5925" spans="1:5" x14ac:dyDescent="0.25">
      <c r="A5925" s="24" t="s">
        <v>7</v>
      </c>
      <c r="B5925" s="24" t="s">
        <v>15858</v>
      </c>
      <c r="C5925" s="25" t="s">
        <v>15859</v>
      </c>
      <c r="D5925" s="25" t="s">
        <v>15860</v>
      </c>
      <c r="E5925" s="26">
        <v>12.6</v>
      </c>
    </row>
    <row r="5926" spans="1:5" x14ac:dyDescent="0.25">
      <c r="A5926" s="24" t="s">
        <v>7</v>
      </c>
      <c r="B5926" s="24" t="s">
        <v>15861</v>
      </c>
      <c r="C5926" s="25" t="s">
        <v>15862</v>
      </c>
      <c r="D5926" s="25" t="s">
        <v>15863</v>
      </c>
      <c r="E5926" s="26">
        <v>28.5</v>
      </c>
    </row>
    <row r="5927" spans="1:5" x14ac:dyDescent="0.25">
      <c r="A5927" s="24" t="s">
        <v>7</v>
      </c>
      <c r="B5927" s="24" t="s">
        <v>15864</v>
      </c>
      <c r="C5927" s="25" t="s">
        <v>15865</v>
      </c>
      <c r="D5927" s="25" t="s">
        <v>15866</v>
      </c>
      <c r="E5927" s="26">
        <v>75</v>
      </c>
    </row>
    <row r="5928" spans="1:5" x14ac:dyDescent="0.25">
      <c r="A5928" s="24" t="s">
        <v>7</v>
      </c>
      <c r="B5928" s="24" t="s">
        <v>15867</v>
      </c>
      <c r="C5928" s="25" t="s">
        <v>15868</v>
      </c>
      <c r="D5928" s="25" t="s">
        <v>15869</v>
      </c>
      <c r="E5928" s="26">
        <v>9.0500000000000007</v>
      </c>
    </row>
    <row r="5929" spans="1:5" x14ac:dyDescent="0.25">
      <c r="A5929" s="24" t="s">
        <v>7</v>
      </c>
      <c r="B5929" s="24" t="s">
        <v>15870</v>
      </c>
      <c r="C5929" s="25" t="s">
        <v>15871</v>
      </c>
      <c r="D5929" s="25" t="s">
        <v>15872</v>
      </c>
      <c r="E5929" s="26">
        <v>13.55</v>
      </c>
    </row>
    <row r="5930" spans="1:5" x14ac:dyDescent="0.25">
      <c r="A5930" s="24" t="s">
        <v>7</v>
      </c>
      <c r="B5930" s="24" t="s">
        <v>15873</v>
      </c>
      <c r="C5930" s="25" t="s">
        <v>3393</v>
      </c>
      <c r="D5930" s="25" t="s">
        <v>3393</v>
      </c>
      <c r="E5930" s="26">
        <v>11.35</v>
      </c>
    </row>
    <row r="5931" spans="1:5" x14ac:dyDescent="0.25">
      <c r="A5931" s="24" t="s">
        <v>7</v>
      </c>
      <c r="B5931" s="24" t="s">
        <v>15874</v>
      </c>
      <c r="C5931" s="25" t="s">
        <v>3276</v>
      </c>
      <c r="D5931" s="25" t="s">
        <v>3118</v>
      </c>
      <c r="E5931" s="26">
        <v>7.98</v>
      </c>
    </row>
    <row r="5932" spans="1:5" x14ac:dyDescent="0.25">
      <c r="A5932" s="24" t="s">
        <v>7</v>
      </c>
      <c r="B5932" s="24" t="s">
        <v>15875</v>
      </c>
      <c r="C5932" s="25" t="s">
        <v>3397</v>
      </c>
      <c r="D5932" s="25" t="s">
        <v>3397</v>
      </c>
      <c r="E5932" s="26">
        <v>12.55</v>
      </c>
    </row>
    <row r="5933" spans="1:5" x14ac:dyDescent="0.25">
      <c r="A5933" s="24" t="s">
        <v>7</v>
      </c>
      <c r="B5933" s="24" t="s">
        <v>15876</v>
      </c>
      <c r="C5933" s="25" t="s">
        <v>15877</v>
      </c>
      <c r="D5933" s="25" t="s">
        <v>15877</v>
      </c>
      <c r="E5933" s="26">
        <v>19.399999999999999</v>
      </c>
    </row>
    <row r="5934" spans="1:5" x14ac:dyDescent="0.25">
      <c r="A5934" s="24" t="s">
        <v>7</v>
      </c>
      <c r="B5934" s="24" t="s">
        <v>15878</v>
      </c>
      <c r="C5934" s="25" t="s">
        <v>15879</v>
      </c>
      <c r="D5934" s="25" t="s">
        <v>15880</v>
      </c>
      <c r="E5934" s="26">
        <v>13.45</v>
      </c>
    </row>
    <row r="5935" spans="1:5" x14ac:dyDescent="0.25">
      <c r="A5935" s="24" t="s">
        <v>7</v>
      </c>
      <c r="B5935" s="24" t="s">
        <v>15881</v>
      </c>
      <c r="C5935" s="25" t="s">
        <v>15882</v>
      </c>
      <c r="D5935" s="25" t="s">
        <v>15883</v>
      </c>
      <c r="E5935" s="26">
        <v>16.850000000000001</v>
      </c>
    </row>
    <row r="5936" spans="1:5" x14ac:dyDescent="0.25">
      <c r="A5936" s="24" t="s">
        <v>7</v>
      </c>
      <c r="B5936" s="24" t="s">
        <v>15884</v>
      </c>
      <c r="C5936" s="25" t="s">
        <v>15885</v>
      </c>
      <c r="D5936" s="25" t="s">
        <v>15291</v>
      </c>
      <c r="E5936" s="26">
        <v>78.75</v>
      </c>
    </row>
    <row r="5937" spans="1:5" x14ac:dyDescent="0.25">
      <c r="A5937" s="24" t="s">
        <v>7</v>
      </c>
      <c r="B5937" s="24" t="s">
        <v>15886</v>
      </c>
      <c r="C5937" s="25" t="s">
        <v>15887</v>
      </c>
      <c r="D5937" s="25" t="s">
        <v>15888</v>
      </c>
      <c r="E5937" s="26">
        <v>24</v>
      </c>
    </row>
    <row r="5938" spans="1:5" x14ac:dyDescent="0.25">
      <c r="A5938" s="24" t="s">
        <v>7</v>
      </c>
      <c r="B5938" s="24" t="s">
        <v>15889</v>
      </c>
      <c r="C5938" s="25" t="s">
        <v>15890</v>
      </c>
      <c r="D5938" s="25" t="s">
        <v>15891</v>
      </c>
      <c r="E5938" s="26">
        <v>36.380000000000003</v>
      </c>
    </row>
    <row r="5939" spans="1:5" x14ac:dyDescent="0.25">
      <c r="A5939" s="24" t="s">
        <v>7</v>
      </c>
      <c r="B5939" s="24" t="s">
        <v>15892</v>
      </c>
      <c r="C5939" s="25" t="s">
        <v>15893</v>
      </c>
      <c r="D5939" s="25" t="s">
        <v>15893</v>
      </c>
      <c r="E5939" s="26">
        <v>12.9</v>
      </c>
    </row>
    <row r="5940" spans="1:5" x14ac:dyDescent="0.25">
      <c r="A5940" s="24" t="s">
        <v>7</v>
      </c>
      <c r="B5940" s="24" t="s">
        <v>15894</v>
      </c>
      <c r="C5940" s="25" t="s">
        <v>3405</v>
      </c>
      <c r="D5940" s="25" t="s">
        <v>3406</v>
      </c>
      <c r="E5940" s="26">
        <v>80</v>
      </c>
    </row>
    <row r="5941" spans="1:5" x14ac:dyDescent="0.25">
      <c r="A5941" s="24" t="s">
        <v>7</v>
      </c>
      <c r="B5941" s="24" t="s">
        <v>15895</v>
      </c>
      <c r="C5941" s="25" t="s">
        <v>15896</v>
      </c>
      <c r="D5941" s="25" t="s">
        <v>15897</v>
      </c>
      <c r="E5941" s="26">
        <v>41.1</v>
      </c>
    </row>
    <row r="5942" spans="1:5" x14ac:dyDescent="0.25">
      <c r="A5942" s="24" t="s">
        <v>7</v>
      </c>
      <c r="B5942" s="24" t="s">
        <v>15898</v>
      </c>
      <c r="C5942" s="25" t="s">
        <v>15899</v>
      </c>
      <c r="D5942" s="25" t="s">
        <v>15603</v>
      </c>
      <c r="E5942" s="26">
        <v>13.7</v>
      </c>
    </row>
    <row r="5943" spans="1:5" x14ac:dyDescent="0.25">
      <c r="A5943" s="24" t="s">
        <v>7</v>
      </c>
      <c r="B5943" s="24" t="s">
        <v>15900</v>
      </c>
      <c r="C5943" s="25" t="s">
        <v>3419</v>
      </c>
      <c r="D5943" s="25" t="s">
        <v>3420</v>
      </c>
      <c r="E5943" s="26">
        <v>13.6</v>
      </c>
    </row>
    <row r="5944" spans="1:5" x14ac:dyDescent="0.25">
      <c r="A5944" s="24" t="s">
        <v>7</v>
      </c>
      <c r="B5944" s="24" t="s">
        <v>15901</v>
      </c>
      <c r="C5944" s="25" t="s">
        <v>15902</v>
      </c>
      <c r="D5944" s="25" t="s">
        <v>15903</v>
      </c>
      <c r="E5944" s="26">
        <v>17.100000000000001</v>
      </c>
    </row>
    <row r="5945" spans="1:5" x14ac:dyDescent="0.25">
      <c r="A5945" s="24" t="s">
        <v>7</v>
      </c>
      <c r="B5945" s="24" t="s">
        <v>15904</v>
      </c>
      <c r="C5945" s="25" t="s">
        <v>15905</v>
      </c>
      <c r="D5945" s="25" t="s">
        <v>15906</v>
      </c>
      <c r="E5945" s="26">
        <v>114</v>
      </c>
    </row>
    <row r="5946" spans="1:5" x14ac:dyDescent="0.25">
      <c r="A5946" s="24" t="s">
        <v>7</v>
      </c>
      <c r="B5946" s="24" t="s">
        <v>15907</v>
      </c>
      <c r="C5946" s="25" t="s">
        <v>15908</v>
      </c>
      <c r="D5946" s="25" t="s">
        <v>15908</v>
      </c>
      <c r="E5946" s="26">
        <v>130.25</v>
      </c>
    </row>
    <row r="5947" spans="1:5" x14ac:dyDescent="0.25">
      <c r="A5947" s="24" t="s">
        <v>7</v>
      </c>
      <c r="B5947" s="24" t="s">
        <v>15909</v>
      </c>
      <c r="C5947" s="25" t="s">
        <v>15910</v>
      </c>
      <c r="D5947" s="25" t="s">
        <v>15911</v>
      </c>
      <c r="E5947" s="26">
        <v>120</v>
      </c>
    </row>
    <row r="5948" spans="1:5" x14ac:dyDescent="0.25">
      <c r="A5948" s="24" t="s">
        <v>7</v>
      </c>
      <c r="B5948" s="24" t="s">
        <v>15912</v>
      </c>
      <c r="C5948" s="25" t="s">
        <v>15913</v>
      </c>
      <c r="D5948" s="25" t="s">
        <v>15914</v>
      </c>
      <c r="E5948" s="26">
        <v>51.25</v>
      </c>
    </row>
    <row r="5949" spans="1:5" x14ac:dyDescent="0.25">
      <c r="A5949" s="24" t="s">
        <v>7</v>
      </c>
      <c r="B5949" s="24" t="s">
        <v>15915</v>
      </c>
      <c r="C5949" s="25" t="s">
        <v>15916</v>
      </c>
      <c r="D5949" s="25" t="s">
        <v>15916</v>
      </c>
      <c r="E5949" s="26">
        <v>112.5</v>
      </c>
    </row>
    <row r="5950" spans="1:5" x14ac:dyDescent="0.25">
      <c r="A5950" s="24" t="s">
        <v>7</v>
      </c>
      <c r="B5950" s="24" t="s">
        <v>15917</v>
      </c>
      <c r="C5950" s="25" t="s">
        <v>15918</v>
      </c>
      <c r="D5950" s="25" t="s">
        <v>3118</v>
      </c>
      <c r="E5950" s="26">
        <v>7.98</v>
      </c>
    </row>
    <row r="5951" spans="1:5" x14ac:dyDescent="0.25">
      <c r="A5951" s="24" t="s">
        <v>7</v>
      </c>
      <c r="B5951" s="24" t="s">
        <v>15919</v>
      </c>
      <c r="C5951" s="25" t="s">
        <v>15920</v>
      </c>
      <c r="D5951" s="25" t="s">
        <v>15920</v>
      </c>
      <c r="E5951" s="26">
        <v>89.5</v>
      </c>
    </row>
    <row r="5952" spans="1:5" x14ac:dyDescent="0.25">
      <c r="A5952" s="24" t="s">
        <v>7</v>
      </c>
      <c r="B5952" s="24" t="s">
        <v>15921</v>
      </c>
      <c r="C5952" s="25" t="s">
        <v>15922</v>
      </c>
      <c r="D5952" s="25" t="s">
        <v>15922</v>
      </c>
      <c r="E5952" s="26">
        <v>51</v>
      </c>
    </row>
    <row r="5953" spans="1:5" x14ac:dyDescent="0.25">
      <c r="A5953" s="24" t="s">
        <v>7</v>
      </c>
      <c r="B5953" s="24" t="s">
        <v>15923</v>
      </c>
      <c r="C5953" s="25" t="s">
        <v>15924</v>
      </c>
      <c r="D5953" s="25" t="s">
        <v>15925</v>
      </c>
      <c r="E5953" s="26">
        <v>24</v>
      </c>
    </row>
    <row r="5954" spans="1:5" x14ac:dyDescent="0.25">
      <c r="A5954" s="24" t="s">
        <v>7</v>
      </c>
      <c r="B5954" s="24" t="s">
        <v>15926</v>
      </c>
      <c r="C5954" s="25" t="s">
        <v>15927</v>
      </c>
      <c r="D5954" s="25" t="s">
        <v>15927</v>
      </c>
      <c r="E5954" s="26">
        <v>12</v>
      </c>
    </row>
    <row r="5955" spans="1:5" x14ac:dyDescent="0.25">
      <c r="A5955" s="24" t="s">
        <v>7</v>
      </c>
      <c r="B5955" s="24" t="s">
        <v>15928</v>
      </c>
      <c r="C5955" s="25" t="s">
        <v>15929</v>
      </c>
      <c r="D5955" s="25" t="s">
        <v>15929</v>
      </c>
      <c r="E5955" s="26">
        <v>125</v>
      </c>
    </row>
    <row r="5956" spans="1:5" x14ac:dyDescent="0.25">
      <c r="A5956" s="24" t="s">
        <v>7</v>
      </c>
      <c r="B5956" s="24" t="s">
        <v>15930</v>
      </c>
      <c r="C5956" s="25" t="s">
        <v>3422</v>
      </c>
      <c r="D5956" s="25" t="s">
        <v>3423</v>
      </c>
      <c r="E5956" s="26">
        <v>5.0999999999999996</v>
      </c>
    </row>
    <row r="5957" spans="1:5" x14ac:dyDescent="0.25">
      <c r="A5957" s="24" t="s">
        <v>7</v>
      </c>
      <c r="B5957" s="24" t="s">
        <v>15931</v>
      </c>
      <c r="C5957" s="25" t="s">
        <v>15932</v>
      </c>
      <c r="D5957" s="25" t="s">
        <v>15933</v>
      </c>
      <c r="E5957" s="26">
        <v>90.25</v>
      </c>
    </row>
    <row r="5958" spans="1:5" x14ac:dyDescent="0.25">
      <c r="A5958" s="24" t="s">
        <v>7</v>
      </c>
      <c r="B5958" s="24" t="s">
        <v>15934</v>
      </c>
      <c r="C5958" s="25" t="s">
        <v>15935</v>
      </c>
      <c r="D5958" s="25" t="s">
        <v>15888</v>
      </c>
      <c r="E5958" s="26">
        <v>125</v>
      </c>
    </row>
    <row r="5959" spans="1:5" x14ac:dyDescent="0.25">
      <c r="A5959" s="24" t="s">
        <v>7</v>
      </c>
      <c r="B5959" s="24" t="s">
        <v>15936</v>
      </c>
      <c r="C5959" s="25" t="s">
        <v>15937</v>
      </c>
      <c r="D5959" s="25" t="s">
        <v>15938</v>
      </c>
      <c r="E5959" s="26">
        <v>151.80000000000001</v>
      </c>
    </row>
    <row r="5960" spans="1:5" x14ac:dyDescent="0.25">
      <c r="A5960" s="24" t="s">
        <v>7</v>
      </c>
      <c r="B5960" s="24" t="s">
        <v>15939</v>
      </c>
      <c r="C5960" s="25" t="s">
        <v>15940</v>
      </c>
      <c r="D5960" s="25" t="s">
        <v>15941</v>
      </c>
      <c r="E5960" s="26">
        <v>92.8</v>
      </c>
    </row>
    <row r="5961" spans="1:5" x14ac:dyDescent="0.25">
      <c r="A5961" s="24" t="s">
        <v>7</v>
      </c>
      <c r="B5961" s="24" t="s">
        <v>15942</v>
      </c>
      <c r="C5961" s="25" t="s">
        <v>3425</v>
      </c>
      <c r="D5961" s="25" t="s">
        <v>3425</v>
      </c>
      <c r="E5961" s="26">
        <v>10.25</v>
      </c>
    </row>
    <row r="5962" spans="1:5" x14ac:dyDescent="0.25">
      <c r="A5962" s="24" t="s">
        <v>7</v>
      </c>
      <c r="B5962" s="24" t="s">
        <v>15943</v>
      </c>
      <c r="C5962" s="25" t="s">
        <v>3427</v>
      </c>
      <c r="D5962" s="25" t="s">
        <v>3428</v>
      </c>
      <c r="E5962" s="26">
        <v>22.4</v>
      </c>
    </row>
    <row r="5963" spans="1:5" x14ac:dyDescent="0.25">
      <c r="A5963" s="24" t="s">
        <v>7</v>
      </c>
      <c r="B5963" s="24" t="s">
        <v>15944</v>
      </c>
      <c r="C5963" s="25" t="s">
        <v>15945</v>
      </c>
      <c r="D5963" s="25" t="s">
        <v>15946</v>
      </c>
      <c r="E5963" s="26">
        <v>23</v>
      </c>
    </row>
    <row r="5964" spans="1:5" x14ac:dyDescent="0.25">
      <c r="A5964" s="24" t="s">
        <v>7</v>
      </c>
      <c r="B5964" s="24" t="s">
        <v>15947</v>
      </c>
      <c r="C5964" s="25" t="s">
        <v>3435</v>
      </c>
      <c r="D5964" s="25" t="s">
        <v>3436</v>
      </c>
      <c r="E5964" s="26">
        <v>6.9</v>
      </c>
    </row>
    <row r="5965" spans="1:5" x14ac:dyDescent="0.25">
      <c r="A5965" s="24" t="s">
        <v>7</v>
      </c>
      <c r="B5965" s="24" t="s">
        <v>15948</v>
      </c>
      <c r="C5965" s="25" t="s">
        <v>15949</v>
      </c>
      <c r="D5965" s="25" t="s">
        <v>15950</v>
      </c>
      <c r="E5965" s="26">
        <v>24.85</v>
      </c>
    </row>
    <row r="5966" spans="1:5" x14ac:dyDescent="0.25">
      <c r="A5966" s="24" t="s">
        <v>7</v>
      </c>
      <c r="B5966" s="24" t="s">
        <v>15951</v>
      </c>
      <c r="C5966" s="25" t="s">
        <v>15952</v>
      </c>
      <c r="D5966" s="25" t="s">
        <v>15952</v>
      </c>
      <c r="E5966" s="26">
        <v>38.549999999999997</v>
      </c>
    </row>
    <row r="5967" spans="1:5" x14ac:dyDescent="0.25">
      <c r="A5967" s="24" t="s">
        <v>7</v>
      </c>
      <c r="B5967" s="24" t="s">
        <v>15953</v>
      </c>
      <c r="C5967" s="25" t="s">
        <v>15954</v>
      </c>
      <c r="D5967" s="25" t="s">
        <v>15954</v>
      </c>
      <c r="E5967" s="26">
        <v>10.25</v>
      </c>
    </row>
    <row r="5968" spans="1:5" x14ac:dyDescent="0.25">
      <c r="A5968" s="24" t="s">
        <v>7</v>
      </c>
      <c r="B5968" s="24" t="s">
        <v>15955</v>
      </c>
      <c r="C5968" s="25" t="s">
        <v>15956</v>
      </c>
      <c r="D5968" s="25" t="s">
        <v>15956</v>
      </c>
      <c r="E5968" s="26">
        <v>22.5</v>
      </c>
    </row>
    <row r="5969" spans="1:5" x14ac:dyDescent="0.25">
      <c r="A5969" s="24" t="s">
        <v>7</v>
      </c>
      <c r="B5969" s="24" t="s">
        <v>15957</v>
      </c>
      <c r="C5969" s="25" t="s">
        <v>15958</v>
      </c>
      <c r="D5969" s="25" t="s">
        <v>15958</v>
      </c>
      <c r="E5969" s="26">
        <v>10.5</v>
      </c>
    </row>
    <row r="5970" spans="1:5" x14ac:dyDescent="0.25">
      <c r="A5970" s="24" t="s">
        <v>7</v>
      </c>
      <c r="B5970" s="24" t="s">
        <v>15959</v>
      </c>
      <c r="C5970" s="25" t="s">
        <v>3408</v>
      </c>
      <c r="D5970" s="25" t="s">
        <v>3118</v>
      </c>
      <c r="E5970" s="26">
        <v>7.98</v>
      </c>
    </row>
    <row r="5971" spans="1:5" x14ac:dyDescent="0.25">
      <c r="A5971" s="24" t="s">
        <v>7</v>
      </c>
      <c r="B5971" s="24" t="s">
        <v>15960</v>
      </c>
      <c r="C5971" s="25" t="s">
        <v>3453</v>
      </c>
      <c r="D5971" s="25" t="s">
        <v>3453</v>
      </c>
      <c r="E5971" s="26">
        <v>6.9</v>
      </c>
    </row>
    <row r="5972" spans="1:5" x14ac:dyDescent="0.25">
      <c r="A5972" s="24" t="s">
        <v>7</v>
      </c>
      <c r="B5972" s="24" t="s">
        <v>15961</v>
      </c>
      <c r="C5972" s="25" t="s">
        <v>3448</v>
      </c>
      <c r="D5972" s="25" t="s">
        <v>3449</v>
      </c>
      <c r="E5972" s="26">
        <v>8</v>
      </c>
    </row>
    <row r="5973" spans="1:5" x14ac:dyDescent="0.25">
      <c r="A5973" s="24" t="s">
        <v>7</v>
      </c>
      <c r="B5973" s="24" t="s">
        <v>15962</v>
      </c>
      <c r="C5973" s="25" t="s">
        <v>15963</v>
      </c>
      <c r="D5973" s="25" t="s">
        <v>15963</v>
      </c>
      <c r="E5973" s="26">
        <v>24.95</v>
      </c>
    </row>
    <row r="5974" spans="1:5" x14ac:dyDescent="0.25">
      <c r="A5974" s="24" t="s">
        <v>7</v>
      </c>
      <c r="B5974" s="24" t="s">
        <v>15964</v>
      </c>
      <c r="C5974" s="25" t="s">
        <v>15965</v>
      </c>
      <c r="D5974" s="25" t="s">
        <v>15966</v>
      </c>
      <c r="E5974" s="26">
        <v>6.75</v>
      </c>
    </row>
    <row r="5975" spans="1:5" x14ac:dyDescent="0.25">
      <c r="A5975" s="24" t="s">
        <v>7</v>
      </c>
      <c r="B5975" s="24" t="s">
        <v>15967</v>
      </c>
      <c r="C5975" s="25" t="s">
        <v>15968</v>
      </c>
      <c r="D5975" s="25" t="s">
        <v>15969</v>
      </c>
      <c r="E5975" s="26">
        <v>6.75</v>
      </c>
    </row>
    <row r="5976" spans="1:5" x14ac:dyDescent="0.25">
      <c r="A5976" s="24" t="s">
        <v>7</v>
      </c>
      <c r="B5976" s="24" t="s">
        <v>15970</v>
      </c>
      <c r="C5976" s="25" t="s">
        <v>3455</v>
      </c>
      <c r="D5976" s="25" t="s">
        <v>3455</v>
      </c>
      <c r="E5976" s="26">
        <v>13.6</v>
      </c>
    </row>
    <row r="5977" spans="1:5" x14ac:dyDescent="0.25">
      <c r="A5977" s="24" t="s">
        <v>7</v>
      </c>
      <c r="B5977" s="24" t="s">
        <v>15971</v>
      </c>
      <c r="C5977" s="25" t="s">
        <v>3457</v>
      </c>
      <c r="D5977" s="25" t="s">
        <v>3457</v>
      </c>
      <c r="E5977" s="26">
        <v>13.7</v>
      </c>
    </row>
    <row r="5978" spans="1:5" x14ac:dyDescent="0.25">
      <c r="A5978" s="24" t="s">
        <v>7</v>
      </c>
      <c r="B5978" s="24" t="s">
        <v>15972</v>
      </c>
      <c r="C5978" s="25" t="s">
        <v>15973</v>
      </c>
      <c r="D5978" s="25" t="s">
        <v>15974</v>
      </c>
      <c r="E5978" s="26">
        <v>321.87</v>
      </c>
    </row>
    <row r="5979" spans="1:5" x14ac:dyDescent="0.25">
      <c r="A5979" s="24" t="s">
        <v>7</v>
      </c>
      <c r="B5979" s="24" t="s">
        <v>15975</v>
      </c>
      <c r="C5979" s="25" t="s">
        <v>3459</v>
      </c>
      <c r="D5979" s="25" t="s">
        <v>3449</v>
      </c>
      <c r="E5979" s="26">
        <v>15.9</v>
      </c>
    </row>
    <row r="5980" spans="1:5" x14ac:dyDescent="0.25">
      <c r="A5980" s="24" t="s">
        <v>7</v>
      </c>
      <c r="B5980" s="24" t="s">
        <v>15976</v>
      </c>
      <c r="C5980" s="25" t="s">
        <v>15977</v>
      </c>
      <c r="D5980" s="25" t="s">
        <v>15978</v>
      </c>
      <c r="E5980" s="26">
        <v>22.65</v>
      </c>
    </row>
    <row r="5981" spans="1:5" x14ac:dyDescent="0.25">
      <c r="A5981" s="24" t="s">
        <v>7</v>
      </c>
      <c r="B5981" s="24" t="s">
        <v>15979</v>
      </c>
      <c r="C5981" s="25" t="s">
        <v>15980</v>
      </c>
      <c r="D5981" s="25" t="s">
        <v>15980</v>
      </c>
      <c r="E5981" s="26">
        <v>34.200000000000003</v>
      </c>
    </row>
    <row r="5982" spans="1:5" x14ac:dyDescent="0.25">
      <c r="A5982" s="24" t="s">
        <v>7</v>
      </c>
      <c r="B5982" s="24" t="s">
        <v>15981</v>
      </c>
      <c r="C5982" s="25" t="s">
        <v>15982</v>
      </c>
      <c r="D5982" s="25" t="s">
        <v>15983</v>
      </c>
      <c r="E5982" s="26">
        <v>640.85</v>
      </c>
    </row>
    <row r="5983" spans="1:5" x14ac:dyDescent="0.25">
      <c r="A5983" s="24" t="s">
        <v>7</v>
      </c>
      <c r="B5983" s="24" t="s">
        <v>15984</v>
      </c>
      <c r="C5983" s="25" t="s">
        <v>15985</v>
      </c>
      <c r="D5983" s="25" t="s">
        <v>15985</v>
      </c>
      <c r="E5983" s="26">
        <v>24.8</v>
      </c>
    </row>
    <row r="5984" spans="1:5" x14ac:dyDescent="0.25">
      <c r="A5984" s="24" t="s">
        <v>7</v>
      </c>
      <c r="B5984" s="24" t="s">
        <v>15986</v>
      </c>
      <c r="C5984" s="25" t="s">
        <v>15987</v>
      </c>
      <c r="D5984" s="25" t="s">
        <v>15987</v>
      </c>
      <c r="E5984" s="26">
        <v>93</v>
      </c>
    </row>
    <row r="5985" spans="1:5" x14ac:dyDescent="0.25">
      <c r="A5985" s="24" t="s">
        <v>7</v>
      </c>
      <c r="B5985" s="24" t="s">
        <v>15988</v>
      </c>
      <c r="C5985" s="25" t="s">
        <v>3466</v>
      </c>
      <c r="D5985" s="25" t="s">
        <v>3467</v>
      </c>
      <c r="E5985" s="26">
        <v>6.6</v>
      </c>
    </row>
    <row r="5986" spans="1:5" x14ac:dyDescent="0.25">
      <c r="A5986" s="24" t="s">
        <v>7</v>
      </c>
      <c r="B5986" s="24" t="s">
        <v>15989</v>
      </c>
      <c r="C5986" s="25" t="s">
        <v>15990</v>
      </c>
      <c r="D5986" s="25" t="s">
        <v>15991</v>
      </c>
      <c r="E5986" s="26">
        <v>13.5</v>
      </c>
    </row>
    <row r="5987" spans="1:5" x14ac:dyDescent="0.25">
      <c r="A5987" s="24" t="s">
        <v>7</v>
      </c>
      <c r="B5987" s="24" t="s">
        <v>15992</v>
      </c>
      <c r="C5987" s="25" t="s">
        <v>15993</v>
      </c>
      <c r="D5987" s="25" t="s">
        <v>15993</v>
      </c>
      <c r="E5987" s="26">
        <v>37.5</v>
      </c>
    </row>
    <row r="5988" spans="1:5" x14ac:dyDescent="0.25">
      <c r="A5988" s="24" t="s">
        <v>7</v>
      </c>
      <c r="B5988" s="24" t="s">
        <v>15994</v>
      </c>
      <c r="C5988" s="25" t="s">
        <v>15995</v>
      </c>
      <c r="D5988" s="25" t="s">
        <v>15996</v>
      </c>
      <c r="E5988" s="26">
        <v>16.899999999999999</v>
      </c>
    </row>
    <row r="5989" spans="1:5" x14ac:dyDescent="0.25">
      <c r="A5989" s="24" t="s">
        <v>7</v>
      </c>
      <c r="B5989" s="24" t="s">
        <v>15997</v>
      </c>
      <c r="C5989" s="25" t="s">
        <v>15998</v>
      </c>
      <c r="D5989" s="25" t="s">
        <v>3118</v>
      </c>
      <c r="E5989" s="26">
        <v>71.37</v>
      </c>
    </row>
    <row r="5990" spans="1:5" x14ac:dyDescent="0.25">
      <c r="A5990" s="24" t="s">
        <v>7</v>
      </c>
      <c r="B5990" s="24" t="s">
        <v>15999</v>
      </c>
      <c r="C5990" s="25" t="s">
        <v>3475</v>
      </c>
      <c r="D5990" s="25" t="s">
        <v>3476</v>
      </c>
      <c r="E5990" s="26">
        <v>12.3</v>
      </c>
    </row>
    <row r="5991" spans="1:5" x14ac:dyDescent="0.25">
      <c r="A5991" s="24" t="s">
        <v>7</v>
      </c>
      <c r="B5991" s="24" t="s">
        <v>16000</v>
      </c>
      <c r="C5991" s="25" t="s">
        <v>16001</v>
      </c>
      <c r="D5991" s="25" t="s">
        <v>16001</v>
      </c>
      <c r="E5991" s="26">
        <v>18</v>
      </c>
    </row>
    <row r="5992" spans="1:5" x14ac:dyDescent="0.25">
      <c r="A5992" s="24" t="s">
        <v>7</v>
      </c>
      <c r="B5992" s="24" t="s">
        <v>16002</v>
      </c>
      <c r="C5992" s="25" t="s">
        <v>16003</v>
      </c>
      <c r="D5992" s="25" t="s">
        <v>16003</v>
      </c>
      <c r="E5992" s="26">
        <v>194</v>
      </c>
    </row>
    <row r="5993" spans="1:5" x14ac:dyDescent="0.25">
      <c r="A5993" s="24" t="s">
        <v>7</v>
      </c>
      <c r="B5993" s="24" t="s">
        <v>16004</v>
      </c>
      <c r="C5993" s="25" t="s">
        <v>16005</v>
      </c>
      <c r="D5993" s="25" t="s">
        <v>15606</v>
      </c>
      <c r="E5993" s="26">
        <v>14.56</v>
      </c>
    </row>
    <row r="5994" spans="1:5" x14ac:dyDescent="0.25">
      <c r="A5994" s="24" t="s">
        <v>7</v>
      </c>
      <c r="B5994" s="24" t="s">
        <v>16006</v>
      </c>
      <c r="C5994" s="25" t="s">
        <v>3482</v>
      </c>
      <c r="D5994" s="25" t="s">
        <v>3483</v>
      </c>
      <c r="E5994" s="26">
        <v>9.1</v>
      </c>
    </row>
    <row r="5995" spans="1:5" x14ac:dyDescent="0.25">
      <c r="A5995" s="24" t="s">
        <v>7</v>
      </c>
      <c r="B5995" s="24" t="s">
        <v>16007</v>
      </c>
      <c r="C5995" s="25" t="s">
        <v>16008</v>
      </c>
      <c r="D5995" s="25" t="s">
        <v>15938</v>
      </c>
      <c r="E5995" s="26">
        <v>13.7</v>
      </c>
    </row>
    <row r="5996" spans="1:5" x14ac:dyDescent="0.25">
      <c r="A5996" s="24" t="s">
        <v>7</v>
      </c>
      <c r="B5996" s="24" t="s">
        <v>16009</v>
      </c>
      <c r="C5996" s="25" t="s">
        <v>3485</v>
      </c>
      <c r="D5996" s="25" t="s">
        <v>3486</v>
      </c>
      <c r="E5996" s="26">
        <v>13.5</v>
      </c>
    </row>
    <row r="5997" spans="1:5" x14ac:dyDescent="0.25">
      <c r="A5997" s="24" t="s">
        <v>7</v>
      </c>
      <c r="B5997" s="24" t="s">
        <v>16010</v>
      </c>
      <c r="C5997" s="25" t="s">
        <v>3488</v>
      </c>
      <c r="D5997" s="25" t="s">
        <v>3118</v>
      </c>
      <c r="E5997" s="26">
        <v>7.98</v>
      </c>
    </row>
    <row r="5998" spans="1:5" x14ac:dyDescent="0.25">
      <c r="A5998" s="24" t="s">
        <v>7</v>
      </c>
      <c r="B5998" s="24" t="s">
        <v>16011</v>
      </c>
      <c r="C5998" s="25" t="s">
        <v>16012</v>
      </c>
      <c r="D5998" s="25" t="s">
        <v>16013</v>
      </c>
      <c r="E5998" s="26">
        <v>20</v>
      </c>
    </row>
    <row r="5999" spans="1:5" x14ac:dyDescent="0.25">
      <c r="A5999" s="24" t="s">
        <v>7</v>
      </c>
      <c r="B5999" s="24" t="s">
        <v>16014</v>
      </c>
      <c r="C5999" s="25" t="s">
        <v>16015</v>
      </c>
      <c r="D5999" s="25" t="s">
        <v>16015</v>
      </c>
      <c r="E5999" s="26">
        <v>25.5</v>
      </c>
    </row>
    <row r="6000" spans="1:5" x14ac:dyDescent="0.25">
      <c r="A6000" s="24" t="s">
        <v>7</v>
      </c>
      <c r="B6000" s="24" t="s">
        <v>16016</v>
      </c>
      <c r="C6000" s="25" t="s">
        <v>16017</v>
      </c>
      <c r="D6000" s="25" t="s">
        <v>16017</v>
      </c>
      <c r="E6000" s="26">
        <v>69</v>
      </c>
    </row>
    <row r="6001" spans="1:5" x14ac:dyDescent="0.25">
      <c r="A6001" s="24" t="s">
        <v>7</v>
      </c>
      <c r="B6001" s="24" t="s">
        <v>16018</v>
      </c>
      <c r="C6001" s="25" t="s">
        <v>16019</v>
      </c>
      <c r="D6001" s="25" t="s">
        <v>16020</v>
      </c>
      <c r="E6001" s="26">
        <v>60</v>
      </c>
    </row>
    <row r="6002" spans="1:5" x14ac:dyDescent="0.25">
      <c r="A6002" s="24" t="s">
        <v>7</v>
      </c>
      <c r="B6002" s="24" t="s">
        <v>16021</v>
      </c>
      <c r="C6002" s="25" t="s">
        <v>16022</v>
      </c>
      <c r="D6002" s="25" t="s">
        <v>16023</v>
      </c>
      <c r="E6002" s="26">
        <v>36</v>
      </c>
    </row>
    <row r="6003" spans="1:5" x14ac:dyDescent="0.25">
      <c r="A6003" s="24" t="s">
        <v>7</v>
      </c>
      <c r="B6003" s="24" t="s">
        <v>16024</v>
      </c>
      <c r="C6003" s="25" t="s">
        <v>16025</v>
      </c>
      <c r="D6003" s="25" t="s">
        <v>16023</v>
      </c>
      <c r="E6003" s="26">
        <v>18</v>
      </c>
    </row>
    <row r="6004" spans="1:5" x14ac:dyDescent="0.25">
      <c r="A6004" s="24" t="s">
        <v>7</v>
      </c>
      <c r="B6004" s="24" t="s">
        <v>16026</v>
      </c>
      <c r="C6004" s="25" t="s">
        <v>3509</v>
      </c>
      <c r="D6004" s="25" t="s">
        <v>3510</v>
      </c>
      <c r="E6004" s="26">
        <v>11.3</v>
      </c>
    </row>
    <row r="6005" spans="1:5" x14ac:dyDescent="0.25">
      <c r="A6005" s="24" t="s">
        <v>7</v>
      </c>
      <c r="B6005" s="24" t="s">
        <v>16027</v>
      </c>
      <c r="C6005" s="25" t="s">
        <v>3517</v>
      </c>
      <c r="D6005" s="25" t="s">
        <v>3518</v>
      </c>
      <c r="E6005" s="26">
        <v>10.199999999999999</v>
      </c>
    </row>
    <row r="6006" spans="1:5" x14ac:dyDescent="0.25">
      <c r="A6006" s="24" t="s">
        <v>7</v>
      </c>
      <c r="B6006" s="24" t="s">
        <v>16028</v>
      </c>
      <c r="C6006" s="25" t="s">
        <v>3520</v>
      </c>
      <c r="D6006" s="25" t="s">
        <v>3521</v>
      </c>
      <c r="E6006" s="26">
        <v>7.5</v>
      </c>
    </row>
    <row r="6007" spans="1:5" x14ac:dyDescent="0.25">
      <c r="A6007" s="24" t="s">
        <v>7</v>
      </c>
      <c r="B6007" s="24" t="s">
        <v>16029</v>
      </c>
      <c r="C6007" s="25" t="s">
        <v>3527</v>
      </c>
      <c r="D6007" s="25" t="s">
        <v>3528</v>
      </c>
      <c r="E6007" s="26">
        <v>6.6</v>
      </c>
    </row>
    <row r="6008" spans="1:5" x14ac:dyDescent="0.25">
      <c r="A6008" s="24" t="s">
        <v>7</v>
      </c>
      <c r="B6008" s="24" t="s">
        <v>16030</v>
      </c>
      <c r="C6008" s="25" t="s">
        <v>3534</v>
      </c>
      <c r="D6008" s="25" t="s">
        <v>3535</v>
      </c>
      <c r="E6008" s="26">
        <v>40.65</v>
      </c>
    </row>
    <row r="6009" spans="1:5" x14ac:dyDescent="0.25">
      <c r="A6009" s="24" t="s">
        <v>7</v>
      </c>
      <c r="B6009" s="24" t="s">
        <v>16031</v>
      </c>
      <c r="C6009" s="25" t="s">
        <v>16032</v>
      </c>
      <c r="D6009" s="25" t="s">
        <v>16032</v>
      </c>
      <c r="E6009" s="26">
        <v>20.55</v>
      </c>
    </row>
    <row r="6010" spans="1:5" x14ac:dyDescent="0.25">
      <c r="A6010" s="24" t="s">
        <v>7</v>
      </c>
      <c r="B6010" s="24" t="s">
        <v>16033</v>
      </c>
      <c r="C6010" s="25" t="s">
        <v>16034</v>
      </c>
      <c r="D6010" s="25" t="s">
        <v>16035</v>
      </c>
      <c r="E6010" s="26">
        <v>36.450000000000003</v>
      </c>
    </row>
    <row r="6011" spans="1:5" x14ac:dyDescent="0.25">
      <c r="A6011" s="24" t="s">
        <v>7</v>
      </c>
      <c r="B6011" s="24" t="s">
        <v>16036</v>
      </c>
      <c r="C6011" s="25" t="s">
        <v>16037</v>
      </c>
      <c r="D6011" s="25" t="s">
        <v>16038</v>
      </c>
      <c r="E6011" s="26">
        <v>17</v>
      </c>
    </row>
    <row r="6012" spans="1:5" x14ac:dyDescent="0.25">
      <c r="A6012" s="24" t="s">
        <v>7</v>
      </c>
      <c r="B6012" s="24" t="s">
        <v>16039</v>
      </c>
      <c r="C6012" s="25" t="s">
        <v>3537</v>
      </c>
      <c r="D6012" s="25" t="s">
        <v>3538</v>
      </c>
      <c r="E6012" s="26">
        <v>13.68</v>
      </c>
    </row>
    <row r="6013" spans="1:5" x14ac:dyDescent="0.25">
      <c r="A6013" s="24" t="s">
        <v>7</v>
      </c>
      <c r="B6013" s="24" t="s">
        <v>16040</v>
      </c>
      <c r="C6013" s="25" t="s">
        <v>3540</v>
      </c>
      <c r="D6013" s="25" t="s">
        <v>3540</v>
      </c>
      <c r="E6013" s="26">
        <v>30.85</v>
      </c>
    </row>
    <row r="6014" spans="1:5" x14ac:dyDescent="0.25">
      <c r="A6014" s="24" t="s">
        <v>7</v>
      </c>
      <c r="B6014" s="24" t="s">
        <v>16041</v>
      </c>
      <c r="C6014" s="25" t="s">
        <v>16042</v>
      </c>
      <c r="D6014" s="25" t="s">
        <v>16042</v>
      </c>
      <c r="E6014" s="26">
        <v>10.5</v>
      </c>
    </row>
    <row r="6015" spans="1:5" x14ac:dyDescent="0.25">
      <c r="A6015" s="24" t="s">
        <v>7</v>
      </c>
      <c r="B6015" s="24" t="s">
        <v>16043</v>
      </c>
      <c r="C6015" s="25" t="s">
        <v>16044</v>
      </c>
      <c r="D6015" s="25" t="s">
        <v>16044</v>
      </c>
      <c r="E6015" s="26">
        <v>18.079999999999998</v>
      </c>
    </row>
    <row r="6016" spans="1:5" x14ac:dyDescent="0.25">
      <c r="A6016" s="24" t="s">
        <v>7</v>
      </c>
      <c r="B6016" s="24" t="s">
        <v>16045</v>
      </c>
      <c r="C6016" s="25" t="s">
        <v>16046</v>
      </c>
      <c r="D6016" s="25" t="s">
        <v>16046</v>
      </c>
      <c r="E6016" s="26">
        <v>71</v>
      </c>
    </row>
    <row r="6017" spans="1:5" x14ac:dyDescent="0.25">
      <c r="A6017" s="24" t="s">
        <v>7</v>
      </c>
      <c r="B6017" s="24" t="s">
        <v>16047</v>
      </c>
      <c r="C6017" s="25" t="s">
        <v>15232</v>
      </c>
      <c r="D6017" s="25" t="s">
        <v>15233</v>
      </c>
      <c r="E6017" s="26">
        <v>14</v>
      </c>
    </row>
    <row r="6018" spans="1:5" x14ac:dyDescent="0.25">
      <c r="A6018" s="24" t="s">
        <v>7</v>
      </c>
      <c r="B6018" s="24" t="s">
        <v>16048</v>
      </c>
      <c r="C6018" s="25" t="s">
        <v>3542</v>
      </c>
      <c r="D6018" s="25" t="s">
        <v>3543</v>
      </c>
      <c r="E6018" s="26">
        <v>12</v>
      </c>
    </row>
    <row r="6019" spans="1:5" x14ac:dyDescent="0.25">
      <c r="A6019" s="24" t="s">
        <v>7</v>
      </c>
      <c r="B6019" s="24" t="s">
        <v>16049</v>
      </c>
      <c r="C6019" s="25" t="s">
        <v>16050</v>
      </c>
      <c r="D6019" s="25" t="s">
        <v>16050</v>
      </c>
      <c r="E6019" s="26">
        <v>22.5</v>
      </c>
    </row>
    <row r="6020" spans="1:5" x14ac:dyDescent="0.25">
      <c r="A6020" s="24" t="s">
        <v>7</v>
      </c>
      <c r="B6020" s="24" t="s">
        <v>16051</v>
      </c>
      <c r="C6020" s="25" t="s">
        <v>16052</v>
      </c>
      <c r="D6020" s="25" t="s">
        <v>16052</v>
      </c>
      <c r="E6020" s="26">
        <v>26.4</v>
      </c>
    </row>
    <row r="6021" spans="1:5" x14ac:dyDescent="0.25">
      <c r="A6021" s="24" t="s">
        <v>7</v>
      </c>
      <c r="B6021" s="24" t="s">
        <v>16053</v>
      </c>
      <c r="C6021" s="25" t="s">
        <v>15235</v>
      </c>
      <c r="D6021" s="25" t="s">
        <v>15233</v>
      </c>
      <c r="E6021" s="26">
        <v>13.5</v>
      </c>
    </row>
    <row r="6022" spans="1:5" x14ac:dyDescent="0.25">
      <c r="A6022" s="24" t="s">
        <v>7</v>
      </c>
      <c r="B6022" s="24" t="s">
        <v>16054</v>
      </c>
      <c r="C6022" s="25" t="s">
        <v>3558</v>
      </c>
      <c r="D6022" s="25" t="s">
        <v>3558</v>
      </c>
      <c r="E6022" s="26">
        <v>14</v>
      </c>
    </row>
    <row r="6023" spans="1:5" x14ac:dyDescent="0.25">
      <c r="A6023" s="24" t="s">
        <v>7</v>
      </c>
      <c r="B6023" s="24" t="s">
        <v>16055</v>
      </c>
      <c r="C6023" s="25" t="s">
        <v>16056</v>
      </c>
      <c r="D6023" s="25" t="s">
        <v>16057</v>
      </c>
      <c r="E6023" s="26">
        <v>42</v>
      </c>
    </row>
    <row r="6024" spans="1:5" x14ac:dyDescent="0.25">
      <c r="A6024" s="24" t="s">
        <v>7</v>
      </c>
      <c r="B6024" s="24" t="s">
        <v>16058</v>
      </c>
      <c r="C6024" s="25" t="s">
        <v>16059</v>
      </c>
      <c r="D6024" s="25" t="s">
        <v>16060</v>
      </c>
      <c r="E6024" s="26">
        <v>24</v>
      </c>
    </row>
    <row r="6025" spans="1:5" x14ac:dyDescent="0.25">
      <c r="A6025" s="24" t="s">
        <v>7</v>
      </c>
      <c r="B6025" s="24" t="s">
        <v>16061</v>
      </c>
      <c r="C6025" s="25" t="s">
        <v>16062</v>
      </c>
      <c r="D6025" s="25" t="s">
        <v>16063</v>
      </c>
      <c r="E6025" s="26">
        <v>28.5</v>
      </c>
    </row>
    <row r="6026" spans="1:5" x14ac:dyDescent="0.25">
      <c r="A6026" s="24" t="s">
        <v>7</v>
      </c>
      <c r="B6026" s="24" t="s">
        <v>16064</v>
      </c>
      <c r="C6026" s="25" t="s">
        <v>16065</v>
      </c>
      <c r="D6026" s="25" t="s">
        <v>16066</v>
      </c>
      <c r="E6026" s="26">
        <v>28.48</v>
      </c>
    </row>
    <row r="6027" spans="1:5" x14ac:dyDescent="0.25">
      <c r="A6027" s="24" t="s">
        <v>7</v>
      </c>
      <c r="B6027" s="24" t="s">
        <v>16067</v>
      </c>
      <c r="C6027" s="25" t="s">
        <v>16068</v>
      </c>
      <c r="D6027" s="25" t="s">
        <v>16069</v>
      </c>
      <c r="E6027" s="26">
        <v>37.549999999999997</v>
      </c>
    </row>
    <row r="6028" spans="1:5" x14ac:dyDescent="0.25">
      <c r="A6028" s="24" t="s">
        <v>7</v>
      </c>
      <c r="B6028" s="24" t="s">
        <v>16070</v>
      </c>
      <c r="C6028" s="25" t="s">
        <v>16071</v>
      </c>
      <c r="D6028" s="25" t="s">
        <v>16072</v>
      </c>
      <c r="E6028" s="26">
        <v>34.1</v>
      </c>
    </row>
    <row r="6029" spans="1:5" x14ac:dyDescent="0.25">
      <c r="A6029" s="24" t="s">
        <v>7</v>
      </c>
      <c r="B6029" s="24" t="s">
        <v>16073</v>
      </c>
      <c r="C6029" s="25" t="s">
        <v>16074</v>
      </c>
      <c r="D6029" s="25" t="s">
        <v>16075</v>
      </c>
      <c r="E6029" s="26">
        <v>45.6</v>
      </c>
    </row>
    <row r="6030" spans="1:5" x14ac:dyDescent="0.25">
      <c r="A6030" s="24" t="s">
        <v>7</v>
      </c>
      <c r="B6030" s="24" t="s">
        <v>16076</v>
      </c>
      <c r="C6030" s="25" t="s">
        <v>16077</v>
      </c>
      <c r="D6030" s="25" t="s">
        <v>16078</v>
      </c>
      <c r="E6030" s="26">
        <v>28.5</v>
      </c>
    </row>
    <row r="6031" spans="1:5" x14ac:dyDescent="0.25">
      <c r="A6031" s="24" t="s">
        <v>7</v>
      </c>
      <c r="B6031" s="24" t="s">
        <v>16079</v>
      </c>
      <c r="C6031" s="25" t="s">
        <v>16080</v>
      </c>
      <c r="D6031" s="25" t="s">
        <v>16081</v>
      </c>
      <c r="E6031" s="26">
        <v>60.2</v>
      </c>
    </row>
    <row r="6032" spans="1:5" x14ac:dyDescent="0.25">
      <c r="A6032" s="24" t="s">
        <v>7</v>
      </c>
      <c r="B6032" s="24" t="s">
        <v>16082</v>
      </c>
      <c r="C6032" s="25" t="s">
        <v>16083</v>
      </c>
      <c r="D6032" s="25" t="s">
        <v>16084</v>
      </c>
      <c r="E6032" s="26">
        <v>49.5</v>
      </c>
    </row>
    <row r="6033" spans="1:5" x14ac:dyDescent="0.25">
      <c r="A6033" s="24" t="s">
        <v>7</v>
      </c>
      <c r="B6033" s="24" t="s">
        <v>16085</v>
      </c>
      <c r="C6033" s="25" t="s">
        <v>16086</v>
      </c>
      <c r="D6033" s="25" t="s">
        <v>16087</v>
      </c>
      <c r="E6033" s="26">
        <v>162.5</v>
      </c>
    </row>
    <row r="6034" spans="1:5" x14ac:dyDescent="0.25">
      <c r="A6034" s="24" t="s">
        <v>7</v>
      </c>
      <c r="B6034" s="24" t="s">
        <v>16088</v>
      </c>
      <c r="C6034" s="25" t="s">
        <v>16089</v>
      </c>
      <c r="D6034" s="25" t="s">
        <v>15362</v>
      </c>
      <c r="E6034" s="26">
        <v>45</v>
      </c>
    </row>
    <row r="6035" spans="1:5" x14ac:dyDescent="0.25">
      <c r="A6035" s="24" t="s">
        <v>7</v>
      </c>
      <c r="B6035" s="24" t="s">
        <v>16090</v>
      </c>
      <c r="C6035" s="25" t="s">
        <v>16091</v>
      </c>
      <c r="D6035" s="25" t="s">
        <v>16092</v>
      </c>
      <c r="E6035" s="26">
        <v>24.6</v>
      </c>
    </row>
    <row r="6036" spans="1:5" x14ac:dyDescent="0.25">
      <c r="A6036" s="24" t="s">
        <v>7</v>
      </c>
      <c r="B6036" s="24" t="s">
        <v>16093</v>
      </c>
      <c r="C6036" s="25" t="s">
        <v>16094</v>
      </c>
      <c r="D6036" s="25" t="s">
        <v>16092</v>
      </c>
      <c r="E6036" s="26">
        <v>24.6</v>
      </c>
    </row>
    <row r="6037" spans="1:5" x14ac:dyDescent="0.25">
      <c r="A6037" s="24" t="s">
        <v>7</v>
      </c>
      <c r="B6037" s="24" t="s">
        <v>16095</v>
      </c>
      <c r="C6037" s="25" t="s">
        <v>16096</v>
      </c>
      <c r="D6037" s="25" t="s">
        <v>16097</v>
      </c>
      <c r="E6037" s="26">
        <v>24</v>
      </c>
    </row>
    <row r="6038" spans="1:5" x14ac:dyDescent="0.25">
      <c r="A6038" s="24" t="s">
        <v>7</v>
      </c>
      <c r="B6038" s="24" t="s">
        <v>16098</v>
      </c>
      <c r="C6038" s="25" t="s">
        <v>16099</v>
      </c>
      <c r="D6038" s="25" t="s">
        <v>3576</v>
      </c>
      <c r="E6038" s="26">
        <v>185</v>
      </c>
    </row>
    <row r="6039" spans="1:5" x14ac:dyDescent="0.25">
      <c r="A6039" s="24" t="s">
        <v>7</v>
      </c>
      <c r="B6039" s="24" t="s">
        <v>16100</v>
      </c>
      <c r="C6039" s="25" t="s">
        <v>16101</v>
      </c>
      <c r="D6039" s="25" t="s">
        <v>16102</v>
      </c>
      <c r="E6039" s="26">
        <v>198.97</v>
      </c>
    </row>
    <row r="6040" spans="1:5" x14ac:dyDescent="0.25">
      <c r="A6040" s="24" t="s">
        <v>7</v>
      </c>
      <c r="B6040" s="24" t="s">
        <v>16103</v>
      </c>
      <c r="C6040" s="25" t="s">
        <v>16104</v>
      </c>
      <c r="D6040" s="25" t="s">
        <v>16105</v>
      </c>
      <c r="E6040" s="26">
        <v>79.5</v>
      </c>
    </row>
    <row r="6041" spans="1:5" x14ac:dyDescent="0.25">
      <c r="A6041" s="24" t="s">
        <v>7</v>
      </c>
      <c r="B6041" s="24" t="s">
        <v>16106</v>
      </c>
      <c r="C6041" s="25" t="s">
        <v>16107</v>
      </c>
      <c r="D6041" s="25" t="s">
        <v>16108</v>
      </c>
      <c r="E6041" s="26">
        <v>85.9</v>
      </c>
    </row>
    <row r="6042" spans="1:5" x14ac:dyDescent="0.25">
      <c r="A6042" s="24" t="s">
        <v>7</v>
      </c>
      <c r="B6042" s="24" t="s">
        <v>16109</v>
      </c>
      <c r="C6042" s="25" t="s">
        <v>16110</v>
      </c>
      <c r="D6042" s="25" t="s">
        <v>16111</v>
      </c>
      <c r="E6042" s="26">
        <v>11.4</v>
      </c>
    </row>
    <row r="6043" spans="1:5" x14ac:dyDescent="0.25">
      <c r="A6043" s="24" t="s">
        <v>7</v>
      </c>
      <c r="B6043" s="24" t="s">
        <v>16112</v>
      </c>
      <c r="C6043" s="25" t="s">
        <v>16113</v>
      </c>
      <c r="D6043" s="25" t="s">
        <v>16114</v>
      </c>
      <c r="E6043" s="26">
        <v>38.700000000000003</v>
      </c>
    </row>
    <row r="6044" spans="1:5" x14ac:dyDescent="0.25">
      <c r="A6044" s="24" t="s">
        <v>7</v>
      </c>
      <c r="B6044" s="24" t="s">
        <v>16115</v>
      </c>
      <c r="C6044" s="25" t="s">
        <v>3614</v>
      </c>
      <c r="D6044" s="25" t="s">
        <v>3615</v>
      </c>
      <c r="E6044" s="26">
        <v>14.38</v>
      </c>
    </row>
    <row r="6045" spans="1:5" x14ac:dyDescent="0.25">
      <c r="A6045" s="24" t="s">
        <v>7</v>
      </c>
      <c r="B6045" s="24" t="s">
        <v>16116</v>
      </c>
      <c r="C6045" s="25" t="s">
        <v>16117</v>
      </c>
      <c r="D6045" s="25" t="s">
        <v>16118</v>
      </c>
      <c r="E6045" s="26">
        <v>23.4</v>
      </c>
    </row>
    <row r="6046" spans="1:5" x14ac:dyDescent="0.25">
      <c r="A6046" s="24" t="s">
        <v>7</v>
      </c>
      <c r="B6046" s="24" t="s">
        <v>16119</v>
      </c>
      <c r="C6046" s="25" t="s">
        <v>16120</v>
      </c>
      <c r="D6046" s="25" t="s">
        <v>16118</v>
      </c>
      <c r="E6046" s="26">
        <v>14.39</v>
      </c>
    </row>
    <row r="6047" spans="1:5" x14ac:dyDescent="0.25">
      <c r="A6047" s="24" t="s">
        <v>7</v>
      </c>
      <c r="B6047" s="24" t="s">
        <v>16121</v>
      </c>
      <c r="C6047" s="25" t="s">
        <v>16122</v>
      </c>
      <c r="D6047" s="25" t="s">
        <v>16122</v>
      </c>
      <c r="E6047" s="26">
        <v>27.6</v>
      </c>
    </row>
    <row r="6048" spans="1:5" x14ac:dyDescent="0.25">
      <c r="A6048" s="24" t="s">
        <v>7</v>
      </c>
      <c r="B6048" s="24" t="s">
        <v>16123</v>
      </c>
      <c r="C6048" s="25" t="s">
        <v>16124</v>
      </c>
      <c r="D6048" s="25" t="s">
        <v>16125</v>
      </c>
      <c r="E6048" s="26">
        <v>14.7</v>
      </c>
    </row>
    <row r="6049" spans="1:5" x14ac:dyDescent="0.25">
      <c r="A6049" s="24" t="s">
        <v>7</v>
      </c>
      <c r="B6049" s="24" t="s">
        <v>16126</v>
      </c>
      <c r="C6049" s="25" t="s">
        <v>16127</v>
      </c>
      <c r="D6049" s="25" t="s">
        <v>16127</v>
      </c>
      <c r="E6049" s="26">
        <v>14.85</v>
      </c>
    </row>
    <row r="6050" spans="1:5" x14ac:dyDescent="0.25">
      <c r="A6050" s="24" t="s">
        <v>7</v>
      </c>
      <c r="B6050" s="24" t="s">
        <v>16128</v>
      </c>
      <c r="C6050" s="25" t="s">
        <v>3622</v>
      </c>
      <c r="D6050" s="25" t="s">
        <v>3622</v>
      </c>
      <c r="E6050" s="26">
        <v>14.38</v>
      </c>
    </row>
    <row r="6051" spans="1:5" x14ac:dyDescent="0.25">
      <c r="A6051" s="24" t="s">
        <v>7</v>
      </c>
      <c r="B6051" s="24" t="s">
        <v>16129</v>
      </c>
      <c r="C6051" s="25" t="s">
        <v>3624</v>
      </c>
      <c r="D6051" s="25" t="s">
        <v>3625</v>
      </c>
      <c r="E6051" s="26">
        <v>10.8</v>
      </c>
    </row>
    <row r="6052" spans="1:5" x14ac:dyDescent="0.25">
      <c r="A6052" s="24" t="s">
        <v>7</v>
      </c>
      <c r="B6052" s="24" t="s">
        <v>16130</v>
      </c>
      <c r="C6052" s="25" t="s">
        <v>16131</v>
      </c>
      <c r="D6052" s="25" t="s">
        <v>16131</v>
      </c>
      <c r="E6052" s="26">
        <v>10.5</v>
      </c>
    </row>
    <row r="6053" spans="1:5" x14ac:dyDescent="0.25">
      <c r="A6053" s="24" t="s">
        <v>7</v>
      </c>
      <c r="B6053" s="24" t="s">
        <v>16132</v>
      </c>
      <c r="C6053" s="25" t="s">
        <v>16133</v>
      </c>
      <c r="D6053" s="25" t="s">
        <v>16134</v>
      </c>
      <c r="E6053" s="26">
        <v>40</v>
      </c>
    </row>
    <row r="6054" spans="1:5" x14ac:dyDescent="0.25">
      <c r="A6054" s="24" t="s">
        <v>7</v>
      </c>
      <c r="B6054" s="24" t="s">
        <v>16135</v>
      </c>
      <c r="C6054" s="25" t="s">
        <v>16136</v>
      </c>
      <c r="D6054" s="25" t="s">
        <v>16137</v>
      </c>
      <c r="E6054" s="26">
        <v>328.82</v>
      </c>
    </row>
    <row r="6055" spans="1:5" x14ac:dyDescent="0.25">
      <c r="A6055" s="24" t="s">
        <v>7</v>
      </c>
      <c r="B6055" s="24" t="s">
        <v>16138</v>
      </c>
      <c r="C6055" s="25" t="s">
        <v>16139</v>
      </c>
      <c r="D6055" s="25" t="s">
        <v>15789</v>
      </c>
      <c r="E6055" s="26">
        <v>10.23</v>
      </c>
    </row>
    <row r="6056" spans="1:5" x14ac:dyDescent="0.25">
      <c r="A6056" s="24" t="s">
        <v>7</v>
      </c>
      <c r="B6056" s="24" t="s">
        <v>16140</v>
      </c>
      <c r="C6056" s="25" t="s">
        <v>16141</v>
      </c>
      <c r="D6056" s="25" t="s">
        <v>16141</v>
      </c>
      <c r="E6056" s="26">
        <v>124.75</v>
      </c>
    </row>
    <row r="6057" spans="1:5" x14ac:dyDescent="0.25">
      <c r="A6057" s="24" t="s">
        <v>7</v>
      </c>
      <c r="B6057" s="24" t="s">
        <v>16142</v>
      </c>
      <c r="C6057" s="25" t="s">
        <v>16143</v>
      </c>
      <c r="D6057" s="25" t="s">
        <v>16143</v>
      </c>
      <c r="E6057" s="26">
        <v>79</v>
      </c>
    </row>
    <row r="6058" spans="1:5" x14ac:dyDescent="0.25">
      <c r="A6058" s="24" t="s">
        <v>7</v>
      </c>
      <c r="B6058" s="24" t="s">
        <v>16144</v>
      </c>
      <c r="C6058" s="25" t="s">
        <v>3639</v>
      </c>
      <c r="D6058" s="25" t="s">
        <v>3640</v>
      </c>
      <c r="E6058" s="26">
        <v>14.56</v>
      </c>
    </row>
    <row r="6059" spans="1:5" x14ac:dyDescent="0.25">
      <c r="A6059" s="24" t="s">
        <v>7</v>
      </c>
      <c r="B6059" s="24" t="s">
        <v>16145</v>
      </c>
      <c r="C6059" s="25" t="s">
        <v>16146</v>
      </c>
      <c r="D6059" s="25" t="s">
        <v>16147</v>
      </c>
      <c r="E6059" s="26">
        <v>22.5</v>
      </c>
    </row>
    <row r="6060" spans="1:5" x14ac:dyDescent="0.25">
      <c r="A6060" s="24" t="s">
        <v>7</v>
      </c>
      <c r="B6060" s="24" t="s">
        <v>16148</v>
      </c>
      <c r="C6060" s="25" t="s">
        <v>16149</v>
      </c>
      <c r="D6060" s="25" t="s">
        <v>16150</v>
      </c>
      <c r="E6060" s="26">
        <v>11.4</v>
      </c>
    </row>
    <row r="6061" spans="1:5" x14ac:dyDescent="0.25">
      <c r="A6061" s="24" t="s">
        <v>7</v>
      </c>
      <c r="B6061" s="24" t="s">
        <v>16151</v>
      </c>
      <c r="C6061" s="25" t="s">
        <v>16152</v>
      </c>
      <c r="D6061" s="25" t="s">
        <v>16152</v>
      </c>
      <c r="E6061" s="26">
        <v>296</v>
      </c>
    </row>
    <row r="6062" spans="1:5" x14ac:dyDescent="0.25">
      <c r="A6062" s="24" t="s">
        <v>7</v>
      </c>
      <c r="B6062" s="24" t="s">
        <v>16153</v>
      </c>
      <c r="C6062" s="25" t="s">
        <v>16154</v>
      </c>
      <c r="D6062" s="25" t="s">
        <v>15789</v>
      </c>
      <c r="E6062" s="26">
        <v>14.85</v>
      </c>
    </row>
    <row r="6063" spans="1:5" x14ac:dyDescent="0.25">
      <c r="A6063" s="24" t="s">
        <v>7</v>
      </c>
      <c r="B6063" s="24" t="s">
        <v>16155</v>
      </c>
      <c r="C6063" s="25" t="s">
        <v>16156</v>
      </c>
      <c r="D6063" s="25" t="s">
        <v>15789</v>
      </c>
      <c r="E6063" s="26">
        <v>85.04</v>
      </c>
    </row>
    <row r="6064" spans="1:5" x14ac:dyDescent="0.25">
      <c r="A6064" s="24" t="s">
        <v>7</v>
      </c>
      <c r="B6064" s="24" t="s">
        <v>16157</v>
      </c>
      <c r="C6064" s="25" t="s">
        <v>16158</v>
      </c>
      <c r="D6064" s="25" t="s">
        <v>3691</v>
      </c>
      <c r="E6064" s="26">
        <v>13.58</v>
      </c>
    </row>
    <row r="6065" spans="1:5" x14ac:dyDescent="0.25">
      <c r="A6065" s="24" t="s">
        <v>7</v>
      </c>
      <c r="B6065" s="24" t="s">
        <v>16159</v>
      </c>
      <c r="C6065" s="25" t="s">
        <v>16160</v>
      </c>
      <c r="D6065" s="25" t="s">
        <v>16161</v>
      </c>
      <c r="E6065" s="26">
        <v>13.5</v>
      </c>
    </row>
    <row r="6066" spans="1:5" x14ac:dyDescent="0.25">
      <c r="A6066" s="24" t="s">
        <v>7</v>
      </c>
      <c r="B6066" s="24" t="s">
        <v>16162</v>
      </c>
      <c r="C6066" s="25" t="s">
        <v>16163</v>
      </c>
      <c r="D6066" s="25" t="s">
        <v>16164</v>
      </c>
      <c r="E6066" s="26">
        <v>39</v>
      </c>
    </row>
    <row r="6067" spans="1:5" x14ac:dyDescent="0.25">
      <c r="A6067" s="24" t="s">
        <v>7</v>
      </c>
      <c r="B6067" s="24" t="s">
        <v>16165</v>
      </c>
      <c r="C6067" s="25" t="s">
        <v>16166</v>
      </c>
      <c r="D6067" s="25" t="s">
        <v>16167</v>
      </c>
      <c r="E6067" s="26">
        <v>9.0500000000000007</v>
      </c>
    </row>
    <row r="6068" spans="1:5" x14ac:dyDescent="0.25">
      <c r="A6068" s="24" t="s">
        <v>7</v>
      </c>
      <c r="B6068" s="24" t="s">
        <v>16168</v>
      </c>
      <c r="C6068" s="25" t="s">
        <v>16169</v>
      </c>
      <c r="D6068" s="25" t="s">
        <v>16169</v>
      </c>
      <c r="E6068" s="26">
        <v>55.8</v>
      </c>
    </row>
    <row r="6069" spans="1:5" x14ac:dyDescent="0.25">
      <c r="A6069" s="24" t="s">
        <v>7</v>
      </c>
      <c r="B6069" s="24" t="s">
        <v>16170</v>
      </c>
      <c r="C6069" s="25" t="s">
        <v>16171</v>
      </c>
      <c r="D6069" s="25" t="s">
        <v>16147</v>
      </c>
      <c r="E6069" s="26">
        <v>22.5</v>
      </c>
    </row>
    <row r="6070" spans="1:5" x14ac:dyDescent="0.25">
      <c r="A6070" s="24" t="s">
        <v>7</v>
      </c>
      <c r="B6070" s="24" t="s">
        <v>16172</v>
      </c>
      <c r="C6070" s="25" t="s">
        <v>16173</v>
      </c>
      <c r="D6070" s="25" t="s">
        <v>16174</v>
      </c>
      <c r="E6070" s="26">
        <v>7.18</v>
      </c>
    </row>
    <row r="6071" spans="1:5" x14ac:dyDescent="0.25">
      <c r="A6071" s="24" t="s">
        <v>7</v>
      </c>
      <c r="B6071" s="24" t="s">
        <v>16175</v>
      </c>
      <c r="C6071" s="25" t="s">
        <v>16176</v>
      </c>
      <c r="D6071" s="25" t="s">
        <v>16177</v>
      </c>
      <c r="E6071" s="26">
        <v>12</v>
      </c>
    </row>
    <row r="6072" spans="1:5" x14ac:dyDescent="0.25">
      <c r="A6072" s="24" t="s">
        <v>7</v>
      </c>
      <c r="B6072" s="24" t="s">
        <v>16178</v>
      </c>
      <c r="C6072" s="25" t="s">
        <v>16179</v>
      </c>
      <c r="D6072" s="25" t="s">
        <v>16180</v>
      </c>
      <c r="E6072" s="26">
        <v>28.1</v>
      </c>
    </row>
    <row r="6073" spans="1:5" x14ac:dyDescent="0.25">
      <c r="A6073" s="24" t="s">
        <v>7</v>
      </c>
      <c r="B6073" s="24" t="s">
        <v>16181</v>
      </c>
      <c r="C6073" s="25" t="s">
        <v>16182</v>
      </c>
      <c r="D6073" s="25" t="s">
        <v>16183</v>
      </c>
      <c r="E6073" s="26">
        <v>13.65</v>
      </c>
    </row>
    <row r="6074" spans="1:5" x14ac:dyDescent="0.25">
      <c r="A6074" s="24" t="s">
        <v>7</v>
      </c>
      <c r="B6074" s="24" t="s">
        <v>16184</v>
      </c>
      <c r="C6074" s="25" t="s">
        <v>16185</v>
      </c>
      <c r="D6074" s="25" t="s">
        <v>15531</v>
      </c>
      <c r="E6074" s="26">
        <v>7.5</v>
      </c>
    </row>
    <row r="6075" spans="1:5" x14ac:dyDescent="0.25">
      <c r="A6075" s="24" t="s">
        <v>7</v>
      </c>
      <c r="B6075" s="24" t="s">
        <v>16186</v>
      </c>
      <c r="C6075" s="25" t="s">
        <v>15530</v>
      </c>
      <c r="D6075" s="25" t="s">
        <v>15531</v>
      </c>
      <c r="E6075" s="26">
        <v>27.9</v>
      </c>
    </row>
    <row r="6076" spans="1:5" x14ac:dyDescent="0.25">
      <c r="A6076" s="24" t="s">
        <v>7</v>
      </c>
      <c r="B6076" s="24" t="s">
        <v>16187</v>
      </c>
      <c r="C6076" s="25" t="s">
        <v>16188</v>
      </c>
      <c r="D6076" s="25" t="s">
        <v>16177</v>
      </c>
      <c r="E6076" s="26">
        <v>12</v>
      </c>
    </row>
    <row r="6077" spans="1:5" x14ac:dyDescent="0.25">
      <c r="A6077" s="24" t="s">
        <v>7</v>
      </c>
      <c r="B6077" s="24" t="s">
        <v>16189</v>
      </c>
      <c r="C6077" s="25" t="s">
        <v>16190</v>
      </c>
      <c r="D6077" s="25" t="s">
        <v>16177</v>
      </c>
      <c r="E6077" s="26">
        <v>12</v>
      </c>
    </row>
    <row r="6078" spans="1:5" x14ac:dyDescent="0.25">
      <c r="A6078" s="24" t="s">
        <v>7</v>
      </c>
      <c r="B6078" s="24" t="s">
        <v>16191</v>
      </c>
      <c r="C6078" s="25" t="s">
        <v>16192</v>
      </c>
      <c r="D6078" s="25" t="s">
        <v>16193</v>
      </c>
      <c r="E6078" s="26">
        <v>84.25</v>
      </c>
    </row>
    <row r="6079" spans="1:5" x14ac:dyDescent="0.25">
      <c r="A6079" s="24" t="s">
        <v>7</v>
      </c>
      <c r="B6079" s="24" t="s">
        <v>16194</v>
      </c>
      <c r="C6079" s="25" t="s">
        <v>16195</v>
      </c>
      <c r="D6079" s="25" t="s">
        <v>16196</v>
      </c>
      <c r="E6079" s="26">
        <v>29.25</v>
      </c>
    </row>
    <row r="6080" spans="1:5" x14ac:dyDescent="0.25">
      <c r="A6080" s="24" t="s">
        <v>7</v>
      </c>
      <c r="B6080" s="24" t="s">
        <v>16197</v>
      </c>
      <c r="C6080" s="25" t="s">
        <v>16198</v>
      </c>
      <c r="D6080" s="25" t="s">
        <v>16196</v>
      </c>
      <c r="E6080" s="26">
        <v>29.25</v>
      </c>
    </row>
    <row r="6081" spans="1:5" x14ac:dyDescent="0.25">
      <c r="A6081" s="24" t="s">
        <v>7</v>
      </c>
      <c r="B6081" s="24" t="s">
        <v>16199</v>
      </c>
      <c r="C6081" s="25" t="s">
        <v>16200</v>
      </c>
      <c r="D6081" s="25" t="s">
        <v>15897</v>
      </c>
      <c r="E6081" s="26">
        <v>16.899999999999999</v>
      </c>
    </row>
    <row r="6082" spans="1:5" x14ac:dyDescent="0.25">
      <c r="A6082" s="24" t="s">
        <v>7</v>
      </c>
      <c r="B6082" s="24" t="s">
        <v>16201</v>
      </c>
      <c r="C6082" s="25" t="s">
        <v>16202</v>
      </c>
      <c r="D6082" s="25" t="s">
        <v>16202</v>
      </c>
      <c r="E6082" s="26">
        <v>15.8</v>
      </c>
    </row>
    <row r="6083" spans="1:5" x14ac:dyDescent="0.25">
      <c r="A6083" s="24" t="s">
        <v>7</v>
      </c>
      <c r="B6083" s="24" t="s">
        <v>16203</v>
      </c>
      <c r="C6083" s="25" t="s">
        <v>16204</v>
      </c>
      <c r="D6083" s="25" t="s">
        <v>16205</v>
      </c>
      <c r="E6083" s="26">
        <v>22.6</v>
      </c>
    </row>
    <row r="6084" spans="1:5" x14ac:dyDescent="0.25">
      <c r="A6084" s="24" t="s">
        <v>7</v>
      </c>
      <c r="B6084" s="24" t="s">
        <v>16206</v>
      </c>
      <c r="C6084" s="25" t="s">
        <v>3690</v>
      </c>
      <c r="D6084" s="25" t="s">
        <v>3691</v>
      </c>
      <c r="E6084" s="26">
        <v>181.17</v>
      </c>
    </row>
    <row r="6085" spans="1:5" x14ac:dyDescent="0.25">
      <c r="A6085" s="24" t="s">
        <v>7</v>
      </c>
      <c r="B6085" s="24" t="s">
        <v>16207</v>
      </c>
      <c r="C6085" s="25" t="s">
        <v>16208</v>
      </c>
      <c r="D6085" s="25" t="s">
        <v>16193</v>
      </c>
      <c r="E6085" s="26">
        <v>181.18</v>
      </c>
    </row>
    <row r="6086" spans="1:5" x14ac:dyDescent="0.25">
      <c r="A6086" s="24" t="s">
        <v>7</v>
      </c>
      <c r="B6086" s="24" t="s">
        <v>16209</v>
      </c>
      <c r="C6086" s="25" t="s">
        <v>16210</v>
      </c>
      <c r="D6086" s="25" t="s">
        <v>16211</v>
      </c>
      <c r="E6086" s="26">
        <v>181.18</v>
      </c>
    </row>
    <row r="6087" spans="1:5" x14ac:dyDescent="0.25">
      <c r="A6087" s="24" t="s">
        <v>7</v>
      </c>
      <c r="B6087" s="24" t="s">
        <v>16212</v>
      </c>
      <c r="C6087" s="25" t="s">
        <v>16213</v>
      </c>
      <c r="D6087" s="25" t="s">
        <v>16214</v>
      </c>
      <c r="E6087" s="26">
        <v>10.5</v>
      </c>
    </row>
    <row r="6088" spans="1:5" x14ac:dyDescent="0.25">
      <c r="A6088" s="24" t="s">
        <v>7</v>
      </c>
      <c r="B6088" s="24" t="s">
        <v>16215</v>
      </c>
      <c r="C6088" s="25" t="s">
        <v>16216</v>
      </c>
      <c r="D6088" s="25" t="s">
        <v>16216</v>
      </c>
      <c r="E6088" s="26">
        <v>14.85</v>
      </c>
    </row>
    <row r="6089" spans="1:5" x14ac:dyDescent="0.25">
      <c r="A6089" s="24" t="s">
        <v>7</v>
      </c>
      <c r="B6089" s="24" t="s">
        <v>16217</v>
      </c>
      <c r="C6089" s="25" t="s">
        <v>16218</v>
      </c>
      <c r="D6089" s="25" t="s">
        <v>16219</v>
      </c>
      <c r="E6089" s="26">
        <v>15.63</v>
      </c>
    </row>
    <row r="6090" spans="1:5" x14ac:dyDescent="0.25">
      <c r="A6090" s="24" t="s">
        <v>7</v>
      </c>
      <c r="B6090" s="24" t="s">
        <v>16220</v>
      </c>
      <c r="C6090" s="25" t="s">
        <v>16221</v>
      </c>
      <c r="D6090" s="25" t="s">
        <v>16221</v>
      </c>
      <c r="E6090" s="26">
        <v>80</v>
      </c>
    </row>
    <row r="6091" spans="1:5" x14ac:dyDescent="0.25">
      <c r="A6091" s="24" t="s">
        <v>7</v>
      </c>
      <c r="B6091" s="24" t="s">
        <v>16222</v>
      </c>
      <c r="C6091" s="25" t="s">
        <v>16223</v>
      </c>
      <c r="D6091" s="25" t="s">
        <v>16224</v>
      </c>
      <c r="E6091" s="26">
        <v>9.31</v>
      </c>
    </row>
    <row r="6092" spans="1:5" x14ac:dyDescent="0.25">
      <c r="A6092" s="24" t="s">
        <v>7</v>
      </c>
      <c r="B6092" s="24" t="s">
        <v>16225</v>
      </c>
      <c r="C6092" s="25" t="s">
        <v>16226</v>
      </c>
      <c r="D6092" s="25" t="s">
        <v>16226</v>
      </c>
      <c r="E6092" s="26">
        <v>94.9</v>
      </c>
    </row>
    <row r="6093" spans="1:5" x14ac:dyDescent="0.25">
      <c r="A6093" s="24" t="s">
        <v>7</v>
      </c>
      <c r="B6093" s="24" t="s">
        <v>16227</v>
      </c>
      <c r="C6093" s="25" t="s">
        <v>16228</v>
      </c>
      <c r="D6093" s="25" t="s">
        <v>16229</v>
      </c>
      <c r="E6093" s="26">
        <v>61.75</v>
      </c>
    </row>
    <row r="6094" spans="1:5" x14ac:dyDescent="0.25">
      <c r="A6094" s="24" t="s">
        <v>7</v>
      </c>
      <c r="B6094" s="24" t="s">
        <v>16230</v>
      </c>
      <c r="C6094" s="25" t="s">
        <v>16231</v>
      </c>
      <c r="D6094" s="25" t="s">
        <v>16232</v>
      </c>
      <c r="E6094" s="26">
        <v>31.8</v>
      </c>
    </row>
    <row r="6095" spans="1:5" x14ac:dyDescent="0.25">
      <c r="A6095" s="24" t="s">
        <v>7</v>
      </c>
      <c r="B6095" s="24" t="s">
        <v>16233</v>
      </c>
      <c r="C6095" s="25" t="s">
        <v>16234</v>
      </c>
      <c r="D6095" s="25" t="s">
        <v>16235</v>
      </c>
      <c r="E6095" s="26">
        <v>18.600000000000001</v>
      </c>
    </row>
    <row r="6096" spans="1:5" x14ac:dyDescent="0.25">
      <c r="A6096" s="24" t="s">
        <v>7</v>
      </c>
      <c r="B6096" s="24" t="s">
        <v>16236</v>
      </c>
      <c r="C6096" s="25" t="s">
        <v>16237</v>
      </c>
      <c r="D6096" s="25" t="s">
        <v>16238</v>
      </c>
      <c r="E6096" s="26">
        <v>8.1</v>
      </c>
    </row>
    <row r="6097" spans="1:5" x14ac:dyDescent="0.25">
      <c r="A6097" s="24" t="s">
        <v>7</v>
      </c>
      <c r="B6097" s="24" t="s">
        <v>16239</v>
      </c>
      <c r="C6097" s="25" t="s">
        <v>16240</v>
      </c>
      <c r="D6097" s="25" t="s">
        <v>16219</v>
      </c>
      <c r="E6097" s="26">
        <v>15.91</v>
      </c>
    </row>
    <row r="6098" spans="1:5" x14ac:dyDescent="0.25">
      <c r="A6098" s="24" t="s">
        <v>7</v>
      </c>
      <c r="B6098" s="24" t="s">
        <v>16241</v>
      </c>
      <c r="C6098" s="25" t="s">
        <v>16242</v>
      </c>
      <c r="D6098" s="25" t="s">
        <v>16235</v>
      </c>
      <c r="E6098" s="26">
        <v>24.95</v>
      </c>
    </row>
    <row r="6099" spans="1:5" x14ac:dyDescent="0.25">
      <c r="A6099" s="24" t="s">
        <v>7</v>
      </c>
      <c r="B6099" s="24" t="s">
        <v>16243</v>
      </c>
      <c r="C6099" s="25" t="s">
        <v>16244</v>
      </c>
      <c r="D6099" s="25" t="s">
        <v>16235</v>
      </c>
      <c r="E6099" s="26">
        <v>24.95</v>
      </c>
    </row>
    <row r="6100" spans="1:5" x14ac:dyDescent="0.25">
      <c r="A6100" s="24" t="s">
        <v>7</v>
      </c>
      <c r="B6100" s="24" t="s">
        <v>16245</v>
      </c>
      <c r="C6100" s="25" t="s">
        <v>16246</v>
      </c>
      <c r="D6100" s="25" t="s">
        <v>16247</v>
      </c>
      <c r="E6100" s="26">
        <v>24.95</v>
      </c>
    </row>
    <row r="6101" spans="1:5" x14ac:dyDescent="0.25">
      <c r="A6101" s="24" t="s">
        <v>7</v>
      </c>
      <c r="B6101" s="24" t="s">
        <v>16248</v>
      </c>
      <c r="C6101" s="25" t="s">
        <v>16249</v>
      </c>
      <c r="D6101" s="25" t="s">
        <v>16250</v>
      </c>
      <c r="E6101" s="26">
        <v>8.82</v>
      </c>
    </row>
    <row r="6102" spans="1:5" x14ac:dyDescent="0.25">
      <c r="A6102" s="24" t="s">
        <v>7</v>
      </c>
      <c r="B6102" s="24" t="s">
        <v>16251</v>
      </c>
      <c r="C6102" s="25" t="s">
        <v>16252</v>
      </c>
      <c r="D6102" s="25" t="s">
        <v>16253</v>
      </c>
      <c r="E6102" s="26">
        <v>13.5</v>
      </c>
    </row>
    <row r="6103" spans="1:5" x14ac:dyDescent="0.25">
      <c r="A6103" s="24" t="s">
        <v>7</v>
      </c>
      <c r="B6103" s="24" t="s">
        <v>16254</v>
      </c>
      <c r="C6103" s="25" t="s">
        <v>16255</v>
      </c>
      <c r="D6103" s="25" t="s">
        <v>16256</v>
      </c>
      <c r="E6103" s="26">
        <v>13.5</v>
      </c>
    </row>
    <row r="6104" spans="1:5" x14ac:dyDescent="0.25">
      <c r="A6104" s="24" t="s">
        <v>7</v>
      </c>
      <c r="B6104" s="24" t="s">
        <v>16257</v>
      </c>
      <c r="C6104" s="25" t="s">
        <v>16258</v>
      </c>
      <c r="D6104" s="25" t="s">
        <v>16259</v>
      </c>
      <c r="E6104" s="26">
        <v>9.6</v>
      </c>
    </row>
    <row r="6105" spans="1:5" x14ac:dyDescent="0.25">
      <c r="A6105" s="24" t="s">
        <v>7</v>
      </c>
      <c r="B6105" s="24" t="s">
        <v>16260</v>
      </c>
      <c r="C6105" s="25" t="s">
        <v>16261</v>
      </c>
      <c r="D6105" s="25" t="s">
        <v>16262</v>
      </c>
      <c r="E6105" s="26">
        <v>20.399999999999999</v>
      </c>
    </row>
    <row r="6106" spans="1:5" x14ac:dyDescent="0.25">
      <c r="A6106" s="24" t="s">
        <v>7</v>
      </c>
      <c r="B6106" s="24" t="s">
        <v>16263</v>
      </c>
      <c r="C6106" s="25" t="s">
        <v>16264</v>
      </c>
      <c r="D6106" s="25" t="s">
        <v>16265</v>
      </c>
      <c r="E6106" s="26">
        <v>325</v>
      </c>
    </row>
    <row r="6107" spans="1:5" x14ac:dyDescent="0.25">
      <c r="A6107" s="24" t="s">
        <v>7</v>
      </c>
      <c r="B6107" s="24" t="s">
        <v>16266</v>
      </c>
      <c r="C6107" s="25" t="s">
        <v>16267</v>
      </c>
      <c r="D6107" s="25" t="s">
        <v>16268</v>
      </c>
      <c r="E6107" s="26">
        <v>170</v>
      </c>
    </row>
    <row r="6108" spans="1:5" x14ac:dyDescent="0.25">
      <c r="A6108" s="24" t="s">
        <v>7</v>
      </c>
      <c r="B6108" s="24" t="s">
        <v>16269</v>
      </c>
      <c r="C6108" s="25" t="s">
        <v>16270</v>
      </c>
      <c r="D6108" s="25" t="s">
        <v>16270</v>
      </c>
      <c r="E6108" s="26">
        <v>165</v>
      </c>
    </row>
    <row r="6109" spans="1:5" x14ac:dyDescent="0.25">
      <c r="A6109" s="24" t="s">
        <v>7</v>
      </c>
      <c r="B6109" s="24" t="s">
        <v>16271</v>
      </c>
      <c r="C6109" s="25" t="s">
        <v>16272</v>
      </c>
      <c r="D6109" s="25" t="s">
        <v>15256</v>
      </c>
      <c r="E6109" s="26">
        <v>135.75</v>
      </c>
    </row>
    <row r="6110" spans="1:5" x14ac:dyDescent="0.25">
      <c r="A6110" s="24" t="s">
        <v>7</v>
      </c>
      <c r="B6110" s="24" t="s">
        <v>16273</v>
      </c>
      <c r="C6110" s="25" t="s">
        <v>16274</v>
      </c>
      <c r="D6110" s="25" t="s">
        <v>16275</v>
      </c>
      <c r="E6110" s="26">
        <v>9</v>
      </c>
    </row>
    <row r="6111" spans="1:5" x14ac:dyDescent="0.25">
      <c r="A6111" s="24" t="s">
        <v>7</v>
      </c>
      <c r="B6111" s="24" t="s">
        <v>16276</v>
      </c>
      <c r="C6111" s="25" t="s">
        <v>16277</v>
      </c>
      <c r="D6111" s="25" t="s">
        <v>16278</v>
      </c>
      <c r="E6111" s="26">
        <v>13.5</v>
      </c>
    </row>
    <row r="6112" spans="1:5" x14ac:dyDescent="0.25">
      <c r="A6112" s="24" t="s">
        <v>7</v>
      </c>
      <c r="B6112" s="24" t="s">
        <v>16279</v>
      </c>
      <c r="C6112" s="25" t="s">
        <v>16280</v>
      </c>
      <c r="D6112" s="25" t="s">
        <v>16281</v>
      </c>
      <c r="E6112" s="26">
        <v>19.5</v>
      </c>
    </row>
    <row r="6113" spans="1:5" x14ac:dyDescent="0.25">
      <c r="A6113" s="24" t="s">
        <v>7</v>
      </c>
      <c r="B6113" s="24" t="s">
        <v>16282</v>
      </c>
      <c r="C6113" s="25" t="s">
        <v>16283</v>
      </c>
      <c r="D6113" s="25" t="s">
        <v>16284</v>
      </c>
      <c r="E6113" s="26">
        <v>22.8</v>
      </c>
    </row>
    <row r="6114" spans="1:5" x14ac:dyDescent="0.25">
      <c r="A6114" s="24" t="s">
        <v>7</v>
      </c>
      <c r="B6114" s="24" t="s">
        <v>16285</v>
      </c>
      <c r="C6114" s="25" t="s">
        <v>16286</v>
      </c>
      <c r="D6114" s="25" t="s">
        <v>16287</v>
      </c>
      <c r="E6114" s="26">
        <v>166</v>
      </c>
    </row>
    <row r="6115" spans="1:5" x14ac:dyDescent="0.25">
      <c r="A6115" s="24" t="s">
        <v>7</v>
      </c>
      <c r="B6115" s="24" t="s">
        <v>16288</v>
      </c>
      <c r="C6115" s="25" t="s">
        <v>16289</v>
      </c>
      <c r="D6115" s="25" t="s">
        <v>15187</v>
      </c>
      <c r="E6115" s="26">
        <v>40.6</v>
      </c>
    </row>
    <row r="6116" spans="1:5" x14ac:dyDescent="0.25">
      <c r="A6116" s="24" t="s">
        <v>7</v>
      </c>
      <c r="B6116" s="24" t="s">
        <v>16290</v>
      </c>
      <c r="C6116" s="25" t="s">
        <v>16291</v>
      </c>
      <c r="D6116" s="25" t="s">
        <v>16268</v>
      </c>
      <c r="E6116" s="26">
        <v>270</v>
      </c>
    </row>
    <row r="6117" spans="1:5" x14ac:dyDescent="0.25">
      <c r="A6117" s="24" t="s">
        <v>7</v>
      </c>
      <c r="B6117" s="24" t="s">
        <v>16292</v>
      </c>
      <c r="C6117" s="25" t="s">
        <v>16284</v>
      </c>
      <c r="D6117" s="25" t="s">
        <v>16284</v>
      </c>
      <c r="E6117" s="26">
        <v>12.55</v>
      </c>
    </row>
    <row r="6118" spans="1:5" x14ac:dyDescent="0.25">
      <c r="A6118" s="24" t="s">
        <v>7</v>
      </c>
      <c r="B6118" s="24" t="s">
        <v>16293</v>
      </c>
      <c r="C6118" s="25" t="s">
        <v>16294</v>
      </c>
      <c r="D6118" s="25" t="s">
        <v>16268</v>
      </c>
      <c r="E6118" s="26">
        <v>240</v>
      </c>
    </row>
    <row r="6119" spans="1:5" x14ac:dyDescent="0.25">
      <c r="A6119" s="24" t="s">
        <v>7</v>
      </c>
      <c r="B6119" s="24" t="s">
        <v>16295</v>
      </c>
      <c r="C6119" s="25" t="s">
        <v>16296</v>
      </c>
      <c r="D6119" s="25" t="s">
        <v>16268</v>
      </c>
      <c r="E6119" s="26">
        <v>47.55</v>
      </c>
    </row>
    <row r="6120" spans="1:5" x14ac:dyDescent="0.25">
      <c r="A6120" s="24" t="s">
        <v>7</v>
      </c>
      <c r="B6120" s="24" t="s">
        <v>16297</v>
      </c>
      <c r="C6120" s="25" t="s">
        <v>16298</v>
      </c>
      <c r="D6120" s="25" t="s">
        <v>16287</v>
      </c>
      <c r="E6120" s="26">
        <v>147.5</v>
      </c>
    </row>
    <row r="6121" spans="1:5" x14ac:dyDescent="0.25">
      <c r="A6121" s="24" t="s">
        <v>7</v>
      </c>
      <c r="B6121" s="24" t="s">
        <v>16299</v>
      </c>
      <c r="C6121" s="25" t="s">
        <v>16300</v>
      </c>
      <c r="D6121" s="25" t="s">
        <v>16301</v>
      </c>
      <c r="E6121" s="26">
        <v>52.55</v>
      </c>
    </row>
    <row r="6122" spans="1:5" x14ac:dyDescent="0.25">
      <c r="A6122" s="24" t="s">
        <v>7</v>
      </c>
      <c r="B6122" s="24" t="s">
        <v>16302</v>
      </c>
      <c r="C6122" s="25" t="s">
        <v>16303</v>
      </c>
      <c r="D6122" s="25" t="s">
        <v>16304</v>
      </c>
      <c r="E6122" s="26">
        <v>20.329999999999998</v>
      </c>
    </row>
    <row r="6123" spans="1:5" x14ac:dyDescent="0.25">
      <c r="A6123" s="24" t="s">
        <v>7</v>
      </c>
      <c r="B6123" s="24" t="s">
        <v>16305</v>
      </c>
      <c r="C6123" s="25" t="s">
        <v>16306</v>
      </c>
      <c r="D6123" s="25" t="s">
        <v>16268</v>
      </c>
      <c r="E6123" s="26">
        <v>171.5</v>
      </c>
    </row>
    <row r="6124" spans="1:5" x14ac:dyDescent="0.25">
      <c r="A6124" s="24" t="s">
        <v>7</v>
      </c>
      <c r="B6124" s="24" t="s">
        <v>16307</v>
      </c>
      <c r="C6124" s="25" t="s">
        <v>16308</v>
      </c>
      <c r="D6124" s="25" t="s">
        <v>16304</v>
      </c>
      <c r="E6124" s="26">
        <v>13.55</v>
      </c>
    </row>
    <row r="6125" spans="1:5" x14ac:dyDescent="0.25">
      <c r="A6125" s="24" t="s">
        <v>7</v>
      </c>
      <c r="B6125" s="24" t="s">
        <v>16309</v>
      </c>
      <c r="C6125" s="25" t="s">
        <v>16310</v>
      </c>
      <c r="D6125" s="25" t="s">
        <v>15789</v>
      </c>
      <c r="E6125" s="26">
        <v>9</v>
      </c>
    </row>
    <row r="6126" spans="1:5" x14ac:dyDescent="0.25">
      <c r="A6126" s="24" t="s">
        <v>7</v>
      </c>
      <c r="B6126" s="24" t="s">
        <v>16311</v>
      </c>
      <c r="C6126" s="25" t="s">
        <v>16312</v>
      </c>
      <c r="D6126" s="25" t="s">
        <v>16312</v>
      </c>
      <c r="E6126" s="26">
        <v>12.55</v>
      </c>
    </row>
    <row r="6127" spans="1:5" x14ac:dyDescent="0.25">
      <c r="A6127" s="24" t="s">
        <v>7</v>
      </c>
      <c r="B6127" s="24" t="s">
        <v>16313</v>
      </c>
      <c r="C6127" s="25" t="s">
        <v>16314</v>
      </c>
      <c r="D6127" s="25" t="s">
        <v>16314</v>
      </c>
      <c r="E6127" s="26">
        <v>13.55</v>
      </c>
    </row>
    <row r="6128" spans="1:5" x14ac:dyDescent="0.25">
      <c r="A6128" s="24" t="s">
        <v>7</v>
      </c>
      <c r="B6128" s="24" t="s">
        <v>16315</v>
      </c>
      <c r="C6128" s="25" t="s">
        <v>16316</v>
      </c>
      <c r="D6128" s="25" t="s">
        <v>16316</v>
      </c>
      <c r="E6128" s="26">
        <v>17.05</v>
      </c>
    </row>
    <row r="6129" spans="1:5" x14ac:dyDescent="0.25">
      <c r="A6129" s="24" t="s">
        <v>7</v>
      </c>
      <c r="B6129" s="24" t="s">
        <v>16317</v>
      </c>
      <c r="C6129" s="25" t="s">
        <v>3679</v>
      </c>
      <c r="D6129" s="25" t="s">
        <v>3679</v>
      </c>
      <c r="E6129" s="26">
        <v>9.0500000000000007</v>
      </c>
    </row>
    <row r="6130" spans="1:5" x14ac:dyDescent="0.25">
      <c r="A6130" s="24" t="s">
        <v>7</v>
      </c>
      <c r="B6130" s="24" t="s">
        <v>16318</v>
      </c>
      <c r="C6130" s="25" t="s">
        <v>16319</v>
      </c>
      <c r="D6130" s="25" t="s">
        <v>16320</v>
      </c>
      <c r="E6130" s="26">
        <v>11.3</v>
      </c>
    </row>
    <row r="6131" spans="1:5" x14ac:dyDescent="0.25">
      <c r="A6131" s="24" t="s">
        <v>7</v>
      </c>
      <c r="B6131" s="24" t="s">
        <v>16321</v>
      </c>
      <c r="C6131" s="25" t="s">
        <v>16322</v>
      </c>
      <c r="D6131" s="25" t="s">
        <v>16323</v>
      </c>
      <c r="E6131" s="26">
        <v>15.8</v>
      </c>
    </row>
    <row r="6132" spans="1:5" x14ac:dyDescent="0.25">
      <c r="A6132" s="24" t="s">
        <v>7</v>
      </c>
      <c r="B6132" s="24" t="s">
        <v>16324</v>
      </c>
      <c r="C6132" s="25" t="s">
        <v>16325</v>
      </c>
      <c r="D6132" s="25" t="s">
        <v>16326</v>
      </c>
      <c r="E6132" s="26">
        <v>7.2</v>
      </c>
    </row>
    <row r="6133" spans="1:5" x14ac:dyDescent="0.25">
      <c r="A6133" s="24" t="s">
        <v>7</v>
      </c>
      <c r="B6133" s="24" t="s">
        <v>16327</v>
      </c>
      <c r="C6133" s="25" t="s">
        <v>16328</v>
      </c>
      <c r="D6133" s="25" t="s">
        <v>16329</v>
      </c>
      <c r="E6133" s="26">
        <v>19.350000000000001</v>
      </c>
    </row>
    <row r="6134" spans="1:5" x14ac:dyDescent="0.25">
      <c r="A6134" s="24" t="s">
        <v>7</v>
      </c>
      <c r="B6134" s="24" t="s">
        <v>16330</v>
      </c>
      <c r="C6134" s="25" t="s">
        <v>16331</v>
      </c>
      <c r="D6134" s="25" t="s">
        <v>16332</v>
      </c>
      <c r="E6134" s="26">
        <v>20.3</v>
      </c>
    </row>
    <row r="6135" spans="1:5" x14ac:dyDescent="0.25">
      <c r="A6135" s="24" t="s">
        <v>7</v>
      </c>
      <c r="B6135" s="24" t="s">
        <v>16333</v>
      </c>
      <c r="C6135" s="25" t="s">
        <v>16334</v>
      </c>
      <c r="D6135" s="25" t="s">
        <v>16335</v>
      </c>
      <c r="E6135" s="26">
        <v>20.5</v>
      </c>
    </row>
    <row r="6136" spans="1:5" x14ac:dyDescent="0.25">
      <c r="A6136" s="24" t="s">
        <v>7</v>
      </c>
      <c r="B6136" s="24" t="s">
        <v>16336</v>
      </c>
      <c r="C6136" s="25" t="s">
        <v>16337</v>
      </c>
      <c r="D6136" s="25" t="s">
        <v>16338</v>
      </c>
      <c r="E6136" s="26">
        <v>28</v>
      </c>
    </row>
    <row r="6137" spans="1:5" x14ac:dyDescent="0.25">
      <c r="A6137" s="24" t="s">
        <v>7</v>
      </c>
      <c r="B6137" s="24" t="s">
        <v>16339</v>
      </c>
      <c r="C6137" s="25" t="s">
        <v>16340</v>
      </c>
      <c r="D6137" s="25" t="s">
        <v>16341</v>
      </c>
      <c r="E6137" s="26">
        <v>33.75</v>
      </c>
    </row>
    <row r="6138" spans="1:5" x14ac:dyDescent="0.25">
      <c r="A6138" s="24" t="s">
        <v>7</v>
      </c>
      <c r="B6138" s="24" t="s">
        <v>16342</v>
      </c>
      <c r="C6138" s="25" t="s">
        <v>16343</v>
      </c>
      <c r="D6138" s="25" t="s">
        <v>16341</v>
      </c>
      <c r="E6138" s="26">
        <v>26.85</v>
      </c>
    </row>
    <row r="6139" spans="1:5" x14ac:dyDescent="0.25">
      <c r="A6139" s="24" t="s">
        <v>7</v>
      </c>
      <c r="B6139" s="24" t="s">
        <v>16344</v>
      </c>
      <c r="C6139" s="25" t="s">
        <v>16345</v>
      </c>
      <c r="D6139" s="25" t="s">
        <v>16346</v>
      </c>
      <c r="E6139" s="26">
        <v>18.100000000000001</v>
      </c>
    </row>
    <row r="6140" spans="1:5" x14ac:dyDescent="0.25">
      <c r="A6140" s="24" t="s">
        <v>7</v>
      </c>
      <c r="B6140" s="24" t="s">
        <v>16347</v>
      </c>
      <c r="C6140" s="25" t="s">
        <v>16348</v>
      </c>
      <c r="D6140" s="25" t="s">
        <v>16284</v>
      </c>
      <c r="E6140" s="26">
        <v>12.35</v>
      </c>
    </row>
    <row r="6141" spans="1:5" x14ac:dyDescent="0.25">
      <c r="A6141" s="24" t="s">
        <v>7</v>
      </c>
      <c r="B6141" s="24" t="s">
        <v>16349</v>
      </c>
      <c r="C6141" s="25" t="s">
        <v>16350</v>
      </c>
      <c r="D6141" s="25" t="s">
        <v>16284</v>
      </c>
      <c r="E6141" s="26">
        <v>22.8</v>
      </c>
    </row>
    <row r="6142" spans="1:5" x14ac:dyDescent="0.25">
      <c r="A6142" s="24" t="s">
        <v>7</v>
      </c>
      <c r="B6142" s="24" t="s">
        <v>16351</v>
      </c>
      <c r="C6142" s="25" t="s">
        <v>16352</v>
      </c>
      <c r="D6142" s="25" t="s">
        <v>3927</v>
      </c>
      <c r="E6142" s="26">
        <v>227</v>
      </c>
    </row>
    <row r="6143" spans="1:5" x14ac:dyDescent="0.25">
      <c r="A6143" s="24" t="s">
        <v>7</v>
      </c>
      <c r="B6143" s="24" t="s">
        <v>16353</v>
      </c>
      <c r="C6143" s="25" t="s">
        <v>3686</v>
      </c>
      <c r="D6143" s="25" t="s">
        <v>3686</v>
      </c>
      <c r="E6143" s="26">
        <v>10.5</v>
      </c>
    </row>
    <row r="6144" spans="1:5" x14ac:dyDescent="0.25">
      <c r="A6144" s="24" t="s">
        <v>7</v>
      </c>
      <c r="B6144" s="24" t="s">
        <v>16354</v>
      </c>
      <c r="C6144" s="25" t="s">
        <v>16355</v>
      </c>
      <c r="D6144" s="25" t="s">
        <v>16356</v>
      </c>
      <c r="E6144" s="26">
        <v>75.099999999999994</v>
      </c>
    </row>
    <row r="6145" spans="1:5" x14ac:dyDescent="0.25">
      <c r="A6145" s="24" t="s">
        <v>7</v>
      </c>
      <c r="B6145" s="24" t="s">
        <v>16357</v>
      </c>
      <c r="C6145" s="25" t="s">
        <v>16358</v>
      </c>
      <c r="D6145" s="25" t="s">
        <v>16356</v>
      </c>
      <c r="E6145" s="26">
        <v>102.52</v>
      </c>
    </row>
    <row r="6146" spans="1:5" x14ac:dyDescent="0.25">
      <c r="A6146" s="24" t="s">
        <v>7</v>
      </c>
      <c r="B6146" s="24" t="s">
        <v>16359</v>
      </c>
      <c r="C6146" s="25" t="s">
        <v>16360</v>
      </c>
      <c r="D6146" s="25" t="s">
        <v>16361</v>
      </c>
      <c r="E6146" s="26">
        <v>13.5</v>
      </c>
    </row>
    <row r="6147" spans="1:5" x14ac:dyDescent="0.25">
      <c r="A6147" s="24" t="s">
        <v>7</v>
      </c>
      <c r="B6147" s="24" t="s">
        <v>16362</v>
      </c>
      <c r="C6147" s="25" t="s">
        <v>16363</v>
      </c>
      <c r="D6147" s="25" t="s">
        <v>3691</v>
      </c>
      <c r="E6147" s="26">
        <v>13.63</v>
      </c>
    </row>
    <row r="6148" spans="1:5" x14ac:dyDescent="0.25">
      <c r="A6148" s="24" t="s">
        <v>7</v>
      </c>
      <c r="B6148" s="24" t="s">
        <v>16364</v>
      </c>
      <c r="C6148" s="25" t="s">
        <v>16365</v>
      </c>
      <c r="D6148" s="25" t="s">
        <v>16366</v>
      </c>
      <c r="E6148" s="26">
        <v>13.7</v>
      </c>
    </row>
    <row r="6149" spans="1:5" x14ac:dyDescent="0.25">
      <c r="A6149" s="24" t="s">
        <v>7</v>
      </c>
      <c r="B6149" s="24" t="s">
        <v>16367</v>
      </c>
      <c r="C6149" s="25" t="s">
        <v>16368</v>
      </c>
      <c r="D6149" s="25" t="s">
        <v>16369</v>
      </c>
      <c r="E6149" s="26">
        <v>20.11</v>
      </c>
    </row>
    <row r="6150" spans="1:5" x14ac:dyDescent="0.25">
      <c r="A6150" s="24" t="s">
        <v>7</v>
      </c>
      <c r="B6150" s="24" t="s">
        <v>16370</v>
      </c>
      <c r="C6150" s="25" t="s">
        <v>16371</v>
      </c>
      <c r="D6150" s="25" t="s">
        <v>16372</v>
      </c>
      <c r="E6150" s="26">
        <v>24.3</v>
      </c>
    </row>
    <row r="6151" spans="1:5" x14ac:dyDescent="0.25">
      <c r="A6151" s="24" t="s">
        <v>7</v>
      </c>
      <c r="B6151" s="24" t="s">
        <v>16373</v>
      </c>
      <c r="C6151" s="25" t="s">
        <v>16374</v>
      </c>
      <c r="D6151" s="25" t="s">
        <v>15789</v>
      </c>
      <c r="E6151" s="26">
        <v>20.48</v>
      </c>
    </row>
    <row r="6152" spans="1:5" x14ac:dyDescent="0.25">
      <c r="A6152" s="24" t="s">
        <v>7</v>
      </c>
      <c r="B6152" s="24" t="s">
        <v>16375</v>
      </c>
      <c r="C6152" s="25" t="s">
        <v>16376</v>
      </c>
      <c r="D6152" s="25" t="s">
        <v>15789</v>
      </c>
      <c r="E6152" s="26">
        <v>20.329999999999998</v>
      </c>
    </row>
    <row r="6153" spans="1:5" x14ac:dyDescent="0.25">
      <c r="A6153" s="24" t="s">
        <v>7</v>
      </c>
      <c r="B6153" s="24" t="s">
        <v>16377</v>
      </c>
      <c r="C6153" s="25" t="s">
        <v>16378</v>
      </c>
      <c r="D6153" s="25" t="s">
        <v>16379</v>
      </c>
      <c r="E6153" s="26">
        <v>13.9</v>
      </c>
    </row>
    <row r="6154" spans="1:5" x14ac:dyDescent="0.25">
      <c r="A6154" s="24" t="s">
        <v>7</v>
      </c>
      <c r="B6154" s="24" t="s">
        <v>16380</v>
      </c>
      <c r="C6154" s="25" t="s">
        <v>16381</v>
      </c>
      <c r="D6154" s="25" t="s">
        <v>15897</v>
      </c>
      <c r="E6154" s="26">
        <v>125</v>
      </c>
    </row>
    <row r="6155" spans="1:5" x14ac:dyDescent="0.25">
      <c r="A6155" s="24" t="s">
        <v>7</v>
      </c>
      <c r="B6155" s="24" t="s">
        <v>16382</v>
      </c>
      <c r="C6155" s="25" t="s">
        <v>16383</v>
      </c>
      <c r="D6155" s="25" t="s">
        <v>15789</v>
      </c>
      <c r="E6155" s="26">
        <v>641.87</v>
      </c>
    </row>
    <row r="6156" spans="1:5" x14ac:dyDescent="0.25">
      <c r="A6156" s="24" t="s">
        <v>7</v>
      </c>
      <c r="B6156" s="24" t="s">
        <v>16384</v>
      </c>
      <c r="C6156" s="25" t="s">
        <v>16385</v>
      </c>
      <c r="D6156" s="25" t="s">
        <v>16386</v>
      </c>
      <c r="E6156" s="26">
        <v>52.65</v>
      </c>
    </row>
    <row r="6157" spans="1:5" x14ac:dyDescent="0.25">
      <c r="A6157" s="24" t="s">
        <v>7</v>
      </c>
      <c r="B6157" s="24" t="s">
        <v>16387</v>
      </c>
      <c r="C6157" s="25" t="s">
        <v>16388</v>
      </c>
      <c r="D6157" s="25" t="s">
        <v>16268</v>
      </c>
      <c r="E6157" s="26">
        <v>48.05</v>
      </c>
    </row>
    <row r="6158" spans="1:5" x14ac:dyDescent="0.25">
      <c r="A6158" s="24" t="s">
        <v>7</v>
      </c>
      <c r="B6158" s="24" t="s">
        <v>16389</v>
      </c>
      <c r="C6158" s="25" t="s">
        <v>16390</v>
      </c>
      <c r="D6158" s="25" t="s">
        <v>16268</v>
      </c>
      <c r="E6158" s="26">
        <v>270</v>
      </c>
    </row>
    <row r="6159" spans="1:5" x14ac:dyDescent="0.25">
      <c r="A6159" s="24" t="s">
        <v>7</v>
      </c>
      <c r="B6159" s="24" t="s">
        <v>16391</v>
      </c>
      <c r="C6159" s="25" t="s">
        <v>16392</v>
      </c>
      <c r="D6159" s="25" t="s">
        <v>16393</v>
      </c>
      <c r="E6159" s="26">
        <v>33.6</v>
      </c>
    </row>
    <row r="6160" spans="1:5" x14ac:dyDescent="0.25">
      <c r="A6160" s="24" t="s">
        <v>7</v>
      </c>
      <c r="B6160" s="24" t="s">
        <v>16394</v>
      </c>
      <c r="C6160" s="25" t="s">
        <v>16395</v>
      </c>
      <c r="D6160" s="25" t="s">
        <v>16393</v>
      </c>
      <c r="E6160" s="26">
        <v>33.6</v>
      </c>
    </row>
    <row r="6161" spans="1:5" x14ac:dyDescent="0.25">
      <c r="A6161" s="24" t="s">
        <v>7</v>
      </c>
      <c r="B6161" s="24" t="s">
        <v>16396</v>
      </c>
      <c r="C6161" s="25" t="s">
        <v>16397</v>
      </c>
      <c r="D6161" s="25" t="s">
        <v>16398</v>
      </c>
      <c r="E6161" s="26">
        <v>97.25</v>
      </c>
    </row>
    <row r="6162" spans="1:5" x14ac:dyDescent="0.25">
      <c r="A6162" s="24" t="s">
        <v>7</v>
      </c>
      <c r="B6162" s="24" t="s">
        <v>16399</v>
      </c>
      <c r="C6162" s="25" t="s">
        <v>16400</v>
      </c>
      <c r="D6162" s="25" t="s">
        <v>16401</v>
      </c>
      <c r="E6162" s="26">
        <v>14.4</v>
      </c>
    </row>
    <row r="6163" spans="1:5" x14ac:dyDescent="0.25">
      <c r="A6163" s="24" t="s">
        <v>7</v>
      </c>
      <c r="B6163" s="24" t="s">
        <v>16402</v>
      </c>
      <c r="C6163" s="25" t="s">
        <v>16403</v>
      </c>
      <c r="D6163" s="25" t="s">
        <v>16404</v>
      </c>
      <c r="E6163" s="26">
        <v>24</v>
      </c>
    </row>
    <row r="6164" spans="1:5" x14ac:dyDescent="0.25">
      <c r="A6164" s="24" t="s">
        <v>7</v>
      </c>
      <c r="B6164" s="24" t="s">
        <v>16405</v>
      </c>
      <c r="C6164" s="25" t="s">
        <v>16406</v>
      </c>
      <c r="D6164" s="25" t="s">
        <v>16407</v>
      </c>
      <c r="E6164" s="26">
        <v>24</v>
      </c>
    </row>
    <row r="6165" spans="1:5" x14ac:dyDescent="0.25">
      <c r="A6165" s="24" t="s">
        <v>7</v>
      </c>
      <c r="B6165" s="24" t="s">
        <v>16408</v>
      </c>
      <c r="C6165" s="25" t="s">
        <v>3664</v>
      </c>
      <c r="D6165" s="25" t="s">
        <v>3665</v>
      </c>
      <c r="E6165" s="26">
        <v>24</v>
      </c>
    </row>
    <row r="6166" spans="1:5" x14ac:dyDescent="0.25">
      <c r="A6166" s="24" t="s">
        <v>7</v>
      </c>
      <c r="B6166" s="24" t="s">
        <v>16409</v>
      </c>
      <c r="C6166" s="25" t="s">
        <v>16410</v>
      </c>
      <c r="D6166" s="25" t="s">
        <v>16411</v>
      </c>
      <c r="E6166" s="26">
        <v>45.5</v>
      </c>
    </row>
    <row r="6167" spans="1:5" x14ac:dyDescent="0.25">
      <c r="A6167" s="24" t="s">
        <v>7</v>
      </c>
      <c r="B6167" s="24" t="s">
        <v>16412</v>
      </c>
      <c r="C6167" s="25" t="s">
        <v>16413</v>
      </c>
      <c r="D6167" s="25" t="s">
        <v>16413</v>
      </c>
      <c r="E6167" s="26">
        <v>9</v>
      </c>
    </row>
    <row r="6168" spans="1:5" x14ac:dyDescent="0.25">
      <c r="A6168" s="24" t="s">
        <v>7</v>
      </c>
      <c r="B6168" s="24" t="s">
        <v>16414</v>
      </c>
      <c r="C6168" s="25" t="s">
        <v>16415</v>
      </c>
      <c r="D6168" s="25" t="s">
        <v>16111</v>
      </c>
      <c r="E6168" s="26">
        <v>19.350000000000001</v>
      </c>
    </row>
    <row r="6169" spans="1:5" x14ac:dyDescent="0.25">
      <c r="A6169" s="24" t="s">
        <v>7</v>
      </c>
      <c r="B6169" s="24" t="s">
        <v>16416</v>
      </c>
      <c r="C6169" s="25" t="s">
        <v>16417</v>
      </c>
      <c r="D6169" s="25" t="s">
        <v>16418</v>
      </c>
      <c r="E6169" s="26">
        <v>13.8</v>
      </c>
    </row>
    <row r="6170" spans="1:5" x14ac:dyDescent="0.25">
      <c r="A6170" s="24" t="s">
        <v>7</v>
      </c>
      <c r="B6170" s="24" t="s">
        <v>16419</v>
      </c>
      <c r="C6170" s="25" t="s">
        <v>16420</v>
      </c>
      <c r="D6170" s="25" t="s">
        <v>16420</v>
      </c>
      <c r="E6170" s="26">
        <v>18.3</v>
      </c>
    </row>
    <row r="6171" spans="1:5" x14ac:dyDescent="0.25">
      <c r="A6171" s="24" t="s">
        <v>7</v>
      </c>
      <c r="B6171" s="24" t="s">
        <v>16421</v>
      </c>
      <c r="C6171" s="25" t="s">
        <v>16422</v>
      </c>
      <c r="D6171" s="25" t="s">
        <v>16423</v>
      </c>
      <c r="E6171" s="26">
        <v>12.6</v>
      </c>
    </row>
    <row r="6172" spans="1:5" x14ac:dyDescent="0.25">
      <c r="A6172" s="24" t="s">
        <v>7</v>
      </c>
      <c r="B6172" s="24" t="s">
        <v>16424</v>
      </c>
      <c r="C6172" s="25" t="s">
        <v>16425</v>
      </c>
      <c r="D6172" s="25" t="s">
        <v>16426</v>
      </c>
      <c r="E6172" s="26">
        <v>65</v>
      </c>
    </row>
    <row r="6173" spans="1:5" x14ac:dyDescent="0.25">
      <c r="A6173" s="24" t="s">
        <v>7</v>
      </c>
      <c r="B6173" s="24" t="s">
        <v>16427</v>
      </c>
      <c r="C6173" s="25" t="s">
        <v>16428</v>
      </c>
      <c r="D6173" s="25" t="s">
        <v>16423</v>
      </c>
      <c r="E6173" s="26">
        <v>12.6</v>
      </c>
    </row>
    <row r="6174" spans="1:5" x14ac:dyDescent="0.25">
      <c r="A6174" s="24" t="s">
        <v>7</v>
      </c>
      <c r="B6174" s="24" t="s">
        <v>16429</v>
      </c>
      <c r="C6174" s="25" t="s">
        <v>3703</v>
      </c>
      <c r="D6174" s="25" t="s">
        <v>3704</v>
      </c>
      <c r="E6174" s="26">
        <v>13.55</v>
      </c>
    </row>
    <row r="6175" spans="1:5" x14ac:dyDescent="0.25">
      <c r="A6175" s="24" t="s">
        <v>7</v>
      </c>
      <c r="B6175" s="24" t="s">
        <v>16430</v>
      </c>
      <c r="C6175" s="25" t="s">
        <v>16431</v>
      </c>
      <c r="D6175" s="25" t="s">
        <v>16432</v>
      </c>
      <c r="E6175" s="26">
        <v>21.5</v>
      </c>
    </row>
    <row r="6176" spans="1:5" x14ac:dyDescent="0.25">
      <c r="A6176" s="24" t="s">
        <v>7</v>
      </c>
      <c r="B6176" s="24" t="s">
        <v>16433</v>
      </c>
      <c r="C6176" s="25" t="s">
        <v>16434</v>
      </c>
      <c r="D6176" s="25" t="s">
        <v>16435</v>
      </c>
      <c r="E6176" s="26">
        <v>28.3</v>
      </c>
    </row>
    <row r="6177" spans="1:5" x14ac:dyDescent="0.25">
      <c r="A6177" s="24" t="s">
        <v>7</v>
      </c>
      <c r="B6177" s="24" t="s">
        <v>16436</v>
      </c>
      <c r="C6177" s="25" t="s">
        <v>16437</v>
      </c>
      <c r="D6177" s="25" t="s">
        <v>16438</v>
      </c>
      <c r="E6177" s="26">
        <v>28.3</v>
      </c>
    </row>
    <row r="6178" spans="1:5" x14ac:dyDescent="0.25">
      <c r="A6178" s="24" t="s">
        <v>7</v>
      </c>
      <c r="B6178" s="24" t="s">
        <v>16439</v>
      </c>
      <c r="C6178" s="25" t="s">
        <v>16440</v>
      </c>
      <c r="D6178" s="25" t="s">
        <v>16441</v>
      </c>
      <c r="E6178" s="26">
        <v>60</v>
      </c>
    </row>
    <row r="6179" spans="1:5" x14ac:dyDescent="0.25">
      <c r="A6179" s="24" t="s">
        <v>7</v>
      </c>
      <c r="B6179" s="24" t="s">
        <v>16442</v>
      </c>
      <c r="C6179" s="25" t="s">
        <v>3709</v>
      </c>
      <c r="D6179" s="25" t="s">
        <v>3710</v>
      </c>
      <c r="E6179" s="26">
        <v>7.38</v>
      </c>
    </row>
    <row r="6180" spans="1:5" x14ac:dyDescent="0.25">
      <c r="A6180" s="24" t="s">
        <v>7</v>
      </c>
      <c r="B6180" s="24" t="s">
        <v>16443</v>
      </c>
      <c r="C6180" s="25" t="s">
        <v>3712</v>
      </c>
      <c r="D6180" s="25" t="s">
        <v>3710</v>
      </c>
      <c r="E6180" s="26">
        <v>31.7</v>
      </c>
    </row>
    <row r="6181" spans="1:5" x14ac:dyDescent="0.25">
      <c r="A6181" s="24" t="s">
        <v>7</v>
      </c>
      <c r="B6181" s="24" t="s">
        <v>16444</v>
      </c>
      <c r="C6181" s="25" t="s">
        <v>16445</v>
      </c>
      <c r="D6181" s="25" t="s">
        <v>3710</v>
      </c>
      <c r="E6181" s="26">
        <v>9.1</v>
      </c>
    </row>
    <row r="6182" spans="1:5" x14ac:dyDescent="0.25">
      <c r="A6182" s="24" t="s">
        <v>7</v>
      </c>
      <c r="B6182" s="24" t="s">
        <v>16446</v>
      </c>
      <c r="C6182" s="25" t="s">
        <v>16447</v>
      </c>
      <c r="D6182" s="25" t="s">
        <v>3710</v>
      </c>
      <c r="E6182" s="26">
        <v>39.75</v>
      </c>
    </row>
    <row r="6183" spans="1:5" x14ac:dyDescent="0.25">
      <c r="A6183" s="24" t="s">
        <v>7</v>
      </c>
      <c r="B6183" s="24" t="s">
        <v>16448</v>
      </c>
      <c r="C6183" s="25" t="s">
        <v>16449</v>
      </c>
      <c r="D6183" s="25" t="s">
        <v>3710</v>
      </c>
      <c r="E6183" s="26">
        <v>10.199999999999999</v>
      </c>
    </row>
    <row r="6184" spans="1:5" x14ac:dyDescent="0.25">
      <c r="A6184" s="24" t="s">
        <v>7</v>
      </c>
      <c r="B6184" s="24" t="s">
        <v>16450</v>
      </c>
      <c r="C6184" s="25" t="s">
        <v>16451</v>
      </c>
      <c r="D6184" s="25" t="s">
        <v>16452</v>
      </c>
      <c r="E6184" s="26">
        <v>32.4</v>
      </c>
    </row>
    <row r="6185" spans="1:5" x14ac:dyDescent="0.25">
      <c r="A6185" s="24" t="s">
        <v>7</v>
      </c>
      <c r="B6185" s="24" t="s">
        <v>16453</v>
      </c>
      <c r="C6185" s="25" t="s">
        <v>3714</v>
      </c>
      <c r="D6185" s="25" t="s">
        <v>3714</v>
      </c>
      <c r="E6185" s="26">
        <v>169</v>
      </c>
    </row>
    <row r="6186" spans="1:5" x14ac:dyDescent="0.25">
      <c r="A6186" s="24" t="s">
        <v>7</v>
      </c>
      <c r="B6186" s="24" t="s">
        <v>16454</v>
      </c>
      <c r="C6186" s="25" t="s">
        <v>16455</v>
      </c>
      <c r="D6186" s="25" t="s">
        <v>16456</v>
      </c>
      <c r="E6186" s="26">
        <v>70.3</v>
      </c>
    </row>
    <row r="6187" spans="1:5" x14ac:dyDescent="0.25">
      <c r="A6187" s="24" t="s">
        <v>7</v>
      </c>
      <c r="B6187" s="24" t="s">
        <v>16457</v>
      </c>
      <c r="C6187" s="25" t="s">
        <v>16458</v>
      </c>
      <c r="D6187" s="25" t="s">
        <v>16459</v>
      </c>
      <c r="E6187" s="26">
        <v>230</v>
      </c>
    </row>
    <row r="6188" spans="1:5" x14ac:dyDescent="0.25">
      <c r="A6188" s="24" t="s">
        <v>7</v>
      </c>
      <c r="B6188" s="24" t="s">
        <v>16460</v>
      </c>
      <c r="C6188" s="25" t="s">
        <v>16461</v>
      </c>
      <c r="D6188" s="25" t="s">
        <v>16461</v>
      </c>
      <c r="E6188" s="26">
        <v>47.1</v>
      </c>
    </row>
    <row r="6189" spans="1:5" x14ac:dyDescent="0.25">
      <c r="A6189" s="24" t="s">
        <v>7</v>
      </c>
      <c r="B6189" s="24" t="s">
        <v>16462</v>
      </c>
      <c r="C6189" s="25" t="s">
        <v>16463</v>
      </c>
      <c r="D6189" s="25" t="s">
        <v>16463</v>
      </c>
      <c r="E6189" s="26">
        <v>15.85</v>
      </c>
    </row>
    <row r="6190" spans="1:5" x14ac:dyDescent="0.25">
      <c r="A6190" s="24" t="s">
        <v>7</v>
      </c>
      <c r="B6190" s="24" t="s">
        <v>16464</v>
      </c>
      <c r="C6190" s="25" t="s">
        <v>16465</v>
      </c>
      <c r="D6190" s="25" t="s">
        <v>16465</v>
      </c>
      <c r="E6190" s="26">
        <v>27.6</v>
      </c>
    </row>
    <row r="6191" spans="1:5" x14ac:dyDescent="0.25">
      <c r="A6191" s="24" t="s">
        <v>7</v>
      </c>
      <c r="B6191" s="24" t="s">
        <v>16466</v>
      </c>
      <c r="C6191" s="25" t="s">
        <v>16467</v>
      </c>
      <c r="D6191" s="25" t="s">
        <v>16219</v>
      </c>
      <c r="E6191" s="26">
        <v>13.65</v>
      </c>
    </row>
    <row r="6192" spans="1:5" x14ac:dyDescent="0.25">
      <c r="A6192" s="24" t="s">
        <v>7</v>
      </c>
      <c r="B6192" s="24" t="s">
        <v>16468</v>
      </c>
      <c r="C6192" s="25" t="s">
        <v>16469</v>
      </c>
      <c r="D6192" s="25" t="s">
        <v>15288</v>
      </c>
      <c r="E6192" s="26">
        <v>16.899999999999999</v>
      </c>
    </row>
    <row r="6193" spans="1:5" x14ac:dyDescent="0.25">
      <c r="A6193" s="24" t="s">
        <v>7</v>
      </c>
      <c r="B6193" s="24" t="s">
        <v>16470</v>
      </c>
      <c r="C6193" s="25" t="s">
        <v>16471</v>
      </c>
      <c r="D6193" s="25" t="s">
        <v>16472</v>
      </c>
      <c r="E6193" s="26">
        <v>14.65</v>
      </c>
    </row>
    <row r="6194" spans="1:5" x14ac:dyDescent="0.25">
      <c r="A6194" s="24" t="s">
        <v>7</v>
      </c>
      <c r="B6194" s="24" t="s">
        <v>16473</v>
      </c>
      <c r="C6194" s="25" t="s">
        <v>16474</v>
      </c>
      <c r="D6194" s="25" t="s">
        <v>16247</v>
      </c>
      <c r="E6194" s="26">
        <v>24.95</v>
      </c>
    </row>
    <row r="6195" spans="1:5" x14ac:dyDescent="0.25">
      <c r="A6195" s="24" t="s">
        <v>7</v>
      </c>
      <c r="B6195" s="24" t="s">
        <v>16475</v>
      </c>
      <c r="C6195" s="25" t="s">
        <v>16476</v>
      </c>
      <c r="D6195" s="25" t="s">
        <v>16477</v>
      </c>
      <c r="E6195" s="26">
        <v>14.1</v>
      </c>
    </row>
    <row r="6196" spans="1:5" x14ac:dyDescent="0.25">
      <c r="A6196" s="24" t="s">
        <v>7</v>
      </c>
      <c r="B6196" s="24" t="s">
        <v>16478</v>
      </c>
      <c r="C6196" s="25" t="s">
        <v>16479</v>
      </c>
      <c r="D6196" s="25" t="s">
        <v>16247</v>
      </c>
      <c r="E6196" s="26">
        <v>44.4</v>
      </c>
    </row>
    <row r="6197" spans="1:5" x14ac:dyDescent="0.25">
      <c r="A6197" s="24" t="s">
        <v>7</v>
      </c>
      <c r="B6197" s="24" t="s">
        <v>16480</v>
      </c>
      <c r="C6197" s="25" t="s">
        <v>16481</v>
      </c>
      <c r="D6197" s="25" t="s">
        <v>16247</v>
      </c>
      <c r="E6197" s="26">
        <v>18.600000000000001</v>
      </c>
    </row>
    <row r="6198" spans="1:5" x14ac:dyDescent="0.25">
      <c r="A6198" s="24" t="s">
        <v>7</v>
      </c>
      <c r="B6198" s="24" t="s">
        <v>16482</v>
      </c>
      <c r="C6198" s="25" t="s">
        <v>16483</v>
      </c>
      <c r="D6198" s="25" t="s">
        <v>16484</v>
      </c>
      <c r="E6198" s="26">
        <v>18.600000000000001</v>
      </c>
    </row>
    <row r="6199" spans="1:5" x14ac:dyDescent="0.25">
      <c r="A6199" s="24" t="s">
        <v>7</v>
      </c>
      <c r="B6199" s="24" t="s">
        <v>16485</v>
      </c>
      <c r="C6199" s="25" t="s">
        <v>16486</v>
      </c>
      <c r="D6199" s="25" t="s">
        <v>16487</v>
      </c>
      <c r="E6199" s="26">
        <v>18.600000000000001</v>
      </c>
    </row>
    <row r="6200" spans="1:5" x14ac:dyDescent="0.25">
      <c r="A6200" s="24" t="s">
        <v>7</v>
      </c>
      <c r="B6200" s="24" t="s">
        <v>16488</v>
      </c>
      <c r="C6200" s="25" t="s">
        <v>16489</v>
      </c>
      <c r="D6200" s="25" t="s">
        <v>16232</v>
      </c>
      <c r="E6200" s="26">
        <v>19.2</v>
      </c>
    </row>
    <row r="6201" spans="1:5" x14ac:dyDescent="0.25">
      <c r="A6201" s="24" t="s">
        <v>7</v>
      </c>
      <c r="B6201" s="24" t="s">
        <v>16490</v>
      </c>
      <c r="C6201" s="25" t="s">
        <v>16491</v>
      </c>
      <c r="D6201" s="25" t="s">
        <v>16235</v>
      </c>
      <c r="E6201" s="26">
        <v>44.4</v>
      </c>
    </row>
    <row r="6202" spans="1:5" x14ac:dyDescent="0.25">
      <c r="A6202" s="24" t="s">
        <v>7</v>
      </c>
      <c r="B6202" s="24" t="s">
        <v>16492</v>
      </c>
      <c r="C6202" s="25" t="s">
        <v>16493</v>
      </c>
      <c r="D6202" s="25" t="s">
        <v>16494</v>
      </c>
      <c r="E6202" s="26">
        <v>18.100000000000001</v>
      </c>
    </row>
    <row r="6203" spans="1:5" x14ac:dyDescent="0.25">
      <c r="A6203" s="24" t="s">
        <v>7</v>
      </c>
      <c r="B6203" s="24" t="s">
        <v>16495</v>
      </c>
      <c r="C6203" s="25" t="s">
        <v>16496</v>
      </c>
      <c r="D6203" s="25" t="s">
        <v>16497</v>
      </c>
      <c r="E6203" s="26">
        <v>28</v>
      </c>
    </row>
    <row r="6204" spans="1:5" x14ac:dyDescent="0.25">
      <c r="A6204" s="24" t="s">
        <v>7</v>
      </c>
      <c r="B6204" s="24" t="s">
        <v>16498</v>
      </c>
      <c r="C6204" s="25" t="s">
        <v>16499</v>
      </c>
      <c r="D6204" s="25" t="s">
        <v>16232</v>
      </c>
      <c r="E6204" s="26">
        <v>19.48</v>
      </c>
    </row>
    <row r="6205" spans="1:5" x14ac:dyDescent="0.25">
      <c r="A6205" s="24" t="s">
        <v>7</v>
      </c>
      <c r="B6205" s="24" t="s">
        <v>16500</v>
      </c>
      <c r="C6205" s="25" t="s">
        <v>16501</v>
      </c>
      <c r="D6205" s="25" t="s">
        <v>16484</v>
      </c>
      <c r="E6205" s="26">
        <v>24.95</v>
      </c>
    </row>
    <row r="6206" spans="1:5" x14ac:dyDescent="0.25">
      <c r="A6206" s="24" t="s">
        <v>7</v>
      </c>
      <c r="B6206" s="24" t="s">
        <v>16502</v>
      </c>
      <c r="C6206" s="25" t="s">
        <v>16503</v>
      </c>
      <c r="D6206" s="25" t="s">
        <v>16487</v>
      </c>
      <c r="E6206" s="26">
        <v>44.4</v>
      </c>
    </row>
    <row r="6207" spans="1:5" x14ac:dyDescent="0.25">
      <c r="A6207" s="24" t="s">
        <v>7</v>
      </c>
      <c r="B6207" s="24" t="s">
        <v>16504</v>
      </c>
      <c r="C6207" s="25" t="s">
        <v>16505</v>
      </c>
      <c r="D6207" s="25" t="s">
        <v>16484</v>
      </c>
      <c r="E6207" s="26">
        <v>24.95</v>
      </c>
    </row>
    <row r="6208" spans="1:5" x14ac:dyDescent="0.25">
      <c r="A6208" s="24" t="s">
        <v>7</v>
      </c>
      <c r="B6208" s="24" t="s">
        <v>16506</v>
      </c>
      <c r="C6208" s="25" t="s">
        <v>16507</v>
      </c>
      <c r="D6208" s="25" t="s">
        <v>16487</v>
      </c>
      <c r="E6208" s="26">
        <v>24.95</v>
      </c>
    </row>
    <row r="6209" spans="1:5" x14ac:dyDescent="0.25">
      <c r="A6209" s="24" t="s">
        <v>7</v>
      </c>
      <c r="B6209" s="24" t="s">
        <v>16508</v>
      </c>
      <c r="C6209" s="25" t="s">
        <v>16509</v>
      </c>
      <c r="D6209" s="25" t="s">
        <v>16510</v>
      </c>
      <c r="E6209" s="26">
        <v>16.95</v>
      </c>
    </row>
    <row r="6210" spans="1:5" x14ac:dyDescent="0.25">
      <c r="A6210" s="24" t="s">
        <v>7</v>
      </c>
      <c r="B6210" s="24" t="s">
        <v>16511</v>
      </c>
      <c r="C6210" s="25" t="s">
        <v>16512</v>
      </c>
      <c r="D6210" s="25" t="s">
        <v>16510</v>
      </c>
      <c r="E6210" s="26">
        <v>24.8</v>
      </c>
    </row>
    <row r="6211" spans="1:5" x14ac:dyDescent="0.25">
      <c r="A6211" s="24" t="s">
        <v>7</v>
      </c>
      <c r="B6211" s="24" t="s">
        <v>16513</v>
      </c>
      <c r="C6211" s="25" t="s">
        <v>16514</v>
      </c>
      <c r="D6211" s="25" t="s">
        <v>16510</v>
      </c>
      <c r="E6211" s="26">
        <v>18.100000000000001</v>
      </c>
    </row>
    <row r="6212" spans="1:5" x14ac:dyDescent="0.25">
      <c r="A6212" s="24" t="s">
        <v>7</v>
      </c>
      <c r="B6212" s="24" t="s">
        <v>16515</v>
      </c>
      <c r="C6212" s="25" t="s">
        <v>16516</v>
      </c>
      <c r="D6212" s="25" t="s">
        <v>16487</v>
      </c>
      <c r="E6212" s="26">
        <v>24.95</v>
      </c>
    </row>
    <row r="6213" spans="1:5" x14ac:dyDescent="0.25">
      <c r="A6213" s="24" t="s">
        <v>7</v>
      </c>
      <c r="B6213" s="24" t="s">
        <v>16517</v>
      </c>
      <c r="C6213" s="25" t="s">
        <v>16518</v>
      </c>
      <c r="D6213" s="25" t="s">
        <v>16510</v>
      </c>
      <c r="E6213" s="26">
        <v>24.8</v>
      </c>
    </row>
    <row r="6214" spans="1:5" x14ac:dyDescent="0.25">
      <c r="A6214" s="24" t="s">
        <v>7</v>
      </c>
      <c r="B6214" s="24" t="s">
        <v>16519</v>
      </c>
      <c r="C6214" s="25" t="s">
        <v>16520</v>
      </c>
      <c r="D6214" s="25" t="s">
        <v>16338</v>
      </c>
      <c r="E6214" s="26">
        <v>33.75</v>
      </c>
    </row>
    <row r="6215" spans="1:5" x14ac:dyDescent="0.25">
      <c r="A6215" s="24" t="s">
        <v>7</v>
      </c>
      <c r="B6215" s="24" t="s">
        <v>16521</v>
      </c>
      <c r="C6215" s="25" t="s">
        <v>16522</v>
      </c>
      <c r="D6215" s="25" t="s">
        <v>16522</v>
      </c>
      <c r="E6215" s="26">
        <v>13.55</v>
      </c>
    </row>
    <row r="6216" spans="1:5" x14ac:dyDescent="0.25">
      <c r="A6216" s="24" t="s">
        <v>7</v>
      </c>
      <c r="B6216" s="24" t="s">
        <v>16523</v>
      </c>
      <c r="C6216" s="25" t="s">
        <v>16524</v>
      </c>
      <c r="D6216" s="25" t="s">
        <v>16524</v>
      </c>
      <c r="E6216" s="26">
        <v>72.900000000000006</v>
      </c>
    </row>
    <row r="6217" spans="1:5" x14ac:dyDescent="0.25">
      <c r="A6217" s="24" t="s">
        <v>7</v>
      </c>
      <c r="B6217" s="24" t="s">
        <v>16525</v>
      </c>
      <c r="C6217" s="25" t="s">
        <v>16526</v>
      </c>
      <c r="D6217" s="25" t="s">
        <v>16484</v>
      </c>
      <c r="E6217" s="26">
        <v>44.4</v>
      </c>
    </row>
    <row r="6218" spans="1:5" x14ac:dyDescent="0.25">
      <c r="A6218" s="24" t="s">
        <v>7</v>
      </c>
      <c r="B6218" s="24" t="s">
        <v>16527</v>
      </c>
      <c r="C6218" s="25" t="s">
        <v>16528</v>
      </c>
      <c r="D6218" s="25" t="s">
        <v>16281</v>
      </c>
      <c r="E6218" s="26">
        <v>82.6</v>
      </c>
    </row>
    <row r="6219" spans="1:5" x14ac:dyDescent="0.25">
      <c r="A6219" s="24" t="s">
        <v>7</v>
      </c>
      <c r="B6219" s="24" t="s">
        <v>16529</v>
      </c>
      <c r="C6219" s="25" t="s">
        <v>16530</v>
      </c>
      <c r="D6219" s="25" t="s">
        <v>16530</v>
      </c>
      <c r="E6219" s="26">
        <v>22.85</v>
      </c>
    </row>
    <row r="6220" spans="1:5" x14ac:dyDescent="0.25">
      <c r="A6220" s="24" t="s">
        <v>7</v>
      </c>
      <c r="B6220" s="24" t="s">
        <v>16531</v>
      </c>
      <c r="C6220" s="25" t="s">
        <v>16532</v>
      </c>
      <c r="D6220" s="25" t="s">
        <v>16530</v>
      </c>
      <c r="E6220" s="26">
        <v>22.85</v>
      </c>
    </row>
    <row r="6221" spans="1:5" x14ac:dyDescent="0.25">
      <c r="A6221" s="24" t="s">
        <v>7</v>
      </c>
      <c r="B6221" s="24" t="s">
        <v>16533</v>
      </c>
      <c r="C6221" s="25" t="s">
        <v>16534</v>
      </c>
      <c r="D6221" s="25" t="s">
        <v>16535</v>
      </c>
      <c r="E6221" s="26">
        <v>13.6</v>
      </c>
    </row>
    <row r="6222" spans="1:5" x14ac:dyDescent="0.25">
      <c r="A6222" s="24" t="s">
        <v>7</v>
      </c>
      <c r="B6222" s="24" t="s">
        <v>16536</v>
      </c>
      <c r="C6222" s="25" t="s">
        <v>16537</v>
      </c>
      <c r="D6222" s="25" t="s">
        <v>16538</v>
      </c>
      <c r="E6222" s="26">
        <v>12</v>
      </c>
    </row>
    <row r="6223" spans="1:5" x14ac:dyDescent="0.25">
      <c r="A6223" s="24" t="s">
        <v>7</v>
      </c>
      <c r="B6223" s="24" t="s">
        <v>16539</v>
      </c>
      <c r="C6223" s="25" t="s">
        <v>16540</v>
      </c>
      <c r="D6223" s="25" t="s">
        <v>16540</v>
      </c>
      <c r="E6223" s="26">
        <v>54.55</v>
      </c>
    </row>
    <row r="6224" spans="1:5" x14ac:dyDescent="0.25">
      <c r="A6224" s="24" t="s">
        <v>7</v>
      </c>
      <c r="B6224" s="24" t="s">
        <v>16541</v>
      </c>
      <c r="C6224" s="25" t="s">
        <v>16542</v>
      </c>
      <c r="D6224" s="25" t="s">
        <v>16542</v>
      </c>
      <c r="E6224" s="26">
        <v>11.3</v>
      </c>
    </row>
    <row r="6225" spans="1:5" x14ac:dyDescent="0.25">
      <c r="A6225" s="24" t="s">
        <v>7</v>
      </c>
      <c r="B6225" s="24" t="s">
        <v>16543</v>
      </c>
      <c r="C6225" s="25" t="s">
        <v>16544</v>
      </c>
      <c r="D6225" s="25" t="s">
        <v>16544</v>
      </c>
      <c r="E6225" s="26">
        <v>24.6</v>
      </c>
    </row>
    <row r="6226" spans="1:5" x14ac:dyDescent="0.25">
      <c r="A6226" s="24" t="s">
        <v>7</v>
      </c>
      <c r="B6226" s="24" t="s">
        <v>16545</v>
      </c>
      <c r="C6226" s="25" t="s">
        <v>16546</v>
      </c>
      <c r="D6226" s="25" t="s">
        <v>16546</v>
      </c>
      <c r="E6226" s="26">
        <v>13.55</v>
      </c>
    </row>
    <row r="6227" spans="1:5" x14ac:dyDescent="0.25">
      <c r="A6227" s="24" t="s">
        <v>7</v>
      </c>
      <c r="B6227" s="24" t="s">
        <v>16547</v>
      </c>
      <c r="C6227" s="25" t="s">
        <v>16548</v>
      </c>
      <c r="D6227" s="25" t="s">
        <v>16548</v>
      </c>
      <c r="E6227" s="26">
        <v>13.55</v>
      </c>
    </row>
    <row r="6228" spans="1:5" x14ac:dyDescent="0.25">
      <c r="A6228" s="24" t="s">
        <v>7</v>
      </c>
      <c r="B6228" s="24" t="s">
        <v>16549</v>
      </c>
      <c r="C6228" s="25" t="s">
        <v>16550</v>
      </c>
      <c r="D6228" s="25" t="s">
        <v>16550</v>
      </c>
      <c r="E6228" s="26">
        <v>19.2</v>
      </c>
    </row>
    <row r="6229" spans="1:5" x14ac:dyDescent="0.25">
      <c r="A6229" s="24" t="s">
        <v>7</v>
      </c>
      <c r="B6229" s="24" t="s">
        <v>16551</v>
      </c>
      <c r="C6229" s="25" t="s">
        <v>16552</v>
      </c>
      <c r="D6229" s="25" t="s">
        <v>16552</v>
      </c>
      <c r="E6229" s="26">
        <v>16.5</v>
      </c>
    </row>
    <row r="6230" spans="1:5" x14ac:dyDescent="0.25">
      <c r="A6230" s="24" t="s">
        <v>7</v>
      </c>
      <c r="B6230" s="24" t="s">
        <v>16553</v>
      </c>
      <c r="C6230" s="25" t="s">
        <v>16554</v>
      </c>
      <c r="D6230" s="25" t="s">
        <v>16554</v>
      </c>
      <c r="E6230" s="26">
        <v>17.13</v>
      </c>
    </row>
    <row r="6231" spans="1:5" x14ac:dyDescent="0.25">
      <c r="A6231" s="24" t="s">
        <v>7</v>
      </c>
      <c r="B6231" s="24" t="s">
        <v>16555</v>
      </c>
      <c r="C6231" s="25" t="s">
        <v>16556</v>
      </c>
      <c r="D6231" s="25" t="s">
        <v>16538</v>
      </c>
      <c r="E6231" s="26">
        <v>22.8</v>
      </c>
    </row>
    <row r="6232" spans="1:5" x14ac:dyDescent="0.25">
      <c r="A6232" s="24" t="s">
        <v>7</v>
      </c>
      <c r="B6232" s="24" t="s">
        <v>16557</v>
      </c>
      <c r="C6232" s="25" t="s">
        <v>16558</v>
      </c>
      <c r="D6232" s="25" t="s">
        <v>16538</v>
      </c>
      <c r="E6232" s="26">
        <v>26.2</v>
      </c>
    </row>
    <row r="6233" spans="1:5" x14ac:dyDescent="0.25">
      <c r="A6233" s="24" t="s">
        <v>7</v>
      </c>
      <c r="B6233" s="24" t="s">
        <v>16559</v>
      </c>
      <c r="C6233" s="25" t="s">
        <v>16560</v>
      </c>
      <c r="D6233" s="25" t="s">
        <v>16560</v>
      </c>
      <c r="E6233" s="26">
        <v>20.55</v>
      </c>
    </row>
    <row r="6234" spans="1:5" x14ac:dyDescent="0.25">
      <c r="A6234" s="24" t="s">
        <v>7</v>
      </c>
      <c r="B6234" s="24" t="s">
        <v>16561</v>
      </c>
      <c r="C6234" s="25" t="s">
        <v>16562</v>
      </c>
      <c r="D6234" s="25" t="s">
        <v>16562</v>
      </c>
      <c r="E6234" s="26">
        <v>13.55</v>
      </c>
    </row>
    <row r="6235" spans="1:5" x14ac:dyDescent="0.25">
      <c r="A6235" s="24" t="s">
        <v>7</v>
      </c>
      <c r="B6235" s="24" t="s">
        <v>16563</v>
      </c>
      <c r="C6235" s="25" t="s">
        <v>16564</v>
      </c>
      <c r="D6235" s="25" t="s">
        <v>16564</v>
      </c>
      <c r="E6235" s="26">
        <v>28.5</v>
      </c>
    </row>
    <row r="6236" spans="1:5" x14ac:dyDescent="0.25">
      <c r="A6236" s="24" t="s">
        <v>7</v>
      </c>
      <c r="B6236" s="24" t="s">
        <v>16565</v>
      </c>
      <c r="C6236" s="25" t="s">
        <v>16566</v>
      </c>
      <c r="D6236" s="25" t="s">
        <v>16566</v>
      </c>
      <c r="E6236" s="26">
        <v>22.75</v>
      </c>
    </row>
    <row r="6237" spans="1:5" x14ac:dyDescent="0.25">
      <c r="A6237" s="24" t="s">
        <v>7</v>
      </c>
      <c r="B6237" s="24" t="s">
        <v>16567</v>
      </c>
      <c r="C6237" s="25" t="s">
        <v>16568</v>
      </c>
      <c r="D6237" s="25" t="s">
        <v>16568</v>
      </c>
      <c r="E6237" s="26">
        <v>14.8</v>
      </c>
    </row>
    <row r="6238" spans="1:5" x14ac:dyDescent="0.25">
      <c r="A6238" s="24" t="s">
        <v>7</v>
      </c>
      <c r="B6238" s="24" t="s">
        <v>16569</v>
      </c>
      <c r="C6238" s="25" t="s">
        <v>16570</v>
      </c>
      <c r="D6238" s="25" t="s">
        <v>16232</v>
      </c>
      <c r="E6238" s="26">
        <v>27.4</v>
      </c>
    </row>
    <row r="6239" spans="1:5" x14ac:dyDescent="0.25">
      <c r="A6239" s="24" t="s">
        <v>7</v>
      </c>
      <c r="B6239" s="24" t="s">
        <v>16571</v>
      </c>
      <c r="C6239" s="25" t="s">
        <v>16572</v>
      </c>
      <c r="D6239" s="25" t="s">
        <v>16304</v>
      </c>
      <c r="E6239" s="26">
        <v>14.1</v>
      </c>
    </row>
    <row r="6240" spans="1:5" x14ac:dyDescent="0.25">
      <c r="A6240" s="24" t="s">
        <v>7</v>
      </c>
      <c r="B6240" s="24" t="s">
        <v>16573</v>
      </c>
      <c r="C6240" s="25" t="s">
        <v>16574</v>
      </c>
      <c r="D6240" s="25" t="s">
        <v>16575</v>
      </c>
      <c r="E6240" s="26">
        <v>100</v>
      </c>
    </row>
    <row r="6241" spans="1:5" x14ac:dyDescent="0.25">
      <c r="A6241" s="24" t="s">
        <v>7</v>
      </c>
      <c r="B6241" s="24" t="s">
        <v>16576</v>
      </c>
      <c r="C6241" s="25" t="s">
        <v>16577</v>
      </c>
      <c r="D6241" s="25" t="s">
        <v>16304</v>
      </c>
      <c r="E6241" s="26">
        <v>20.329999999999998</v>
      </c>
    </row>
    <row r="6242" spans="1:5" x14ac:dyDescent="0.25">
      <c r="A6242" s="24" t="s">
        <v>7</v>
      </c>
      <c r="B6242" s="24" t="s">
        <v>16578</v>
      </c>
      <c r="C6242" s="25" t="s">
        <v>16579</v>
      </c>
      <c r="D6242" s="25" t="s">
        <v>16438</v>
      </c>
      <c r="E6242" s="26">
        <v>21.5</v>
      </c>
    </row>
    <row r="6243" spans="1:5" x14ac:dyDescent="0.25">
      <c r="A6243" s="24" t="s">
        <v>7</v>
      </c>
      <c r="B6243" s="24" t="s">
        <v>16580</v>
      </c>
      <c r="C6243" s="25" t="s">
        <v>16581</v>
      </c>
      <c r="D6243" s="25" t="s">
        <v>16581</v>
      </c>
      <c r="E6243" s="26">
        <v>24.6</v>
      </c>
    </row>
    <row r="6244" spans="1:5" x14ac:dyDescent="0.25">
      <c r="A6244" s="24" t="s">
        <v>7</v>
      </c>
      <c r="B6244" s="24" t="s">
        <v>16582</v>
      </c>
      <c r="C6244" s="25" t="s">
        <v>16583</v>
      </c>
      <c r="D6244" s="25" t="s">
        <v>16584</v>
      </c>
      <c r="E6244" s="26">
        <v>50</v>
      </c>
    </row>
    <row r="6245" spans="1:5" x14ac:dyDescent="0.25">
      <c r="A6245" s="24" t="s">
        <v>7</v>
      </c>
      <c r="B6245" s="24" t="s">
        <v>16585</v>
      </c>
      <c r="C6245" s="25" t="s">
        <v>16586</v>
      </c>
      <c r="D6245" s="25" t="s">
        <v>16587</v>
      </c>
      <c r="E6245" s="26">
        <v>45</v>
      </c>
    </row>
    <row r="6246" spans="1:5" x14ac:dyDescent="0.25">
      <c r="A6246" s="24" t="s">
        <v>7</v>
      </c>
      <c r="B6246" s="24" t="s">
        <v>16588</v>
      </c>
      <c r="C6246" s="25" t="s">
        <v>16589</v>
      </c>
      <c r="D6246" s="25" t="s">
        <v>16590</v>
      </c>
      <c r="E6246" s="26">
        <v>20.399999999999999</v>
      </c>
    </row>
    <row r="6247" spans="1:5" x14ac:dyDescent="0.25">
      <c r="A6247" s="24" t="s">
        <v>7</v>
      </c>
      <c r="B6247" s="24" t="s">
        <v>16591</v>
      </c>
      <c r="C6247" s="25" t="s">
        <v>16592</v>
      </c>
      <c r="D6247" s="25" t="s">
        <v>16593</v>
      </c>
      <c r="E6247" s="26">
        <v>20</v>
      </c>
    </row>
    <row r="6248" spans="1:5" x14ac:dyDescent="0.25">
      <c r="A6248" s="24" t="s">
        <v>7</v>
      </c>
      <c r="B6248" s="24" t="s">
        <v>16594</v>
      </c>
      <c r="C6248" s="25" t="s">
        <v>16595</v>
      </c>
      <c r="D6248" s="25" t="s">
        <v>16596</v>
      </c>
      <c r="E6248" s="26">
        <v>39</v>
      </c>
    </row>
    <row r="6249" spans="1:5" x14ac:dyDescent="0.25">
      <c r="A6249" s="24" t="s">
        <v>7</v>
      </c>
      <c r="B6249" s="24" t="s">
        <v>16597</v>
      </c>
      <c r="C6249" s="25" t="s">
        <v>16598</v>
      </c>
      <c r="D6249" s="25" t="s">
        <v>15241</v>
      </c>
      <c r="E6249" s="26">
        <v>12</v>
      </c>
    </row>
    <row r="6250" spans="1:5" x14ac:dyDescent="0.25">
      <c r="A6250" s="24" t="s">
        <v>7</v>
      </c>
      <c r="B6250" s="24" t="s">
        <v>16599</v>
      </c>
      <c r="C6250" s="25" t="s">
        <v>16600</v>
      </c>
      <c r="D6250" s="25" t="s">
        <v>16600</v>
      </c>
      <c r="E6250" s="26">
        <v>9</v>
      </c>
    </row>
    <row r="6251" spans="1:5" x14ac:dyDescent="0.25">
      <c r="A6251" s="24" t="s">
        <v>7</v>
      </c>
      <c r="B6251" s="24" t="s">
        <v>16601</v>
      </c>
      <c r="C6251" s="25" t="s">
        <v>16602</v>
      </c>
      <c r="D6251" s="25" t="s">
        <v>16602</v>
      </c>
      <c r="E6251" s="26">
        <v>79</v>
      </c>
    </row>
    <row r="6252" spans="1:5" x14ac:dyDescent="0.25">
      <c r="A6252" s="24" t="s">
        <v>7</v>
      </c>
      <c r="B6252" s="24" t="s">
        <v>16603</v>
      </c>
      <c r="C6252" s="25" t="s">
        <v>16604</v>
      </c>
      <c r="D6252" s="25" t="s">
        <v>16604</v>
      </c>
      <c r="E6252" s="26">
        <v>87.9</v>
      </c>
    </row>
    <row r="6253" spans="1:5" x14ac:dyDescent="0.25">
      <c r="A6253" s="24" t="s">
        <v>7</v>
      </c>
      <c r="B6253" s="24" t="s">
        <v>16605</v>
      </c>
      <c r="C6253" s="25" t="s">
        <v>16606</v>
      </c>
      <c r="D6253" s="25" t="s">
        <v>16606</v>
      </c>
      <c r="E6253" s="26">
        <v>13.7</v>
      </c>
    </row>
    <row r="6254" spans="1:5" x14ac:dyDescent="0.25">
      <c r="A6254" s="24" t="s">
        <v>7</v>
      </c>
      <c r="B6254" s="24" t="s">
        <v>16607</v>
      </c>
      <c r="C6254" s="25" t="s">
        <v>3729</v>
      </c>
      <c r="D6254" s="25" t="s">
        <v>3730</v>
      </c>
      <c r="E6254" s="26">
        <v>13.7</v>
      </c>
    </row>
    <row r="6255" spans="1:5" x14ac:dyDescent="0.25">
      <c r="A6255" s="24" t="s">
        <v>7</v>
      </c>
      <c r="B6255" s="24" t="s">
        <v>16608</v>
      </c>
      <c r="C6255" s="25" t="s">
        <v>16609</v>
      </c>
      <c r="D6255" s="25" t="s">
        <v>16609</v>
      </c>
      <c r="E6255" s="26">
        <v>18</v>
      </c>
    </row>
    <row r="6256" spans="1:5" x14ac:dyDescent="0.25">
      <c r="A6256" s="24" t="s">
        <v>7</v>
      </c>
      <c r="B6256" s="24" t="s">
        <v>16610</v>
      </c>
      <c r="C6256" s="25" t="s">
        <v>16611</v>
      </c>
      <c r="D6256" s="25" t="s">
        <v>16612</v>
      </c>
      <c r="E6256" s="26">
        <v>13.65</v>
      </c>
    </row>
    <row r="6257" spans="1:5" x14ac:dyDescent="0.25">
      <c r="A6257" s="24" t="s">
        <v>7</v>
      </c>
      <c r="B6257" s="24" t="s">
        <v>16613</v>
      </c>
      <c r="C6257" s="25" t="s">
        <v>16614</v>
      </c>
      <c r="D6257" s="25" t="s">
        <v>16614</v>
      </c>
      <c r="E6257" s="26">
        <v>18</v>
      </c>
    </row>
    <row r="6258" spans="1:5" x14ac:dyDescent="0.25">
      <c r="A6258" s="24" t="s">
        <v>7</v>
      </c>
      <c r="B6258" s="24" t="s">
        <v>16615</v>
      </c>
      <c r="C6258" s="25" t="s">
        <v>16616</v>
      </c>
      <c r="D6258" s="25" t="s">
        <v>16616</v>
      </c>
      <c r="E6258" s="26">
        <v>9</v>
      </c>
    </row>
    <row r="6259" spans="1:5" x14ac:dyDescent="0.25">
      <c r="A6259" s="24" t="s">
        <v>7</v>
      </c>
      <c r="B6259" s="24" t="s">
        <v>16617</v>
      </c>
      <c r="C6259" s="25" t="s">
        <v>16618</v>
      </c>
      <c r="D6259" s="25" t="s">
        <v>3927</v>
      </c>
      <c r="E6259" s="26">
        <v>212</v>
      </c>
    </row>
    <row r="6260" spans="1:5" x14ac:dyDescent="0.25">
      <c r="A6260" s="24" t="s">
        <v>7</v>
      </c>
      <c r="B6260" s="24" t="s">
        <v>16619</v>
      </c>
      <c r="C6260" s="25" t="s">
        <v>3738</v>
      </c>
      <c r="D6260" s="25" t="s">
        <v>3739</v>
      </c>
      <c r="E6260" s="26">
        <v>12.47</v>
      </c>
    </row>
    <row r="6261" spans="1:5" x14ac:dyDescent="0.25">
      <c r="A6261" s="24" t="s">
        <v>7</v>
      </c>
      <c r="B6261" s="24" t="s">
        <v>16620</v>
      </c>
      <c r="C6261" s="25" t="s">
        <v>16621</v>
      </c>
      <c r="D6261" s="25" t="s">
        <v>3742</v>
      </c>
      <c r="E6261" s="26">
        <v>28.5</v>
      </c>
    </row>
    <row r="6262" spans="1:5" x14ac:dyDescent="0.25">
      <c r="A6262" s="24" t="s">
        <v>7</v>
      </c>
      <c r="B6262" s="24" t="s">
        <v>16622</v>
      </c>
      <c r="C6262" s="25" t="s">
        <v>16623</v>
      </c>
      <c r="D6262" s="25" t="s">
        <v>16624</v>
      </c>
      <c r="E6262" s="26">
        <v>137.88</v>
      </c>
    </row>
    <row r="6263" spans="1:5" x14ac:dyDescent="0.25">
      <c r="A6263" s="24" t="s">
        <v>7</v>
      </c>
      <c r="B6263" s="24" t="s">
        <v>16625</v>
      </c>
      <c r="C6263" s="25" t="s">
        <v>3759</v>
      </c>
      <c r="D6263" s="25" t="s">
        <v>3752</v>
      </c>
      <c r="E6263" s="26">
        <v>38.1</v>
      </c>
    </row>
    <row r="6264" spans="1:5" x14ac:dyDescent="0.25">
      <c r="A6264" s="24" t="s">
        <v>7</v>
      </c>
      <c r="B6264" s="24" t="s">
        <v>16626</v>
      </c>
      <c r="C6264" s="25" t="s">
        <v>16627</v>
      </c>
      <c r="D6264" s="25" t="s">
        <v>16628</v>
      </c>
      <c r="E6264" s="26">
        <v>92.6</v>
      </c>
    </row>
    <row r="6265" spans="1:5" x14ac:dyDescent="0.25">
      <c r="A6265" s="24" t="s">
        <v>7</v>
      </c>
      <c r="B6265" s="24" t="s">
        <v>16629</v>
      </c>
      <c r="C6265" s="25" t="s">
        <v>16630</v>
      </c>
      <c r="D6265" s="25" t="s">
        <v>16631</v>
      </c>
      <c r="E6265" s="26">
        <v>17.12</v>
      </c>
    </row>
    <row r="6266" spans="1:5" x14ac:dyDescent="0.25">
      <c r="A6266" s="24" t="s">
        <v>7</v>
      </c>
      <c r="B6266" s="24" t="s">
        <v>16632</v>
      </c>
      <c r="C6266" s="25" t="s">
        <v>16633</v>
      </c>
      <c r="D6266" s="25" t="s">
        <v>16631</v>
      </c>
      <c r="E6266" s="26">
        <v>62.75</v>
      </c>
    </row>
    <row r="6267" spans="1:5" x14ac:dyDescent="0.25">
      <c r="A6267" s="24" t="s">
        <v>7</v>
      </c>
      <c r="B6267" s="24" t="s">
        <v>16634</v>
      </c>
      <c r="C6267" s="25" t="s">
        <v>16635</v>
      </c>
      <c r="D6267" s="25" t="s">
        <v>16636</v>
      </c>
      <c r="E6267" s="26">
        <v>29.4</v>
      </c>
    </row>
    <row r="6268" spans="1:5" x14ac:dyDescent="0.25">
      <c r="A6268" s="24" t="s">
        <v>7</v>
      </c>
      <c r="B6268" s="24" t="s">
        <v>16637</v>
      </c>
      <c r="C6268" s="25" t="s">
        <v>16638</v>
      </c>
      <c r="D6268" s="25" t="s">
        <v>16639</v>
      </c>
      <c r="E6268" s="26">
        <v>19</v>
      </c>
    </row>
    <row r="6269" spans="1:5" x14ac:dyDescent="0.25">
      <c r="A6269" s="24" t="s">
        <v>7</v>
      </c>
      <c r="B6269" s="24" t="s">
        <v>16640</v>
      </c>
      <c r="C6269" s="25" t="s">
        <v>16641</v>
      </c>
      <c r="D6269" s="25" t="s">
        <v>16641</v>
      </c>
      <c r="E6269" s="26">
        <v>113.75</v>
      </c>
    </row>
    <row r="6270" spans="1:5" x14ac:dyDescent="0.25">
      <c r="A6270" s="24" t="s">
        <v>7</v>
      </c>
      <c r="B6270" s="24" t="s">
        <v>16642</v>
      </c>
      <c r="C6270" s="25" t="s">
        <v>3855</v>
      </c>
      <c r="D6270" s="25" t="s">
        <v>3856</v>
      </c>
      <c r="E6270" s="26">
        <v>37.25</v>
      </c>
    </row>
    <row r="6271" spans="1:5" x14ac:dyDescent="0.25">
      <c r="A6271" s="24" t="s">
        <v>7</v>
      </c>
      <c r="B6271" s="24" t="s">
        <v>16643</v>
      </c>
      <c r="C6271" s="25" t="s">
        <v>16644</v>
      </c>
      <c r="D6271" s="25" t="s">
        <v>16645</v>
      </c>
      <c r="E6271" s="26">
        <v>12.48</v>
      </c>
    </row>
    <row r="6272" spans="1:5" x14ac:dyDescent="0.25">
      <c r="A6272" s="24" t="s">
        <v>7</v>
      </c>
      <c r="B6272" s="24" t="s">
        <v>16646</v>
      </c>
      <c r="C6272" s="25" t="s">
        <v>16647</v>
      </c>
      <c r="D6272" s="25" t="s">
        <v>16631</v>
      </c>
      <c r="E6272" s="26">
        <v>57</v>
      </c>
    </row>
    <row r="6273" spans="1:5" x14ac:dyDescent="0.25">
      <c r="A6273" s="24" t="s">
        <v>7</v>
      </c>
      <c r="B6273" s="24" t="s">
        <v>16648</v>
      </c>
      <c r="C6273" s="25" t="s">
        <v>16649</v>
      </c>
      <c r="D6273" s="25" t="s">
        <v>16631</v>
      </c>
      <c r="E6273" s="26">
        <v>58.5</v>
      </c>
    </row>
    <row r="6274" spans="1:5" x14ac:dyDescent="0.25">
      <c r="A6274" s="24" t="s">
        <v>7</v>
      </c>
      <c r="B6274" s="24" t="s">
        <v>16650</v>
      </c>
      <c r="C6274" s="25" t="s">
        <v>16651</v>
      </c>
      <c r="D6274" s="25" t="s">
        <v>16652</v>
      </c>
      <c r="E6274" s="26">
        <v>62</v>
      </c>
    </row>
    <row r="6275" spans="1:5" x14ac:dyDescent="0.25">
      <c r="A6275" s="24" t="s">
        <v>7</v>
      </c>
      <c r="B6275" s="24" t="s">
        <v>16653</v>
      </c>
      <c r="C6275" s="25" t="s">
        <v>16654</v>
      </c>
      <c r="D6275" s="25" t="s">
        <v>16655</v>
      </c>
      <c r="E6275" s="26">
        <v>30.6</v>
      </c>
    </row>
    <row r="6276" spans="1:5" x14ac:dyDescent="0.25">
      <c r="A6276" s="24" t="s">
        <v>7</v>
      </c>
      <c r="B6276" s="24" t="s">
        <v>16656</v>
      </c>
      <c r="C6276" s="25" t="s">
        <v>16657</v>
      </c>
      <c r="D6276" s="25" t="s">
        <v>16658</v>
      </c>
      <c r="E6276" s="26">
        <v>34.130000000000003</v>
      </c>
    </row>
    <row r="6277" spans="1:5" x14ac:dyDescent="0.25">
      <c r="A6277" s="24" t="s">
        <v>7</v>
      </c>
      <c r="B6277" s="24" t="s">
        <v>16659</v>
      </c>
      <c r="C6277" s="25" t="s">
        <v>16660</v>
      </c>
      <c r="D6277" s="25" t="s">
        <v>16661</v>
      </c>
      <c r="E6277" s="26">
        <v>34.130000000000003</v>
      </c>
    </row>
    <row r="6278" spans="1:5" x14ac:dyDescent="0.25">
      <c r="A6278" s="24" t="s">
        <v>7</v>
      </c>
      <c r="B6278" s="24" t="s">
        <v>16662</v>
      </c>
      <c r="C6278" s="25" t="s">
        <v>16663</v>
      </c>
      <c r="D6278" s="25" t="s">
        <v>16664</v>
      </c>
      <c r="E6278" s="26">
        <v>12.45</v>
      </c>
    </row>
    <row r="6279" spans="1:5" x14ac:dyDescent="0.25">
      <c r="A6279" s="24" t="s">
        <v>7</v>
      </c>
      <c r="B6279" s="24" t="s">
        <v>16665</v>
      </c>
      <c r="C6279" s="25" t="s">
        <v>16666</v>
      </c>
      <c r="D6279" s="25" t="s">
        <v>16667</v>
      </c>
      <c r="E6279" s="26">
        <v>12.45</v>
      </c>
    </row>
    <row r="6280" spans="1:5" x14ac:dyDescent="0.25">
      <c r="A6280" s="24" t="s">
        <v>7</v>
      </c>
      <c r="B6280" s="24" t="s">
        <v>16668</v>
      </c>
      <c r="C6280" s="25" t="s">
        <v>16669</v>
      </c>
      <c r="D6280" s="25" t="s">
        <v>16670</v>
      </c>
      <c r="E6280" s="26">
        <v>37.200000000000003</v>
      </c>
    </row>
    <row r="6281" spans="1:5" x14ac:dyDescent="0.25">
      <c r="A6281" s="24" t="s">
        <v>7</v>
      </c>
      <c r="B6281" s="24" t="s">
        <v>16671</v>
      </c>
      <c r="C6281" s="25" t="s">
        <v>16672</v>
      </c>
      <c r="D6281" s="25" t="s">
        <v>16672</v>
      </c>
      <c r="E6281" s="26">
        <v>11.1</v>
      </c>
    </row>
    <row r="6282" spans="1:5" x14ac:dyDescent="0.25">
      <c r="A6282" s="24" t="s">
        <v>7</v>
      </c>
      <c r="B6282" s="24" t="s">
        <v>16673</v>
      </c>
      <c r="C6282" s="25" t="s">
        <v>16674</v>
      </c>
      <c r="D6282" s="25" t="s">
        <v>16675</v>
      </c>
      <c r="E6282" s="26">
        <v>12.45</v>
      </c>
    </row>
    <row r="6283" spans="1:5" x14ac:dyDescent="0.25">
      <c r="A6283" s="24" t="s">
        <v>7</v>
      </c>
      <c r="B6283" s="24" t="s">
        <v>16676</v>
      </c>
      <c r="C6283" s="25" t="s">
        <v>16677</v>
      </c>
      <c r="D6283" s="25" t="s">
        <v>16678</v>
      </c>
      <c r="E6283" s="26">
        <v>45.5</v>
      </c>
    </row>
    <row r="6284" spans="1:5" x14ac:dyDescent="0.25">
      <c r="A6284" s="24" t="s">
        <v>7</v>
      </c>
      <c r="B6284" s="24" t="s">
        <v>16679</v>
      </c>
      <c r="C6284" s="25" t="s">
        <v>16680</v>
      </c>
      <c r="D6284" s="25" t="s">
        <v>16681</v>
      </c>
      <c r="E6284" s="26">
        <v>34.25</v>
      </c>
    </row>
    <row r="6285" spans="1:5" x14ac:dyDescent="0.25">
      <c r="A6285" s="24" t="s">
        <v>7</v>
      </c>
      <c r="B6285" s="24" t="s">
        <v>16682</v>
      </c>
      <c r="C6285" s="25" t="s">
        <v>16683</v>
      </c>
      <c r="D6285" s="25" t="s">
        <v>16684</v>
      </c>
      <c r="E6285" s="26">
        <v>49.5</v>
      </c>
    </row>
    <row r="6286" spans="1:5" x14ac:dyDescent="0.25">
      <c r="A6286" s="24" t="s">
        <v>7</v>
      </c>
      <c r="B6286" s="24" t="s">
        <v>16685</v>
      </c>
      <c r="C6286" s="25" t="s">
        <v>16686</v>
      </c>
      <c r="D6286" s="25" t="s">
        <v>16687</v>
      </c>
      <c r="E6286" s="26">
        <v>26.4</v>
      </c>
    </row>
    <row r="6287" spans="1:5" x14ac:dyDescent="0.25">
      <c r="A6287" s="24" t="s">
        <v>7</v>
      </c>
      <c r="B6287" s="24" t="s">
        <v>16688</v>
      </c>
      <c r="C6287" s="25" t="s">
        <v>16689</v>
      </c>
      <c r="D6287" s="25" t="s">
        <v>16689</v>
      </c>
      <c r="E6287" s="26">
        <v>91</v>
      </c>
    </row>
    <row r="6288" spans="1:5" x14ac:dyDescent="0.25">
      <c r="A6288" s="24" t="s">
        <v>7</v>
      </c>
      <c r="B6288" s="24" t="s">
        <v>16690</v>
      </c>
      <c r="C6288" s="25" t="s">
        <v>16691</v>
      </c>
      <c r="D6288" s="25" t="s">
        <v>16692</v>
      </c>
      <c r="E6288" s="26">
        <v>31.55</v>
      </c>
    </row>
    <row r="6289" spans="1:5" x14ac:dyDescent="0.25">
      <c r="A6289" s="24" t="s">
        <v>7</v>
      </c>
      <c r="B6289" s="24" t="s">
        <v>16693</v>
      </c>
      <c r="C6289" s="25" t="s">
        <v>16694</v>
      </c>
      <c r="D6289" s="25" t="s">
        <v>16695</v>
      </c>
      <c r="E6289" s="26">
        <v>145</v>
      </c>
    </row>
    <row r="6290" spans="1:5" x14ac:dyDescent="0.25">
      <c r="A6290" s="24" t="s">
        <v>7</v>
      </c>
      <c r="B6290" s="24" t="s">
        <v>16696</v>
      </c>
      <c r="C6290" s="25" t="s">
        <v>16697</v>
      </c>
      <c r="D6290" s="25" t="s">
        <v>16698</v>
      </c>
      <c r="E6290" s="26">
        <v>127</v>
      </c>
    </row>
    <row r="6291" spans="1:5" x14ac:dyDescent="0.25">
      <c r="A6291" s="24" t="s">
        <v>7</v>
      </c>
      <c r="B6291" s="24" t="s">
        <v>16699</v>
      </c>
      <c r="C6291" s="25" t="s">
        <v>3905</v>
      </c>
      <c r="D6291" s="25" t="s">
        <v>3906</v>
      </c>
      <c r="E6291" s="26">
        <v>355</v>
      </c>
    </row>
    <row r="6292" spans="1:5" x14ac:dyDescent="0.25">
      <c r="A6292" s="24" t="s">
        <v>7</v>
      </c>
      <c r="B6292" s="24" t="s">
        <v>16700</v>
      </c>
      <c r="C6292" s="25" t="s">
        <v>3908</v>
      </c>
      <c r="D6292" s="25" t="s">
        <v>3909</v>
      </c>
      <c r="E6292" s="26">
        <v>25.35</v>
      </c>
    </row>
    <row r="6293" spans="1:5" x14ac:dyDescent="0.25">
      <c r="A6293" s="24" t="s">
        <v>7</v>
      </c>
      <c r="B6293" s="24" t="s">
        <v>16701</v>
      </c>
      <c r="C6293" s="25" t="s">
        <v>16702</v>
      </c>
      <c r="D6293" s="25" t="s">
        <v>16703</v>
      </c>
      <c r="E6293" s="26">
        <v>113.75</v>
      </c>
    </row>
    <row r="6294" spans="1:5" x14ac:dyDescent="0.25">
      <c r="A6294" s="24" t="s">
        <v>7</v>
      </c>
      <c r="B6294" s="24" t="s">
        <v>16704</v>
      </c>
      <c r="C6294" s="25" t="s">
        <v>16705</v>
      </c>
      <c r="D6294" s="25" t="s">
        <v>16705</v>
      </c>
      <c r="E6294" s="26">
        <v>141.75</v>
      </c>
    </row>
    <row r="6295" spans="1:5" x14ac:dyDescent="0.25">
      <c r="A6295" s="24" t="s">
        <v>7</v>
      </c>
      <c r="B6295" s="24" t="s">
        <v>16706</v>
      </c>
      <c r="C6295" s="25" t="s">
        <v>16707</v>
      </c>
      <c r="D6295" s="25" t="s">
        <v>16708</v>
      </c>
      <c r="E6295" s="26">
        <v>66</v>
      </c>
    </row>
    <row r="6296" spans="1:5" x14ac:dyDescent="0.25">
      <c r="A6296" s="24" t="s">
        <v>7</v>
      </c>
      <c r="B6296" s="24" t="s">
        <v>16709</v>
      </c>
      <c r="C6296" s="25" t="s">
        <v>3911</v>
      </c>
      <c r="D6296" s="25" t="s">
        <v>3912</v>
      </c>
      <c r="E6296" s="26">
        <v>235</v>
      </c>
    </row>
    <row r="6297" spans="1:5" x14ac:dyDescent="0.25">
      <c r="A6297" s="24" t="s">
        <v>7</v>
      </c>
      <c r="B6297" s="24" t="s">
        <v>16710</v>
      </c>
      <c r="C6297" s="25" t="s">
        <v>16711</v>
      </c>
      <c r="D6297" s="25" t="s">
        <v>16711</v>
      </c>
      <c r="E6297" s="26">
        <v>130.75</v>
      </c>
    </row>
    <row r="6298" spans="1:5" x14ac:dyDescent="0.25">
      <c r="A6298" s="24" t="s">
        <v>7</v>
      </c>
      <c r="B6298" s="24" t="s">
        <v>16712</v>
      </c>
      <c r="C6298" s="25" t="s">
        <v>16713</v>
      </c>
      <c r="D6298" s="25" t="s">
        <v>16714</v>
      </c>
      <c r="E6298" s="26">
        <v>102</v>
      </c>
    </row>
    <row r="6299" spans="1:5" x14ac:dyDescent="0.25">
      <c r="A6299" s="24" t="s">
        <v>7</v>
      </c>
      <c r="B6299" s="24" t="s">
        <v>16715</v>
      </c>
      <c r="C6299" s="25" t="s">
        <v>16716</v>
      </c>
      <c r="D6299" s="25" t="s">
        <v>16717</v>
      </c>
      <c r="E6299" s="26">
        <v>147.5</v>
      </c>
    </row>
    <row r="6300" spans="1:5" x14ac:dyDescent="0.25">
      <c r="A6300" s="24" t="s">
        <v>7</v>
      </c>
      <c r="B6300" s="24" t="s">
        <v>16718</v>
      </c>
      <c r="C6300" s="25" t="s">
        <v>16719</v>
      </c>
      <c r="D6300" s="25" t="s">
        <v>16720</v>
      </c>
      <c r="E6300" s="26">
        <v>274</v>
      </c>
    </row>
    <row r="6301" spans="1:5" x14ac:dyDescent="0.25">
      <c r="A6301" s="24" t="s">
        <v>7</v>
      </c>
      <c r="B6301" s="24" t="s">
        <v>16721</v>
      </c>
      <c r="C6301" s="25" t="s">
        <v>16722</v>
      </c>
      <c r="D6301" s="25" t="s">
        <v>16723</v>
      </c>
      <c r="E6301" s="26">
        <v>274.89</v>
      </c>
    </row>
    <row r="6302" spans="1:5" x14ac:dyDescent="0.25">
      <c r="A6302" s="24" t="s">
        <v>7</v>
      </c>
      <c r="B6302" s="24" t="s">
        <v>16724</v>
      </c>
      <c r="C6302" s="25" t="s">
        <v>3914</v>
      </c>
      <c r="D6302" s="25" t="s">
        <v>16725</v>
      </c>
      <c r="E6302" s="26">
        <v>25.35</v>
      </c>
    </row>
    <row r="6303" spans="1:5" x14ac:dyDescent="0.25">
      <c r="A6303" s="24" t="s">
        <v>7</v>
      </c>
      <c r="B6303" s="24" t="s">
        <v>16726</v>
      </c>
      <c r="C6303" s="25" t="s">
        <v>16727</v>
      </c>
      <c r="D6303" s="25" t="s">
        <v>16728</v>
      </c>
      <c r="E6303" s="26">
        <v>50.5</v>
      </c>
    </row>
    <row r="6304" spans="1:5" x14ac:dyDescent="0.25">
      <c r="A6304" s="24" t="s">
        <v>7</v>
      </c>
      <c r="B6304" s="24" t="s">
        <v>16729</v>
      </c>
      <c r="C6304" s="25" t="s">
        <v>16730</v>
      </c>
      <c r="D6304" s="25" t="s">
        <v>3927</v>
      </c>
      <c r="E6304" s="26">
        <v>107.75</v>
      </c>
    </row>
    <row r="6305" spans="1:5" x14ac:dyDescent="0.25">
      <c r="A6305" s="24" t="s">
        <v>7</v>
      </c>
      <c r="B6305" s="24" t="s">
        <v>16731</v>
      </c>
      <c r="C6305" s="25" t="s">
        <v>3917</v>
      </c>
      <c r="D6305" s="25" t="s">
        <v>3918</v>
      </c>
      <c r="E6305" s="26">
        <v>665</v>
      </c>
    </row>
    <row r="6306" spans="1:5" x14ac:dyDescent="0.25">
      <c r="A6306" s="24" t="s">
        <v>7</v>
      </c>
      <c r="B6306" s="24" t="s">
        <v>16732</v>
      </c>
      <c r="C6306" s="25" t="s">
        <v>16733</v>
      </c>
      <c r="D6306" s="25" t="s">
        <v>15256</v>
      </c>
      <c r="E6306" s="26">
        <v>141.5</v>
      </c>
    </row>
    <row r="6307" spans="1:5" x14ac:dyDescent="0.25">
      <c r="A6307" s="24" t="s">
        <v>7</v>
      </c>
      <c r="B6307" s="24" t="s">
        <v>16734</v>
      </c>
      <c r="C6307" s="25" t="s">
        <v>16735</v>
      </c>
      <c r="D6307" s="25" t="s">
        <v>16736</v>
      </c>
      <c r="E6307" s="26">
        <v>85.4</v>
      </c>
    </row>
    <row r="6308" spans="1:5" x14ac:dyDescent="0.25">
      <c r="A6308" s="24" t="s">
        <v>7</v>
      </c>
      <c r="B6308" s="24" t="s">
        <v>16737</v>
      </c>
      <c r="C6308" s="25" t="s">
        <v>16738</v>
      </c>
      <c r="D6308" s="25" t="s">
        <v>3927</v>
      </c>
      <c r="E6308" s="26">
        <v>165</v>
      </c>
    </row>
    <row r="6309" spans="1:5" x14ac:dyDescent="0.25">
      <c r="A6309" s="24" t="s">
        <v>7</v>
      </c>
      <c r="B6309" s="24" t="s">
        <v>16739</v>
      </c>
      <c r="C6309" s="25" t="s">
        <v>16740</v>
      </c>
      <c r="D6309" s="25" t="s">
        <v>3927</v>
      </c>
      <c r="E6309" s="26">
        <v>64.5</v>
      </c>
    </row>
    <row r="6310" spans="1:5" x14ac:dyDescent="0.25">
      <c r="A6310" s="24" t="s">
        <v>7</v>
      </c>
      <c r="B6310" s="24" t="s">
        <v>16741</v>
      </c>
      <c r="C6310" s="25" t="s">
        <v>3926</v>
      </c>
      <c r="D6310" s="25" t="s">
        <v>3927</v>
      </c>
      <c r="E6310" s="26">
        <v>142.5</v>
      </c>
    </row>
    <row r="6311" spans="1:5" x14ac:dyDescent="0.25">
      <c r="A6311" s="24" t="s">
        <v>7</v>
      </c>
      <c r="B6311" s="24" t="s">
        <v>16742</v>
      </c>
      <c r="C6311" s="25" t="s">
        <v>16743</v>
      </c>
      <c r="D6311" s="25" t="s">
        <v>3927</v>
      </c>
      <c r="E6311" s="26">
        <v>113.75</v>
      </c>
    </row>
    <row r="6312" spans="1:5" x14ac:dyDescent="0.25">
      <c r="A6312" s="24" t="s">
        <v>7</v>
      </c>
      <c r="B6312" s="24" t="s">
        <v>16744</v>
      </c>
      <c r="C6312" s="25" t="s">
        <v>16745</v>
      </c>
      <c r="D6312" s="25" t="s">
        <v>3927</v>
      </c>
      <c r="E6312" s="26">
        <v>113.75</v>
      </c>
    </row>
    <row r="6313" spans="1:5" x14ac:dyDescent="0.25">
      <c r="A6313" s="24" t="s">
        <v>7</v>
      </c>
      <c r="B6313" s="24" t="s">
        <v>16746</v>
      </c>
      <c r="C6313" s="25" t="s">
        <v>16747</v>
      </c>
      <c r="D6313" s="25" t="s">
        <v>3927</v>
      </c>
      <c r="E6313" s="26">
        <v>113.75</v>
      </c>
    </row>
    <row r="6314" spans="1:5" x14ac:dyDescent="0.25">
      <c r="A6314" s="24" t="s">
        <v>7</v>
      </c>
      <c r="B6314" s="24" t="s">
        <v>16748</v>
      </c>
      <c r="C6314" s="25" t="s">
        <v>16749</v>
      </c>
      <c r="D6314" s="25" t="s">
        <v>3927</v>
      </c>
      <c r="E6314" s="26">
        <v>33.619999999999997</v>
      </c>
    </row>
    <row r="6315" spans="1:5" x14ac:dyDescent="0.25">
      <c r="A6315" s="24" t="s">
        <v>7</v>
      </c>
      <c r="B6315" s="24" t="s">
        <v>16750</v>
      </c>
      <c r="C6315" s="25" t="s">
        <v>16751</v>
      </c>
      <c r="D6315" s="25" t="s">
        <v>3927</v>
      </c>
      <c r="E6315" s="26">
        <v>413.9</v>
      </c>
    </row>
    <row r="6316" spans="1:5" x14ac:dyDescent="0.25">
      <c r="A6316" s="24" t="s">
        <v>7</v>
      </c>
      <c r="B6316" s="24" t="s">
        <v>16752</v>
      </c>
      <c r="C6316" s="25" t="s">
        <v>16753</v>
      </c>
      <c r="D6316" s="25" t="s">
        <v>3927</v>
      </c>
      <c r="E6316" s="26">
        <v>180</v>
      </c>
    </row>
    <row r="6317" spans="1:5" x14ac:dyDescent="0.25">
      <c r="A6317" s="24" t="s">
        <v>7</v>
      </c>
      <c r="B6317" s="24" t="s">
        <v>16754</v>
      </c>
      <c r="C6317" s="25" t="s">
        <v>16755</v>
      </c>
      <c r="D6317" s="25" t="s">
        <v>3927</v>
      </c>
      <c r="E6317" s="26">
        <v>204</v>
      </c>
    </row>
    <row r="6318" spans="1:5" x14ac:dyDescent="0.25">
      <c r="A6318" s="24" t="s">
        <v>7</v>
      </c>
      <c r="B6318" s="24" t="s">
        <v>16756</v>
      </c>
      <c r="C6318" s="25" t="s">
        <v>16757</v>
      </c>
      <c r="D6318" s="25" t="s">
        <v>3927</v>
      </c>
      <c r="E6318" s="26">
        <v>320</v>
      </c>
    </row>
    <row r="6319" spans="1:5" x14ac:dyDescent="0.25">
      <c r="A6319" s="24" t="s">
        <v>7</v>
      </c>
      <c r="B6319" s="24" t="s">
        <v>16758</v>
      </c>
      <c r="C6319" s="25" t="s">
        <v>16759</v>
      </c>
      <c r="D6319" s="25" t="s">
        <v>15256</v>
      </c>
      <c r="E6319" s="26">
        <v>210</v>
      </c>
    </row>
    <row r="6320" spans="1:5" x14ac:dyDescent="0.25">
      <c r="A6320" s="24" t="s">
        <v>7</v>
      </c>
      <c r="B6320" s="24" t="s">
        <v>16760</v>
      </c>
      <c r="C6320" s="25" t="s">
        <v>16761</v>
      </c>
      <c r="D6320" s="25" t="s">
        <v>16762</v>
      </c>
      <c r="E6320" s="26">
        <v>325</v>
      </c>
    </row>
    <row r="6321" spans="1:5" x14ac:dyDescent="0.25">
      <c r="A6321" s="24" t="s">
        <v>7</v>
      </c>
      <c r="B6321" s="24" t="s">
        <v>16763</v>
      </c>
      <c r="C6321" s="25" t="s">
        <v>16764</v>
      </c>
      <c r="D6321" s="25" t="s">
        <v>3927</v>
      </c>
      <c r="E6321" s="26">
        <v>66</v>
      </c>
    </row>
    <row r="6322" spans="1:5" x14ac:dyDescent="0.25">
      <c r="A6322" s="24" t="s">
        <v>7</v>
      </c>
      <c r="B6322" s="24" t="s">
        <v>16765</v>
      </c>
      <c r="C6322" s="25" t="s">
        <v>16766</v>
      </c>
      <c r="D6322" s="25" t="s">
        <v>16767</v>
      </c>
      <c r="E6322" s="26">
        <v>1314.78</v>
      </c>
    </row>
    <row r="6323" spans="1:5" x14ac:dyDescent="0.25">
      <c r="A6323" s="24" t="s">
        <v>7</v>
      </c>
      <c r="B6323" s="24" t="s">
        <v>16768</v>
      </c>
      <c r="C6323" s="25" t="s">
        <v>16769</v>
      </c>
      <c r="D6323" s="25" t="s">
        <v>16769</v>
      </c>
      <c r="E6323" s="26">
        <v>495</v>
      </c>
    </row>
    <row r="6324" spans="1:5" x14ac:dyDescent="0.25">
      <c r="A6324" s="24" t="s">
        <v>7</v>
      </c>
      <c r="B6324" s="24" t="s">
        <v>16770</v>
      </c>
      <c r="C6324" s="25" t="s">
        <v>16771</v>
      </c>
      <c r="D6324" s="25" t="s">
        <v>16771</v>
      </c>
      <c r="E6324" s="26">
        <v>311.25</v>
      </c>
    </row>
    <row r="6325" spans="1:5" x14ac:dyDescent="0.25">
      <c r="A6325" s="24" t="s">
        <v>7</v>
      </c>
      <c r="B6325" s="24" t="s">
        <v>16772</v>
      </c>
      <c r="C6325" s="25" t="s">
        <v>16773</v>
      </c>
      <c r="D6325" s="25" t="s">
        <v>16774</v>
      </c>
      <c r="E6325" s="26">
        <v>22.85</v>
      </c>
    </row>
    <row r="6326" spans="1:5" x14ac:dyDescent="0.25">
      <c r="A6326" s="24" t="s">
        <v>7</v>
      </c>
      <c r="B6326" s="24" t="s">
        <v>16775</v>
      </c>
      <c r="C6326" s="25" t="s">
        <v>16776</v>
      </c>
      <c r="D6326" s="25" t="s">
        <v>16777</v>
      </c>
      <c r="E6326" s="26">
        <v>56.4</v>
      </c>
    </row>
    <row r="6327" spans="1:5" x14ac:dyDescent="0.25">
      <c r="A6327" s="24" t="s">
        <v>7</v>
      </c>
      <c r="B6327" s="24" t="s">
        <v>16778</v>
      </c>
      <c r="C6327" s="25" t="s">
        <v>16779</v>
      </c>
      <c r="D6327" s="25" t="s">
        <v>15569</v>
      </c>
      <c r="E6327" s="26">
        <v>119</v>
      </c>
    </row>
    <row r="6328" spans="1:5" x14ac:dyDescent="0.25">
      <c r="A6328" s="24" t="s">
        <v>7</v>
      </c>
      <c r="B6328" s="24" t="s">
        <v>16780</v>
      </c>
      <c r="C6328" s="25" t="s">
        <v>16781</v>
      </c>
      <c r="D6328" s="25" t="s">
        <v>15569</v>
      </c>
      <c r="E6328" s="26">
        <v>90</v>
      </c>
    </row>
    <row r="6329" spans="1:5" x14ac:dyDescent="0.25">
      <c r="A6329" s="24" t="s">
        <v>7</v>
      </c>
      <c r="B6329" s="24" t="s">
        <v>16782</v>
      </c>
      <c r="C6329" s="25" t="s">
        <v>16783</v>
      </c>
      <c r="D6329" s="25" t="s">
        <v>16784</v>
      </c>
      <c r="E6329" s="26">
        <v>18.2</v>
      </c>
    </row>
    <row r="6330" spans="1:5" x14ac:dyDescent="0.25">
      <c r="A6330" s="24" t="s">
        <v>7</v>
      </c>
      <c r="B6330" s="24" t="s">
        <v>16785</v>
      </c>
      <c r="C6330" s="25" t="s">
        <v>16786</v>
      </c>
      <c r="D6330" s="25" t="s">
        <v>15749</v>
      </c>
      <c r="E6330" s="26">
        <v>7.8</v>
      </c>
    </row>
    <row r="6331" spans="1:5" x14ac:dyDescent="0.25">
      <c r="A6331" s="24" t="s">
        <v>7</v>
      </c>
      <c r="B6331" s="24" t="s">
        <v>16787</v>
      </c>
      <c r="C6331" s="25" t="s">
        <v>3937</v>
      </c>
      <c r="D6331" s="25" t="s">
        <v>3938</v>
      </c>
      <c r="E6331" s="26">
        <v>37.25</v>
      </c>
    </row>
    <row r="6332" spans="1:5" x14ac:dyDescent="0.25">
      <c r="A6332" s="24" t="s">
        <v>7</v>
      </c>
      <c r="B6332" s="24" t="s">
        <v>16788</v>
      </c>
      <c r="C6332" s="25" t="s">
        <v>16789</v>
      </c>
      <c r="D6332" s="25" t="s">
        <v>16790</v>
      </c>
      <c r="E6332" s="26">
        <v>75</v>
      </c>
    </row>
    <row r="6333" spans="1:5" x14ac:dyDescent="0.25">
      <c r="A6333" s="24" t="s">
        <v>7</v>
      </c>
      <c r="B6333" s="24" t="s">
        <v>16791</v>
      </c>
      <c r="C6333" s="25" t="s">
        <v>16792</v>
      </c>
      <c r="D6333" s="25" t="s">
        <v>16793</v>
      </c>
      <c r="E6333" s="26">
        <v>30</v>
      </c>
    </row>
    <row r="6334" spans="1:5" x14ac:dyDescent="0.25">
      <c r="A6334" s="24" t="s">
        <v>7</v>
      </c>
      <c r="B6334" s="24" t="s">
        <v>16794</v>
      </c>
      <c r="C6334" s="25" t="s">
        <v>16795</v>
      </c>
      <c r="D6334" s="25" t="s">
        <v>15288</v>
      </c>
      <c r="E6334" s="26">
        <v>93.8</v>
      </c>
    </row>
    <row r="6335" spans="1:5" x14ac:dyDescent="0.25">
      <c r="A6335" s="24" t="s">
        <v>7</v>
      </c>
      <c r="B6335" s="24" t="s">
        <v>16796</v>
      </c>
      <c r="C6335" s="25" t="s">
        <v>15227</v>
      </c>
      <c r="D6335" s="25" t="s">
        <v>15227</v>
      </c>
      <c r="E6335" s="26">
        <v>12</v>
      </c>
    </row>
    <row r="6336" spans="1:5" x14ac:dyDescent="0.25">
      <c r="A6336" s="24" t="s">
        <v>7</v>
      </c>
      <c r="B6336" s="24" t="s">
        <v>16797</v>
      </c>
      <c r="C6336" s="25" t="s">
        <v>16798</v>
      </c>
      <c r="D6336" s="25" t="s">
        <v>16799</v>
      </c>
      <c r="E6336" s="26">
        <v>12.45</v>
      </c>
    </row>
    <row r="6337" spans="1:5" x14ac:dyDescent="0.25">
      <c r="A6337" s="24" t="s">
        <v>7</v>
      </c>
      <c r="B6337" s="24" t="s">
        <v>16800</v>
      </c>
      <c r="C6337" s="25" t="s">
        <v>16801</v>
      </c>
      <c r="D6337" s="25" t="s">
        <v>16802</v>
      </c>
      <c r="E6337" s="26">
        <v>12.45</v>
      </c>
    </row>
    <row r="6338" spans="1:5" x14ac:dyDescent="0.25">
      <c r="A6338" s="24" t="s">
        <v>7</v>
      </c>
      <c r="B6338" s="24" t="s">
        <v>16803</v>
      </c>
      <c r="C6338" s="25" t="s">
        <v>16804</v>
      </c>
      <c r="D6338" s="25" t="s">
        <v>16805</v>
      </c>
      <c r="E6338" s="26">
        <v>12.45</v>
      </c>
    </row>
    <row r="6339" spans="1:5" x14ac:dyDescent="0.25">
      <c r="A6339" s="24" t="s">
        <v>7</v>
      </c>
      <c r="B6339" s="24" t="s">
        <v>16806</v>
      </c>
      <c r="C6339" s="25" t="s">
        <v>16807</v>
      </c>
      <c r="D6339" s="25" t="s">
        <v>16807</v>
      </c>
      <c r="E6339" s="26">
        <v>12.45</v>
      </c>
    </row>
    <row r="6340" spans="1:5" x14ac:dyDescent="0.25">
      <c r="A6340" s="24" t="s">
        <v>7</v>
      </c>
      <c r="B6340" s="24" t="s">
        <v>16808</v>
      </c>
      <c r="C6340" s="25" t="s">
        <v>16809</v>
      </c>
      <c r="D6340" s="25" t="s">
        <v>3486</v>
      </c>
      <c r="E6340" s="26">
        <v>31.7</v>
      </c>
    </row>
    <row r="6341" spans="1:5" x14ac:dyDescent="0.25">
      <c r="A6341" s="24" t="s">
        <v>7</v>
      </c>
      <c r="B6341" s="24" t="s">
        <v>16810</v>
      </c>
      <c r="C6341" s="25" t="s">
        <v>16811</v>
      </c>
      <c r="D6341" s="25" t="s">
        <v>16812</v>
      </c>
      <c r="E6341" s="26">
        <v>24</v>
      </c>
    </row>
    <row r="6342" spans="1:5" x14ac:dyDescent="0.25">
      <c r="A6342" s="24" t="s">
        <v>7</v>
      </c>
      <c r="B6342" s="24" t="s">
        <v>16813</v>
      </c>
      <c r="C6342" s="25" t="s">
        <v>3586</v>
      </c>
      <c r="D6342" s="25" t="s">
        <v>3587</v>
      </c>
      <c r="E6342" s="26">
        <v>31.2</v>
      </c>
    </row>
    <row r="6343" spans="1:5" x14ac:dyDescent="0.25">
      <c r="A6343" s="24" t="s">
        <v>7</v>
      </c>
      <c r="B6343" s="24" t="s">
        <v>16814</v>
      </c>
      <c r="C6343" s="25" t="s">
        <v>3589</v>
      </c>
      <c r="D6343" s="25" t="s">
        <v>3590</v>
      </c>
      <c r="E6343" s="26">
        <v>37.5</v>
      </c>
    </row>
    <row r="6344" spans="1:5" x14ac:dyDescent="0.25">
      <c r="A6344" s="24" t="s">
        <v>7</v>
      </c>
      <c r="B6344" s="24" t="s">
        <v>16815</v>
      </c>
      <c r="C6344" s="25" t="s">
        <v>16816</v>
      </c>
      <c r="D6344" s="25" t="s">
        <v>16817</v>
      </c>
      <c r="E6344" s="26">
        <v>27.9</v>
      </c>
    </row>
    <row r="6345" spans="1:5" x14ac:dyDescent="0.25">
      <c r="A6345" s="24" t="s">
        <v>7</v>
      </c>
      <c r="B6345" s="24" t="s">
        <v>16818</v>
      </c>
      <c r="C6345" s="25" t="s">
        <v>16819</v>
      </c>
      <c r="D6345" s="25" t="s">
        <v>16820</v>
      </c>
      <c r="E6345" s="26">
        <v>69</v>
      </c>
    </row>
    <row r="6346" spans="1:5" x14ac:dyDescent="0.25">
      <c r="A6346" s="24" t="s">
        <v>7</v>
      </c>
      <c r="B6346" s="24" t="s">
        <v>16821</v>
      </c>
      <c r="C6346" s="25" t="s">
        <v>16822</v>
      </c>
      <c r="D6346" s="25" t="s">
        <v>16118</v>
      </c>
      <c r="E6346" s="26">
        <v>11.1</v>
      </c>
    </row>
    <row r="6347" spans="1:5" x14ac:dyDescent="0.25">
      <c r="A6347" s="24" t="s">
        <v>7</v>
      </c>
      <c r="B6347" s="24" t="s">
        <v>16823</v>
      </c>
      <c r="C6347" s="25" t="s">
        <v>16824</v>
      </c>
      <c r="D6347" s="25" t="s">
        <v>16268</v>
      </c>
      <c r="E6347" s="26">
        <v>58.5</v>
      </c>
    </row>
    <row r="6348" spans="1:5" x14ac:dyDescent="0.25">
      <c r="A6348" s="24" t="s">
        <v>7</v>
      </c>
      <c r="B6348" s="24" t="s">
        <v>16825</v>
      </c>
      <c r="C6348" s="25" t="s">
        <v>16826</v>
      </c>
      <c r="D6348" s="25" t="s">
        <v>16268</v>
      </c>
      <c r="E6348" s="26">
        <v>40.200000000000003</v>
      </c>
    </row>
    <row r="6349" spans="1:5" x14ac:dyDescent="0.25">
      <c r="A6349" s="24" t="s">
        <v>7</v>
      </c>
      <c r="B6349" s="24" t="s">
        <v>16827</v>
      </c>
      <c r="C6349" s="25" t="s">
        <v>16828</v>
      </c>
      <c r="D6349" s="25" t="s">
        <v>16829</v>
      </c>
      <c r="E6349" s="26">
        <v>185</v>
      </c>
    </row>
    <row r="6350" spans="1:5" x14ac:dyDescent="0.25">
      <c r="A6350" s="24" t="s">
        <v>7</v>
      </c>
      <c r="B6350" s="24" t="s">
        <v>16830</v>
      </c>
      <c r="C6350" s="25" t="s">
        <v>16831</v>
      </c>
      <c r="D6350" s="25" t="s">
        <v>16832</v>
      </c>
      <c r="E6350" s="26">
        <v>22.5</v>
      </c>
    </row>
    <row r="6351" spans="1:5" x14ac:dyDescent="0.25">
      <c r="A6351" s="24" t="s">
        <v>7</v>
      </c>
      <c r="B6351" s="24" t="s">
        <v>16833</v>
      </c>
      <c r="C6351" s="25" t="s">
        <v>16834</v>
      </c>
      <c r="D6351" s="25" t="s">
        <v>16832</v>
      </c>
      <c r="E6351" s="26">
        <v>22.5</v>
      </c>
    </row>
    <row r="6352" spans="1:5" x14ac:dyDescent="0.25">
      <c r="A6352" s="24" t="s">
        <v>7</v>
      </c>
      <c r="B6352" s="24" t="s">
        <v>16835</v>
      </c>
      <c r="C6352" s="25" t="s">
        <v>15258</v>
      </c>
      <c r="D6352" s="25" t="s">
        <v>15258</v>
      </c>
      <c r="E6352" s="26">
        <v>14</v>
      </c>
    </row>
    <row r="6353" spans="1:5" x14ac:dyDescent="0.25">
      <c r="A6353" s="24" t="s">
        <v>7</v>
      </c>
      <c r="B6353" s="24" t="s">
        <v>16836</v>
      </c>
      <c r="C6353" s="25" t="s">
        <v>16837</v>
      </c>
      <c r="D6353" s="25" t="s">
        <v>16268</v>
      </c>
      <c r="E6353" s="26">
        <v>40.200000000000003</v>
      </c>
    </row>
    <row r="6354" spans="1:5" x14ac:dyDescent="0.25">
      <c r="A6354" s="24" t="s">
        <v>7</v>
      </c>
      <c r="B6354" s="24" t="s">
        <v>16838</v>
      </c>
      <c r="C6354" s="25" t="s">
        <v>16839</v>
      </c>
      <c r="D6354" s="25" t="s">
        <v>16840</v>
      </c>
      <c r="E6354" s="26">
        <v>119.75</v>
      </c>
    </row>
    <row r="6355" spans="1:5" x14ac:dyDescent="0.25">
      <c r="A6355" s="24" t="s">
        <v>7</v>
      </c>
      <c r="B6355" s="24" t="s">
        <v>16841</v>
      </c>
      <c r="C6355" s="25" t="s">
        <v>16842</v>
      </c>
      <c r="D6355" s="25" t="s">
        <v>16393</v>
      </c>
      <c r="E6355" s="26">
        <v>15.6</v>
      </c>
    </row>
    <row r="6356" spans="1:5" x14ac:dyDescent="0.25">
      <c r="A6356" s="24" t="s">
        <v>7</v>
      </c>
      <c r="B6356" s="24" t="s">
        <v>16843</v>
      </c>
      <c r="C6356" s="25" t="s">
        <v>16844</v>
      </c>
      <c r="D6356" s="25" t="s">
        <v>16393</v>
      </c>
      <c r="E6356" s="26">
        <v>15.6</v>
      </c>
    </row>
    <row r="6357" spans="1:5" x14ac:dyDescent="0.25">
      <c r="A6357" s="24" t="s">
        <v>7</v>
      </c>
      <c r="B6357" s="24" t="s">
        <v>16845</v>
      </c>
      <c r="C6357" s="25" t="s">
        <v>16846</v>
      </c>
      <c r="D6357" s="25" t="s">
        <v>16846</v>
      </c>
      <c r="E6357" s="26">
        <v>22.6</v>
      </c>
    </row>
    <row r="6358" spans="1:5" x14ac:dyDescent="0.25">
      <c r="A6358" s="24" t="s">
        <v>7</v>
      </c>
      <c r="B6358" s="24" t="s">
        <v>16847</v>
      </c>
      <c r="C6358" s="25" t="s">
        <v>16848</v>
      </c>
      <c r="D6358" s="25" t="s">
        <v>16393</v>
      </c>
      <c r="E6358" s="26">
        <v>18</v>
      </c>
    </row>
    <row r="6359" spans="1:5" x14ac:dyDescent="0.25">
      <c r="A6359" s="24" t="s">
        <v>7</v>
      </c>
      <c r="B6359" s="24" t="s">
        <v>16849</v>
      </c>
      <c r="C6359" s="25" t="s">
        <v>16850</v>
      </c>
      <c r="D6359" s="25" t="s">
        <v>16393</v>
      </c>
      <c r="E6359" s="26">
        <v>18</v>
      </c>
    </row>
    <row r="6360" spans="1:5" x14ac:dyDescent="0.25">
      <c r="A6360" s="24" t="s">
        <v>7</v>
      </c>
      <c r="B6360" s="24" t="s">
        <v>16851</v>
      </c>
      <c r="C6360" s="25" t="s">
        <v>16852</v>
      </c>
      <c r="D6360" s="25" t="s">
        <v>16853</v>
      </c>
      <c r="E6360" s="26">
        <v>19</v>
      </c>
    </row>
    <row r="6361" spans="1:5" x14ac:dyDescent="0.25">
      <c r="A6361" s="24" t="s">
        <v>7</v>
      </c>
      <c r="B6361" s="24" t="s">
        <v>16854</v>
      </c>
      <c r="C6361" s="25" t="s">
        <v>16855</v>
      </c>
      <c r="D6361" s="25" t="s">
        <v>16856</v>
      </c>
      <c r="E6361" s="26">
        <v>173.4</v>
      </c>
    </row>
    <row r="6362" spans="1:5" x14ac:dyDescent="0.25">
      <c r="A6362" s="24" t="s">
        <v>7</v>
      </c>
      <c r="B6362" s="24" t="s">
        <v>16857</v>
      </c>
      <c r="C6362" s="25" t="s">
        <v>16858</v>
      </c>
      <c r="D6362" s="25" t="s">
        <v>16859</v>
      </c>
      <c r="E6362" s="26">
        <v>170.5</v>
      </c>
    </row>
    <row r="6363" spans="1:5" x14ac:dyDescent="0.25">
      <c r="A6363" s="24" t="s">
        <v>7</v>
      </c>
      <c r="B6363" s="24" t="s">
        <v>16860</v>
      </c>
      <c r="C6363" s="25" t="s">
        <v>16861</v>
      </c>
      <c r="D6363" s="25" t="s">
        <v>16862</v>
      </c>
      <c r="E6363" s="26">
        <v>227</v>
      </c>
    </row>
    <row r="6364" spans="1:5" x14ac:dyDescent="0.25">
      <c r="A6364" s="24" t="s">
        <v>7</v>
      </c>
      <c r="B6364" s="24" t="s">
        <v>16863</v>
      </c>
      <c r="C6364" s="25" t="s">
        <v>15238</v>
      </c>
      <c r="D6364" s="25" t="s">
        <v>3927</v>
      </c>
      <c r="E6364" s="26">
        <v>188.5</v>
      </c>
    </row>
    <row r="6365" spans="1:5" x14ac:dyDescent="0.25">
      <c r="A6365" s="24" t="s">
        <v>7</v>
      </c>
      <c r="B6365" s="24" t="s">
        <v>16864</v>
      </c>
      <c r="C6365" s="25" t="s">
        <v>16865</v>
      </c>
      <c r="D6365" s="25" t="s">
        <v>3927</v>
      </c>
      <c r="E6365" s="26">
        <v>113.75</v>
      </c>
    </row>
    <row r="6366" spans="1:5" x14ac:dyDescent="0.25">
      <c r="A6366" s="24" t="s">
        <v>7</v>
      </c>
      <c r="B6366" s="24" t="s">
        <v>16866</v>
      </c>
      <c r="C6366" s="25" t="s">
        <v>16867</v>
      </c>
      <c r="D6366" s="25" t="s">
        <v>3927</v>
      </c>
      <c r="E6366" s="26">
        <v>320</v>
      </c>
    </row>
    <row r="6367" spans="1:5" x14ac:dyDescent="0.25">
      <c r="A6367" s="24" t="s">
        <v>7</v>
      </c>
      <c r="B6367" s="24" t="s">
        <v>16868</v>
      </c>
      <c r="C6367" s="25" t="s">
        <v>16869</v>
      </c>
      <c r="D6367" s="25" t="s">
        <v>15256</v>
      </c>
      <c r="E6367" s="26">
        <v>187.5</v>
      </c>
    </row>
    <row r="6368" spans="1:5" x14ac:dyDescent="0.25">
      <c r="A6368" s="24" t="s">
        <v>7</v>
      </c>
      <c r="B6368" s="24" t="s">
        <v>16870</v>
      </c>
      <c r="C6368" s="25" t="s">
        <v>16871</v>
      </c>
      <c r="D6368" s="25" t="s">
        <v>15256</v>
      </c>
      <c r="E6368" s="26">
        <v>255</v>
      </c>
    </row>
    <row r="6369" spans="1:5" x14ac:dyDescent="0.25">
      <c r="A6369" s="24" t="s">
        <v>7</v>
      </c>
      <c r="B6369" s="24" t="s">
        <v>16872</v>
      </c>
      <c r="C6369" s="25" t="s">
        <v>16873</v>
      </c>
      <c r="D6369" s="25" t="s">
        <v>16767</v>
      </c>
      <c r="E6369" s="26">
        <v>43</v>
      </c>
    </row>
    <row r="6370" spans="1:5" x14ac:dyDescent="0.25">
      <c r="A6370" s="24" t="s">
        <v>7</v>
      </c>
      <c r="B6370" s="24" t="s">
        <v>16874</v>
      </c>
      <c r="C6370" s="25" t="s">
        <v>16875</v>
      </c>
      <c r="D6370" s="25" t="s">
        <v>3933</v>
      </c>
      <c r="E6370" s="26">
        <v>54</v>
      </c>
    </row>
    <row r="6371" spans="1:5" x14ac:dyDescent="0.25">
      <c r="A6371" s="24" t="s">
        <v>7</v>
      </c>
      <c r="B6371" s="24" t="s">
        <v>16876</v>
      </c>
      <c r="C6371" s="25" t="s">
        <v>16877</v>
      </c>
      <c r="D6371" s="25" t="s">
        <v>16878</v>
      </c>
      <c r="E6371" s="26">
        <v>11.4</v>
      </c>
    </row>
    <row r="6372" spans="1:5" x14ac:dyDescent="0.25">
      <c r="A6372" s="24" t="s">
        <v>7</v>
      </c>
      <c r="B6372" s="24" t="s">
        <v>16879</v>
      </c>
      <c r="C6372" s="25" t="s">
        <v>16880</v>
      </c>
      <c r="D6372" s="25" t="s">
        <v>16881</v>
      </c>
      <c r="E6372" s="26">
        <v>137</v>
      </c>
    </row>
    <row r="6373" spans="1:5" x14ac:dyDescent="0.25">
      <c r="A6373" s="24" t="s">
        <v>7</v>
      </c>
      <c r="B6373" s="24" t="s">
        <v>16882</v>
      </c>
      <c r="C6373" s="25" t="s">
        <v>16883</v>
      </c>
      <c r="D6373" s="25" t="s">
        <v>16883</v>
      </c>
      <c r="E6373" s="26">
        <v>198.75</v>
      </c>
    </row>
    <row r="6374" spans="1:5" x14ac:dyDescent="0.25">
      <c r="A6374" s="24" t="s">
        <v>7</v>
      </c>
      <c r="B6374" s="24" t="s">
        <v>16884</v>
      </c>
      <c r="C6374" s="25" t="s">
        <v>16885</v>
      </c>
      <c r="D6374" s="25" t="s">
        <v>16631</v>
      </c>
      <c r="E6374" s="26">
        <v>59</v>
      </c>
    </row>
    <row r="6375" spans="1:5" x14ac:dyDescent="0.25">
      <c r="A6375" s="24" t="s">
        <v>7</v>
      </c>
      <c r="B6375" s="24" t="s">
        <v>16886</v>
      </c>
      <c r="C6375" s="25" t="s">
        <v>3970</v>
      </c>
      <c r="D6375" s="25" t="s">
        <v>3423</v>
      </c>
      <c r="E6375" s="26">
        <v>5.0999999999999996</v>
      </c>
    </row>
    <row r="6376" spans="1:5" x14ac:dyDescent="0.25">
      <c r="A6376" s="24" t="s">
        <v>7</v>
      </c>
      <c r="B6376" s="24" t="s">
        <v>16887</v>
      </c>
      <c r="C6376" s="25" t="s">
        <v>16888</v>
      </c>
      <c r="D6376" s="25" t="s">
        <v>16631</v>
      </c>
      <c r="E6376" s="26">
        <v>17.12</v>
      </c>
    </row>
    <row r="6377" spans="1:5" x14ac:dyDescent="0.25">
      <c r="A6377" s="24" t="s">
        <v>7</v>
      </c>
      <c r="B6377" s="24" t="s">
        <v>16889</v>
      </c>
      <c r="C6377" s="25" t="s">
        <v>16890</v>
      </c>
      <c r="D6377" s="25" t="s">
        <v>16891</v>
      </c>
      <c r="E6377" s="26">
        <v>14.1</v>
      </c>
    </row>
    <row r="6378" spans="1:5" x14ac:dyDescent="0.25">
      <c r="A6378" s="24" t="s">
        <v>7</v>
      </c>
      <c r="B6378" s="24" t="s">
        <v>16892</v>
      </c>
      <c r="C6378" s="25" t="s">
        <v>16893</v>
      </c>
      <c r="D6378" s="25" t="s">
        <v>16894</v>
      </c>
      <c r="E6378" s="26">
        <v>13.6</v>
      </c>
    </row>
    <row r="6379" spans="1:5" x14ac:dyDescent="0.25">
      <c r="A6379" s="24" t="s">
        <v>7</v>
      </c>
      <c r="B6379" s="24" t="s">
        <v>16895</v>
      </c>
      <c r="C6379" s="25" t="s">
        <v>16896</v>
      </c>
      <c r="D6379" s="25" t="s">
        <v>16897</v>
      </c>
      <c r="E6379" s="26">
        <v>13.6</v>
      </c>
    </row>
    <row r="6380" spans="1:5" x14ac:dyDescent="0.25">
      <c r="A6380" s="24" t="s">
        <v>7</v>
      </c>
      <c r="B6380" s="24" t="s">
        <v>16898</v>
      </c>
      <c r="C6380" s="25" t="s">
        <v>16899</v>
      </c>
      <c r="D6380" s="25" t="s">
        <v>16900</v>
      </c>
      <c r="E6380" s="26">
        <v>13.6</v>
      </c>
    </row>
    <row r="6381" spans="1:5" x14ac:dyDescent="0.25">
      <c r="A6381" s="24" t="s">
        <v>7</v>
      </c>
      <c r="B6381" s="24" t="s">
        <v>16901</v>
      </c>
      <c r="C6381" s="25" t="s">
        <v>15515</v>
      </c>
      <c r="D6381" s="25" t="s">
        <v>15516</v>
      </c>
      <c r="E6381" s="26">
        <v>3129</v>
      </c>
    </row>
    <row r="6382" spans="1:5" x14ac:dyDescent="0.25">
      <c r="A6382" s="24" t="s">
        <v>7</v>
      </c>
      <c r="B6382" s="24" t="s">
        <v>16902</v>
      </c>
      <c r="C6382" s="25" t="s">
        <v>3527</v>
      </c>
      <c r="D6382" s="25" t="s">
        <v>3528</v>
      </c>
      <c r="E6382" s="26">
        <v>9.1</v>
      </c>
    </row>
    <row r="6383" spans="1:5" x14ac:dyDescent="0.25">
      <c r="A6383" s="24" t="s">
        <v>7</v>
      </c>
      <c r="B6383" s="24" t="s">
        <v>16903</v>
      </c>
      <c r="C6383" s="25" t="s">
        <v>16904</v>
      </c>
      <c r="D6383" s="25" t="s">
        <v>16905</v>
      </c>
      <c r="E6383" s="26">
        <v>136.5</v>
      </c>
    </row>
    <row r="6384" spans="1:5" x14ac:dyDescent="0.25">
      <c r="A6384" s="24" t="s">
        <v>7</v>
      </c>
      <c r="B6384" s="24" t="s">
        <v>16906</v>
      </c>
      <c r="C6384" s="25" t="s">
        <v>16907</v>
      </c>
      <c r="D6384" s="25" t="s">
        <v>15379</v>
      </c>
      <c r="E6384" s="26">
        <v>550</v>
      </c>
    </row>
    <row r="6385" spans="1:5" x14ac:dyDescent="0.25">
      <c r="A6385" s="24" t="s">
        <v>7</v>
      </c>
      <c r="B6385" s="24" t="s">
        <v>16908</v>
      </c>
      <c r="C6385" s="25" t="s">
        <v>16909</v>
      </c>
      <c r="D6385" s="25" t="s">
        <v>16910</v>
      </c>
      <c r="E6385" s="26">
        <v>52.53</v>
      </c>
    </row>
    <row r="6386" spans="1:5" x14ac:dyDescent="0.25">
      <c r="A6386" s="24" t="s">
        <v>7</v>
      </c>
      <c r="B6386" s="24" t="s">
        <v>16911</v>
      </c>
      <c r="C6386" s="25" t="s">
        <v>16912</v>
      </c>
      <c r="D6386" s="25" t="s">
        <v>16913</v>
      </c>
      <c r="E6386" s="26">
        <v>110</v>
      </c>
    </row>
    <row r="6387" spans="1:5" x14ac:dyDescent="0.25">
      <c r="A6387" s="24" t="s">
        <v>7</v>
      </c>
      <c r="B6387" s="24" t="s">
        <v>16914</v>
      </c>
      <c r="C6387" s="25" t="s">
        <v>16392</v>
      </c>
      <c r="D6387" s="25" t="s">
        <v>16393</v>
      </c>
      <c r="E6387" s="26">
        <v>16.96</v>
      </c>
    </row>
    <row r="6388" spans="1:5" x14ac:dyDescent="0.25">
      <c r="A6388" s="24" t="s">
        <v>7</v>
      </c>
      <c r="B6388" s="24" t="s">
        <v>16915</v>
      </c>
      <c r="C6388" s="25" t="s">
        <v>16916</v>
      </c>
      <c r="D6388" s="25" t="s">
        <v>16917</v>
      </c>
      <c r="E6388" s="26">
        <v>125</v>
      </c>
    </row>
    <row r="6389" spans="1:5" x14ac:dyDescent="0.25">
      <c r="A6389" s="24" t="s">
        <v>7</v>
      </c>
      <c r="B6389" s="24" t="s">
        <v>16918</v>
      </c>
      <c r="C6389" s="25" t="s">
        <v>16919</v>
      </c>
      <c r="D6389" s="25" t="s">
        <v>16920</v>
      </c>
      <c r="E6389" s="26">
        <v>11</v>
      </c>
    </row>
    <row r="6390" spans="1:5" x14ac:dyDescent="0.25">
      <c r="A6390" s="24" t="s">
        <v>7</v>
      </c>
      <c r="B6390" s="24" t="s">
        <v>16921</v>
      </c>
      <c r="C6390" s="25" t="s">
        <v>16922</v>
      </c>
      <c r="D6390" s="25" t="s">
        <v>15278</v>
      </c>
      <c r="E6390" s="26">
        <v>45</v>
      </c>
    </row>
    <row r="6391" spans="1:5" x14ac:dyDescent="0.25">
      <c r="A6391" s="24" t="s">
        <v>7</v>
      </c>
      <c r="B6391" s="24" t="s">
        <v>16923</v>
      </c>
      <c r="C6391" s="25" t="s">
        <v>16924</v>
      </c>
      <c r="D6391" s="25" t="s">
        <v>16924</v>
      </c>
      <c r="E6391" s="26">
        <v>50</v>
      </c>
    </row>
    <row r="6392" spans="1:5" x14ac:dyDescent="0.25">
      <c r="A6392" s="24" t="s">
        <v>7</v>
      </c>
      <c r="B6392" s="24" t="s">
        <v>16925</v>
      </c>
      <c r="C6392" s="25" t="s">
        <v>16926</v>
      </c>
      <c r="D6392" s="25" t="s">
        <v>16927</v>
      </c>
      <c r="E6392" s="26">
        <v>23</v>
      </c>
    </row>
    <row r="6393" spans="1:5" x14ac:dyDescent="0.25">
      <c r="A6393" s="24" t="s">
        <v>7</v>
      </c>
      <c r="B6393" s="24" t="s">
        <v>16928</v>
      </c>
      <c r="C6393" s="25" t="s">
        <v>3117</v>
      </c>
      <c r="D6393" s="25" t="s">
        <v>3118</v>
      </c>
      <c r="E6393" s="26">
        <v>240</v>
      </c>
    </row>
    <row r="6394" spans="1:5" x14ac:dyDescent="0.25">
      <c r="A6394" s="24" t="s">
        <v>7</v>
      </c>
      <c r="B6394" s="24" t="s">
        <v>16929</v>
      </c>
      <c r="C6394" s="25" t="s">
        <v>15411</v>
      </c>
      <c r="D6394" s="25" t="s">
        <v>3118</v>
      </c>
      <c r="E6394" s="26">
        <v>60</v>
      </c>
    </row>
    <row r="6395" spans="1:5" x14ac:dyDescent="0.25">
      <c r="A6395" s="24" t="s">
        <v>7</v>
      </c>
      <c r="B6395" s="24" t="s">
        <v>16930</v>
      </c>
      <c r="C6395" s="25" t="s">
        <v>15267</v>
      </c>
      <c r="D6395" s="25" t="s">
        <v>15267</v>
      </c>
      <c r="E6395" s="26">
        <v>60.4</v>
      </c>
    </row>
    <row r="6396" spans="1:5" x14ac:dyDescent="0.25">
      <c r="A6396" s="24" t="s">
        <v>7</v>
      </c>
      <c r="B6396" s="24" t="s">
        <v>16931</v>
      </c>
      <c r="C6396" s="25" t="s">
        <v>16932</v>
      </c>
      <c r="D6396" s="25" t="s">
        <v>16932</v>
      </c>
      <c r="E6396" s="26">
        <v>23</v>
      </c>
    </row>
    <row r="6397" spans="1:5" x14ac:dyDescent="0.25">
      <c r="A6397" s="24" t="s">
        <v>7</v>
      </c>
      <c r="B6397" s="24" t="s">
        <v>16933</v>
      </c>
      <c r="C6397" s="25" t="s">
        <v>16934</v>
      </c>
      <c r="D6397" s="25" t="s">
        <v>16934</v>
      </c>
      <c r="E6397" s="26">
        <v>42</v>
      </c>
    </row>
    <row r="6398" spans="1:5" x14ac:dyDescent="0.25">
      <c r="A6398" s="24" t="s">
        <v>7</v>
      </c>
      <c r="B6398" s="24" t="s">
        <v>16935</v>
      </c>
      <c r="C6398" s="25" t="s">
        <v>16936</v>
      </c>
      <c r="D6398" s="25" t="s">
        <v>16936</v>
      </c>
      <c r="E6398" s="26">
        <v>40</v>
      </c>
    </row>
    <row r="6399" spans="1:5" x14ac:dyDescent="0.25">
      <c r="A6399" s="24" t="s">
        <v>7</v>
      </c>
      <c r="B6399" s="24" t="s">
        <v>16937</v>
      </c>
      <c r="C6399" s="25" t="s">
        <v>15920</v>
      </c>
      <c r="D6399" s="25" t="s">
        <v>15920</v>
      </c>
      <c r="E6399" s="26">
        <v>80</v>
      </c>
    </row>
    <row r="6400" spans="1:5" x14ac:dyDescent="0.25">
      <c r="A6400" s="24" t="s">
        <v>7</v>
      </c>
      <c r="B6400" s="24" t="s">
        <v>16938</v>
      </c>
      <c r="C6400" s="25" t="s">
        <v>16939</v>
      </c>
      <c r="D6400" s="25" t="s">
        <v>16940</v>
      </c>
      <c r="E6400" s="26">
        <v>40</v>
      </c>
    </row>
    <row r="6401" spans="1:5" x14ac:dyDescent="0.25">
      <c r="A6401" s="24" t="s">
        <v>7</v>
      </c>
      <c r="B6401" s="24" t="s">
        <v>16941</v>
      </c>
      <c r="C6401" s="25" t="s">
        <v>16942</v>
      </c>
      <c r="D6401" s="25" t="s">
        <v>16943</v>
      </c>
      <c r="E6401" s="26">
        <v>40</v>
      </c>
    </row>
    <row r="6402" spans="1:5" x14ac:dyDescent="0.25">
      <c r="A6402" s="24" t="s">
        <v>7</v>
      </c>
      <c r="B6402" s="24" t="s">
        <v>16944</v>
      </c>
      <c r="C6402" s="25" t="s">
        <v>16945</v>
      </c>
      <c r="D6402" s="25" t="s">
        <v>16946</v>
      </c>
      <c r="E6402" s="26">
        <v>24</v>
      </c>
    </row>
    <row r="6403" spans="1:5" x14ac:dyDescent="0.25">
      <c r="A6403" s="24" t="s">
        <v>7</v>
      </c>
      <c r="B6403" s="24" t="s">
        <v>16947</v>
      </c>
      <c r="C6403" s="25" t="s">
        <v>15536</v>
      </c>
      <c r="D6403" s="25" t="s">
        <v>15537</v>
      </c>
      <c r="E6403" s="26">
        <v>58</v>
      </c>
    </row>
    <row r="6404" spans="1:5" x14ac:dyDescent="0.25">
      <c r="A6404" s="24" t="s">
        <v>7</v>
      </c>
      <c r="B6404" s="24" t="s">
        <v>16948</v>
      </c>
      <c r="C6404" s="25" t="s">
        <v>15413</v>
      </c>
      <c r="D6404" s="25" t="s">
        <v>15413</v>
      </c>
      <c r="E6404" s="26">
        <v>36</v>
      </c>
    </row>
    <row r="6405" spans="1:5" x14ac:dyDescent="0.25">
      <c r="A6405" s="24" t="s">
        <v>7</v>
      </c>
      <c r="B6405" s="24" t="s">
        <v>16949</v>
      </c>
      <c r="C6405" s="25" t="s">
        <v>16950</v>
      </c>
      <c r="D6405" s="25" t="s">
        <v>16950</v>
      </c>
      <c r="E6405" s="26">
        <v>34</v>
      </c>
    </row>
    <row r="6406" spans="1:5" x14ac:dyDescent="0.25">
      <c r="A6406" s="24" t="s">
        <v>7</v>
      </c>
      <c r="B6406" s="24" t="s">
        <v>16951</v>
      </c>
      <c r="C6406" s="25" t="s">
        <v>15571</v>
      </c>
      <c r="D6406" s="25" t="s">
        <v>15572</v>
      </c>
      <c r="E6406" s="26">
        <v>35</v>
      </c>
    </row>
    <row r="6407" spans="1:5" x14ac:dyDescent="0.25">
      <c r="A6407" s="24" t="s">
        <v>7</v>
      </c>
      <c r="B6407" s="24" t="s">
        <v>16952</v>
      </c>
      <c r="C6407" s="25" t="s">
        <v>3192</v>
      </c>
      <c r="D6407" s="25" t="s">
        <v>3192</v>
      </c>
      <c r="E6407" s="26">
        <v>30</v>
      </c>
    </row>
    <row r="6408" spans="1:5" x14ac:dyDescent="0.25">
      <c r="A6408" s="24" t="s">
        <v>7</v>
      </c>
      <c r="B6408" s="24" t="s">
        <v>16953</v>
      </c>
      <c r="C6408" s="25" t="s">
        <v>15427</v>
      </c>
      <c r="D6408" s="25" t="s">
        <v>15428</v>
      </c>
      <c r="E6408" s="26">
        <v>50</v>
      </c>
    </row>
    <row r="6409" spans="1:5" x14ac:dyDescent="0.25">
      <c r="A6409" s="24" t="s">
        <v>7</v>
      </c>
      <c r="B6409" s="24" t="s">
        <v>16954</v>
      </c>
      <c r="C6409" s="25" t="s">
        <v>16955</v>
      </c>
      <c r="D6409" s="25" t="s">
        <v>16955</v>
      </c>
      <c r="E6409" s="26">
        <v>35</v>
      </c>
    </row>
    <row r="6410" spans="1:5" x14ac:dyDescent="0.25">
      <c r="A6410" s="24" t="s">
        <v>7</v>
      </c>
      <c r="B6410" s="24" t="s">
        <v>16956</v>
      </c>
      <c r="C6410" s="25" t="s">
        <v>15662</v>
      </c>
      <c r="D6410" s="25" t="s">
        <v>15385</v>
      </c>
      <c r="E6410" s="26">
        <v>35</v>
      </c>
    </row>
    <row r="6411" spans="1:5" x14ac:dyDescent="0.25">
      <c r="A6411" s="24" t="s">
        <v>7</v>
      </c>
      <c r="B6411" s="24" t="s">
        <v>16957</v>
      </c>
      <c r="C6411" s="25" t="s">
        <v>15612</v>
      </c>
      <c r="D6411" s="25" t="s">
        <v>15612</v>
      </c>
      <c r="E6411" s="26">
        <v>20</v>
      </c>
    </row>
    <row r="6412" spans="1:5" x14ac:dyDescent="0.25">
      <c r="A6412" s="24" t="s">
        <v>7</v>
      </c>
      <c r="B6412" s="24" t="s">
        <v>16958</v>
      </c>
      <c r="C6412" s="25" t="s">
        <v>16959</v>
      </c>
      <c r="D6412" s="25" t="s">
        <v>16960</v>
      </c>
      <c r="E6412" s="26">
        <v>25</v>
      </c>
    </row>
    <row r="6413" spans="1:5" x14ac:dyDescent="0.25">
      <c r="A6413" s="24" t="s">
        <v>7</v>
      </c>
      <c r="B6413" s="24" t="s">
        <v>16961</v>
      </c>
      <c r="C6413" s="25" t="s">
        <v>15640</v>
      </c>
      <c r="D6413" s="25" t="s">
        <v>15640</v>
      </c>
      <c r="E6413" s="26">
        <v>35</v>
      </c>
    </row>
    <row r="6414" spans="1:5" x14ac:dyDescent="0.25">
      <c r="A6414" s="24" t="s">
        <v>7</v>
      </c>
      <c r="B6414" s="24" t="s">
        <v>16962</v>
      </c>
      <c r="C6414" s="25" t="s">
        <v>3261</v>
      </c>
      <c r="D6414" s="25" t="s">
        <v>3262</v>
      </c>
      <c r="E6414" s="26">
        <v>35</v>
      </c>
    </row>
    <row r="6415" spans="1:5" x14ac:dyDescent="0.25">
      <c r="A6415" s="24" t="s">
        <v>7</v>
      </c>
      <c r="B6415" s="24" t="s">
        <v>16963</v>
      </c>
      <c r="C6415" s="25" t="s">
        <v>3281</v>
      </c>
      <c r="D6415" s="25" t="s">
        <v>3282</v>
      </c>
      <c r="E6415" s="26">
        <v>14</v>
      </c>
    </row>
    <row r="6416" spans="1:5" x14ac:dyDescent="0.25">
      <c r="A6416" s="24" t="s">
        <v>7</v>
      </c>
      <c r="B6416" s="24" t="s">
        <v>16964</v>
      </c>
      <c r="C6416" s="25" t="s">
        <v>3289</v>
      </c>
      <c r="D6416" s="25" t="s">
        <v>3290</v>
      </c>
      <c r="E6416" s="26">
        <v>33</v>
      </c>
    </row>
    <row r="6417" spans="1:5" x14ac:dyDescent="0.25">
      <c r="A6417" s="24" t="s">
        <v>7</v>
      </c>
      <c r="B6417" s="24" t="s">
        <v>16965</v>
      </c>
      <c r="C6417" s="25" t="s">
        <v>16966</v>
      </c>
      <c r="D6417" s="25" t="s">
        <v>16966</v>
      </c>
      <c r="E6417" s="26">
        <v>45</v>
      </c>
    </row>
    <row r="6418" spans="1:5" x14ac:dyDescent="0.25">
      <c r="A6418" s="24" t="s">
        <v>7</v>
      </c>
      <c r="B6418" s="24" t="s">
        <v>16967</v>
      </c>
      <c r="C6418" s="25" t="s">
        <v>3292</v>
      </c>
      <c r="D6418" s="25" t="s">
        <v>3292</v>
      </c>
      <c r="E6418" s="26">
        <v>28</v>
      </c>
    </row>
    <row r="6419" spans="1:5" x14ac:dyDescent="0.25">
      <c r="A6419" s="24" t="s">
        <v>7</v>
      </c>
      <c r="B6419" s="24" t="s">
        <v>16968</v>
      </c>
      <c r="C6419" s="25" t="s">
        <v>3122</v>
      </c>
      <c r="D6419" s="25" t="s">
        <v>3118</v>
      </c>
      <c r="E6419" s="26">
        <v>16.57</v>
      </c>
    </row>
    <row r="6420" spans="1:5" x14ac:dyDescent="0.25">
      <c r="A6420" s="24" t="s">
        <v>7</v>
      </c>
      <c r="B6420" s="24" t="s">
        <v>16969</v>
      </c>
      <c r="C6420" s="25" t="s">
        <v>15320</v>
      </c>
      <c r="D6420" s="25" t="s">
        <v>3118</v>
      </c>
      <c r="E6420" s="26">
        <v>40</v>
      </c>
    </row>
    <row r="6421" spans="1:5" x14ac:dyDescent="0.25">
      <c r="A6421" s="24" t="s">
        <v>7</v>
      </c>
      <c r="B6421" s="24" t="s">
        <v>16970</v>
      </c>
      <c r="C6421" s="25" t="s">
        <v>3299</v>
      </c>
      <c r="D6421" s="25" t="s">
        <v>3299</v>
      </c>
      <c r="E6421" s="26">
        <v>25</v>
      </c>
    </row>
    <row r="6422" spans="1:5" x14ac:dyDescent="0.25">
      <c r="A6422" s="24" t="s">
        <v>7</v>
      </c>
      <c r="B6422" s="24" t="s">
        <v>16971</v>
      </c>
      <c r="C6422" s="25" t="s">
        <v>3301</v>
      </c>
      <c r="D6422" s="25" t="s">
        <v>3302</v>
      </c>
      <c r="E6422" s="26">
        <v>210</v>
      </c>
    </row>
    <row r="6423" spans="1:5" x14ac:dyDescent="0.25">
      <c r="A6423" s="24" t="s">
        <v>7</v>
      </c>
      <c r="B6423" s="24" t="s">
        <v>16972</v>
      </c>
      <c r="C6423" s="25" t="s">
        <v>3304</v>
      </c>
      <c r="D6423" s="25" t="s">
        <v>3304</v>
      </c>
      <c r="E6423" s="26">
        <v>26</v>
      </c>
    </row>
    <row r="6424" spans="1:5" x14ac:dyDescent="0.25">
      <c r="A6424" s="24" t="s">
        <v>7</v>
      </c>
      <c r="B6424" s="24" t="s">
        <v>16973</v>
      </c>
      <c r="C6424" s="25" t="s">
        <v>3312</v>
      </c>
      <c r="D6424" s="25" t="s">
        <v>3313</v>
      </c>
      <c r="E6424" s="26">
        <v>13</v>
      </c>
    </row>
    <row r="6425" spans="1:5" x14ac:dyDescent="0.25">
      <c r="A6425" s="24" t="s">
        <v>7</v>
      </c>
      <c r="B6425" s="24" t="s">
        <v>16974</v>
      </c>
      <c r="C6425" s="25" t="s">
        <v>16975</v>
      </c>
      <c r="D6425" s="25" t="s">
        <v>16976</v>
      </c>
      <c r="E6425" s="26">
        <v>45</v>
      </c>
    </row>
    <row r="6426" spans="1:5" x14ac:dyDescent="0.25">
      <c r="A6426" s="24" t="s">
        <v>7</v>
      </c>
      <c r="B6426" s="24" t="s">
        <v>16977</v>
      </c>
      <c r="C6426" s="25" t="s">
        <v>3395</v>
      </c>
      <c r="D6426" s="25" t="s">
        <v>3395</v>
      </c>
      <c r="E6426" s="26">
        <v>20</v>
      </c>
    </row>
    <row r="6427" spans="1:5" x14ac:dyDescent="0.25">
      <c r="A6427" s="24" t="s">
        <v>7</v>
      </c>
      <c r="B6427" s="24" t="s">
        <v>16978</v>
      </c>
      <c r="C6427" s="25" t="s">
        <v>3185</v>
      </c>
      <c r="D6427" s="25" t="s">
        <v>3118</v>
      </c>
      <c r="E6427" s="26">
        <v>25</v>
      </c>
    </row>
    <row r="6428" spans="1:5" x14ac:dyDescent="0.25">
      <c r="A6428" s="24" t="s">
        <v>7</v>
      </c>
      <c r="B6428" s="24" t="s">
        <v>16979</v>
      </c>
      <c r="C6428" s="25" t="s">
        <v>15291</v>
      </c>
      <c r="D6428" s="25" t="s">
        <v>15291</v>
      </c>
      <c r="E6428" s="26">
        <v>35</v>
      </c>
    </row>
    <row r="6429" spans="1:5" x14ac:dyDescent="0.25">
      <c r="A6429" s="24" t="s">
        <v>7</v>
      </c>
      <c r="B6429" s="24" t="s">
        <v>16980</v>
      </c>
      <c r="C6429" s="25" t="s">
        <v>16981</v>
      </c>
      <c r="D6429" s="25" t="s">
        <v>16981</v>
      </c>
      <c r="E6429" s="26">
        <v>40</v>
      </c>
    </row>
    <row r="6430" spans="1:5" x14ac:dyDescent="0.25">
      <c r="A6430" s="24" t="s">
        <v>7</v>
      </c>
      <c r="B6430" s="24" t="s">
        <v>16982</v>
      </c>
      <c r="C6430" s="25" t="s">
        <v>16983</v>
      </c>
      <c r="D6430" s="25" t="s">
        <v>16983</v>
      </c>
      <c r="E6430" s="26">
        <v>35</v>
      </c>
    </row>
    <row r="6431" spans="1:5" x14ac:dyDescent="0.25">
      <c r="A6431" s="24" t="s">
        <v>7</v>
      </c>
      <c r="B6431" s="24" t="s">
        <v>16984</v>
      </c>
      <c r="C6431" s="25" t="s">
        <v>3410</v>
      </c>
      <c r="D6431" s="25" t="s">
        <v>3411</v>
      </c>
      <c r="E6431" s="26">
        <v>21</v>
      </c>
    </row>
    <row r="6432" spans="1:5" x14ac:dyDescent="0.25">
      <c r="A6432" s="24" t="s">
        <v>7</v>
      </c>
      <c r="B6432" s="24" t="s">
        <v>16985</v>
      </c>
      <c r="C6432" s="25" t="s">
        <v>3413</v>
      </c>
      <c r="D6432" s="25" t="s">
        <v>3414</v>
      </c>
      <c r="E6432" s="26">
        <v>21</v>
      </c>
    </row>
    <row r="6433" spans="1:5" x14ac:dyDescent="0.25">
      <c r="A6433" s="24" t="s">
        <v>7</v>
      </c>
      <c r="B6433" s="24" t="s">
        <v>16986</v>
      </c>
      <c r="C6433" s="25" t="s">
        <v>15932</v>
      </c>
      <c r="D6433" s="25" t="s">
        <v>15933</v>
      </c>
      <c r="E6433" s="26">
        <v>35</v>
      </c>
    </row>
    <row r="6434" spans="1:5" x14ac:dyDescent="0.25">
      <c r="A6434" s="24" t="s">
        <v>7</v>
      </c>
      <c r="B6434" s="24" t="s">
        <v>16987</v>
      </c>
      <c r="C6434" s="25" t="s">
        <v>3425</v>
      </c>
      <c r="D6434" s="25" t="s">
        <v>3425</v>
      </c>
      <c r="E6434" s="26">
        <v>30</v>
      </c>
    </row>
    <row r="6435" spans="1:5" x14ac:dyDescent="0.25">
      <c r="A6435" s="24" t="s">
        <v>7</v>
      </c>
      <c r="B6435" s="24" t="s">
        <v>16988</v>
      </c>
      <c r="C6435" s="25" t="s">
        <v>16989</v>
      </c>
      <c r="D6435" s="25" t="s">
        <v>16990</v>
      </c>
      <c r="E6435" s="26">
        <v>46</v>
      </c>
    </row>
    <row r="6436" spans="1:5" x14ac:dyDescent="0.25">
      <c r="A6436" s="24" t="s">
        <v>7</v>
      </c>
      <c r="B6436" s="24" t="s">
        <v>16991</v>
      </c>
      <c r="C6436" s="25" t="s">
        <v>16992</v>
      </c>
      <c r="D6436" s="25" t="s">
        <v>16992</v>
      </c>
      <c r="E6436" s="26">
        <v>15</v>
      </c>
    </row>
    <row r="6437" spans="1:5" x14ac:dyDescent="0.25">
      <c r="A6437" s="24" t="s">
        <v>7</v>
      </c>
      <c r="B6437" s="24" t="s">
        <v>16993</v>
      </c>
      <c r="C6437" s="25" t="s">
        <v>16994</v>
      </c>
      <c r="D6437" s="25" t="s">
        <v>16995</v>
      </c>
      <c r="E6437" s="26">
        <v>15</v>
      </c>
    </row>
    <row r="6438" spans="1:5" x14ac:dyDescent="0.25">
      <c r="A6438" s="24" t="s">
        <v>7</v>
      </c>
      <c r="B6438" s="24" t="s">
        <v>16996</v>
      </c>
      <c r="C6438" s="25" t="s">
        <v>3453</v>
      </c>
      <c r="D6438" s="25" t="s">
        <v>3453</v>
      </c>
      <c r="E6438" s="26">
        <v>26</v>
      </c>
    </row>
    <row r="6439" spans="1:5" x14ac:dyDescent="0.25">
      <c r="A6439" s="24" t="s">
        <v>7</v>
      </c>
      <c r="B6439" s="24" t="s">
        <v>16997</v>
      </c>
      <c r="C6439" s="25" t="s">
        <v>16998</v>
      </c>
      <c r="D6439" s="25" t="s">
        <v>16998</v>
      </c>
      <c r="E6439" s="26">
        <v>26</v>
      </c>
    </row>
    <row r="6440" spans="1:5" x14ac:dyDescent="0.25">
      <c r="A6440" s="24" t="s">
        <v>7</v>
      </c>
      <c r="B6440" s="24" t="s">
        <v>16999</v>
      </c>
      <c r="C6440" s="25" t="s">
        <v>3459</v>
      </c>
      <c r="D6440" s="25" t="s">
        <v>3449</v>
      </c>
      <c r="E6440" s="26">
        <v>13</v>
      </c>
    </row>
    <row r="6441" spans="1:5" x14ac:dyDescent="0.25">
      <c r="A6441" s="24" t="s">
        <v>7</v>
      </c>
      <c r="B6441" s="24" t="s">
        <v>17000</v>
      </c>
      <c r="C6441" s="25" t="s">
        <v>17001</v>
      </c>
      <c r="D6441" s="25" t="s">
        <v>17001</v>
      </c>
      <c r="E6441" s="26">
        <v>32</v>
      </c>
    </row>
    <row r="6442" spans="1:5" x14ac:dyDescent="0.25">
      <c r="A6442" s="24" t="s">
        <v>7</v>
      </c>
      <c r="B6442" s="24" t="s">
        <v>17002</v>
      </c>
      <c r="C6442" s="25" t="s">
        <v>3473</v>
      </c>
      <c r="D6442" s="25" t="s">
        <v>3473</v>
      </c>
      <c r="E6442" s="26">
        <v>14</v>
      </c>
    </row>
    <row r="6443" spans="1:5" x14ac:dyDescent="0.25">
      <c r="A6443" s="24" t="s">
        <v>7</v>
      </c>
      <c r="B6443" s="24" t="s">
        <v>17003</v>
      </c>
      <c r="C6443" s="25" t="s">
        <v>3493</v>
      </c>
      <c r="D6443" s="25" t="s">
        <v>3493</v>
      </c>
      <c r="E6443" s="26">
        <v>35</v>
      </c>
    </row>
    <row r="6444" spans="1:5" x14ac:dyDescent="0.25">
      <c r="A6444" s="24" t="s">
        <v>7</v>
      </c>
      <c r="B6444" s="24" t="s">
        <v>17004</v>
      </c>
      <c r="C6444" s="25" t="s">
        <v>3540</v>
      </c>
      <c r="D6444" s="25" t="s">
        <v>3540</v>
      </c>
      <c r="E6444" s="26">
        <v>30</v>
      </c>
    </row>
    <row r="6445" spans="1:5" x14ac:dyDescent="0.25">
      <c r="A6445" s="24" t="s">
        <v>7</v>
      </c>
      <c r="B6445" s="24" t="s">
        <v>17005</v>
      </c>
      <c r="C6445" s="25" t="s">
        <v>3563</v>
      </c>
      <c r="D6445" s="25" t="s">
        <v>3564</v>
      </c>
      <c r="E6445" s="26">
        <v>20</v>
      </c>
    </row>
    <row r="6446" spans="1:5" x14ac:dyDescent="0.25">
      <c r="A6446" s="24" t="s">
        <v>7</v>
      </c>
      <c r="B6446" s="24" t="s">
        <v>17006</v>
      </c>
      <c r="C6446" s="25" t="s">
        <v>16056</v>
      </c>
      <c r="D6446" s="25" t="s">
        <v>16057</v>
      </c>
      <c r="E6446" s="26">
        <v>52</v>
      </c>
    </row>
    <row r="6447" spans="1:5" x14ac:dyDescent="0.25">
      <c r="A6447" s="24" t="s">
        <v>7</v>
      </c>
      <c r="B6447" s="24" t="s">
        <v>17007</v>
      </c>
      <c r="C6447" s="25" t="s">
        <v>16059</v>
      </c>
      <c r="D6447" s="25" t="s">
        <v>16060</v>
      </c>
      <c r="E6447" s="26">
        <v>60</v>
      </c>
    </row>
    <row r="6448" spans="1:5" x14ac:dyDescent="0.25">
      <c r="A6448" s="24" t="s">
        <v>7</v>
      </c>
      <c r="B6448" s="24" t="s">
        <v>17008</v>
      </c>
      <c r="C6448" s="25" t="s">
        <v>16062</v>
      </c>
      <c r="D6448" s="25" t="s">
        <v>16063</v>
      </c>
      <c r="E6448" s="26">
        <v>60</v>
      </c>
    </row>
    <row r="6449" spans="1:5" x14ac:dyDescent="0.25">
      <c r="A6449" s="24" t="s">
        <v>7</v>
      </c>
      <c r="B6449" s="24" t="s">
        <v>17009</v>
      </c>
      <c r="C6449" s="25" t="s">
        <v>17010</v>
      </c>
      <c r="D6449" s="25" t="s">
        <v>17011</v>
      </c>
      <c r="E6449" s="26">
        <v>82</v>
      </c>
    </row>
    <row r="6450" spans="1:5" x14ac:dyDescent="0.25">
      <c r="A6450" s="24" t="s">
        <v>7</v>
      </c>
      <c r="B6450" s="24" t="s">
        <v>17012</v>
      </c>
      <c r="C6450" s="25" t="s">
        <v>16065</v>
      </c>
      <c r="D6450" s="25" t="s">
        <v>16066</v>
      </c>
      <c r="E6450" s="26">
        <v>46</v>
      </c>
    </row>
    <row r="6451" spans="1:5" x14ac:dyDescent="0.25">
      <c r="A6451" s="24" t="s">
        <v>7</v>
      </c>
      <c r="B6451" s="24" t="s">
        <v>17013</v>
      </c>
      <c r="C6451" s="25" t="s">
        <v>16068</v>
      </c>
      <c r="D6451" s="25" t="s">
        <v>16069</v>
      </c>
      <c r="E6451" s="26">
        <v>103</v>
      </c>
    </row>
    <row r="6452" spans="1:5" x14ac:dyDescent="0.25">
      <c r="A6452" s="24" t="s">
        <v>7</v>
      </c>
      <c r="B6452" s="24" t="s">
        <v>17014</v>
      </c>
      <c r="C6452" s="25" t="s">
        <v>17015</v>
      </c>
      <c r="D6452" s="25" t="s">
        <v>17016</v>
      </c>
      <c r="E6452" s="26">
        <v>70</v>
      </c>
    </row>
    <row r="6453" spans="1:5" x14ac:dyDescent="0.25">
      <c r="A6453" s="24" t="s">
        <v>7</v>
      </c>
      <c r="B6453" s="24" t="s">
        <v>17017</v>
      </c>
      <c r="C6453" s="25" t="s">
        <v>16074</v>
      </c>
      <c r="D6453" s="25" t="s">
        <v>16075</v>
      </c>
      <c r="E6453" s="26">
        <v>70</v>
      </c>
    </row>
    <row r="6454" spans="1:5" x14ac:dyDescent="0.25">
      <c r="A6454" s="24" t="s">
        <v>7</v>
      </c>
      <c r="B6454" s="24" t="s">
        <v>17018</v>
      </c>
      <c r="C6454" s="25" t="s">
        <v>16077</v>
      </c>
      <c r="D6454" s="25" t="s">
        <v>16078</v>
      </c>
      <c r="E6454" s="26">
        <v>68</v>
      </c>
    </row>
    <row r="6455" spans="1:5" x14ac:dyDescent="0.25">
      <c r="A6455" s="24" t="s">
        <v>7</v>
      </c>
      <c r="B6455" s="24" t="s">
        <v>17019</v>
      </c>
      <c r="C6455" s="25" t="s">
        <v>16080</v>
      </c>
      <c r="D6455" s="25" t="s">
        <v>16081</v>
      </c>
      <c r="E6455" s="26">
        <v>70</v>
      </c>
    </row>
    <row r="6456" spans="1:5" x14ac:dyDescent="0.25">
      <c r="A6456" s="24" t="s">
        <v>7</v>
      </c>
      <c r="B6456" s="24" t="s">
        <v>17020</v>
      </c>
      <c r="C6456" s="25" t="s">
        <v>16083</v>
      </c>
      <c r="D6456" s="25" t="s">
        <v>16084</v>
      </c>
      <c r="E6456" s="26">
        <v>70</v>
      </c>
    </row>
    <row r="6457" spans="1:5" x14ac:dyDescent="0.25">
      <c r="A6457" s="24" t="s">
        <v>7</v>
      </c>
      <c r="B6457" s="24" t="s">
        <v>17021</v>
      </c>
      <c r="C6457" s="25" t="s">
        <v>16089</v>
      </c>
      <c r="D6457" s="25" t="s">
        <v>15362</v>
      </c>
      <c r="E6457" s="26">
        <v>24</v>
      </c>
    </row>
    <row r="6458" spans="1:5" x14ac:dyDescent="0.25">
      <c r="A6458" s="24" t="s">
        <v>7</v>
      </c>
      <c r="B6458" s="24" t="s">
        <v>17022</v>
      </c>
      <c r="C6458" s="25" t="s">
        <v>17023</v>
      </c>
      <c r="D6458" s="25" t="s">
        <v>17023</v>
      </c>
      <c r="E6458" s="26">
        <v>16</v>
      </c>
    </row>
    <row r="6459" spans="1:5" x14ac:dyDescent="0.25">
      <c r="A6459" s="24" t="s">
        <v>7</v>
      </c>
      <c r="B6459" s="24" t="s">
        <v>17024</v>
      </c>
      <c r="C6459" s="25" t="s">
        <v>3583</v>
      </c>
      <c r="D6459" s="25" t="s">
        <v>3584</v>
      </c>
      <c r="E6459" s="26">
        <v>85</v>
      </c>
    </row>
    <row r="6460" spans="1:5" x14ac:dyDescent="0.25">
      <c r="A6460" s="24" t="s">
        <v>7</v>
      </c>
      <c r="B6460" s="24" t="s">
        <v>17025</v>
      </c>
      <c r="C6460" s="25" t="s">
        <v>3592</v>
      </c>
      <c r="D6460" s="25" t="s">
        <v>3593</v>
      </c>
      <c r="E6460" s="26">
        <v>15</v>
      </c>
    </row>
    <row r="6461" spans="1:5" x14ac:dyDescent="0.25">
      <c r="A6461" s="24" t="s">
        <v>7</v>
      </c>
      <c r="B6461" s="24" t="s">
        <v>17026</v>
      </c>
      <c r="C6461" s="25" t="s">
        <v>3600</v>
      </c>
      <c r="D6461" s="25" t="s">
        <v>3600</v>
      </c>
      <c r="E6461" s="26">
        <v>50</v>
      </c>
    </row>
    <row r="6462" spans="1:5" x14ac:dyDescent="0.25">
      <c r="A6462" s="24" t="s">
        <v>7</v>
      </c>
      <c r="B6462" s="24" t="s">
        <v>17027</v>
      </c>
      <c r="C6462" s="25" t="s">
        <v>3605</v>
      </c>
      <c r="D6462" s="25" t="s">
        <v>3606</v>
      </c>
      <c r="E6462" s="26">
        <v>52.5</v>
      </c>
    </row>
    <row r="6463" spans="1:5" x14ac:dyDescent="0.25">
      <c r="A6463" s="24" t="s">
        <v>7</v>
      </c>
      <c r="B6463" s="24" t="s">
        <v>17028</v>
      </c>
      <c r="C6463" s="25" t="s">
        <v>3608</v>
      </c>
      <c r="D6463" s="25" t="s">
        <v>3606</v>
      </c>
      <c r="E6463" s="26">
        <v>36.659999999999997</v>
      </c>
    </row>
    <row r="6464" spans="1:5" x14ac:dyDescent="0.25">
      <c r="A6464" s="24" t="s">
        <v>7</v>
      </c>
      <c r="B6464" s="24" t="s">
        <v>17029</v>
      </c>
      <c r="C6464" s="25" t="s">
        <v>3610</v>
      </c>
      <c r="D6464" s="25" t="s">
        <v>3606</v>
      </c>
      <c r="E6464" s="26">
        <v>24.91</v>
      </c>
    </row>
    <row r="6465" spans="1:5" x14ac:dyDescent="0.25">
      <c r="A6465" s="24" t="s">
        <v>7</v>
      </c>
      <c r="B6465" s="24" t="s">
        <v>17030</v>
      </c>
      <c r="C6465" s="25" t="s">
        <v>3614</v>
      </c>
      <c r="D6465" s="25" t="s">
        <v>3615</v>
      </c>
      <c r="E6465" s="26">
        <v>13</v>
      </c>
    </row>
    <row r="6466" spans="1:5" x14ac:dyDescent="0.25">
      <c r="A6466" s="24" t="s">
        <v>7</v>
      </c>
      <c r="B6466" s="24" t="s">
        <v>17031</v>
      </c>
      <c r="C6466" s="25" t="s">
        <v>16124</v>
      </c>
      <c r="D6466" s="25" t="s">
        <v>16125</v>
      </c>
      <c r="E6466" s="26">
        <v>27</v>
      </c>
    </row>
    <row r="6467" spans="1:5" x14ac:dyDescent="0.25">
      <c r="A6467" s="24" t="s">
        <v>7</v>
      </c>
      <c r="B6467" s="24" t="s">
        <v>17032</v>
      </c>
      <c r="C6467" s="25" t="s">
        <v>3667</v>
      </c>
      <c r="D6467" s="25" t="s">
        <v>3668</v>
      </c>
      <c r="E6467" s="26">
        <v>35</v>
      </c>
    </row>
    <row r="6468" spans="1:5" x14ac:dyDescent="0.25">
      <c r="A6468" s="24" t="s">
        <v>7</v>
      </c>
      <c r="B6468" s="24" t="s">
        <v>17033</v>
      </c>
      <c r="C6468" s="25" t="s">
        <v>16621</v>
      </c>
      <c r="D6468" s="25" t="s">
        <v>3742</v>
      </c>
      <c r="E6468" s="26">
        <v>15</v>
      </c>
    </row>
    <row r="6469" spans="1:5" x14ac:dyDescent="0.25">
      <c r="A6469" s="24" t="s">
        <v>7</v>
      </c>
      <c r="B6469" s="24" t="s">
        <v>17034</v>
      </c>
      <c r="C6469" s="25" t="s">
        <v>3875</v>
      </c>
      <c r="D6469" s="25" t="s">
        <v>3876</v>
      </c>
      <c r="E6469" s="26">
        <v>15</v>
      </c>
    </row>
    <row r="6470" spans="1:5" x14ac:dyDescent="0.25">
      <c r="A6470" s="24" t="s">
        <v>7</v>
      </c>
      <c r="B6470" s="24" t="s">
        <v>17035</v>
      </c>
      <c r="C6470" s="25" t="s">
        <v>16792</v>
      </c>
      <c r="D6470" s="25" t="s">
        <v>16793</v>
      </c>
      <c r="E6470" s="26">
        <v>330.81</v>
      </c>
    </row>
    <row r="6471" spans="1:5" x14ac:dyDescent="0.25">
      <c r="A6471" s="24" t="s">
        <v>7</v>
      </c>
      <c r="B6471" s="24" t="s">
        <v>17036</v>
      </c>
      <c r="C6471" s="25" t="s">
        <v>17037</v>
      </c>
      <c r="D6471" s="25" t="s">
        <v>17038</v>
      </c>
      <c r="E6471" s="26">
        <v>260</v>
      </c>
    </row>
    <row r="6472" spans="1:5" x14ac:dyDescent="0.25">
      <c r="A6472" s="24" t="s">
        <v>7</v>
      </c>
      <c r="B6472" s="24" t="s">
        <v>17039</v>
      </c>
      <c r="C6472" s="25" t="s">
        <v>17040</v>
      </c>
      <c r="D6472" s="25" t="s">
        <v>15352</v>
      </c>
      <c r="E6472" s="26">
        <v>20</v>
      </c>
    </row>
    <row r="6473" spans="1:5" x14ac:dyDescent="0.25">
      <c r="A6473" s="24" t="s">
        <v>7</v>
      </c>
      <c r="B6473" s="24" t="s">
        <v>17041</v>
      </c>
      <c r="C6473" s="25" t="s">
        <v>15250</v>
      </c>
      <c r="D6473" s="25" t="s">
        <v>15250</v>
      </c>
      <c r="E6473" s="26">
        <v>33.85</v>
      </c>
    </row>
    <row r="6474" spans="1:5" x14ac:dyDescent="0.25">
      <c r="A6474" s="24" t="s">
        <v>7</v>
      </c>
      <c r="B6474" s="24" t="s">
        <v>17042</v>
      </c>
      <c r="C6474" s="25" t="s">
        <v>15303</v>
      </c>
      <c r="D6474" s="25" t="s">
        <v>15304</v>
      </c>
      <c r="E6474" s="26">
        <v>11</v>
      </c>
    </row>
    <row r="6475" spans="1:5" x14ac:dyDescent="0.25">
      <c r="A6475" s="24" t="s">
        <v>7</v>
      </c>
      <c r="B6475" s="24" t="s">
        <v>17043</v>
      </c>
      <c r="C6475" s="25" t="s">
        <v>17044</v>
      </c>
      <c r="D6475" s="25" t="s">
        <v>17045</v>
      </c>
      <c r="E6475" s="26">
        <v>130</v>
      </c>
    </row>
    <row r="6476" spans="1:5" x14ac:dyDescent="0.25">
      <c r="A6476" s="24" t="s">
        <v>7</v>
      </c>
      <c r="B6476" s="24" t="s">
        <v>17046</v>
      </c>
      <c r="C6476" s="25" t="s">
        <v>17047</v>
      </c>
      <c r="D6476" s="25" t="s">
        <v>17048</v>
      </c>
      <c r="E6476" s="26">
        <v>125</v>
      </c>
    </row>
    <row r="6477" spans="1:5" x14ac:dyDescent="0.25">
      <c r="A6477" s="24" t="s">
        <v>7</v>
      </c>
      <c r="B6477" s="24" t="s">
        <v>17049</v>
      </c>
      <c r="C6477" s="25" t="s">
        <v>17050</v>
      </c>
      <c r="D6477" s="25" t="s">
        <v>17051</v>
      </c>
      <c r="E6477" s="26">
        <v>100</v>
      </c>
    </row>
    <row r="6478" spans="1:5" x14ac:dyDescent="0.25">
      <c r="A6478" s="24" t="s">
        <v>7</v>
      </c>
      <c r="B6478" s="24" t="s">
        <v>17052</v>
      </c>
      <c r="C6478" s="25" t="s">
        <v>17053</v>
      </c>
      <c r="D6478" s="25" t="s">
        <v>17054</v>
      </c>
      <c r="E6478" s="26">
        <v>1600</v>
      </c>
    </row>
    <row r="6479" spans="1:5" x14ac:dyDescent="0.25">
      <c r="A6479" s="24" t="s">
        <v>7</v>
      </c>
      <c r="B6479" s="24" t="s">
        <v>17055</v>
      </c>
      <c r="C6479" s="25" t="s">
        <v>17056</v>
      </c>
      <c r="D6479" s="25" t="s">
        <v>17057</v>
      </c>
      <c r="E6479" s="26">
        <v>2600</v>
      </c>
    </row>
    <row r="6480" spans="1:5" x14ac:dyDescent="0.25">
      <c r="A6480" s="24" t="s">
        <v>7</v>
      </c>
      <c r="B6480" s="24" t="s">
        <v>17058</v>
      </c>
      <c r="C6480" s="25" t="s">
        <v>15457</v>
      </c>
      <c r="D6480" s="25" t="s">
        <v>15458</v>
      </c>
      <c r="E6480" s="26">
        <v>213</v>
      </c>
    </row>
    <row r="6481" spans="1:5" x14ac:dyDescent="0.25">
      <c r="A6481" s="24" t="s">
        <v>7</v>
      </c>
      <c r="B6481" s="24" t="s">
        <v>17059</v>
      </c>
      <c r="C6481" s="25" t="s">
        <v>17060</v>
      </c>
      <c r="D6481" s="25" t="s">
        <v>17061</v>
      </c>
      <c r="E6481" s="26">
        <v>175</v>
      </c>
    </row>
    <row r="6482" spans="1:5" x14ac:dyDescent="0.25">
      <c r="A6482" s="24" t="s">
        <v>7</v>
      </c>
      <c r="B6482" s="24" t="s">
        <v>17062</v>
      </c>
      <c r="C6482" s="25" t="s">
        <v>15195</v>
      </c>
      <c r="D6482" s="25" t="s">
        <v>15196</v>
      </c>
      <c r="E6482" s="26">
        <v>125</v>
      </c>
    </row>
    <row r="6483" spans="1:5" x14ac:dyDescent="0.25">
      <c r="A6483" s="24" t="s">
        <v>7</v>
      </c>
      <c r="B6483" s="24" t="s">
        <v>17063</v>
      </c>
      <c r="C6483" s="25" t="s">
        <v>17064</v>
      </c>
      <c r="D6483" s="25" t="s">
        <v>17065</v>
      </c>
      <c r="E6483" s="26">
        <v>443</v>
      </c>
    </row>
    <row r="6484" spans="1:5" x14ac:dyDescent="0.25">
      <c r="A6484" s="24" t="s">
        <v>7</v>
      </c>
      <c r="B6484" s="24" t="s">
        <v>17066</v>
      </c>
      <c r="C6484" s="25" t="s">
        <v>17067</v>
      </c>
      <c r="D6484" s="25" t="s">
        <v>17068</v>
      </c>
      <c r="E6484" s="26">
        <v>180</v>
      </c>
    </row>
    <row r="6485" spans="1:5" x14ac:dyDescent="0.25">
      <c r="A6485" s="24" t="s">
        <v>7</v>
      </c>
      <c r="B6485" s="24" t="s">
        <v>17069</v>
      </c>
      <c r="C6485" s="25" t="s">
        <v>17070</v>
      </c>
      <c r="D6485" s="25" t="s">
        <v>17071</v>
      </c>
      <c r="E6485" s="26">
        <v>180</v>
      </c>
    </row>
    <row r="6486" spans="1:5" x14ac:dyDescent="0.25">
      <c r="A6486" s="24" t="s">
        <v>7</v>
      </c>
      <c r="B6486" s="24" t="s">
        <v>17072</v>
      </c>
      <c r="C6486" s="25" t="s">
        <v>17073</v>
      </c>
      <c r="D6486" s="25" t="s">
        <v>17074</v>
      </c>
      <c r="E6486" s="26">
        <v>260</v>
      </c>
    </row>
    <row r="6487" spans="1:5" x14ac:dyDescent="0.25">
      <c r="A6487" s="24" t="s">
        <v>7</v>
      </c>
      <c r="B6487" s="24" t="s">
        <v>17075</v>
      </c>
      <c r="C6487" s="25" t="s">
        <v>15489</v>
      </c>
      <c r="D6487" s="25" t="s">
        <v>15490</v>
      </c>
      <c r="E6487" s="26">
        <v>160</v>
      </c>
    </row>
    <row r="6488" spans="1:5" x14ac:dyDescent="0.25">
      <c r="A6488" s="24" t="s">
        <v>7</v>
      </c>
      <c r="B6488" s="24" t="s">
        <v>17076</v>
      </c>
      <c r="C6488" s="25" t="s">
        <v>15492</v>
      </c>
      <c r="D6488" s="25" t="s">
        <v>15493</v>
      </c>
      <c r="E6488" s="26">
        <v>175</v>
      </c>
    </row>
    <row r="6489" spans="1:5" x14ac:dyDescent="0.25">
      <c r="A6489" s="24" t="s">
        <v>7</v>
      </c>
      <c r="B6489" s="24" t="s">
        <v>17077</v>
      </c>
      <c r="C6489" s="25" t="s">
        <v>17078</v>
      </c>
      <c r="D6489" s="25" t="s">
        <v>17079</v>
      </c>
      <c r="E6489" s="26">
        <v>2400</v>
      </c>
    </row>
    <row r="6490" spans="1:5" x14ac:dyDescent="0.25">
      <c r="A6490" s="24" t="s">
        <v>7</v>
      </c>
      <c r="B6490" s="24" t="s">
        <v>17080</v>
      </c>
      <c r="C6490" s="25" t="s">
        <v>15515</v>
      </c>
      <c r="D6490" s="25" t="s">
        <v>15516</v>
      </c>
      <c r="E6490" s="26">
        <v>338</v>
      </c>
    </row>
    <row r="6491" spans="1:5" x14ac:dyDescent="0.25">
      <c r="A6491" s="24" t="s">
        <v>7</v>
      </c>
      <c r="B6491" s="24" t="s">
        <v>17081</v>
      </c>
      <c r="C6491" s="25" t="s">
        <v>17082</v>
      </c>
      <c r="D6491" s="25" t="s">
        <v>17082</v>
      </c>
      <c r="E6491" s="26">
        <v>385</v>
      </c>
    </row>
    <row r="6492" spans="1:5" x14ac:dyDescent="0.25">
      <c r="A6492" s="24" t="s">
        <v>7</v>
      </c>
      <c r="B6492" s="24" t="s">
        <v>17083</v>
      </c>
      <c r="C6492" s="25" t="s">
        <v>17084</v>
      </c>
      <c r="D6492" s="25" t="s">
        <v>17085</v>
      </c>
      <c r="E6492" s="26">
        <v>70</v>
      </c>
    </row>
    <row r="6493" spans="1:5" x14ac:dyDescent="0.25">
      <c r="A6493" s="24" t="s">
        <v>7</v>
      </c>
      <c r="B6493" s="24" t="s">
        <v>17086</v>
      </c>
      <c r="C6493" s="25" t="s">
        <v>17087</v>
      </c>
      <c r="D6493" s="25" t="s">
        <v>17088</v>
      </c>
      <c r="E6493" s="26">
        <v>335</v>
      </c>
    </row>
    <row r="6494" spans="1:5" x14ac:dyDescent="0.25">
      <c r="A6494" s="24" t="s">
        <v>7</v>
      </c>
      <c r="B6494" s="24" t="s">
        <v>17089</v>
      </c>
      <c r="C6494" s="25" t="s">
        <v>17090</v>
      </c>
      <c r="D6494" s="25" t="s">
        <v>17091</v>
      </c>
      <c r="E6494" s="26">
        <v>335</v>
      </c>
    </row>
    <row r="6495" spans="1:5" x14ac:dyDescent="0.25">
      <c r="A6495" s="24" t="s">
        <v>7</v>
      </c>
      <c r="B6495" s="24" t="s">
        <v>17092</v>
      </c>
      <c r="C6495" s="25" t="s">
        <v>17093</v>
      </c>
      <c r="D6495" s="25" t="s">
        <v>17094</v>
      </c>
      <c r="E6495" s="26">
        <v>335</v>
      </c>
    </row>
    <row r="6496" spans="1:5" x14ac:dyDescent="0.25">
      <c r="A6496" s="24" t="s">
        <v>7</v>
      </c>
      <c r="B6496" s="24" t="s">
        <v>17095</v>
      </c>
      <c r="C6496" s="25" t="s">
        <v>17096</v>
      </c>
      <c r="D6496" s="25" t="s">
        <v>17097</v>
      </c>
      <c r="E6496" s="26">
        <v>300</v>
      </c>
    </row>
    <row r="6497" spans="1:5" x14ac:dyDescent="0.25">
      <c r="A6497" s="24" t="s">
        <v>7</v>
      </c>
      <c r="B6497" s="24" t="s">
        <v>17098</v>
      </c>
      <c r="C6497" s="25" t="s">
        <v>17099</v>
      </c>
      <c r="D6497" s="25" t="s">
        <v>17100</v>
      </c>
      <c r="E6497" s="26">
        <v>335</v>
      </c>
    </row>
    <row r="6498" spans="1:5" x14ac:dyDescent="0.25">
      <c r="A6498" s="24" t="s">
        <v>7</v>
      </c>
      <c r="B6498" s="24" t="s">
        <v>17101</v>
      </c>
      <c r="C6498" s="25" t="s">
        <v>17102</v>
      </c>
      <c r="D6498" s="25" t="s">
        <v>17103</v>
      </c>
      <c r="E6498" s="26">
        <v>335</v>
      </c>
    </row>
    <row r="6499" spans="1:5" x14ac:dyDescent="0.25">
      <c r="A6499" s="24" t="s">
        <v>7</v>
      </c>
      <c r="B6499" s="24" t="s">
        <v>17104</v>
      </c>
      <c r="C6499" s="25" t="s">
        <v>17105</v>
      </c>
      <c r="D6499" s="25" t="s">
        <v>17106</v>
      </c>
      <c r="E6499" s="26">
        <v>335</v>
      </c>
    </row>
    <row r="6500" spans="1:5" x14ac:dyDescent="0.25">
      <c r="A6500" s="24" t="s">
        <v>7</v>
      </c>
      <c r="B6500" s="24" t="s">
        <v>17107</v>
      </c>
      <c r="C6500" s="25" t="s">
        <v>17108</v>
      </c>
      <c r="D6500" s="25" t="s">
        <v>17109</v>
      </c>
      <c r="E6500" s="26">
        <v>335</v>
      </c>
    </row>
    <row r="6501" spans="1:5" x14ac:dyDescent="0.25">
      <c r="A6501" s="24" t="s">
        <v>7</v>
      </c>
      <c r="B6501" s="24" t="s">
        <v>17110</v>
      </c>
      <c r="C6501" s="25" t="s">
        <v>17111</v>
      </c>
      <c r="D6501" s="25" t="s">
        <v>17112</v>
      </c>
      <c r="E6501" s="26">
        <v>335</v>
      </c>
    </row>
    <row r="6502" spans="1:5" x14ac:dyDescent="0.25">
      <c r="A6502" s="24" t="s">
        <v>7</v>
      </c>
      <c r="B6502" s="24" t="s">
        <v>17113</v>
      </c>
      <c r="C6502" s="25" t="s">
        <v>4072</v>
      </c>
      <c r="D6502" s="25" t="s">
        <v>4073</v>
      </c>
      <c r="E6502" s="26">
        <v>44</v>
      </c>
    </row>
    <row r="6503" spans="1:5" x14ac:dyDescent="0.25">
      <c r="A6503" s="24" t="s">
        <v>7</v>
      </c>
      <c r="B6503" s="24" t="s">
        <v>17114</v>
      </c>
      <c r="C6503" s="25" t="s">
        <v>17115</v>
      </c>
      <c r="D6503" s="25" t="s">
        <v>17116</v>
      </c>
      <c r="E6503" s="26">
        <v>50</v>
      </c>
    </row>
    <row r="6504" spans="1:5" x14ac:dyDescent="0.25">
      <c r="A6504" s="24" t="s">
        <v>7</v>
      </c>
      <c r="B6504" s="24" t="s">
        <v>17117</v>
      </c>
      <c r="C6504" s="25" t="s">
        <v>17118</v>
      </c>
      <c r="D6504" s="25" t="s">
        <v>17119</v>
      </c>
      <c r="E6504" s="26">
        <v>45</v>
      </c>
    </row>
    <row r="6505" spans="1:5" x14ac:dyDescent="0.25">
      <c r="A6505" s="24" t="s">
        <v>7</v>
      </c>
      <c r="B6505" s="24" t="s">
        <v>17120</v>
      </c>
      <c r="C6505" s="25" t="s">
        <v>16789</v>
      </c>
      <c r="D6505" s="25" t="s">
        <v>16790</v>
      </c>
      <c r="E6505" s="26">
        <v>45</v>
      </c>
    </row>
    <row r="6506" spans="1:5" x14ac:dyDescent="0.25">
      <c r="A6506" s="24" t="s">
        <v>7</v>
      </c>
      <c r="B6506" s="24" t="s">
        <v>17121</v>
      </c>
      <c r="C6506" s="25" t="s">
        <v>17122</v>
      </c>
      <c r="D6506" s="25" t="s">
        <v>17085</v>
      </c>
      <c r="E6506" s="26">
        <v>260</v>
      </c>
    </row>
    <row r="6507" spans="1:5" x14ac:dyDescent="0.25">
      <c r="A6507" s="24" t="s">
        <v>7</v>
      </c>
      <c r="B6507" s="24" t="s">
        <v>17123</v>
      </c>
      <c r="C6507" s="25" t="s">
        <v>17124</v>
      </c>
      <c r="D6507" s="25" t="s">
        <v>17125</v>
      </c>
      <c r="E6507" s="26">
        <v>280</v>
      </c>
    </row>
    <row r="6508" spans="1:5" x14ac:dyDescent="0.25">
      <c r="A6508" s="24" t="s">
        <v>7</v>
      </c>
      <c r="B6508" s="24" t="s">
        <v>17126</v>
      </c>
      <c r="C6508" s="25" t="s">
        <v>16883</v>
      </c>
      <c r="D6508" s="25" t="s">
        <v>16883</v>
      </c>
      <c r="E6508" s="26">
        <v>160</v>
      </c>
    </row>
    <row r="6509" spans="1:5" x14ac:dyDescent="0.25">
      <c r="A6509" s="24" t="s">
        <v>7</v>
      </c>
      <c r="B6509" s="24" t="s">
        <v>17127</v>
      </c>
      <c r="C6509" s="25" t="s">
        <v>15263</v>
      </c>
      <c r="D6509" s="25" t="s">
        <v>15264</v>
      </c>
      <c r="E6509" s="26">
        <v>19.75</v>
      </c>
    </row>
    <row r="6510" spans="1:5" x14ac:dyDescent="0.25">
      <c r="A6510" s="24" t="s">
        <v>7</v>
      </c>
      <c r="B6510" s="24" t="s">
        <v>17128</v>
      </c>
      <c r="C6510" s="25" t="s">
        <v>17129</v>
      </c>
      <c r="D6510" s="25" t="s">
        <v>17130</v>
      </c>
      <c r="E6510" s="26">
        <v>225</v>
      </c>
    </row>
    <row r="6511" spans="1:5" x14ac:dyDescent="0.25">
      <c r="A6511" s="24" t="s">
        <v>7</v>
      </c>
      <c r="B6511" s="24" t="s">
        <v>17131</v>
      </c>
      <c r="C6511" s="25" t="s">
        <v>17132</v>
      </c>
      <c r="D6511" s="25" t="s">
        <v>17133</v>
      </c>
      <c r="E6511" s="26">
        <v>18.25</v>
      </c>
    </row>
    <row r="6512" spans="1:5" x14ac:dyDescent="0.25">
      <c r="A6512" s="24" t="s">
        <v>7</v>
      </c>
      <c r="B6512" s="24" t="s">
        <v>17134</v>
      </c>
      <c r="C6512" s="25" t="s">
        <v>17135</v>
      </c>
      <c r="D6512" s="25" t="s">
        <v>17136</v>
      </c>
      <c r="E6512" s="26">
        <v>18.25</v>
      </c>
    </row>
    <row r="6513" spans="1:5" x14ac:dyDescent="0.25">
      <c r="A6513" s="24" t="s">
        <v>7</v>
      </c>
      <c r="B6513" s="24" t="s">
        <v>17137</v>
      </c>
      <c r="C6513" s="25" t="s">
        <v>15754</v>
      </c>
      <c r="D6513" s="25" t="s">
        <v>15752</v>
      </c>
      <c r="E6513" s="26">
        <v>18.25</v>
      </c>
    </row>
    <row r="6514" spans="1:5" x14ac:dyDescent="0.25">
      <c r="A6514" s="24" t="s">
        <v>7</v>
      </c>
      <c r="B6514" s="24" t="s">
        <v>17138</v>
      </c>
      <c r="C6514" s="25" t="s">
        <v>15799</v>
      </c>
      <c r="D6514" s="25" t="s">
        <v>15800</v>
      </c>
      <c r="E6514" s="26">
        <v>18.25</v>
      </c>
    </row>
    <row r="6515" spans="1:5" x14ac:dyDescent="0.25">
      <c r="A6515" s="24" t="s">
        <v>7</v>
      </c>
      <c r="B6515" s="24" t="s">
        <v>17139</v>
      </c>
      <c r="C6515" s="25" t="s">
        <v>17140</v>
      </c>
      <c r="D6515" s="25" t="s">
        <v>17141</v>
      </c>
      <c r="E6515" s="26">
        <v>18.25</v>
      </c>
    </row>
    <row r="6516" spans="1:5" x14ac:dyDescent="0.25">
      <c r="A6516" s="24" t="s">
        <v>7</v>
      </c>
      <c r="B6516" s="24" t="s">
        <v>17142</v>
      </c>
      <c r="C6516" s="25" t="s">
        <v>3493</v>
      </c>
      <c r="D6516" s="25" t="s">
        <v>3493</v>
      </c>
      <c r="E6516" s="26">
        <v>18.25</v>
      </c>
    </row>
    <row r="6517" spans="1:5" x14ac:dyDescent="0.25">
      <c r="A6517" s="24" t="s">
        <v>7</v>
      </c>
      <c r="B6517" s="24" t="s">
        <v>17143</v>
      </c>
      <c r="C6517" s="25" t="s">
        <v>17144</v>
      </c>
      <c r="D6517" s="25" t="s">
        <v>17145</v>
      </c>
      <c r="E6517" s="26">
        <v>250</v>
      </c>
    </row>
    <row r="6518" spans="1:5" x14ac:dyDescent="0.25">
      <c r="A6518" s="24" t="s">
        <v>7</v>
      </c>
      <c r="B6518" s="24" t="s">
        <v>17146</v>
      </c>
      <c r="C6518" s="25" t="s">
        <v>15775</v>
      </c>
      <c r="D6518" s="25" t="s">
        <v>15775</v>
      </c>
      <c r="E6518" s="26">
        <v>39</v>
      </c>
    </row>
    <row r="6519" spans="1:5" x14ac:dyDescent="0.25">
      <c r="A6519" s="24" t="s">
        <v>7</v>
      </c>
      <c r="B6519" s="24" t="s">
        <v>17147</v>
      </c>
      <c r="C6519" s="25" t="s">
        <v>17148</v>
      </c>
      <c r="D6519" s="25" t="s">
        <v>17149</v>
      </c>
      <c r="E6519" s="26">
        <v>95</v>
      </c>
    </row>
    <row r="6520" spans="1:5" x14ac:dyDescent="0.25">
      <c r="A6520" s="24" t="s">
        <v>7</v>
      </c>
      <c r="B6520" s="24" t="s">
        <v>17150</v>
      </c>
      <c r="C6520" s="25" t="s">
        <v>3636</v>
      </c>
      <c r="D6520" s="25" t="s">
        <v>3637</v>
      </c>
      <c r="E6520" s="26">
        <v>70</v>
      </c>
    </row>
    <row r="6521" spans="1:5" x14ac:dyDescent="0.25">
      <c r="A6521" s="24" t="s">
        <v>7</v>
      </c>
      <c r="B6521" s="24" t="s">
        <v>17151</v>
      </c>
      <c r="C6521" s="25" t="s">
        <v>17152</v>
      </c>
      <c r="D6521" s="25" t="s">
        <v>17152</v>
      </c>
      <c r="E6521" s="26">
        <v>400</v>
      </c>
    </row>
    <row r="6522" spans="1:5" x14ac:dyDescent="0.25">
      <c r="A6522" s="24" t="s">
        <v>7</v>
      </c>
      <c r="B6522" s="24" t="s">
        <v>17153</v>
      </c>
      <c r="C6522" s="25" t="s">
        <v>3642</v>
      </c>
      <c r="D6522" s="25" t="s">
        <v>3643</v>
      </c>
      <c r="E6522" s="26">
        <v>90</v>
      </c>
    </row>
    <row r="6523" spans="1:5" x14ac:dyDescent="0.25">
      <c r="A6523" s="24" t="s">
        <v>7</v>
      </c>
      <c r="B6523" s="24" t="s">
        <v>17154</v>
      </c>
      <c r="C6523" s="25" t="s">
        <v>3645</v>
      </c>
      <c r="D6523" s="25" t="s">
        <v>3646</v>
      </c>
      <c r="E6523" s="26">
        <v>20</v>
      </c>
    </row>
    <row r="6524" spans="1:5" x14ac:dyDescent="0.25">
      <c r="A6524" s="24" t="s">
        <v>7</v>
      </c>
      <c r="B6524" s="24" t="s">
        <v>17155</v>
      </c>
      <c r="C6524" s="25" t="s">
        <v>3656</v>
      </c>
      <c r="D6524" s="25" t="s">
        <v>3657</v>
      </c>
      <c r="E6524" s="26">
        <v>40</v>
      </c>
    </row>
    <row r="6525" spans="1:5" x14ac:dyDescent="0.25">
      <c r="A6525" s="24" t="s">
        <v>7</v>
      </c>
      <c r="B6525" s="24" t="s">
        <v>17156</v>
      </c>
      <c r="C6525" s="25" t="s">
        <v>3659</v>
      </c>
      <c r="D6525" s="25" t="s">
        <v>3659</v>
      </c>
      <c r="E6525" s="26">
        <v>20</v>
      </c>
    </row>
    <row r="6526" spans="1:5" x14ac:dyDescent="0.25">
      <c r="A6526" s="24" t="s">
        <v>7</v>
      </c>
      <c r="B6526" s="24" t="s">
        <v>17157</v>
      </c>
      <c r="C6526" s="25" t="s">
        <v>3661</v>
      </c>
      <c r="D6526" s="25" t="s">
        <v>3662</v>
      </c>
      <c r="E6526" s="26">
        <v>75</v>
      </c>
    </row>
    <row r="6527" spans="1:5" x14ac:dyDescent="0.25">
      <c r="A6527" s="24" t="s">
        <v>7</v>
      </c>
      <c r="B6527" s="24" t="s">
        <v>17158</v>
      </c>
      <c r="C6527" s="25" t="s">
        <v>17159</v>
      </c>
      <c r="D6527" s="25" t="s">
        <v>17160</v>
      </c>
      <c r="E6527" s="26">
        <v>100</v>
      </c>
    </row>
    <row r="6528" spans="1:5" x14ac:dyDescent="0.25">
      <c r="A6528" s="24" t="s">
        <v>7</v>
      </c>
      <c r="B6528" s="24" t="s">
        <v>17161</v>
      </c>
      <c r="C6528" s="25" t="s">
        <v>17162</v>
      </c>
      <c r="D6528" s="25" t="s">
        <v>17163</v>
      </c>
      <c r="E6528" s="26">
        <v>164</v>
      </c>
    </row>
    <row r="6529" spans="1:5" x14ac:dyDescent="0.25">
      <c r="A6529" s="24" t="s">
        <v>7</v>
      </c>
      <c r="B6529" s="24" t="s">
        <v>17164</v>
      </c>
      <c r="C6529" s="25" t="s">
        <v>17165</v>
      </c>
      <c r="D6529" s="25" t="s">
        <v>17163</v>
      </c>
      <c r="E6529" s="26">
        <v>312</v>
      </c>
    </row>
    <row r="6530" spans="1:5" x14ac:dyDescent="0.25">
      <c r="A6530" s="24" t="s">
        <v>7</v>
      </c>
      <c r="B6530" s="24" t="s">
        <v>17166</v>
      </c>
      <c r="C6530" s="25" t="s">
        <v>17167</v>
      </c>
      <c r="D6530" s="25" t="s">
        <v>17168</v>
      </c>
      <c r="E6530" s="26">
        <v>389</v>
      </c>
    </row>
    <row r="6531" spans="1:5" x14ac:dyDescent="0.25">
      <c r="A6531" s="24" t="s">
        <v>7</v>
      </c>
      <c r="B6531" s="24" t="s">
        <v>17169</v>
      </c>
      <c r="C6531" s="25" t="s">
        <v>17170</v>
      </c>
      <c r="D6531" s="25" t="s">
        <v>17171</v>
      </c>
      <c r="E6531" s="26">
        <v>20</v>
      </c>
    </row>
    <row r="6532" spans="1:5" x14ac:dyDescent="0.25">
      <c r="A6532" s="24" t="s">
        <v>7</v>
      </c>
      <c r="B6532" s="24" t="s">
        <v>17172</v>
      </c>
      <c r="C6532" s="25" t="s">
        <v>17173</v>
      </c>
      <c r="D6532" s="25" t="s">
        <v>17174</v>
      </c>
      <c r="E6532" s="26">
        <v>20</v>
      </c>
    </row>
    <row r="6533" spans="1:5" x14ac:dyDescent="0.25">
      <c r="A6533" s="24" t="s">
        <v>7</v>
      </c>
      <c r="B6533" s="24" t="s">
        <v>17175</v>
      </c>
      <c r="C6533" s="25" t="s">
        <v>3726</v>
      </c>
      <c r="D6533" s="25" t="s">
        <v>3727</v>
      </c>
      <c r="E6533" s="26">
        <v>65</v>
      </c>
    </row>
    <row r="6534" spans="1:5" x14ac:dyDescent="0.25">
      <c r="A6534" s="24" t="s">
        <v>7</v>
      </c>
      <c r="B6534" s="24" t="s">
        <v>17176</v>
      </c>
      <c r="C6534" s="25" t="s">
        <v>17177</v>
      </c>
      <c r="D6534" s="25" t="s">
        <v>3727</v>
      </c>
      <c r="E6534" s="26">
        <v>115</v>
      </c>
    </row>
    <row r="6535" spans="1:5" x14ac:dyDescent="0.25">
      <c r="A6535" s="24" t="s">
        <v>7</v>
      </c>
      <c r="B6535" s="24" t="s">
        <v>17178</v>
      </c>
      <c r="C6535" s="25" t="s">
        <v>17179</v>
      </c>
      <c r="D6535" s="25" t="s">
        <v>3727</v>
      </c>
      <c r="E6535" s="26">
        <v>170</v>
      </c>
    </row>
    <row r="6536" spans="1:5" x14ac:dyDescent="0.25">
      <c r="A6536" s="24" t="s">
        <v>7</v>
      </c>
      <c r="B6536" s="24" t="s">
        <v>17180</v>
      </c>
      <c r="C6536" s="25" t="s">
        <v>17181</v>
      </c>
      <c r="D6536" s="25" t="s">
        <v>3727</v>
      </c>
      <c r="E6536" s="26">
        <v>500</v>
      </c>
    </row>
    <row r="6537" spans="1:5" x14ac:dyDescent="0.25">
      <c r="A6537" s="24" t="s">
        <v>7</v>
      </c>
      <c r="B6537" s="24" t="s">
        <v>17182</v>
      </c>
      <c r="C6537" s="25" t="s">
        <v>17183</v>
      </c>
      <c r="D6537" s="25" t="s">
        <v>17184</v>
      </c>
      <c r="E6537" s="26">
        <v>100</v>
      </c>
    </row>
    <row r="6538" spans="1:5" x14ac:dyDescent="0.25">
      <c r="A6538" s="24" t="s">
        <v>7</v>
      </c>
      <c r="B6538" s="24" t="s">
        <v>17185</v>
      </c>
      <c r="C6538" s="25" t="s">
        <v>17186</v>
      </c>
      <c r="D6538" s="25" t="s">
        <v>17187</v>
      </c>
      <c r="E6538" s="26">
        <v>75</v>
      </c>
    </row>
    <row r="6539" spans="1:5" x14ac:dyDescent="0.25">
      <c r="A6539" s="24" t="s">
        <v>7</v>
      </c>
      <c r="B6539" s="24" t="s">
        <v>17188</v>
      </c>
      <c r="C6539" s="25" t="s">
        <v>17189</v>
      </c>
      <c r="D6539" s="25" t="s">
        <v>17190</v>
      </c>
      <c r="E6539" s="26">
        <v>30</v>
      </c>
    </row>
    <row r="6540" spans="1:5" x14ac:dyDescent="0.25">
      <c r="A6540" s="24" t="s">
        <v>7</v>
      </c>
      <c r="B6540" s="24" t="s">
        <v>17191</v>
      </c>
      <c r="C6540" s="25" t="s">
        <v>17192</v>
      </c>
      <c r="D6540" s="25" t="s">
        <v>17193</v>
      </c>
      <c r="E6540" s="26">
        <v>100</v>
      </c>
    </row>
    <row r="6541" spans="1:5" x14ac:dyDescent="0.25">
      <c r="A6541" s="24" t="s">
        <v>7</v>
      </c>
      <c r="B6541" s="24" t="s">
        <v>17194</v>
      </c>
      <c r="C6541" s="25" t="s">
        <v>17195</v>
      </c>
      <c r="D6541" s="25" t="s">
        <v>17196</v>
      </c>
      <c r="E6541" s="26">
        <v>50</v>
      </c>
    </row>
    <row r="6542" spans="1:5" x14ac:dyDescent="0.25">
      <c r="A6542" s="24" t="s">
        <v>7</v>
      </c>
      <c r="B6542" s="24" t="s">
        <v>17197</v>
      </c>
      <c r="C6542" s="25" t="s">
        <v>17198</v>
      </c>
      <c r="D6542" s="25" t="s">
        <v>17199</v>
      </c>
      <c r="E6542" s="26">
        <v>40</v>
      </c>
    </row>
    <row r="6543" spans="1:5" x14ac:dyDescent="0.25">
      <c r="A6543" s="24" t="s">
        <v>7</v>
      </c>
      <c r="B6543" s="24" t="s">
        <v>17200</v>
      </c>
      <c r="C6543" s="25" t="s">
        <v>17201</v>
      </c>
      <c r="D6543" s="25" t="s">
        <v>3649</v>
      </c>
      <c r="E6543" s="26">
        <v>150</v>
      </c>
    </row>
    <row r="6544" spans="1:5" x14ac:dyDescent="0.25">
      <c r="A6544" s="24" t="s">
        <v>7</v>
      </c>
      <c r="B6544" s="24" t="s">
        <v>17202</v>
      </c>
      <c r="C6544" s="25" t="s">
        <v>3654</v>
      </c>
      <c r="D6544" s="25" t="s">
        <v>3654</v>
      </c>
      <c r="E6544" s="26">
        <v>25</v>
      </c>
    </row>
    <row r="6545" spans="1:5" x14ac:dyDescent="0.25">
      <c r="A6545" s="24" t="s">
        <v>7</v>
      </c>
      <c r="B6545" s="24" t="s">
        <v>17203</v>
      </c>
      <c r="C6545" s="25" t="s">
        <v>17204</v>
      </c>
      <c r="D6545" s="25" t="s">
        <v>17205</v>
      </c>
      <c r="E6545" s="26">
        <v>25</v>
      </c>
    </row>
    <row r="6546" spans="1:5" x14ac:dyDescent="0.25">
      <c r="A6546" s="24" t="s">
        <v>7</v>
      </c>
      <c r="B6546" s="24" t="s">
        <v>17206</v>
      </c>
      <c r="C6546" s="25" t="s">
        <v>17207</v>
      </c>
      <c r="D6546" s="25" t="s">
        <v>17208</v>
      </c>
      <c r="E6546" s="26">
        <v>795</v>
      </c>
    </row>
    <row r="6547" spans="1:5" x14ac:dyDescent="0.25">
      <c r="A6547" s="24" t="s">
        <v>7</v>
      </c>
      <c r="B6547" s="24" t="s">
        <v>17209</v>
      </c>
      <c r="C6547" s="25" t="s">
        <v>17210</v>
      </c>
      <c r="D6547" s="25" t="s">
        <v>17211</v>
      </c>
      <c r="E6547" s="26">
        <v>132.5</v>
      </c>
    </row>
    <row r="6548" spans="1:5" x14ac:dyDescent="0.25">
      <c r="A6548" s="24" t="s">
        <v>7</v>
      </c>
      <c r="B6548" s="24" t="s">
        <v>17212</v>
      </c>
      <c r="C6548" s="25" t="s">
        <v>17044</v>
      </c>
      <c r="D6548" s="25" t="s">
        <v>17045</v>
      </c>
      <c r="E6548" s="26">
        <v>205</v>
      </c>
    </row>
    <row r="6549" spans="1:5" x14ac:dyDescent="0.25">
      <c r="A6549" s="24" t="s">
        <v>7</v>
      </c>
      <c r="B6549" s="24" t="s">
        <v>17213</v>
      </c>
      <c r="C6549" s="25" t="s">
        <v>17214</v>
      </c>
      <c r="D6549" s="25" t="s">
        <v>17215</v>
      </c>
      <c r="E6549" s="26">
        <v>240</v>
      </c>
    </row>
    <row r="6550" spans="1:5" x14ac:dyDescent="0.25">
      <c r="A6550" s="24" t="s">
        <v>7</v>
      </c>
      <c r="B6550" s="24" t="s">
        <v>17216</v>
      </c>
      <c r="C6550" s="25" t="s">
        <v>17217</v>
      </c>
      <c r="D6550" s="25" t="s">
        <v>17218</v>
      </c>
      <c r="E6550" s="26">
        <v>1100</v>
      </c>
    </row>
    <row r="6551" spans="1:5" x14ac:dyDescent="0.25">
      <c r="A6551" s="24" t="s">
        <v>7</v>
      </c>
      <c r="B6551" s="24" t="s">
        <v>17219</v>
      </c>
      <c r="C6551" s="25" t="s">
        <v>17220</v>
      </c>
      <c r="D6551" s="25" t="s">
        <v>17221</v>
      </c>
      <c r="E6551" s="26">
        <v>265</v>
      </c>
    </row>
    <row r="6552" spans="1:5" x14ac:dyDescent="0.25">
      <c r="A6552" s="24" t="s">
        <v>7</v>
      </c>
      <c r="B6552" s="24" t="s">
        <v>17222</v>
      </c>
      <c r="C6552" s="25" t="s">
        <v>16883</v>
      </c>
      <c r="D6552" s="25" t="s">
        <v>16883</v>
      </c>
      <c r="E6552" s="26">
        <v>175</v>
      </c>
    </row>
    <row r="6553" spans="1:5" x14ac:dyDescent="0.25">
      <c r="A6553" s="24" t="s">
        <v>7</v>
      </c>
      <c r="B6553" s="24" t="s">
        <v>17223</v>
      </c>
      <c r="C6553" s="25" t="s">
        <v>17224</v>
      </c>
      <c r="D6553" s="25" t="s">
        <v>17225</v>
      </c>
      <c r="E6553" s="26">
        <v>375</v>
      </c>
    </row>
    <row r="6554" spans="1:5" x14ac:dyDescent="0.25">
      <c r="A6554" s="24" t="s">
        <v>7</v>
      </c>
      <c r="B6554" s="24" t="s">
        <v>17226</v>
      </c>
      <c r="C6554" s="25" t="s">
        <v>17227</v>
      </c>
      <c r="D6554" s="25" t="s">
        <v>17228</v>
      </c>
      <c r="E6554" s="26">
        <v>395</v>
      </c>
    </row>
    <row r="6555" spans="1:5" x14ac:dyDescent="0.25">
      <c r="A6555" s="24" t="s">
        <v>7</v>
      </c>
      <c r="B6555" s="24" t="s">
        <v>17229</v>
      </c>
      <c r="C6555" s="25" t="s">
        <v>15544</v>
      </c>
      <c r="D6555" s="25" t="s">
        <v>15545</v>
      </c>
      <c r="E6555" s="26">
        <v>6.62</v>
      </c>
    </row>
    <row r="6556" spans="1:5" x14ac:dyDescent="0.25">
      <c r="A6556" s="24" t="s">
        <v>7</v>
      </c>
      <c r="B6556" s="24" t="s">
        <v>17230</v>
      </c>
      <c r="C6556" s="25" t="s">
        <v>15557</v>
      </c>
      <c r="D6556" s="25" t="s">
        <v>15557</v>
      </c>
      <c r="E6556" s="26">
        <v>35</v>
      </c>
    </row>
    <row r="6557" spans="1:5" x14ac:dyDescent="0.25">
      <c r="A6557" s="24" t="s">
        <v>7</v>
      </c>
      <c r="B6557" s="24" t="s">
        <v>17231</v>
      </c>
      <c r="C6557" s="25" t="s">
        <v>15559</v>
      </c>
      <c r="D6557" s="25" t="s">
        <v>15531</v>
      </c>
      <c r="E6557" s="26">
        <v>14.36</v>
      </c>
    </row>
    <row r="6558" spans="1:5" x14ac:dyDescent="0.25">
      <c r="A6558" s="24" t="s">
        <v>7</v>
      </c>
      <c r="B6558" s="24" t="s">
        <v>17232</v>
      </c>
      <c r="C6558" s="25" t="s">
        <v>17233</v>
      </c>
      <c r="D6558" s="25" t="s">
        <v>17234</v>
      </c>
      <c r="E6558" s="26">
        <v>19.739999999999998</v>
      </c>
    </row>
    <row r="6559" spans="1:5" x14ac:dyDescent="0.25">
      <c r="A6559" s="24" t="s">
        <v>7</v>
      </c>
      <c r="B6559" s="24" t="s">
        <v>17235</v>
      </c>
      <c r="C6559" s="25" t="s">
        <v>3202</v>
      </c>
      <c r="D6559" s="25" t="s">
        <v>3202</v>
      </c>
      <c r="E6559" s="26">
        <v>29.01</v>
      </c>
    </row>
    <row r="6560" spans="1:5" x14ac:dyDescent="0.25">
      <c r="A6560" s="24" t="s">
        <v>7</v>
      </c>
      <c r="B6560" s="24" t="s">
        <v>17236</v>
      </c>
      <c r="C6560" s="25" t="s">
        <v>17237</v>
      </c>
      <c r="D6560" s="25" t="s">
        <v>17238</v>
      </c>
      <c r="E6560" s="26">
        <v>23.99</v>
      </c>
    </row>
    <row r="6561" spans="1:5" x14ac:dyDescent="0.25">
      <c r="A6561" s="24" t="s">
        <v>7</v>
      </c>
      <c r="B6561" s="24" t="s">
        <v>17239</v>
      </c>
      <c r="C6561" s="25" t="s">
        <v>15614</v>
      </c>
      <c r="D6561" s="25" t="s">
        <v>15614</v>
      </c>
      <c r="E6561" s="26">
        <v>28.18</v>
      </c>
    </row>
    <row r="6562" spans="1:5" x14ac:dyDescent="0.25">
      <c r="A6562" s="24" t="s">
        <v>7</v>
      </c>
      <c r="B6562" s="24" t="s">
        <v>17240</v>
      </c>
      <c r="C6562" s="25" t="s">
        <v>17241</v>
      </c>
      <c r="D6562" s="25" t="s">
        <v>17241</v>
      </c>
      <c r="E6562" s="26">
        <v>12.27</v>
      </c>
    </row>
    <row r="6563" spans="1:5" x14ac:dyDescent="0.25">
      <c r="A6563" s="24" t="s">
        <v>7</v>
      </c>
      <c r="B6563" s="24" t="s">
        <v>17242</v>
      </c>
      <c r="C6563" s="25" t="s">
        <v>17243</v>
      </c>
      <c r="D6563" s="25" t="s">
        <v>17244</v>
      </c>
      <c r="E6563" s="26">
        <v>41.28</v>
      </c>
    </row>
    <row r="6564" spans="1:5" x14ac:dyDescent="0.25">
      <c r="A6564" s="24" t="s">
        <v>7</v>
      </c>
      <c r="B6564" s="24" t="s">
        <v>17245</v>
      </c>
      <c r="C6564" s="25" t="s">
        <v>15687</v>
      </c>
      <c r="D6564" s="25" t="s">
        <v>15688</v>
      </c>
      <c r="E6564" s="26">
        <v>47.52</v>
      </c>
    </row>
    <row r="6565" spans="1:5" x14ac:dyDescent="0.25">
      <c r="A6565" s="24" t="s">
        <v>7</v>
      </c>
      <c r="B6565" s="24" t="s">
        <v>17246</v>
      </c>
      <c r="C6565" s="25" t="s">
        <v>17247</v>
      </c>
      <c r="D6565" s="25" t="s">
        <v>17247</v>
      </c>
      <c r="E6565" s="26">
        <v>28.18</v>
      </c>
    </row>
    <row r="6566" spans="1:5" x14ac:dyDescent="0.25">
      <c r="A6566" s="24" t="s">
        <v>7</v>
      </c>
      <c r="B6566" s="24" t="s">
        <v>17248</v>
      </c>
      <c r="C6566" s="25" t="s">
        <v>15725</v>
      </c>
      <c r="D6566" s="25" t="s">
        <v>15725</v>
      </c>
      <c r="E6566" s="26">
        <v>14.64</v>
      </c>
    </row>
    <row r="6567" spans="1:5" x14ac:dyDescent="0.25">
      <c r="A6567" s="24" t="s">
        <v>7</v>
      </c>
      <c r="B6567" s="24" t="s">
        <v>17249</v>
      </c>
      <c r="C6567" s="25" t="s">
        <v>17250</v>
      </c>
      <c r="D6567" s="25" t="s">
        <v>17251</v>
      </c>
      <c r="E6567" s="26">
        <v>13.67</v>
      </c>
    </row>
    <row r="6568" spans="1:5" x14ac:dyDescent="0.25">
      <c r="A6568" s="24" t="s">
        <v>7</v>
      </c>
      <c r="B6568" s="24" t="s">
        <v>17252</v>
      </c>
      <c r="C6568" s="25" t="s">
        <v>15799</v>
      </c>
      <c r="D6568" s="25" t="s">
        <v>15800</v>
      </c>
      <c r="E6568" s="26">
        <v>25.73</v>
      </c>
    </row>
    <row r="6569" spans="1:5" x14ac:dyDescent="0.25">
      <c r="A6569" s="24" t="s">
        <v>7</v>
      </c>
      <c r="B6569" s="24" t="s">
        <v>17253</v>
      </c>
      <c r="C6569" s="25" t="s">
        <v>15714</v>
      </c>
      <c r="D6569" s="25" t="s">
        <v>15715</v>
      </c>
      <c r="E6569" s="26">
        <v>8.65</v>
      </c>
    </row>
    <row r="6570" spans="1:5" x14ac:dyDescent="0.25">
      <c r="A6570" s="24" t="s">
        <v>7</v>
      </c>
      <c r="B6570" s="24" t="s">
        <v>17254</v>
      </c>
      <c r="C6570" s="25" t="s">
        <v>15810</v>
      </c>
      <c r="D6570" s="25" t="s">
        <v>15811</v>
      </c>
      <c r="E6570" s="26">
        <v>13.67</v>
      </c>
    </row>
    <row r="6571" spans="1:5" x14ac:dyDescent="0.25">
      <c r="A6571" s="24" t="s">
        <v>7</v>
      </c>
      <c r="B6571" s="24" t="s">
        <v>17255</v>
      </c>
      <c r="C6571" s="25" t="s">
        <v>15890</v>
      </c>
      <c r="D6571" s="25" t="s">
        <v>15891</v>
      </c>
      <c r="E6571" s="26">
        <v>21.76</v>
      </c>
    </row>
    <row r="6572" spans="1:5" x14ac:dyDescent="0.25">
      <c r="A6572" s="24" t="s">
        <v>7</v>
      </c>
      <c r="B6572" s="24" t="s">
        <v>17256</v>
      </c>
      <c r="C6572" s="25" t="s">
        <v>17257</v>
      </c>
      <c r="D6572" s="25" t="s">
        <v>17257</v>
      </c>
      <c r="E6572" s="26">
        <v>16.53</v>
      </c>
    </row>
    <row r="6573" spans="1:5" x14ac:dyDescent="0.25">
      <c r="A6573" s="24" t="s">
        <v>7</v>
      </c>
      <c r="B6573" s="24" t="s">
        <v>17258</v>
      </c>
      <c r="C6573" s="25" t="s">
        <v>17259</v>
      </c>
      <c r="D6573" s="25" t="s">
        <v>17260</v>
      </c>
      <c r="E6573" s="26">
        <v>6.22</v>
      </c>
    </row>
    <row r="6574" spans="1:5" x14ac:dyDescent="0.25">
      <c r="A6574" s="24" t="s">
        <v>7</v>
      </c>
      <c r="B6574" s="24" t="s">
        <v>17261</v>
      </c>
      <c r="C6574" s="25" t="s">
        <v>15902</v>
      </c>
      <c r="D6574" s="25" t="s">
        <v>15903</v>
      </c>
      <c r="E6574" s="26">
        <v>10.039999999999999</v>
      </c>
    </row>
    <row r="6575" spans="1:5" x14ac:dyDescent="0.25">
      <c r="A6575" s="24" t="s">
        <v>7</v>
      </c>
      <c r="B6575" s="24" t="s">
        <v>17262</v>
      </c>
      <c r="C6575" s="25" t="s">
        <v>15913</v>
      </c>
      <c r="D6575" s="25" t="s">
        <v>15914</v>
      </c>
      <c r="E6575" s="26">
        <v>18.899999999999999</v>
      </c>
    </row>
    <row r="6576" spans="1:5" x14ac:dyDescent="0.25">
      <c r="A6576" s="24" t="s">
        <v>7</v>
      </c>
      <c r="B6576" s="24" t="s">
        <v>17263</v>
      </c>
      <c r="C6576" s="25" t="s">
        <v>15841</v>
      </c>
      <c r="D6576" s="25" t="s">
        <v>15841</v>
      </c>
      <c r="E6576" s="26">
        <v>72.599999999999994</v>
      </c>
    </row>
    <row r="6577" spans="1:5" x14ac:dyDescent="0.25">
      <c r="A6577" s="24" t="s">
        <v>7</v>
      </c>
      <c r="B6577" s="24" t="s">
        <v>17264</v>
      </c>
      <c r="C6577" s="25" t="s">
        <v>17265</v>
      </c>
      <c r="D6577" s="25" t="s">
        <v>17266</v>
      </c>
      <c r="E6577" s="26">
        <v>10.39</v>
      </c>
    </row>
    <row r="6578" spans="1:5" x14ac:dyDescent="0.25">
      <c r="A6578" s="24" t="s">
        <v>7</v>
      </c>
      <c r="B6578" s="24" t="s">
        <v>17267</v>
      </c>
      <c r="C6578" s="25" t="s">
        <v>17268</v>
      </c>
      <c r="D6578" s="25" t="s">
        <v>17269</v>
      </c>
      <c r="E6578" s="26">
        <v>31.68</v>
      </c>
    </row>
    <row r="6579" spans="1:5" x14ac:dyDescent="0.25">
      <c r="A6579" s="24" t="s">
        <v>7</v>
      </c>
      <c r="B6579" s="24" t="s">
        <v>17270</v>
      </c>
      <c r="C6579" s="25" t="s">
        <v>15977</v>
      </c>
      <c r="D6579" s="25" t="s">
        <v>15978</v>
      </c>
      <c r="E6579" s="26">
        <v>42.24</v>
      </c>
    </row>
    <row r="6580" spans="1:5" x14ac:dyDescent="0.25">
      <c r="A6580" s="24" t="s">
        <v>7</v>
      </c>
      <c r="B6580" s="24" t="s">
        <v>17271</v>
      </c>
      <c r="C6580" s="25" t="s">
        <v>17272</v>
      </c>
      <c r="D6580" s="25" t="s">
        <v>17273</v>
      </c>
      <c r="E6580" s="26">
        <v>30.96</v>
      </c>
    </row>
    <row r="6581" spans="1:5" x14ac:dyDescent="0.25">
      <c r="A6581" s="24" t="s">
        <v>7</v>
      </c>
      <c r="B6581" s="24" t="s">
        <v>17274</v>
      </c>
      <c r="C6581" s="25" t="s">
        <v>17275</v>
      </c>
      <c r="D6581" s="25" t="s">
        <v>17276</v>
      </c>
      <c r="E6581" s="26">
        <v>21.48</v>
      </c>
    </row>
    <row r="6582" spans="1:5" x14ac:dyDescent="0.25">
      <c r="A6582" s="24" t="s">
        <v>7</v>
      </c>
      <c r="B6582" s="24" t="s">
        <v>17277</v>
      </c>
      <c r="C6582" s="25" t="s">
        <v>16019</v>
      </c>
      <c r="D6582" s="25" t="s">
        <v>16020</v>
      </c>
      <c r="E6582" s="26">
        <v>76.56</v>
      </c>
    </row>
    <row r="6583" spans="1:5" x14ac:dyDescent="0.25">
      <c r="A6583" s="24" t="s">
        <v>7</v>
      </c>
      <c r="B6583" s="24" t="s">
        <v>17278</v>
      </c>
      <c r="C6583" s="25" t="s">
        <v>16034</v>
      </c>
      <c r="D6583" s="25" t="s">
        <v>16035</v>
      </c>
      <c r="E6583" s="26">
        <v>41.28</v>
      </c>
    </row>
    <row r="6584" spans="1:5" x14ac:dyDescent="0.25">
      <c r="A6584" s="24" t="s">
        <v>7</v>
      </c>
      <c r="B6584" s="24" t="s">
        <v>17279</v>
      </c>
      <c r="C6584" s="25" t="s">
        <v>16037</v>
      </c>
      <c r="D6584" s="25" t="s">
        <v>16038</v>
      </c>
      <c r="E6584" s="26">
        <v>19.73</v>
      </c>
    </row>
    <row r="6585" spans="1:5" x14ac:dyDescent="0.25">
      <c r="A6585" s="24" t="s">
        <v>7</v>
      </c>
      <c r="B6585" s="24" t="s">
        <v>17280</v>
      </c>
      <c r="C6585" s="25" t="s">
        <v>3537</v>
      </c>
      <c r="D6585" s="25" t="s">
        <v>3538</v>
      </c>
      <c r="E6585" s="26">
        <v>40.92</v>
      </c>
    </row>
    <row r="6586" spans="1:5" x14ac:dyDescent="0.25">
      <c r="A6586" s="24" t="s">
        <v>7</v>
      </c>
      <c r="B6586" s="24" t="s">
        <v>17281</v>
      </c>
      <c r="C6586" s="25" t="s">
        <v>17282</v>
      </c>
      <c r="D6586" s="25" t="s">
        <v>17282</v>
      </c>
      <c r="E6586" s="26">
        <v>14.36</v>
      </c>
    </row>
    <row r="6587" spans="1:5" x14ac:dyDescent="0.25">
      <c r="A6587" s="24" t="s">
        <v>7</v>
      </c>
      <c r="B6587" s="24" t="s">
        <v>17283</v>
      </c>
      <c r="C6587" s="25" t="s">
        <v>16538</v>
      </c>
      <c r="D6587" s="25" t="s">
        <v>16538</v>
      </c>
      <c r="E6587" s="26">
        <v>18.34</v>
      </c>
    </row>
    <row r="6588" spans="1:5" x14ac:dyDescent="0.25">
      <c r="A6588" s="24" t="s">
        <v>7</v>
      </c>
      <c r="B6588" s="24" t="s">
        <v>17284</v>
      </c>
      <c r="C6588" s="25" t="s">
        <v>16169</v>
      </c>
      <c r="D6588" s="25" t="s">
        <v>16169</v>
      </c>
      <c r="E6588" s="26">
        <v>24.69</v>
      </c>
    </row>
    <row r="6589" spans="1:5" x14ac:dyDescent="0.25">
      <c r="A6589" s="24" t="s">
        <v>7</v>
      </c>
      <c r="B6589" s="24" t="s">
        <v>17285</v>
      </c>
      <c r="C6589" s="25" t="s">
        <v>17286</v>
      </c>
      <c r="D6589" s="25" t="s">
        <v>16177</v>
      </c>
      <c r="E6589" s="26">
        <v>85</v>
      </c>
    </row>
    <row r="6590" spans="1:5" x14ac:dyDescent="0.25">
      <c r="A6590" s="24" t="s">
        <v>7</v>
      </c>
      <c r="B6590" s="24" t="s">
        <v>17287</v>
      </c>
      <c r="C6590" s="25" t="s">
        <v>16188</v>
      </c>
      <c r="D6590" s="25" t="s">
        <v>16177</v>
      </c>
      <c r="E6590" s="26">
        <v>85</v>
      </c>
    </row>
    <row r="6591" spans="1:5" x14ac:dyDescent="0.25">
      <c r="A6591" s="24" t="s">
        <v>7</v>
      </c>
      <c r="B6591" s="24" t="s">
        <v>17288</v>
      </c>
      <c r="C6591" s="25" t="s">
        <v>17289</v>
      </c>
      <c r="D6591" s="25" t="s">
        <v>17290</v>
      </c>
      <c r="E6591" s="26">
        <v>33</v>
      </c>
    </row>
    <row r="6592" spans="1:5" x14ac:dyDescent="0.25">
      <c r="A6592" s="24" t="s">
        <v>7</v>
      </c>
      <c r="B6592" s="24" t="s">
        <v>17291</v>
      </c>
      <c r="C6592" s="25" t="s">
        <v>16216</v>
      </c>
      <c r="D6592" s="25" t="s">
        <v>16216</v>
      </c>
      <c r="E6592" s="26">
        <v>17.850000000000001</v>
      </c>
    </row>
    <row r="6593" spans="1:5" x14ac:dyDescent="0.25">
      <c r="A6593" s="24" t="s">
        <v>7</v>
      </c>
      <c r="B6593" s="24" t="s">
        <v>17292</v>
      </c>
      <c r="C6593" s="25" t="s">
        <v>16218</v>
      </c>
      <c r="D6593" s="25" t="s">
        <v>16219</v>
      </c>
      <c r="E6593" s="26">
        <v>8.0299999999999994</v>
      </c>
    </row>
    <row r="6594" spans="1:5" x14ac:dyDescent="0.25">
      <c r="A6594" s="24" t="s">
        <v>7</v>
      </c>
      <c r="B6594" s="24" t="s">
        <v>17293</v>
      </c>
      <c r="C6594" s="25" t="s">
        <v>16223</v>
      </c>
      <c r="D6594" s="25" t="s">
        <v>16224</v>
      </c>
      <c r="E6594" s="26">
        <v>19.73</v>
      </c>
    </row>
    <row r="6595" spans="1:5" x14ac:dyDescent="0.25">
      <c r="A6595" s="24" t="s">
        <v>7</v>
      </c>
      <c r="B6595" s="24" t="s">
        <v>17294</v>
      </c>
      <c r="C6595" s="25" t="s">
        <v>17295</v>
      </c>
      <c r="D6595" s="25" t="s">
        <v>17295</v>
      </c>
      <c r="E6595" s="26">
        <v>12.25</v>
      </c>
    </row>
    <row r="6596" spans="1:5" x14ac:dyDescent="0.25">
      <c r="A6596" s="24" t="s">
        <v>7</v>
      </c>
      <c r="B6596" s="24" t="s">
        <v>17296</v>
      </c>
      <c r="C6596" s="25" t="s">
        <v>17297</v>
      </c>
      <c r="D6596" s="25" t="s">
        <v>17297</v>
      </c>
      <c r="E6596" s="26">
        <v>12.3</v>
      </c>
    </row>
    <row r="6597" spans="1:5" x14ac:dyDescent="0.25">
      <c r="A6597" s="24" t="s">
        <v>7</v>
      </c>
      <c r="B6597" s="24" t="s">
        <v>17298</v>
      </c>
      <c r="C6597" s="25" t="s">
        <v>17299</v>
      </c>
      <c r="D6597" s="25" t="s">
        <v>16232</v>
      </c>
      <c r="E6597" s="26">
        <v>52.83</v>
      </c>
    </row>
    <row r="6598" spans="1:5" x14ac:dyDescent="0.25">
      <c r="A6598" s="24" t="s">
        <v>7</v>
      </c>
      <c r="B6598" s="24" t="s">
        <v>17300</v>
      </c>
      <c r="C6598" s="25" t="s">
        <v>17301</v>
      </c>
      <c r="D6598" s="25" t="s">
        <v>16238</v>
      </c>
      <c r="E6598" s="26">
        <v>18.34</v>
      </c>
    </row>
    <row r="6599" spans="1:5" x14ac:dyDescent="0.25">
      <c r="A6599" s="24" t="s">
        <v>7</v>
      </c>
      <c r="B6599" s="24" t="s">
        <v>17302</v>
      </c>
      <c r="C6599" s="25" t="s">
        <v>17303</v>
      </c>
      <c r="D6599" s="25" t="s">
        <v>16238</v>
      </c>
      <c r="E6599" s="26">
        <v>18.34</v>
      </c>
    </row>
    <row r="6600" spans="1:5" x14ac:dyDescent="0.25">
      <c r="A6600" s="24" t="s">
        <v>7</v>
      </c>
      <c r="B6600" s="24" t="s">
        <v>17304</v>
      </c>
      <c r="C6600" s="25" t="s">
        <v>16249</v>
      </c>
      <c r="D6600" s="25" t="s">
        <v>16250</v>
      </c>
      <c r="E6600" s="26">
        <v>17.850000000000001</v>
      </c>
    </row>
    <row r="6601" spans="1:5" x14ac:dyDescent="0.25">
      <c r="A6601" s="24" t="s">
        <v>7</v>
      </c>
      <c r="B6601" s="24" t="s">
        <v>17305</v>
      </c>
      <c r="C6601" s="25" t="s">
        <v>16546</v>
      </c>
      <c r="D6601" s="25" t="s">
        <v>16546</v>
      </c>
      <c r="E6601" s="26">
        <v>36.9</v>
      </c>
    </row>
    <row r="6602" spans="1:5" x14ac:dyDescent="0.25">
      <c r="A6602" s="24" t="s">
        <v>7</v>
      </c>
      <c r="B6602" s="24" t="s">
        <v>17306</v>
      </c>
      <c r="C6602" s="25" t="s">
        <v>17307</v>
      </c>
      <c r="D6602" s="25" t="s">
        <v>17308</v>
      </c>
      <c r="E6602" s="26">
        <v>18.899999999999999</v>
      </c>
    </row>
    <row r="6603" spans="1:5" x14ac:dyDescent="0.25">
      <c r="A6603" s="24" t="s">
        <v>7</v>
      </c>
      <c r="B6603" s="24" t="s">
        <v>17309</v>
      </c>
      <c r="C6603" s="25" t="s">
        <v>17310</v>
      </c>
      <c r="D6603" s="25" t="s">
        <v>17310</v>
      </c>
      <c r="E6603" s="26">
        <v>24.13</v>
      </c>
    </row>
    <row r="6604" spans="1:5" x14ac:dyDescent="0.25">
      <c r="A6604" s="24" t="s">
        <v>7</v>
      </c>
      <c r="B6604" s="24" t="s">
        <v>17311</v>
      </c>
      <c r="C6604" s="25" t="s">
        <v>17312</v>
      </c>
      <c r="D6604" s="25" t="s">
        <v>17312</v>
      </c>
      <c r="E6604" s="26">
        <v>25.1</v>
      </c>
    </row>
    <row r="6605" spans="1:5" x14ac:dyDescent="0.25">
      <c r="A6605" s="24" t="s">
        <v>7</v>
      </c>
      <c r="B6605" s="24" t="s">
        <v>17313</v>
      </c>
      <c r="C6605" s="25" t="s">
        <v>17314</v>
      </c>
      <c r="D6605" s="25" t="s">
        <v>16304</v>
      </c>
      <c r="E6605" s="26">
        <v>16.809999999999999</v>
      </c>
    </row>
    <row r="6606" spans="1:5" x14ac:dyDescent="0.25">
      <c r="A6606" s="24" t="s">
        <v>7</v>
      </c>
      <c r="B6606" s="24" t="s">
        <v>17315</v>
      </c>
      <c r="C6606" s="25" t="s">
        <v>16422</v>
      </c>
      <c r="D6606" s="25" t="s">
        <v>16423</v>
      </c>
      <c r="E6606" s="26">
        <v>15.79</v>
      </c>
    </row>
    <row r="6607" spans="1:5" x14ac:dyDescent="0.25">
      <c r="A6607" s="24" t="s">
        <v>7</v>
      </c>
      <c r="B6607" s="24" t="s">
        <v>17316</v>
      </c>
      <c r="C6607" s="25" t="s">
        <v>17317</v>
      </c>
      <c r="D6607" s="25" t="s">
        <v>16423</v>
      </c>
      <c r="E6607" s="26">
        <v>15.79</v>
      </c>
    </row>
    <row r="6608" spans="1:5" x14ac:dyDescent="0.25">
      <c r="A6608" s="24" t="s">
        <v>7</v>
      </c>
      <c r="B6608" s="24" t="s">
        <v>17318</v>
      </c>
      <c r="C6608" s="25" t="s">
        <v>16022</v>
      </c>
      <c r="D6608" s="25" t="s">
        <v>16023</v>
      </c>
      <c r="E6608" s="26">
        <v>39.61</v>
      </c>
    </row>
    <row r="6609" spans="1:5" x14ac:dyDescent="0.25">
      <c r="A6609" s="24" t="s">
        <v>7</v>
      </c>
      <c r="B6609" s="24" t="s">
        <v>17319</v>
      </c>
      <c r="C6609" s="25" t="s">
        <v>17320</v>
      </c>
      <c r="D6609" s="25" t="s">
        <v>17320</v>
      </c>
      <c r="E6609" s="26">
        <v>13.67</v>
      </c>
    </row>
    <row r="6610" spans="1:5" x14ac:dyDescent="0.25">
      <c r="A6610" s="24" t="s">
        <v>7</v>
      </c>
      <c r="B6610" s="24" t="s">
        <v>17321</v>
      </c>
      <c r="C6610" s="25" t="s">
        <v>16602</v>
      </c>
      <c r="D6610" s="25" t="s">
        <v>16602</v>
      </c>
      <c r="E6610" s="26">
        <v>16.53</v>
      </c>
    </row>
    <row r="6611" spans="1:5" x14ac:dyDescent="0.25">
      <c r="A6611" s="24" t="s">
        <v>7</v>
      </c>
      <c r="B6611" s="24" t="s">
        <v>17322</v>
      </c>
      <c r="C6611" s="25" t="s">
        <v>16623</v>
      </c>
      <c r="D6611" s="25" t="s">
        <v>16624</v>
      </c>
      <c r="E6611" s="26">
        <v>29.04</v>
      </c>
    </row>
    <row r="6612" spans="1:5" x14ac:dyDescent="0.25">
      <c r="A6612" s="24" t="s">
        <v>7</v>
      </c>
      <c r="B6612" s="24" t="s">
        <v>17323</v>
      </c>
      <c r="C6612" s="25" t="s">
        <v>17324</v>
      </c>
      <c r="D6612" s="25" t="s">
        <v>17325</v>
      </c>
      <c r="E6612" s="26">
        <v>20</v>
      </c>
    </row>
    <row r="6613" spans="1:5" x14ac:dyDescent="0.25">
      <c r="A6613" s="24" t="s">
        <v>7</v>
      </c>
      <c r="B6613" s="24" t="s">
        <v>17326</v>
      </c>
      <c r="C6613" s="25" t="s">
        <v>17327</v>
      </c>
      <c r="D6613" s="25" t="s">
        <v>17325</v>
      </c>
      <c r="E6613" s="26">
        <v>125</v>
      </c>
    </row>
    <row r="6614" spans="1:5" x14ac:dyDescent="0.25">
      <c r="A6614" s="24" t="s">
        <v>7</v>
      </c>
      <c r="B6614" s="24" t="s">
        <v>17328</v>
      </c>
      <c r="C6614" s="25" t="s">
        <v>17087</v>
      </c>
      <c r="D6614" s="25" t="s">
        <v>17088</v>
      </c>
      <c r="E6614" s="26">
        <v>87.5</v>
      </c>
    </row>
    <row r="6615" spans="1:5" x14ac:dyDescent="0.25">
      <c r="A6615" s="24" t="s">
        <v>7</v>
      </c>
      <c r="B6615" s="24" t="s">
        <v>17329</v>
      </c>
      <c r="C6615" s="25" t="s">
        <v>17096</v>
      </c>
      <c r="D6615" s="25" t="s">
        <v>17097</v>
      </c>
      <c r="E6615" s="26">
        <v>87.5</v>
      </c>
    </row>
    <row r="6616" spans="1:5" x14ac:dyDescent="0.25">
      <c r="A6616" s="24" t="s">
        <v>7</v>
      </c>
      <c r="B6616" s="24" t="s">
        <v>17330</v>
      </c>
      <c r="C6616" s="25" t="s">
        <v>17331</v>
      </c>
      <c r="D6616" s="25" t="s">
        <v>17332</v>
      </c>
      <c r="E6616" s="26">
        <v>120</v>
      </c>
    </row>
    <row r="6617" spans="1:5" x14ac:dyDescent="0.25">
      <c r="A6617" s="24" t="s">
        <v>7</v>
      </c>
      <c r="B6617" s="24" t="s">
        <v>17333</v>
      </c>
      <c r="C6617" s="25" t="s">
        <v>17334</v>
      </c>
      <c r="D6617" s="25" t="s">
        <v>17335</v>
      </c>
      <c r="E6617" s="26">
        <v>20</v>
      </c>
    </row>
    <row r="6618" spans="1:5" x14ac:dyDescent="0.25">
      <c r="A6618" s="24" t="s">
        <v>7</v>
      </c>
      <c r="B6618" s="24" t="s">
        <v>17336</v>
      </c>
      <c r="C6618" s="25" t="s">
        <v>17111</v>
      </c>
      <c r="D6618" s="25" t="s">
        <v>17112</v>
      </c>
      <c r="E6618" s="26">
        <v>20</v>
      </c>
    </row>
    <row r="6619" spans="1:5" x14ac:dyDescent="0.25">
      <c r="A6619" s="24" t="s">
        <v>7</v>
      </c>
      <c r="B6619" s="24" t="s">
        <v>17337</v>
      </c>
      <c r="C6619" s="25" t="s">
        <v>17338</v>
      </c>
      <c r="D6619" s="25" t="s">
        <v>17339</v>
      </c>
      <c r="E6619" s="26">
        <v>269</v>
      </c>
    </row>
    <row r="6620" spans="1:5" x14ac:dyDescent="0.25">
      <c r="A6620" s="24" t="s">
        <v>7</v>
      </c>
      <c r="B6620" s="24" t="s">
        <v>17340</v>
      </c>
      <c r="C6620" s="25" t="s">
        <v>15258</v>
      </c>
      <c r="D6620" s="25" t="s">
        <v>15258</v>
      </c>
      <c r="E6620" s="26">
        <v>65</v>
      </c>
    </row>
    <row r="6621" spans="1:5" x14ac:dyDescent="0.25">
      <c r="A6621" s="24" t="s">
        <v>7</v>
      </c>
      <c r="B6621" s="24" t="s">
        <v>17341</v>
      </c>
      <c r="C6621" s="25" t="s">
        <v>16267</v>
      </c>
      <c r="D6621" s="25" t="s">
        <v>16268</v>
      </c>
      <c r="E6621" s="26">
        <v>65</v>
      </c>
    </row>
    <row r="6622" spans="1:5" x14ac:dyDescent="0.25">
      <c r="A6622" s="24" t="s">
        <v>7</v>
      </c>
      <c r="B6622" s="24" t="s">
        <v>17342</v>
      </c>
      <c r="C6622" s="25" t="s">
        <v>17343</v>
      </c>
      <c r="D6622" s="25" t="s">
        <v>17344</v>
      </c>
      <c r="E6622" s="26">
        <v>67.58</v>
      </c>
    </row>
    <row r="6623" spans="1:5" x14ac:dyDescent="0.25">
      <c r="A6623" s="24" t="s">
        <v>7</v>
      </c>
      <c r="B6623" s="24" t="s">
        <v>17345</v>
      </c>
      <c r="C6623" s="25" t="s">
        <v>17346</v>
      </c>
      <c r="D6623" s="25" t="s">
        <v>17347</v>
      </c>
      <c r="E6623" s="26">
        <v>60</v>
      </c>
    </row>
    <row r="6624" spans="1:5" x14ac:dyDescent="0.25">
      <c r="A6624" s="24" t="s">
        <v>7</v>
      </c>
      <c r="B6624" s="24" t="s">
        <v>17348</v>
      </c>
      <c r="C6624" s="25" t="s">
        <v>17105</v>
      </c>
      <c r="D6624" s="25" t="s">
        <v>17106</v>
      </c>
      <c r="E6624" s="26">
        <v>45</v>
      </c>
    </row>
    <row r="6625" spans="1:5" x14ac:dyDescent="0.25">
      <c r="A6625" s="24" t="s">
        <v>7</v>
      </c>
      <c r="B6625" s="24" t="s">
        <v>17349</v>
      </c>
      <c r="C6625" s="25" t="s">
        <v>17350</v>
      </c>
      <c r="D6625" s="25" t="s">
        <v>17351</v>
      </c>
      <c r="E6625" s="26">
        <v>403</v>
      </c>
    </row>
    <row r="6626" spans="1:5" x14ac:dyDescent="0.25">
      <c r="A6626" s="24" t="s">
        <v>7</v>
      </c>
      <c r="B6626" s="24" t="s">
        <v>17352</v>
      </c>
      <c r="C6626" s="25" t="s">
        <v>17353</v>
      </c>
      <c r="D6626" s="25" t="s">
        <v>17354</v>
      </c>
      <c r="E6626" s="26">
        <v>93</v>
      </c>
    </row>
    <row r="6627" spans="1:5" x14ac:dyDescent="0.25">
      <c r="A6627" s="24" t="s">
        <v>7</v>
      </c>
      <c r="B6627" s="24" t="s">
        <v>17355</v>
      </c>
      <c r="C6627" s="25" t="s">
        <v>17356</v>
      </c>
      <c r="D6627" s="25" t="s">
        <v>17351</v>
      </c>
      <c r="E6627" s="26">
        <v>140</v>
      </c>
    </row>
    <row r="6628" spans="1:5" x14ac:dyDescent="0.25">
      <c r="A6628" s="24" t="s">
        <v>7</v>
      </c>
      <c r="B6628" s="24" t="s">
        <v>17357</v>
      </c>
      <c r="C6628" s="25" t="s">
        <v>17050</v>
      </c>
      <c r="D6628" s="25" t="s">
        <v>17051</v>
      </c>
      <c r="E6628" s="26">
        <v>251.34</v>
      </c>
    </row>
    <row r="6629" spans="1:5" x14ac:dyDescent="0.25">
      <c r="A6629" s="24" t="s">
        <v>7</v>
      </c>
      <c r="B6629" s="24" t="s">
        <v>17358</v>
      </c>
      <c r="C6629" s="25" t="s">
        <v>16792</v>
      </c>
      <c r="D6629" s="25" t="s">
        <v>16793</v>
      </c>
      <c r="E6629" s="26">
        <v>101</v>
      </c>
    </row>
    <row r="6630" spans="1:5" x14ac:dyDescent="0.25">
      <c r="A6630" s="24" t="s">
        <v>7</v>
      </c>
      <c r="B6630" s="24" t="s">
        <v>17359</v>
      </c>
      <c r="C6630" s="25" t="s">
        <v>4028</v>
      </c>
      <c r="D6630" s="25" t="s">
        <v>4029</v>
      </c>
      <c r="E6630" s="26">
        <v>105</v>
      </c>
    </row>
    <row r="6631" spans="1:5" x14ac:dyDescent="0.25">
      <c r="A6631" s="24" t="s">
        <v>7</v>
      </c>
      <c r="B6631" s="24" t="s">
        <v>17360</v>
      </c>
      <c r="C6631" s="25" t="s">
        <v>17361</v>
      </c>
      <c r="D6631" s="25" t="s">
        <v>4029</v>
      </c>
      <c r="E6631" s="26">
        <v>52.15</v>
      </c>
    </row>
    <row r="6632" spans="1:5" x14ac:dyDescent="0.25">
      <c r="A6632" s="24" t="s">
        <v>7</v>
      </c>
      <c r="B6632" s="24" t="s">
        <v>17362</v>
      </c>
      <c r="C6632" s="25" t="s">
        <v>4069</v>
      </c>
      <c r="D6632" s="25" t="s">
        <v>4070</v>
      </c>
      <c r="E6632" s="26">
        <v>52.15</v>
      </c>
    </row>
    <row r="6633" spans="1:5" x14ac:dyDescent="0.25">
      <c r="A6633" s="24" t="s">
        <v>7</v>
      </c>
      <c r="B6633" s="24" t="s">
        <v>17363</v>
      </c>
      <c r="C6633" s="25" t="s">
        <v>4075</v>
      </c>
      <c r="D6633" s="25" t="s">
        <v>4076</v>
      </c>
      <c r="E6633" s="26">
        <v>251.34</v>
      </c>
    </row>
    <row r="6634" spans="1:5" x14ac:dyDescent="0.25">
      <c r="A6634" s="24" t="s">
        <v>7</v>
      </c>
      <c r="B6634" s="24" t="s">
        <v>17364</v>
      </c>
      <c r="C6634" s="25" t="s">
        <v>4025</v>
      </c>
      <c r="D6634" s="25" t="s">
        <v>4026</v>
      </c>
      <c r="E6634" s="26">
        <v>76</v>
      </c>
    </row>
    <row r="6635" spans="1:5" x14ac:dyDescent="0.25">
      <c r="A6635" s="24" t="s">
        <v>7</v>
      </c>
      <c r="B6635" s="24" t="s">
        <v>17365</v>
      </c>
      <c r="C6635" s="25" t="s">
        <v>17366</v>
      </c>
      <c r="D6635" s="25" t="s">
        <v>4073</v>
      </c>
      <c r="E6635" s="26">
        <v>87</v>
      </c>
    </row>
    <row r="6636" spans="1:5" x14ac:dyDescent="0.25">
      <c r="A6636" s="24" t="s">
        <v>7</v>
      </c>
      <c r="B6636" s="24" t="s">
        <v>17367</v>
      </c>
      <c r="C6636" s="25" t="s">
        <v>17368</v>
      </c>
      <c r="D6636" s="25" t="s">
        <v>17369</v>
      </c>
      <c r="E6636" s="26">
        <v>91</v>
      </c>
    </row>
    <row r="6637" spans="1:5" x14ac:dyDescent="0.25">
      <c r="A6637" s="24" t="s">
        <v>7</v>
      </c>
      <c r="B6637" s="24" t="s">
        <v>17370</v>
      </c>
      <c r="C6637" s="25" t="s">
        <v>4078</v>
      </c>
      <c r="D6637" s="25" t="s">
        <v>4079</v>
      </c>
      <c r="E6637" s="26">
        <v>124</v>
      </c>
    </row>
    <row r="6638" spans="1:5" x14ac:dyDescent="0.25">
      <c r="A6638" s="24" t="s">
        <v>7</v>
      </c>
      <c r="B6638" s="24" t="s">
        <v>17371</v>
      </c>
      <c r="C6638" s="25" t="s">
        <v>4072</v>
      </c>
      <c r="D6638" s="25" t="s">
        <v>4073</v>
      </c>
      <c r="E6638" s="26">
        <v>37.1</v>
      </c>
    </row>
    <row r="6639" spans="1:5" x14ac:dyDescent="0.25">
      <c r="A6639" s="24" t="s">
        <v>7</v>
      </c>
      <c r="B6639" s="24" t="s">
        <v>17372</v>
      </c>
      <c r="C6639" s="25" t="s">
        <v>17373</v>
      </c>
      <c r="D6639" s="25" t="s">
        <v>16793</v>
      </c>
      <c r="E6639" s="26">
        <v>251.34</v>
      </c>
    </row>
    <row r="6640" spans="1:5" x14ac:dyDescent="0.25">
      <c r="A6640" s="24" t="s">
        <v>7</v>
      </c>
      <c r="B6640" s="24" t="s">
        <v>17374</v>
      </c>
      <c r="C6640" s="25" t="s">
        <v>17375</v>
      </c>
      <c r="D6640" s="25" t="s">
        <v>16793</v>
      </c>
      <c r="E6640" s="26">
        <v>80</v>
      </c>
    </row>
    <row r="6641" spans="1:5" x14ac:dyDescent="0.25">
      <c r="A6641" s="24" t="s">
        <v>7</v>
      </c>
      <c r="B6641" s="24" t="s">
        <v>17376</v>
      </c>
      <c r="C6641" s="25" t="s">
        <v>16789</v>
      </c>
      <c r="D6641" s="25" t="s">
        <v>16790</v>
      </c>
      <c r="E6641" s="26">
        <v>109</v>
      </c>
    </row>
    <row r="6642" spans="1:5" x14ac:dyDescent="0.25">
      <c r="A6642" s="24" t="s">
        <v>7</v>
      </c>
      <c r="B6642" s="24" t="s">
        <v>17377</v>
      </c>
      <c r="C6642" s="25" t="s">
        <v>17037</v>
      </c>
      <c r="D6642" s="25" t="s">
        <v>17038</v>
      </c>
      <c r="E6642" s="26">
        <v>51</v>
      </c>
    </row>
    <row r="6643" spans="1:5" x14ac:dyDescent="0.25">
      <c r="A6643" s="24" t="s">
        <v>7</v>
      </c>
      <c r="B6643" s="24" t="s">
        <v>17378</v>
      </c>
      <c r="C6643" s="25" t="s">
        <v>17379</v>
      </c>
      <c r="D6643" s="25" t="s">
        <v>17351</v>
      </c>
      <c r="E6643" s="26">
        <v>631.13</v>
      </c>
    </row>
    <row r="6644" spans="1:5" x14ac:dyDescent="0.25">
      <c r="A6644" s="24" t="s">
        <v>7</v>
      </c>
      <c r="B6644" s="24" t="s">
        <v>17380</v>
      </c>
      <c r="C6644" s="25" t="s">
        <v>17381</v>
      </c>
      <c r="D6644" s="25" t="s">
        <v>17382</v>
      </c>
      <c r="E6644" s="26">
        <v>150.71</v>
      </c>
    </row>
    <row r="6645" spans="1:5" x14ac:dyDescent="0.25">
      <c r="A6645" s="24" t="s">
        <v>7</v>
      </c>
      <c r="B6645" s="24" t="s">
        <v>17383</v>
      </c>
      <c r="C6645" s="25" t="s">
        <v>17384</v>
      </c>
      <c r="D6645" s="25" t="s">
        <v>17351</v>
      </c>
      <c r="E6645" s="26">
        <v>136.25</v>
      </c>
    </row>
    <row r="6646" spans="1:5" x14ac:dyDescent="0.25">
      <c r="A6646" s="24" t="s">
        <v>7</v>
      </c>
      <c r="B6646" s="24" t="s">
        <v>17385</v>
      </c>
      <c r="C6646" s="25" t="s">
        <v>17386</v>
      </c>
      <c r="D6646" s="25" t="s">
        <v>17387</v>
      </c>
      <c r="E6646" s="26">
        <v>95</v>
      </c>
    </row>
    <row r="6647" spans="1:5" x14ac:dyDescent="0.25">
      <c r="A6647" s="24" t="s">
        <v>7</v>
      </c>
      <c r="B6647" s="24" t="s">
        <v>17388</v>
      </c>
      <c r="C6647" s="25" t="s">
        <v>15908</v>
      </c>
      <c r="D6647" s="25" t="s">
        <v>15908</v>
      </c>
      <c r="E6647" s="26">
        <v>284.64999999999998</v>
      </c>
    </row>
    <row r="6648" spans="1:5" x14ac:dyDescent="0.25">
      <c r="A6648" s="24" t="s">
        <v>7</v>
      </c>
      <c r="B6648" s="24" t="s">
        <v>17389</v>
      </c>
      <c r="C6648" s="25" t="s">
        <v>16711</v>
      </c>
      <c r="D6648" s="25" t="s">
        <v>16711</v>
      </c>
      <c r="E6648" s="26">
        <v>143.15</v>
      </c>
    </row>
    <row r="6649" spans="1:5" x14ac:dyDescent="0.25">
      <c r="A6649" s="24" t="s">
        <v>7</v>
      </c>
      <c r="B6649" s="24" t="s">
        <v>17390</v>
      </c>
      <c r="C6649" s="25" t="s">
        <v>16133</v>
      </c>
      <c r="D6649" s="25" t="s">
        <v>16134</v>
      </c>
      <c r="E6649" s="26">
        <v>31.1</v>
      </c>
    </row>
    <row r="6650" spans="1:5" x14ac:dyDescent="0.25">
      <c r="A6650" s="24" t="s">
        <v>7</v>
      </c>
      <c r="B6650" s="24" t="s">
        <v>17391</v>
      </c>
      <c r="C6650" s="25" t="s">
        <v>17392</v>
      </c>
      <c r="D6650" s="25" t="s">
        <v>3696</v>
      </c>
      <c r="E6650" s="26">
        <v>85</v>
      </c>
    </row>
    <row r="6651" spans="1:5" x14ac:dyDescent="0.25">
      <c r="A6651" s="24" t="s">
        <v>7</v>
      </c>
      <c r="B6651" s="24" t="s">
        <v>17393</v>
      </c>
      <c r="C6651" s="25" t="s">
        <v>15905</v>
      </c>
      <c r="D6651" s="25" t="s">
        <v>15906</v>
      </c>
      <c r="E6651" s="26">
        <v>140.6</v>
      </c>
    </row>
    <row r="6652" spans="1:5" x14ac:dyDescent="0.25">
      <c r="A6652" s="24" t="s">
        <v>7</v>
      </c>
      <c r="B6652" s="24" t="s">
        <v>17394</v>
      </c>
      <c r="C6652" s="25" t="s">
        <v>17395</v>
      </c>
      <c r="D6652" s="25" t="s">
        <v>3696</v>
      </c>
      <c r="E6652" s="26">
        <v>89.33</v>
      </c>
    </row>
    <row r="6653" spans="1:5" x14ac:dyDescent="0.25">
      <c r="A6653" s="24" t="s">
        <v>7</v>
      </c>
      <c r="B6653" s="24" t="s">
        <v>17396</v>
      </c>
      <c r="C6653" s="25" t="s">
        <v>17397</v>
      </c>
      <c r="D6653" s="25" t="s">
        <v>3696</v>
      </c>
      <c r="E6653" s="26">
        <v>25.62</v>
      </c>
    </row>
    <row r="6654" spans="1:5" x14ac:dyDescent="0.25">
      <c r="A6654" s="24" t="s">
        <v>7</v>
      </c>
      <c r="B6654" s="24" t="s">
        <v>17398</v>
      </c>
      <c r="C6654" s="25" t="s">
        <v>17399</v>
      </c>
      <c r="D6654" s="25" t="s">
        <v>3696</v>
      </c>
      <c r="E6654" s="26">
        <v>81</v>
      </c>
    </row>
    <row r="6655" spans="1:5" x14ac:dyDescent="0.25">
      <c r="A6655" s="24" t="s">
        <v>7</v>
      </c>
      <c r="B6655" s="24" t="s">
        <v>17400</v>
      </c>
      <c r="C6655" s="25" t="s">
        <v>17401</v>
      </c>
      <c r="D6655" s="25" t="s">
        <v>16134</v>
      </c>
      <c r="E6655" s="26">
        <v>25.55</v>
      </c>
    </row>
    <row r="6656" spans="1:5" x14ac:dyDescent="0.25">
      <c r="A6656" s="24" t="s">
        <v>7</v>
      </c>
      <c r="B6656" s="24" t="s">
        <v>17402</v>
      </c>
      <c r="C6656" s="25" t="s">
        <v>17403</v>
      </c>
      <c r="D6656" s="25" t="s">
        <v>17404</v>
      </c>
      <c r="E6656" s="26">
        <v>72</v>
      </c>
    </row>
    <row r="6657" spans="1:5" x14ac:dyDescent="0.25">
      <c r="A6657" s="24" t="s">
        <v>7</v>
      </c>
      <c r="B6657" s="24" t="s">
        <v>17405</v>
      </c>
      <c r="C6657" s="25" t="s">
        <v>15243</v>
      </c>
      <c r="D6657" s="25" t="s">
        <v>3862</v>
      </c>
      <c r="E6657" s="26">
        <v>356</v>
      </c>
    </row>
    <row r="6658" spans="1:5" x14ac:dyDescent="0.25">
      <c r="A6658" s="24" t="s">
        <v>7</v>
      </c>
      <c r="B6658" s="24" t="s">
        <v>17406</v>
      </c>
      <c r="C6658" s="25" t="s">
        <v>3861</v>
      </c>
      <c r="D6658" s="25" t="s">
        <v>3862</v>
      </c>
      <c r="E6658" s="26">
        <v>245</v>
      </c>
    </row>
    <row r="6659" spans="1:5" x14ac:dyDescent="0.25">
      <c r="A6659" s="24" t="s">
        <v>7</v>
      </c>
      <c r="B6659" s="24" t="s">
        <v>17407</v>
      </c>
      <c r="C6659" s="25" t="s">
        <v>16722</v>
      </c>
      <c r="D6659" s="25" t="s">
        <v>16723</v>
      </c>
      <c r="E6659" s="26">
        <v>92.25</v>
      </c>
    </row>
    <row r="6660" spans="1:5" x14ac:dyDescent="0.25">
      <c r="A6660" s="24" t="s">
        <v>7</v>
      </c>
      <c r="B6660" s="24" t="s">
        <v>17408</v>
      </c>
      <c r="C6660" s="25" t="s">
        <v>16730</v>
      </c>
      <c r="D6660" s="25" t="s">
        <v>3927</v>
      </c>
      <c r="E6660" s="26">
        <v>97.5</v>
      </c>
    </row>
    <row r="6661" spans="1:5" x14ac:dyDescent="0.25">
      <c r="A6661" s="24" t="s">
        <v>7</v>
      </c>
      <c r="B6661" s="24" t="s">
        <v>17409</v>
      </c>
      <c r="C6661" s="25" t="s">
        <v>15205</v>
      </c>
      <c r="D6661" s="25" t="s">
        <v>15206</v>
      </c>
      <c r="E6661" s="26">
        <v>41.86</v>
      </c>
    </row>
    <row r="6662" spans="1:5" x14ac:dyDescent="0.25">
      <c r="A6662" s="24" t="s">
        <v>7</v>
      </c>
      <c r="B6662" s="24" t="s">
        <v>17410</v>
      </c>
      <c r="C6662" s="25" t="s">
        <v>15832</v>
      </c>
      <c r="D6662" s="25" t="s">
        <v>15206</v>
      </c>
      <c r="E6662" s="26">
        <v>15.98</v>
      </c>
    </row>
    <row r="6663" spans="1:5" x14ac:dyDescent="0.25">
      <c r="A6663" s="24" t="s">
        <v>7</v>
      </c>
      <c r="B6663" s="24" t="s">
        <v>17411</v>
      </c>
      <c r="C6663" s="25" t="s">
        <v>17412</v>
      </c>
      <c r="D6663" s="25" t="s">
        <v>17412</v>
      </c>
      <c r="E6663" s="26">
        <v>105</v>
      </c>
    </row>
    <row r="6664" spans="1:5" x14ac:dyDescent="0.25">
      <c r="A6664" s="24" t="s">
        <v>7</v>
      </c>
      <c r="B6664" s="24" t="s">
        <v>17413</v>
      </c>
      <c r="C6664" s="25" t="s">
        <v>17414</v>
      </c>
      <c r="D6664" s="25" t="s">
        <v>17414</v>
      </c>
      <c r="E6664" s="26">
        <v>130</v>
      </c>
    </row>
    <row r="6665" spans="1:5" x14ac:dyDescent="0.25">
      <c r="A6665" s="24" t="s">
        <v>7</v>
      </c>
      <c r="B6665" s="24" t="s">
        <v>17415</v>
      </c>
      <c r="C6665" s="25" t="s">
        <v>17416</v>
      </c>
      <c r="D6665" s="25" t="s">
        <v>17417</v>
      </c>
      <c r="E6665" s="26">
        <v>22.19</v>
      </c>
    </row>
    <row r="6666" spans="1:5" x14ac:dyDescent="0.25">
      <c r="A6666" s="24" t="s">
        <v>7</v>
      </c>
      <c r="B6666" s="24" t="s">
        <v>17418</v>
      </c>
      <c r="C6666" s="25" t="s">
        <v>3614</v>
      </c>
      <c r="D6666" s="25" t="s">
        <v>3615</v>
      </c>
      <c r="E6666" s="26">
        <v>4.82</v>
      </c>
    </row>
    <row r="6667" spans="1:5" x14ac:dyDescent="0.25">
      <c r="A6667" s="24" t="s">
        <v>7</v>
      </c>
      <c r="B6667" s="24" t="s">
        <v>17419</v>
      </c>
      <c r="C6667" s="25" t="s">
        <v>16117</v>
      </c>
      <c r="D6667" s="25" t="s">
        <v>16118</v>
      </c>
      <c r="E6667" s="26">
        <v>11.83</v>
      </c>
    </row>
    <row r="6668" spans="1:5" x14ac:dyDescent="0.25">
      <c r="A6668" s="24" t="s">
        <v>7</v>
      </c>
      <c r="B6668" s="24" t="s">
        <v>17420</v>
      </c>
      <c r="C6668" s="25" t="s">
        <v>16124</v>
      </c>
      <c r="D6668" s="25" t="s">
        <v>16125</v>
      </c>
      <c r="E6668" s="26">
        <v>7.12</v>
      </c>
    </row>
    <row r="6669" spans="1:5" x14ac:dyDescent="0.25">
      <c r="A6669" s="24" t="s">
        <v>7</v>
      </c>
      <c r="B6669" s="24" t="s">
        <v>17421</v>
      </c>
      <c r="C6669" s="25" t="s">
        <v>16127</v>
      </c>
      <c r="D6669" s="25" t="s">
        <v>16127</v>
      </c>
      <c r="E6669" s="26">
        <v>7.51</v>
      </c>
    </row>
    <row r="6670" spans="1:5" x14ac:dyDescent="0.25">
      <c r="A6670" s="24" t="s">
        <v>7</v>
      </c>
      <c r="B6670" s="24" t="s">
        <v>17422</v>
      </c>
      <c r="C6670" s="25" t="s">
        <v>17423</v>
      </c>
      <c r="D6670" s="25" t="s">
        <v>16423</v>
      </c>
      <c r="E6670" s="26">
        <v>22.72</v>
      </c>
    </row>
    <row r="6671" spans="1:5" x14ac:dyDescent="0.25">
      <c r="A6671" s="24" t="s">
        <v>7</v>
      </c>
      <c r="B6671" s="24" t="s">
        <v>17424</v>
      </c>
      <c r="C6671" s="25" t="s">
        <v>16422</v>
      </c>
      <c r="D6671" s="25" t="s">
        <v>16423</v>
      </c>
      <c r="E6671" s="26">
        <v>5</v>
      </c>
    </row>
    <row r="6672" spans="1:5" x14ac:dyDescent="0.25">
      <c r="A6672" s="24" t="s">
        <v>7</v>
      </c>
      <c r="B6672" s="24" t="s">
        <v>17425</v>
      </c>
      <c r="C6672" s="25" t="s">
        <v>15990</v>
      </c>
      <c r="D6672" s="25" t="s">
        <v>15991</v>
      </c>
      <c r="E6672" s="26">
        <v>55</v>
      </c>
    </row>
    <row r="6673" spans="1:5" x14ac:dyDescent="0.25">
      <c r="A6673" s="24" t="s">
        <v>7</v>
      </c>
      <c r="B6673" s="24" t="s">
        <v>17426</v>
      </c>
      <c r="C6673" s="25" t="s">
        <v>16252</v>
      </c>
      <c r="D6673" s="25" t="s">
        <v>16253</v>
      </c>
      <c r="E6673" s="26">
        <v>30</v>
      </c>
    </row>
    <row r="6674" spans="1:5" x14ac:dyDescent="0.25">
      <c r="A6674" s="24" t="s">
        <v>7</v>
      </c>
      <c r="B6674" s="24" t="s">
        <v>17427</v>
      </c>
      <c r="C6674" s="25" t="s">
        <v>16255</v>
      </c>
      <c r="D6674" s="25" t="s">
        <v>16256</v>
      </c>
      <c r="E6674" s="26">
        <v>60</v>
      </c>
    </row>
    <row r="6675" spans="1:5" x14ac:dyDescent="0.25">
      <c r="A6675" s="24" t="s">
        <v>7</v>
      </c>
      <c r="B6675" s="24" t="s">
        <v>17428</v>
      </c>
      <c r="C6675" s="25" t="s">
        <v>3679</v>
      </c>
      <c r="D6675" s="25" t="s">
        <v>3679</v>
      </c>
      <c r="E6675" s="26">
        <v>10.53</v>
      </c>
    </row>
    <row r="6676" spans="1:5" x14ac:dyDescent="0.25">
      <c r="A6676" s="24" t="s">
        <v>7</v>
      </c>
      <c r="B6676" s="24" t="s">
        <v>17429</v>
      </c>
      <c r="C6676" s="25" t="s">
        <v>16345</v>
      </c>
      <c r="D6676" s="25" t="s">
        <v>16346</v>
      </c>
      <c r="E6676" s="26">
        <v>19.940000000000001</v>
      </c>
    </row>
    <row r="6677" spans="1:5" x14ac:dyDescent="0.25">
      <c r="A6677" s="24" t="s">
        <v>7</v>
      </c>
      <c r="B6677" s="24" t="s">
        <v>17430</v>
      </c>
      <c r="C6677" s="25" t="s">
        <v>3709</v>
      </c>
      <c r="D6677" s="25" t="s">
        <v>3710</v>
      </c>
      <c r="E6677" s="26">
        <v>5.27</v>
      </c>
    </row>
    <row r="6678" spans="1:5" x14ac:dyDescent="0.25">
      <c r="A6678" s="24" t="s">
        <v>7</v>
      </c>
      <c r="B6678" s="24" t="s">
        <v>17431</v>
      </c>
      <c r="C6678" s="25" t="s">
        <v>15287</v>
      </c>
      <c r="D6678" s="25" t="s">
        <v>15288</v>
      </c>
      <c r="E6678" s="26">
        <v>30</v>
      </c>
    </row>
    <row r="6679" spans="1:5" x14ac:dyDescent="0.25">
      <c r="A6679" s="24" t="s">
        <v>7</v>
      </c>
      <c r="B6679" s="24" t="s">
        <v>17432</v>
      </c>
      <c r="C6679" s="25" t="s">
        <v>17433</v>
      </c>
      <c r="D6679" s="25" t="s">
        <v>15675</v>
      </c>
      <c r="E6679" s="26">
        <v>10.55</v>
      </c>
    </row>
    <row r="6680" spans="1:5" x14ac:dyDescent="0.25">
      <c r="A6680" s="24" t="s">
        <v>7</v>
      </c>
      <c r="B6680" s="24" t="s">
        <v>17434</v>
      </c>
      <c r="C6680" s="25" t="s">
        <v>16120</v>
      </c>
      <c r="D6680" s="25" t="s">
        <v>16118</v>
      </c>
      <c r="E6680" s="26">
        <v>11.83</v>
      </c>
    </row>
    <row r="6681" spans="1:5" x14ac:dyDescent="0.25">
      <c r="A6681" s="24" t="s">
        <v>7</v>
      </c>
      <c r="B6681" s="24" t="s">
        <v>17435</v>
      </c>
      <c r="C6681" s="25" t="s">
        <v>16160</v>
      </c>
      <c r="D6681" s="25" t="s">
        <v>16161</v>
      </c>
      <c r="E6681" s="26">
        <v>3.8</v>
      </c>
    </row>
    <row r="6682" spans="1:5" x14ac:dyDescent="0.25">
      <c r="A6682" s="24" t="s">
        <v>7</v>
      </c>
      <c r="B6682" s="24" t="s">
        <v>17436</v>
      </c>
      <c r="C6682" s="25" t="s">
        <v>16166</v>
      </c>
      <c r="D6682" s="25" t="s">
        <v>16167</v>
      </c>
      <c r="E6682" s="26">
        <v>41.16</v>
      </c>
    </row>
    <row r="6683" spans="1:5" x14ac:dyDescent="0.25">
      <c r="A6683" s="24" t="s">
        <v>7</v>
      </c>
      <c r="B6683" s="24" t="s">
        <v>17437</v>
      </c>
      <c r="C6683" s="25" t="s">
        <v>16195</v>
      </c>
      <c r="D6683" s="25" t="s">
        <v>16196</v>
      </c>
      <c r="E6683" s="26">
        <v>22.72</v>
      </c>
    </row>
    <row r="6684" spans="1:5" x14ac:dyDescent="0.25">
      <c r="A6684" s="24" t="s">
        <v>7</v>
      </c>
      <c r="B6684" s="24" t="s">
        <v>17438</v>
      </c>
      <c r="C6684" s="25" t="s">
        <v>17439</v>
      </c>
      <c r="D6684" s="25" t="s">
        <v>17440</v>
      </c>
      <c r="E6684" s="26">
        <v>19.84</v>
      </c>
    </row>
    <row r="6685" spans="1:5" x14ac:dyDescent="0.25">
      <c r="A6685" s="24" t="s">
        <v>7</v>
      </c>
      <c r="B6685" s="24" t="s">
        <v>17441</v>
      </c>
      <c r="C6685" s="25" t="s">
        <v>16158</v>
      </c>
      <c r="D6685" s="25" t="s">
        <v>3691</v>
      </c>
      <c r="E6685" s="26">
        <v>10.53</v>
      </c>
    </row>
    <row r="6686" spans="1:5" x14ac:dyDescent="0.25">
      <c r="A6686" s="24" t="s">
        <v>7</v>
      </c>
      <c r="B6686" s="24" t="s">
        <v>17442</v>
      </c>
      <c r="C6686" s="25" t="s">
        <v>16274</v>
      </c>
      <c r="D6686" s="25" t="s">
        <v>16275</v>
      </c>
      <c r="E6686" s="26">
        <v>8.8000000000000007</v>
      </c>
    </row>
    <row r="6687" spans="1:5" x14ac:dyDescent="0.25">
      <c r="A6687" s="24" t="s">
        <v>7</v>
      </c>
      <c r="B6687" s="24" t="s">
        <v>17443</v>
      </c>
      <c r="C6687" s="25" t="s">
        <v>17444</v>
      </c>
      <c r="D6687" s="25" t="s">
        <v>16268</v>
      </c>
      <c r="E6687" s="26">
        <v>40.119999999999997</v>
      </c>
    </row>
    <row r="6688" spans="1:5" x14ac:dyDescent="0.25">
      <c r="A6688" s="24" t="s">
        <v>7</v>
      </c>
      <c r="B6688" s="24" t="s">
        <v>17445</v>
      </c>
      <c r="C6688" s="25" t="s">
        <v>16261</v>
      </c>
      <c r="D6688" s="25" t="s">
        <v>16262</v>
      </c>
      <c r="E6688" s="26">
        <v>10.53</v>
      </c>
    </row>
    <row r="6689" spans="1:5" x14ac:dyDescent="0.25">
      <c r="A6689" s="24" t="s">
        <v>7</v>
      </c>
      <c r="B6689" s="24" t="s">
        <v>17446</v>
      </c>
      <c r="C6689" s="25" t="s">
        <v>16110</v>
      </c>
      <c r="D6689" s="25" t="s">
        <v>16111</v>
      </c>
      <c r="E6689" s="26">
        <v>9.08</v>
      </c>
    </row>
    <row r="6690" spans="1:5" x14ac:dyDescent="0.25">
      <c r="A6690" s="24" t="s">
        <v>7</v>
      </c>
      <c r="B6690" s="24" t="s">
        <v>17447</v>
      </c>
      <c r="C6690" s="25" t="s">
        <v>16289</v>
      </c>
      <c r="D6690" s="25" t="s">
        <v>15187</v>
      </c>
      <c r="E6690" s="26">
        <v>16.84</v>
      </c>
    </row>
    <row r="6691" spans="1:5" x14ac:dyDescent="0.25">
      <c r="A6691" s="24" t="s">
        <v>7</v>
      </c>
      <c r="B6691" s="24" t="s">
        <v>17448</v>
      </c>
      <c r="C6691" s="25" t="s">
        <v>15845</v>
      </c>
      <c r="D6691" s="25" t="s">
        <v>15846</v>
      </c>
      <c r="E6691" s="26">
        <v>88.41</v>
      </c>
    </row>
    <row r="6692" spans="1:5" x14ac:dyDescent="0.25">
      <c r="A6692" s="24" t="s">
        <v>7</v>
      </c>
      <c r="B6692" s="24" t="s">
        <v>17449</v>
      </c>
      <c r="C6692" s="25" t="s">
        <v>3703</v>
      </c>
      <c r="D6692" s="25" t="s">
        <v>3704</v>
      </c>
      <c r="E6692" s="26">
        <v>10.53</v>
      </c>
    </row>
    <row r="6693" spans="1:5" x14ac:dyDescent="0.25">
      <c r="A6693" s="24" t="s">
        <v>7</v>
      </c>
      <c r="B6693" s="24" t="s">
        <v>17450</v>
      </c>
      <c r="C6693" s="25" t="s">
        <v>15515</v>
      </c>
      <c r="D6693" s="25" t="s">
        <v>15516</v>
      </c>
      <c r="E6693" s="26">
        <v>509.8</v>
      </c>
    </row>
    <row r="6694" spans="1:5" x14ac:dyDescent="0.25">
      <c r="A6694" s="24" t="s">
        <v>7</v>
      </c>
      <c r="B6694" s="24" t="s">
        <v>17451</v>
      </c>
      <c r="C6694" s="25" t="s">
        <v>15973</v>
      </c>
      <c r="D6694" s="25" t="s">
        <v>15974</v>
      </c>
      <c r="E6694" s="26">
        <v>35.44</v>
      </c>
    </row>
    <row r="6695" spans="1:5" x14ac:dyDescent="0.25">
      <c r="A6695" s="24" t="s">
        <v>7</v>
      </c>
      <c r="B6695" s="24" t="s">
        <v>17452</v>
      </c>
      <c r="C6695" s="25" t="s">
        <v>15788</v>
      </c>
      <c r="D6695" s="25" t="s">
        <v>15789</v>
      </c>
      <c r="E6695" s="26">
        <v>35.44</v>
      </c>
    </row>
    <row r="6696" spans="1:5" x14ac:dyDescent="0.25">
      <c r="A6696" s="24" t="s">
        <v>7</v>
      </c>
      <c r="B6696" s="24" t="s">
        <v>17453</v>
      </c>
      <c r="C6696" s="25" t="s">
        <v>17324</v>
      </c>
      <c r="D6696" s="25" t="s">
        <v>17325</v>
      </c>
      <c r="E6696" s="26">
        <v>250</v>
      </c>
    </row>
    <row r="6697" spans="1:5" x14ac:dyDescent="0.25">
      <c r="A6697" s="24" t="s">
        <v>7</v>
      </c>
      <c r="B6697" s="24" t="s">
        <v>17454</v>
      </c>
      <c r="C6697" s="25" t="s">
        <v>17327</v>
      </c>
      <c r="D6697" s="25" t="s">
        <v>17325</v>
      </c>
      <c r="E6697" s="26">
        <v>178.75</v>
      </c>
    </row>
    <row r="6698" spans="1:5" x14ac:dyDescent="0.25">
      <c r="A6698" s="24" t="s">
        <v>7</v>
      </c>
      <c r="B6698" s="24" t="s">
        <v>17455</v>
      </c>
      <c r="C6698" s="25" t="s">
        <v>17456</v>
      </c>
      <c r="D6698" s="25" t="s">
        <v>17088</v>
      </c>
      <c r="E6698" s="26">
        <v>228.2</v>
      </c>
    </row>
    <row r="6699" spans="1:5" x14ac:dyDescent="0.25">
      <c r="A6699" s="24" t="s">
        <v>7</v>
      </c>
      <c r="B6699" s="24" t="s">
        <v>17457</v>
      </c>
      <c r="C6699" s="25" t="s">
        <v>17458</v>
      </c>
      <c r="D6699" s="25" t="s">
        <v>17459</v>
      </c>
      <c r="E6699" s="26">
        <v>225</v>
      </c>
    </row>
    <row r="6700" spans="1:5" x14ac:dyDescent="0.25">
      <c r="A6700" s="24" t="s">
        <v>7</v>
      </c>
      <c r="B6700" s="24" t="s">
        <v>17460</v>
      </c>
      <c r="C6700" s="25" t="s">
        <v>17087</v>
      </c>
      <c r="D6700" s="25" t="s">
        <v>17088</v>
      </c>
      <c r="E6700" s="26">
        <v>197.5</v>
      </c>
    </row>
    <row r="6701" spans="1:5" x14ac:dyDescent="0.25">
      <c r="A6701" s="24" t="s">
        <v>7</v>
      </c>
      <c r="B6701" s="24" t="s">
        <v>17461</v>
      </c>
      <c r="C6701" s="25" t="s">
        <v>17331</v>
      </c>
      <c r="D6701" s="25" t="s">
        <v>17332</v>
      </c>
      <c r="E6701" s="26">
        <v>105</v>
      </c>
    </row>
    <row r="6702" spans="1:5" x14ac:dyDescent="0.25">
      <c r="A6702" s="24" t="s">
        <v>7</v>
      </c>
      <c r="B6702" s="24" t="s">
        <v>17462</v>
      </c>
      <c r="C6702" s="25" t="s">
        <v>17463</v>
      </c>
      <c r="D6702" s="25" t="s">
        <v>17100</v>
      </c>
      <c r="E6702" s="26">
        <v>150</v>
      </c>
    </row>
    <row r="6703" spans="1:5" x14ac:dyDescent="0.25">
      <c r="A6703" s="24" t="s">
        <v>7</v>
      </c>
      <c r="B6703" s="24" t="s">
        <v>17464</v>
      </c>
      <c r="C6703" s="25" t="s">
        <v>17346</v>
      </c>
      <c r="D6703" s="25" t="s">
        <v>17347</v>
      </c>
      <c r="E6703" s="26">
        <v>170</v>
      </c>
    </row>
    <row r="6704" spans="1:5" x14ac:dyDescent="0.25">
      <c r="A6704" s="24" t="s">
        <v>7</v>
      </c>
      <c r="B6704" s="24" t="s">
        <v>17465</v>
      </c>
      <c r="C6704" s="25" t="s">
        <v>17466</v>
      </c>
      <c r="D6704" s="25" t="s">
        <v>17467</v>
      </c>
      <c r="E6704" s="26">
        <v>200</v>
      </c>
    </row>
    <row r="6705" spans="1:5" x14ac:dyDescent="0.25">
      <c r="A6705" s="24" t="s">
        <v>7</v>
      </c>
      <c r="B6705" s="24" t="s">
        <v>17468</v>
      </c>
      <c r="C6705" s="25" t="s">
        <v>17334</v>
      </c>
      <c r="D6705" s="25" t="s">
        <v>17335</v>
      </c>
      <c r="E6705" s="26">
        <v>150</v>
      </c>
    </row>
    <row r="6706" spans="1:5" x14ac:dyDescent="0.25">
      <c r="A6706" s="24" t="s">
        <v>7</v>
      </c>
      <c r="B6706" s="24" t="s">
        <v>17469</v>
      </c>
      <c r="C6706" s="25" t="s">
        <v>17338</v>
      </c>
      <c r="D6706" s="25" t="s">
        <v>17339</v>
      </c>
      <c r="E6706" s="26">
        <v>300</v>
      </c>
    </row>
    <row r="6707" spans="1:5" x14ac:dyDescent="0.25">
      <c r="A6707" s="24" t="s">
        <v>7</v>
      </c>
      <c r="B6707" s="24" t="s">
        <v>17470</v>
      </c>
      <c r="C6707" s="25" t="s">
        <v>17096</v>
      </c>
      <c r="D6707" s="25" t="s">
        <v>17097</v>
      </c>
      <c r="E6707" s="26">
        <v>178.75</v>
      </c>
    </row>
    <row r="6708" spans="1:5" x14ac:dyDescent="0.25">
      <c r="A6708" s="24" t="s">
        <v>7</v>
      </c>
      <c r="B6708" s="24" t="s">
        <v>17471</v>
      </c>
      <c r="C6708" s="25" t="s">
        <v>15261</v>
      </c>
      <c r="D6708" s="25" t="s">
        <v>15181</v>
      </c>
      <c r="E6708" s="26">
        <v>25</v>
      </c>
    </row>
    <row r="6709" spans="1:5" x14ac:dyDescent="0.25">
      <c r="A6709" s="24" t="s">
        <v>7</v>
      </c>
      <c r="B6709" s="24" t="s">
        <v>17472</v>
      </c>
      <c r="C6709" s="25" t="s">
        <v>17473</v>
      </c>
      <c r="D6709" s="25" t="s">
        <v>15304</v>
      </c>
      <c r="E6709" s="26">
        <v>15</v>
      </c>
    </row>
    <row r="6710" spans="1:5" x14ac:dyDescent="0.25">
      <c r="A6710" s="24" t="s">
        <v>7</v>
      </c>
      <c r="B6710" s="24" t="s">
        <v>17474</v>
      </c>
      <c r="C6710" s="25" t="s">
        <v>17044</v>
      </c>
      <c r="D6710" s="25" t="s">
        <v>17045</v>
      </c>
      <c r="E6710" s="26">
        <v>120</v>
      </c>
    </row>
    <row r="6711" spans="1:5" x14ac:dyDescent="0.25">
      <c r="A6711" s="24" t="s">
        <v>7</v>
      </c>
      <c r="B6711" s="24" t="s">
        <v>17475</v>
      </c>
      <c r="C6711" s="25" t="s">
        <v>17047</v>
      </c>
      <c r="D6711" s="25" t="s">
        <v>17048</v>
      </c>
      <c r="E6711" s="26">
        <v>150</v>
      </c>
    </row>
    <row r="6712" spans="1:5" x14ac:dyDescent="0.25">
      <c r="A6712" s="24" t="s">
        <v>7</v>
      </c>
      <c r="B6712" s="24" t="s">
        <v>17476</v>
      </c>
      <c r="C6712" s="25" t="s">
        <v>17050</v>
      </c>
      <c r="D6712" s="25" t="s">
        <v>17051</v>
      </c>
      <c r="E6712" s="26">
        <v>60</v>
      </c>
    </row>
    <row r="6713" spans="1:5" x14ac:dyDescent="0.25">
      <c r="A6713" s="24" t="s">
        <v>7</v>
      </c>
      <c r="B6713" s="24" t="s">
        <v>17477</v>
      </c>
      <c r="C6713" s="25" t="s">
        <v>15457</v>
      </c>
      <c r="D6713" s="25" t="s">
        <v>15458</v>
      </c>
      <c r="E6713" s="26">
        <v>300</v>
      </c>
    </row>
    <row r="6714" spans="1:5" x14ac:dyDescent="0.25">
      <c r="A6714" s="24" t="s">
        <v>7</v>
      </c>
      <c r="B6714" s="24" t="s">
        <v>17478</v>
      </c>
      <c r="C6714" s="25" t="s">
        <v>17064</v>
      </c>
      <c r="D6714" s="25" t="s">
        <v>17065</v>
      </c>
      <c r="E6714" s="26">
        <v>300</v>
      </c>
    </row>
    <row r="6715" spans="1:5" x14ac:dyDescent="0.25">
      <c r="A6715" s="24" t="s">
        <v>7</v>
      </c>
      <c r="B6715" s="24" t="s">
        <v>17479</v>
      </c>
      <c r="C6715" s="25" t="s">
        <v>17067</v>
      </c>
      <c r="D6715" s="25" t="s">
        <v>17068</v>
      </c>
      <c r="E6715" s="26">
        <v>150</v>
      </c>
    </row>
    <row r="6716" spans="1:5" x14ac:dyDescent="0.25">
      <c r="A6716" s="24" t="s">
        <v>7</v>
      </c>
      <c r="B6716" s="24" t="s">
        <v>17480</v>
      </c>
      <c r="C6716" s="25" t="s">
        <v>17070</v>
      </c>
      <c r="D6716" s="25" t="s">
        <v>17071</v>
      </c>
      <c r="E6716" s="26">
        <v>150</v>
      </c>
    </row>
    <row r="6717" spans="1:5" x14ac:dyDescent="0.25">
      <c r="A6717" s="24" t="s">
        <v>7</v>
      </c>
      <c r="B6717" s="24" t="s">
        <v>17481</v>
      </c>
      <c r="C6717" s="25" t="s">
        <v>17482</v>
      </c>
      <c r="D6717" s="25" t="s">
        <v>17483</v>
      </c>
      <c r="E6717" s="26">
        <v>388</v>
      </c>
    </row>
    <row r="6718" spans="1:5" x14ac:dyDescent="0.25">
      <c r="A6718" s="24" t="s">
        <v>7</v>
      </c>
      <c r="B6718" s="24" t="s">
        <v>17484</v>
      </c>
      <c r="C6718" s="25" t="s">
        <v>16883</v>
      </c>
      <c r="D6718" s="25" t="s">
        <v>16883</v>
      </c>
      <c r="E6718" s="26">
        <v>300</v>
      </c>
    </row>
    <row r="6719" spans="1:5" x14ac:dyDescent="0.25">
      <c r="A6719" s="24" t="s">
        <v>7</v>
      </c>
      <c r="B6719" s="24" t="s">
        <v>17485</v>
      </c>
      <c r="C6719" s="25" t="s">
        <v>15189</v>
      </c>
      <c r="D6719" s="25" t="s">
        <v>15190</v>
      </c>
      <c r="E6719" s="26">
        <v>300</v>
      </c>
    </row>
    <row r="6720" spans="1:5" x14ac:dyDescent="0.25">
      <c r="A6720" s="24" t="s">
        <v>7</v>
      </c>
      <c r="B6720" s="24" t="s">
        <v>17486</v>
      </c>
      <c r="C6720" s="25" t="s">
        <v>17073</v>
      </c>
      <c r="D6720" s="25" t="s">
        <v>17074</v>
      </c>
      <c r="E6720" s="26">
        <v>300</v>
      </c>
    </row>
    <row r="6721" spans="1:5" x14ac:dyDescent="0.25">
      <c r="A6721" s="24" t="s">
        <v>7</v>
      </c>
      <c r="B6721" s="24" t="s">
        <v>17487</v>
      </c>
      <c r="C6721" s="25" t="s">
        <v>17488</v>
      </c>
      <c r="D6721" s="25" t="s">
        <v>17489</v>
      </c>
      <c r="E6721" s="26">
        <v>300</v>
      </c>
    </row>
    <row r="6722" spans="1:5" x14ac:dyDescent="0.25">
      <c r="A6722" s="24" t="s">
        <v>7</v>
      </c>
      <c r="B6722" s="24" t="s">
        <v>17490</v>
      </c>
      <c r="C6722" s="25" t="s">
        <v>17334</v>
      </c>
      <c r="D6722" s="25" t="s">
        <v>17335</v>
      </c>
      <c r="E6722" s="26">
        <v>26</v>
      </c>
    </row>
    <row r="6723" spans="1:5" x14ac:dyDescent="0.25">
      <c r="A6723" s="24" t="s">
        <v>7</v>
      </c>
      <c r="B6723" s="24" t="s">
        <v>17491</v>
      </c>
      <c r="C6723" s="25" t="s">
        <v>17492</v>
      </c>
      <c r="D6723" s="25" t="s">
        <v>17493</v>
      </c>
      <c r="E6723" s="26">
        <v>46</v>
      </c>
    </row>
    <row r="6724" spans="1:5" x14ac:dyDescent="0.25">
      <c r="A6724" s="24" t="s">
        <v>7</v>
      </c>
      <c r="B6724" s="24" t="s">
        <v>17494</v>
      </c>
      <c r="C6724" s="25" t="s">
        <v>17495</v>
      </c>
      <c r="D6724" s="25" t="s">
        <v>17496</v>
      </c>
      <c r="E6724" s="26">
        <v>75</v>
      </c>
    </row>
    <row r="6725" spans="1:5" x14ac:dyDescent="0.25">
      <c r="A6725" s="24" t="s">
        <v>7</v>
      </c>
      <c r="B6725" s="24" t="s">
        <v>17497</v>
      </c>
      <c r="C6725" s="25" t="s">
        <v>17498</v>
      </c>
      <c r="D6725" s="25" t="s">
        <v>17498</v>
      </c>
      <c r="E6725" s="26">
        <v>75</v>
      </c>
    </row>
    <row r="6726" spans="1:5" x14ac:dyDescent="0.25">
      <c r="A6726" s="24" t="s">
        <v>7</v>
      </c>
      <c r="B6726" s="24" t="s">
        <v>17499</v>
      </c>
      <c r="C6726" s="25" t="s">
        <v>17500</v>
      </c>
      <c r="D6726" s="25" t="s">
        <v>17500</v>
      </c>
      <c r="E6726" s="26">
        <v>150</v>
      </c>
    </row>
    <row r="6727" spans="1:5" x14ac:dyDescent="0.25">
      <c r="A6727" s="24" t="s">
        <v>7</v>
      </c>
      <c r="B6727" s="24" t="s">
        <v>17501</v>
      </c>
      <c r="C6727" s="25" t="s">
        <v>17502</v>
      </c>
      <c r="D6727" s="25" t="s">
        <v>17502</v>
      </c>
      <c r="E6727" s="26">
        <v>150</v>
      </c>
    </row>
    <row r="6728" spans="1:5" x14ac:dyDescent="0.25">
      <c r="A6728" s="24" t="s">
        <v>7</v>
      </c>
      <c r="B6728" s="24" t="s">
        <v>17503</v>
      </c>
      <c r="C6728" s="25" t="s">
        <v>17504</v>
      </c>
      <c r="D6728" s="25" t="s">
        <v>17505</v>
      </c>
      <c r="E6728" s="26">
        <v>60</v>
      </c>
    </row>
    <row r="6729" spans="1:5" x14ac:dyDescent="0.25">
      <c r="A6729" s="24" t="s">
        <v>7</v>
      </c>
      <c r="B6729" s="24" t="s">
        <v>17506</v>
      </c>
      <c r="C6729" s="25" t="s">
        <v>17507</v>
      </c>
      <c r="D6729" s="25" t="s">
        <v>17508</v>
      </c>
      <c r="E6729" s="26">
        <v>50</v>
      </c>
    </row>
    <row r="6730" spans="1:5" x14ac:dyDescent="0.25">
      <c r="A6730" s="24" t="s">
        <v>7</v>
      </c>
      <c r="B6730" s="24" t="s">
        <v>17509</v>
      </c>
      <c r="C6730" s="25" t="s">
        <v>17324</v>
      </c>
      <c r="D6730" s="25" t="s">
        <v>17325</v>
      </c>
      <c r="E6730" s="26">
        <v>93</v>
      </c>
    </row>
    <row r="6731" spans="1:5" x14ac:dyDescent="0.25">
      <c r="A6731" s="24" t="s">
        <v>7</v>
      </c>
      <c r="B6731" s="24" t="s">
        <v>17510</v>
      </c>
      <c r="C6731" s="25" t="s">
        <v>17096</v>
      </c>
      <c r="D6731" s="25" t="s">
        <v>17097</v>
      </c>
      <c r="E6731" s="26">
        <v>98</v>
      </c>
    </row>
    <row r="6732" spans="1:5" x14ac:dyDescent="0.25">
      <c r="A6732" s="24" t="s">
        <v>7</v>
      </c>
      <c r="B6732" s="24" t="s">
        <v>17511</v>
      </c>
      <c r="C6732" s="25" t="s">
        <v>17093</v>
      </c>
      <c r="D6732" s="25" t="s">
        <v>17094</v>
      </c>
      <c r="E6732" s="26">
        <v>200</v>
      </c>
    </row>
    <row r="6733" spans="1:5" x14ac:dyDescent="0.25">
      <c r="A6733" s="24" t="s">
        <v>7</v>
      </c>
      <c r="B6733" s="24" t="s">
        <v>17512</v>
      </c>
      <c r="C6733" s="25" t="s">
        <v>17099</v>
      </c>
      <c r="D6733" s="25" t="s">
        <v>17100</v>
      </c>
      <c r="E6733" s="26">
        <v>175</v>
      </c>
    </row>
    <row r="6734" spans="1:5" x14ac:dyDescent="0.25">
      <c r="A6734" s="24" t="s">
        <v>7</v>
      </c>
      <c r="B6734" s="24" t="s">
        <v>17513</v>
      </c>
      <c r="C6734" s="25" t="s">
        <v>17102</v>
      </c>
      <c r="D6734" s="25" t="s">
        <v>17103</v>
      </c>
      <c r="E6734" s="26">
        <v>174</v>
      </c>
    </row>
    <row r="6735" spans="1:5" x14ac:dyDescent="0.25">
      <c r="A6735" s="24" t="s">
        <v>7</v>
      </c>
      <c r="B6735" s="24" t="s">
        <v>17514</v>
      </c>
      <c r="C6735" s="25" t="s">
        <v>17515</v>
      </c>
      <c r="D6735" s="25" t="s">
        <v>17516</v>
      </c>
      <c r="E6735" s="26">
        <v>250</v>
      </c>
    </row>
    <row r="6736" spans="1:5" x14ac:dyDescent="0.25">
      <c r="A6736" s="24" t="s">
        <v>7</v>
      </c>
      <c r="B6736" s="24" t="s">
        <v>17517</v>
      </c>
      <c r="C6736" s="25" t="s">
        <v>15492</v>
      </c>
      <c r="D6736" s="25" t="s">
        <v>15493</v>
      </c>
      <c r="E6736" s="26">
        <v>300</v>
      </c>
    </row>
    <row r="6737" spans="1:5" x14ac:dyDescent="0.25">
      <c r="A6737" s="24" t="s">
        <v>7</v>
      </c>
      <c r="B6737" s="24" t="s">
        <v>17518</v>
      </c>
      <c r="C6737" s="25" t="s">
        <v>17346</v>
      </c>
      <c r="D6737" s="25" t="s">
        <v>17347</v>
      </c>
      <c r="E6737" s="26">
        <v>30</v>
      </c>
    </row>
    <row r="6738" spans="1:5" x14ac:dyDescent="0.25">
      <c r="A6738" s="24" t="s">
        <v>7</v>
      </c>
      <c r="B6738" s="24" t="s">
        <v>17519</v>
      </c>
      <c r="C6738" s="25" t="s">
        <v>17111</v>
      </c>
      <c r="D6738" s="25" t="s">
        <v>17112</v>
      </c>
      <c r="E6738" s="26">
        <v>25</v>
      </c>
    </row>
    <row r="6739" spans="1:5" x14ac:dyDescent="0.25">
      <c r="A6739" s="24" t="s">
        <v>7</v>
      </c>
      <c r="B6739" s="24" t="s">
        <v>17520</v>
      </c>
      <c r="C6739" s="25" t="s">
        <v>4069</v>
      </c>
      <c r="D6739" s="25" t="s">
        <v>4070</v>
      </c>
      <c r="E6739" s="26">
        <v>95</v>
      </c>
    </row>
    <row r="6740" spans="1:5" x14ac:dyDescent="0.25">
      <c r="A6740" s="24" t="s">
        <v>7</v>
      </c>
      <c r="B6740" s="24" t="s">
        <v>17521</v>
      </c>
      <c r="C6740" s="25" t="s">
        <v>4072</v>
      </c>
      <c r="D6740" s="25" t="s">
        <v>4073</v>
      </c>
      <c r="E6740" s="26">
        <v>72</v>
      </c>
    </row>
    <row r="6741" spans="1:5" x14ac:dyDescent="0.25">
      <c r="A6741" s="24" t="s">
        <v>7</v>
      </c>
      <c r="B6741" s="24" t="s">
        <v>17522</v>
      </c>
      <c r="C6741" s="25" t="s">
        <v>4075</v>
      </c>
      <c r="D6741" s="25" t="s">
        <v>4076</v>
      </c>
      <c r="E6741" s="26">
        <v>45</v>
      </c>
    </row>
    <row r="6742" spans="1:5" x14ac:dyDescent="0.25">
      <c r="A6742" s="24" t="s">
        <v>7</v>
      </c>
      <c r="B6742" s="24" t="s">
        <v>17523</v>
      </c>
      <c r="C6742" s="25" t="s">
        <v>17386</v>
      </c>
      <c r="D6742" s="25" t="s">
        <v>17387</v>
      </c>
      <c r="E6742" s="26">
        <v>80</v>
      </c>
    </row>
    <row r="6743" spans="1:5" x14ac:dyDescent="0.25">
      <c r="A6743" s="24" t="s">
        <v>7</v>
      </c>
      <c r="B6743" s="24" t="s">
        <v>17524</v>
      </c>
      <c r="C6743" s="25" t="s">
        <v>17525</v>
      </c>
      <c r="D6743" s="25" t="s">
        <v>17526</v>
      </c>
      <c r="E6743" s="26">
        <v>162</v>
      </c>
    </row>
    <row r="6744" spans="1:5" x14ac:dyDescent="0.25">
      <c r="A6744" s="24" t="s">
        <v>7</v>
      </c>
      <c r="B6744" s="24" t="s">
        <v>17527</v>
      </c>
      <c r="C6744" s="25" t="s">
        <v>17528</v>
      </c>
      <c r="D6744" s="25" t="s">
        <v>17529</v>
      </c>
      <c r="E6744" s="26">
        <v>200</v>
      </c>
    </row>
    <row r="6745" spans="1:5" x14ac:dyDescent="0.25">
      <c r="A6745" s="24" t="s">
        <v>7</v>
      </c>
      <c r="B6745" s="24" t="s">
        <v>17530</v>
      </c>
      <c r="C6745" s="25" t="s">
        <v>17381</v>
      </c>
      <c r="D6745" s="25" t="s">
        <v>17382</v>
      </c>
      <c r="E6745" s="26">
        <v>160</v>
      </c>
    </row>
    <row r="6746" spans="1:5" x14ac:dyDescent="0.25">
      <c r="A6746" s="24" t="s">
        <v>7</v>
      </c>
      <c r="B6746" s="24" t="s">
        <v>17531</v>
      </c>
      <c r="C6746" s="25" t="s">
        <v>17532</v>
      </c>
      <c r="D6746" s="25" t="s">
        <v>17533</v>
      </c>
      <c r="E6746" s="26">
        <v>250</v>
      </c>
    </row>
    <row r="6747" spans="1:5" x14ac:dyDescent="0.25">
      <c r="A6747" s="24" t="s">
        <v>7</v>
      </c>
      <c r="B6747" s="24" t="s">
        <v>17534</v>
      </c>
      <c r="C6747" s="25" t="s">
        <v>17535</v>
      </c>
      <c r="D6747" s="25" t="s">
        <v>17536</v>
      </c>
      <c r="E6747" s="26">
        <v>100</v>
      </c>
    </row>
    <row r="6748" spans="1:5" x14ac:dyDescent="0.25">
      <c r="A6748" s="24" t="s">
        <v>7</v>
      </c>
      <c r="B6748" s="24" t="s">
        <v>17537</v>
      </c>
      <c r="C6748" s="25" t="s">
        <v>17122</v>
      </c>
      <c r="D6748" s="25" t="s">
        <v>17085</v>
      </c>
      <c r="E6748" s="26">
        <v>240</v>
      </c>
    </row>
    <row r="6749" spans="1:5" x14ac:dyDescent="0.25">
      <c r="A6749" s="24" t="s">
        <v>7</v>
      </c>
      <c r="B6749" s="24" t="s">
        <v>17538</v>
      </c>
      <c r="C6749" s="25" t="s">
        <v>17124</v>
      </c>
      <c r="D6749" s="25" t="s">
        <v>17125</v>
      </c>
      <c r="E6749" s="26">
        <v>300</v>
      </c>
    </row>
    <row r="6750" spans="1:5" x14ac:dyDescent="0.25">
      <c r="A6750" s="24" t="s">
        <v>7</v>
      </c>
      <c r="B6750" s="24" t="s">
        <v>17539</v>
      </c>
      <c r="C6750" s="25" t="s">
        <v>17540</v>
      </c>
      <c r="D6750" s="25" t="s">
        <v>17541</v>
      </c>
      <c r="E6750" s="26">
        <v>200</v>
      </c>
    </row>
    <row r="6751" spans="1:5" x14ac:dyDescent="0.25">
      <c r="A6751" s="24" t="s">
        <v>7</v>
      </c>
      <c r="B6751" s="24" t="s">
        <v>17542</v>
      </c>
      <c r="C6751" s="25" t="s">
        <v>17105</v>
      </c>
      <c r="D6751" s="25" t="s">
        <v>17106</v>
      </c>
      <c r="E6751" s="26">
        <v>250</v>
      </c>
    </row>
    <row r="6752" spans="1:5" x14ac:dyDescent="0.25">
      <c r="A6752" s="24" t="s">
        <v>7</v>
      </c>
      <c r="B6752" s="24" t="s">
        <v>17543</v>
      </c>
      <c r="C6752" s="25" t="s">
        <v>17544</v>
      </c>
      <c r="D6752" s="25" t="s">
        <v>17544</v>
      </c>
      <c r="E6752" s="26">
        <v>212.5</v>
      </c>
    </row>
    <row r="6753" spans="1:5" x14ac:dyDescent="0.25">
      <c r="A6753" s="24" t="s">
        <v>7</v>
      </c>
      <c r="B6753" s="24" t="s">
        <v>17545</v>
      </c>
      <c r="C6753" s="25" t="s">
        <v>17546</v>
      </c>
      <c r="D6753" s="25" t="s">
        <v>17547</v>
      </c>
      <c r="E6753" s="26">
        <v>212.5</v>
      </c>
    </row>
    <row r="6754" spans="1:5" x14ac:dyDescent="0.25">
      <c r="A6754" s="24" t="s">
        <v>7</v>
      </c>
      <c r="B6754" s="24" t="s">
        <v>17548</v>
      </c>
      <c r="C6754" s="25" t="s">
        <v>17549</v>
      </c>
      <c r="D6754" s="25" t="s">
        <v>17550</v>
      </c>
      <c r="E6754" s="26">
        <v>47</v>
      </c>
    </row>
    <row r="6755" spans="1:5" x14ac:dyDescent="0.25">
      <c r="A6755" s="24" t="s">
        <v>7</v>
      </c>
      <c r="B6755" s="24" t="s">
        <v>17551</v>
      </c>
      <c r="C6755" s="25" t="s">
        <v>17386</v>
      </c>
      <c r="D6755" s="25" t="s">
        <v>17387</v>
      </c>
      <c r="E6755" s="26">
        <v>45</v>
      </c>
    </row>
    <row r="6756" spans="1:5" x14ac:dyDescent="0.25">
      <c r="A6756" s="24" t="s">
        <v>7</v>
      </c>
      <c r="B6756" s="24" t="s">
        <v>17552</v>
      </c>
      <c r="C6756" s="25" t="s">
        <v>16789</v>
      </c>
      <c r="D6756" s="25" t="s">
        <v>16790</v>
      </c>
      <c r="E6756" s="26">
        <v>45</v>
      </c>
    </row>
    <row r="6757" spans="1:5" x14ac:dyDescent="0.25">
      <c r="A6757" s="24" t="s">
        <v>7</v>
      </c>
      <c r="B6757" s="24" t="s">
        <v>17553</v>
      </c>
      <c r="C6757" s="25" t="s">
        <v>17050</v>
      </c>
      <c r="D6757" s="25" t="s">
        <v>17051</v>
      </c>
      <c r="E6757" s="26">
        <v>63</v>
      </c>
    </row>
    <row r="6758" spans="1:5" x14ac:dyDescent="0.25">
      <c r="A6758" s="24" t="s">
        <v>7</v>
      </c>
      <c r="B6758" s="24" t="s">
        <v>17554</v>
      </c>
      <c r="C6758" s="25" t="s">
        <v>17047</v>
      </c>
      <c r="D6758" s="25" t="s">
        <v>17048</v>
      </c>
      <c r="E6758" s="26">
        <v>75</v>
      </c>
    </row>
    <row r="6759" spans="1:5" x14ac:dyDescent="0.25">
      <c r="A6759" s="24" t="s">
        <v>7</v>
      </c>
      <c r="B6759" s="24" t="s">
        <v>17555</v>
      </c>
      <c r="C6759" s="25" t="s">
        <v>17556</v>
      </c>
      <c r="D6759" s="25" t="s">
        <v>17557</v>
      </c>
      <c r="E6759" s="26">
        <v>100</v>
      </c>
    </row>
    <row r="6760" spans="1:5" x14ac:dyDescent="0.25">
      <c r="A6760" s="24" t="s">
        <v>7</v>
      </c>
      <c r="B6760" s="24" t="s">
        <v>17558</v>
      </c>
      <c r="C6760" s="25" t="s">
        <v>16371</v>
      </c>
      <c r="D6760" s="25" t="s">
        <v>16372</v>
      </c>
      <c r="E6760" s="26">
        <v>260</v>
      </c>
    </row>
    <row r="6761" spans="1:5" x14ac:dyDescent="0.25">
      <c r="A6761" s="24" t="s">
        <v>7</v>
      </c>
      <c r="B6761" s="24" t="s">
        <v>17559</v>
      </c>
      <c r="C6761" s="25" t="s">
        <v>3376</v>
      </c>
      <c r="D6761" s="25" t="s">
        <v>3376</v>
      </c>
      <c r="E6761" s="26">
        <v>316.8</v>
      </c>
    </row>
    <row r="6762" spans="1:5" x14ac:dyDescent="0.25">
      <c r="A6762" s="24" t="s">
        <v>7</v>
      </c>
      <c r="B6762" s="24" t="s">
        <v>17560</v>
      </c>
      <c r="C6762" s="25" t="s">
        <v>17561</v>
      </c>
      <c r="D6762" s="25" t="s">
        <v>17561</v>
      </c>
      <c r="E6762" s="26">
        <v>121.5</v>
      </c>
    </row>
    <row r="6763" spans="1:5" x14ac:dyDescent="0.25">
      <c r="A6763" s="24" t="s">
        <v>7</v>
      </c>
      <c r="B6763" s="24" t="s">
        <v>17562</v>
      </c>
      <c r="C6763" s="25" t="s">
        <v>17563</v>
      </c>
      <c r="D6763" s="25" t="s">
        <v>17564</v>
      </c>
      <c r="E6763" s="26">
        <v>292.5</v>
      </c>
    </row>
    <row r="6764" spans="1:5" x14ac:dyDescent="0.25">
      <c r="A6764" s="24" t="s">
        <v>7</v>
      </c>
      <c r="B6764" s="24" t="s">
        <v>17565</v>
      </c>
      <c r="C6764" s="25" t="s">
        <v>17227</v>
      </c>
      <c r="D6764" s="25" t="s">
        <v>17228</v>
      </c>
      <c r="E6764" s="26">
        <v>355.5</v>
      </c>
    </row>
    <row r="6765" spans="1:5" x14ac:dyDescent="0.25">
      <c r="A6765" s="24" t="s">
        <v>7</v>
      </c>
      <c r="B6765" s="24" t="s">
        <v>17566</v>
      </c>
      <c r="C6765" s="25" t="s">
        <v>15515</v>
      </c>
      <c r="D6765" s="25" t="s">
        <v>15516</v>
      </c>
      <c r="E6765" s="26">
        <v>52.87</v>
      </c>
    </row>
    <row r="6766" spans="1:5" x14ac:dyDescent="0.25">
      <c r="A6766" s="24" t="s">
        <v>7</v>
      </c>
      <c r="B6766" s="24" t="s">
        <v>17567</v>
      </c>
      <c r="C6766" s="25" t="s">
        <v>17568</v>
      </c>
      <c r="D6766" s="25" t="s">
        <v>17569</v>
      </c>
      <c r="E6766" s="26">
        <v>31.5</v>
      </c>
    </row>
    <row r="6767" spans="1:5" x14ac:dyDescent="0.25">
      <c r="A6767" s="24" t="s">
        <v>7</v>
      </c>
      <c r="B6767" s="24" t="s">
        <v>17570</v>
      </c>
      <c r="C6767" s="25" t="s">
        <v>15627</v>
      </c>
      <c r="D6767" s="25" t="s">
        <v>15628</v>
      </c>
      <c r="E6767" s="26">
        <v>18</v>
      </c>
    </row>
    <row r="6768" spans="1:5" x14ac:dyDescent="0.25">
      <c r="A6768" s="24" t="s">
        <v>7</v>
      </c>
      <c r="B6768" s="24" t="s">
        <v>17571</v>
      </c>
      <c r="C6768" s="25" t="s">
        <v>15202</v>
      </c>
      <c r="D6768" s="25" t="s">
        <v>15203</v>
      </c>
      <c r="E6768" s="26">
        <v>99</v>
      </c>
    </row>
    <row r="6769" spans="1:5" x14ac:dyDescent="0.25">
      <c r="A6769" s="24" t="s">
        <v>7</v>
      </c>
      <c r="B6769" s="24" t="s">
        <v>17572</v>
      </c>
      <c r="C6769" s="25" t="s">
        <v>17573</v>
      </c>
      <c r="D6769" s="25" t="s">
        <v>17574</v>
      </c>
      <c r="E6769" s="26">
        <v>99</v>
      </c>
    </row>
    <row r="6770" spans="1:5" x14ac:dyDescent="0.25">
      <c r="A6770" s="24" t="s">
        <v>7</v>
      </c>
      <c r="B6770" s="24" t="s">
        <v>17575</v>
      </c>
      <c r="C6770" s="25" t="s">
        <v>17576</v>
      </c>
      <c r="D6770" s="25" t="s">
        <v>17577</v>
      </c>
      <c r="E6770" s="26">
        <v>121.5</v>
      </c>
    </row>
    <row r="6771" spans="1:5" x14ac:dyDescent="0.25">
      <c r="A6771" s="24" t="s">
        <v>7</v>
      </c>
      <c r="B6771" s="24" t="s">
        <v>17578</v>
      </c>
      <c r="C6771" s="25" t="s">
        <v>15711</v>
      </c>
      <c r="D6771" s="25" t="s">
        <v>15712</v>
      </c>
      <c r="E6771" s="26">
        <v>22.5</v>
      </c>
    </row>
    <row r="6772" spans="1:5" x14ac:dyDescent="0.25">
      <c r="A6772" s="24" t="s">
        <v>7</v>
      </c>
      <c r="B6772" s="24" t="s">
        <v>17579</v>
      </c>
      <c r="C6772" s="25" t="s">
        <v>17580</v>
      </c>
      <c r="D6772" s="25" t="s">
        <v>17581</v>
      </c>
      <c r="E6772" s="26">
        <v>40.5</v>
      </c>
    </row>
    <row r="6773" spans="1:5" x14ac:dyDescent="0.25">
      <c r="A6773" s="24" t="s">
        <v>7</v>
      </c>
      <c r="B6773" s="24" t="s">
        <v>17582</v>
      </c>
      <c r="C6773" s="25" t="s">
        <v>3639</v>
      </c>
      <c r="D6773" s="25" t="s">
        <v>3640</v>
      </c>
      <c r="E6773" s="26">
        <v>27</v>
      </c>
    </row>
    <row r="6774" spans="1:5" x14ac:dyDescent="0.25">
      <c r="A6774" s="24" t="s">
        <v>7</v>
      </c>
      <c r="B6774" s="24" t="s">
        <v>17583</v>
      </c>
      <c r="C6774" s="25" t="s">
        <v>17584</v>
      </c>
      <c r="D6774" s="25" t="s">
        <v>17585</v>
      </c>
      <c r="E6774" s="26">
        <v>31.5</v>
      </c>
    </row>
    <row r="6775" spans="1:5" x14ac:dyDescent="0.25">
      <c r="A6775" s="24" t="s">
        <v>7</v>
      </c>
      <c r="B6775" s="24" t="s">
        <v>17586</v>
      </c>
      <c r="C6775" s="25" t="s">
        <v>16792</v>
      </c>
      <c r="D6775" s="25" t="s">
        <v>16793</v>
      </c>
      <c r="E6775" s="26">
        <v>135</v>
      </c>
    </row>
    <row r="6776" spans="1:5" x14ac:dyDescent="0.25">
      <c r="A6776" s="24" t="s">
        <v>7</v>
      </c>
      <c r="B6776" s="24" t="s">
        <v>17587</v>
      </c>
      <c r="C6776" s="25" t="s">
        <v>17373</v>
      </c>
      <c r="D6776" s="25" t="s">
        <v>16793</v>
      </c>
      <c r="E6776" s="26">
        <v>81</v>
      </c>
    </row>
    <row r="6777" spans="1:5" x14ac:dyDescent="0.25">
      <c r="A6777" s="24" t="s">
        <v>7</v>
      </c>
      <c r="B6777" s="24" t="s">
        <v>17588</v>
      </c>
      <c r="C6777" s="25" t="s">
        <v>17037</v>
      </c>
      <c r="D6777" s="25" t="s">
        <v>17038</v>
      </c>
      <c r="E6777" s="26">
        <v>81</v>
      </c>
    </row>
    <row r="6778" spans="1:5" x14ac:dyDescent="0.25">
      <c r="A6778" s="24" t="s">
        <v>7</v>
      </c>
      <c r="B6778" s="24" t="s">
        <v>17589</v>
      </c>
      <c r="C6778" s="25" t="s">
        <v>15205</v>
      </c>
      <c r="D6778" s="25" t="s">
        <v>15206</v>
      </c>
      <c r="E6778" s="26">
        <v>18</v>
      </c>
    </row>
    <row r="6779" spans="1:5" x14ac:dyDescent="0.25">
      <c r="A6779" s="24" t="s">
        <v>7</v>
      </c>
      <c r="B6779" s="24" t="s">
        <v>17590</v>
      </c>
      <c r="C6779" s="25" t="s">
        <v>17591</v>
      </c>
      <c r="D6779" s="25" t="s">
        <v>17592</v>
      </c>
      <c r="E6779" s="26">
        <v>81</v>
      </c>
    </row>
    <row r="6780" spans="1:5" x14ac:dyDescent="0.25">
      <c r="A6780" s="24" t="s">
        <v>7</v>
      </c>
      <c r="B6780" s="24" t="s">
        <v>17593</v>
      </c>
      <c r="C6780" s="25" t="s">
        <v>17594</v>
      </c>
      <c r="D6780" s="25" t="s">
        <v>17595</v>
      </c>
      <c r="E6780" s="26">
        <v>22.5</v>
      </c>
    </row>
    <row r="6781" spans="1:5" x14ac:dyDescent="0.25">
      <c r="A6781" s="24" t="s">
        <v>7</v>
      </c>
      <c r="B6781" s="24" t="s">
        <v>17596</v>
      </c>
      <c r="C6781" s="25" t="s">
        <v>17597</v>
      </c>
      <c r="D6781" s="25" t="s">
        <v>17598</v>
      </c>
      <c r="E6781" s="26">
        <v>35</v>
      </c>
    </row>
    <row r="6782" spans="1:5" x14ac:dyDescent="0.25">
      <c r="A6782" s="24" t="s">
        <v>7</v>
      </c>
      <c r="B6782" s="24" t="s">
        <v>17599</v>
      </c>
      <c r="C6782" s="25" t="s">
        <v>17600</v>
      </c>
      <c r="D6782" s="25" t="s">
        <v>17601</v>
      </c>
      <c r="E6782" s="26">
        <v>35</v>
      </c>
    </row>
    <row r="6783" spans="1:5" x14ac:dyDescent="0.25">
      <c r="A6783" s="24" t="s">
        <v>7</v>
      </c>
      <c r="B6783" s="24" t="s">
        <v>17602</v>
      </c>
      <c r="C6783" s="25" t="s">
        <v>17603</v>
      </c>
      <c r="D6783" s="25" t="s">
        <v>17604</v>
      </c>
      <c r="E6783" s="26">
        <v>35</v>
      </c>
    </row>
    <row r="6784" spans="1:5" x14ac:dyDescent="0.25">
      <c r="A6784" s="24" t="s">
        <v>7</v>
      </c>
      <c r="B6784" s="24" t="s">
        <v>17605</v>
      </c>
      <c r="C6784" s="25" t="s">
        <v>17606</v>
      </c>
      <c r="D6784" s="25" t="s">
        <v>17606</v>
      </c>
      <c r="E6784" s="26">
        <v>35</v>
      </c>
    </row>
    <row r="6785" spans="1:5" x14ac:dyDescent="0.25">
      <c r="A6785" s="24" t="s">
        <v>7</v>
      </c>
      <c r="B6785" s="24" t="s">
        <v>17607</v>
      </c>
      <c r="C6785" s="25" t="s">
        <v>17608</v>
      </c>
      <c r="D6785" s="25" t="s">
        <v>17608</v>
      </c>
      <c r="E6785" s="26">
        <v>0.01</v>
      </c>
    </row>
    <row r="6786" spans="1:5" x14ac:dyDescent="0.25">
      <c r="A6786" s="24" t="s">
        <v>7</v>
      </c>
      <c r="B6786" s="24" t="s">
        <v>17609</v>
      </c>
      <c r="C6786" s="25" t="s">
        <v>3826</v>
      </c>
      <c r="D6786" s="25" t="s">
        <v>3827</v>
      </c>
      <c r="E6786" s="26">
        <v>14.85</v>
      </c>
    </row>
    <row r="6787" spans="1:5" x14ac:dyDescent="0.25">
      <c r="A6787" s="24" t="s">
        <v>7</v>
      </c>
      <c r="B6787" s="24" t="s">
        <v>17610</v>
      </c>
      <c r="C6787" s="25" t="s">
        <v>17611</v>
      </c>
      <c r="D6787" s="25" t="s">
        <v>17612</v>
      </c>
      <c r="E6787" s="26">
        <v>15.55</v>
      </c>
    </row>
    <row r="6788" spans="1:5" x14ac:dyDescent="0.25">
      <c r="A6788" s="24" t="s">
        <v>7</v>
      </c>
      <c r="B6788" s="24" t="s">
        <v>17613</v>
      </c>
      <c r="C6788" s="25" t="s">
        <v>16722</v>
      </c>
      <c r="D6788" s="25" t="s">
        <v>16723</v>
      </c>
      <c r="E6788" s="26">
        <v>50.44</v>
      </c>
    </row>
    <row r="6789" spans="1:5" x14ac:dyDescent="0.25">
      <c r="A6789" s="24" t="s">
        <v>7</v>
      </c>
      <c r="B6789" s="24" t="s">
        <v>17614</v>
      </c>
      <c r="C6789" s="25" t="s">
        <v>3829</v>
      </c>
      <c r="D6789" s="25" t="s">
        <v>3830</v>
      </c>
      <c r="E6789" s="26">
        <v>14.85</v>
      </c>
    </row>
    <row r="6790" spans="1:5" x14ac:dyDescent="0.25">
      <c r="A6790" s="24" t="s">
        <v>7</v>
      </c>
      <c r="B6790" s="24" t="s">
        <v>17615</v>
      </c>
      <c r="C6790" s="25" t="s">
        <v>17181</v>
      </c>
      <c r="D6790" s="25" t="s">
        <v>3727</v>
      </c>
      <c r="E6790" s="26">
        <v>332.2</v>
      </c>
    </row>
    <row r="6791" spans="1:5" x14ac:dyDescent="0.25">
      <c r="A6791" s="24" t="s">
        <v>7</v>
      </c>
      <c r="B6791" s="24" t="s">
        <v>17616</v>
      </c>
      <c r="C6791" s="25" t="s">
        <v>17179</v>
      </c>
      <c r="D6791" s="25" t="s">
        <v>3727</v>
      </c>
      <c r="E6791" s="26">
        <v>124.85</v>
      </c>
    </row>
    <row r="6792" spans="1:5" x14ac:dyDescent="0.25">
      <c r="A6792" s="24" t="s">
        <v>7</v>
      </c>
      <c r="B6792" s="24" t="s">
        <v>17617</v>
      </c>
      <c r="C6792" s="25" t="s">
        <v>17144</v>
      </c>
      <c r="D6792" s="25" t="s">
        <v>17145</v>
      </c>
      <c r="E6792" s="26">
        <v>290</v>
      </c>
    </row>
    <row r="6793" spans="1:5" x14ac:dyDescent="0.25">
      <c r="A6793" s="24" t="s">
        <v>7</v>
      </c>
      <c r="B6793" s="24" t="s">
        <v>17618</v>
      </c>
      <c r="C6793" s="25" t="s">
        <v>17177</v>
      </c>
      <c r="D6793" s="25" t="s">
        <v>3727</v>
      </c>
      <c r="E6793" s="26">
        <v>183.6</v>
      </c>
    </row>
    <row r="6794" spans="1:5" x14ac:dyDescent="0.25">
      <c r="A6794" s="24" t="s">
        <v>7</v>
      </c>
      <c r="B6794" s="24" t="s">
        <v>17619</v>
      </c>
      <c r="C6794" s="25" t="s">
        <v>16143</v>
      </c>
      <c r="D6794" s="25" t="s">
        <v>16143</v>
      </c>
      <c r="E6794" s="26">
        <v>396.5</v>
      </c>
    </row>
    <row r="6795" spans="1:5" x14ac:dyDescent="0.25">
      <c r="A6795" s="24" t="s">
        <v>7</v>
      </c>
      <c r="B6795" s="24" t="s">
        <v>17620</v>
      </c>
      <c r="C6795" s="25" t="s">
        <v>17621</v>
      </c>
      <c r="D6795" s="25" t="s">
        <v>17168</v>
      </c>
      <c r="E6795" s="26">
        <v>257</v>
      </c>
    </row>
    <row r="6796" spans="1:5" x14ac:dyDescent="0.25">
      <c r="A6796" s="24" t="s">
        <v>7</v>
      </c>
      <c r="B6796" s="24" t="s">
        <v>17622</v>
      </c>
      <c r="C6796" s="25" t="s">
        <v>17152</v>
      </c>
      <c r="D6796" s="25" t="s">
        <v>17152</v>
      </c>
      <c r="E6796" s="26">
        <v>185</v>
      </c>
    </row>
    <row r="6797" spans="1:5" x14ac:dyDescent="0.25">
      <c r="A6797" s="24" t="s">
        <v>7</v>
      </c>
      <c r="B6797" s="24" t="s">
        <v>17623</v>
      </c>
      <c r="C6797" s="25" t="s">
        <v>17624</v>
      </c>
      <c r="D6797" s="25" t="s">
        <v>17625</v>
      </c>
      <c r="E6797" s="26">
        <v>6.24</v>
      </c>
    </row>
    <row r="6798" spans="1:5" x14ac:dyDescent="0.25">
      <c r="A6798" s="24" t="s">
        <v>7</v>
      </c>
      <c r="B6798" s="24" t="s">
        <v>17626</v>
      </c>
      <c r="C6798" s="25" t="s">
        <v>17627</v>
      </c>
      <c r="D6798" s="25" t="s">
        <v>3727</v>
      </c>
      <c r="E6798" s="26">
        <v>325.69</v>
      </c>
    </row>
    <row r="6799" spans="1:5" x14ac:dyDescent="0.25">
      <c r="A6799" s="24" t="s">
        <v>7</v>
      </c>
      <c r="B6799" s="24" t="s">
        <v>17628</v>
      </c>
      <c r="C6799" s="25" t="s">
        <v>17629</v>
      </c>
      <c r="D6799" s="25" t="s">
        <v>17630</v>
      </c>
      <c r="E6799" s="26">
        <v>800</v>
      </c>
    </row>
    <row r="6800" spans="1:5" x14ac:dyDescent="0.25">
      <c r="A6800" s="24" t="s">
        <v>7</v>
      </c>
      <c r="B6800" s="24" t="s">
        <v>17631</v>
      </c>
      <c r="C6800" s="25" t="s">
        <v>17148</v>
      </c>
      <c r="D6800" s="25" t="s">
        <v>17149</v>
      </c>
      <c r="E6800" s="26">
        <v>61</v>
      </c>
    </row>
    <row r="6801" spans="1:6" x14ac:dyDescent="0.25">
      <c r="A6801" s="24" t="s">
        <v>7</v>
      </c>
      <c r="B6801" s="24" t="s">
        <v>17632</v>
      </c>
      <c r="C6801" s="25" t="s">
        <v>3633</v>
      </c>
      <c r="D6801" s="25" t="s">
        <v>3634</v>
      </c>
      <c r="E6801" s="26">
        <v>36.770000000000003</v>
      </c>
    </row>
    <row r="6802" spans="1:6" x14ac:dyDescent="0.25">
      <c r="A6802" s="24" t="s">
        <v>7</v>
      </c>
      <c r="B6802" s="24" t="s">
        <v>17633</v>
      </c>
      <c r="C6802" s="25" t="s">
        <v>3636</v>
      </c>
      <c r="D6802" s="25" t="s">
        <v>3637</v>
      </c>
      <c r="E6802" s="26">
        <v>62.42</v>
      </c>
    </row>
    <row r="6803" spans="1:6" x14ac:dyDescent="0.25">
      <c r="A6803" s="24" t="s">
        <v>7</v>
      </c>
      <c r="B6803" s="24" t="s">
        <v>17634</v>
      </c>
      <c r="C6803" s="25" t="s">
        <v>3642</v>
      </c>
      <c r="D6803" s="25" t="s">
        <v>3643</v>
      </c>
      <c r="E6803" s="26">
        <v>42</v>
      </c>
      <c r="F6803" s="24" t="s">
        <v>502</v>
      </c>
    </row>
    <row r="6804" spans="1:6" x14ac:dyDescent="0.25">
      <c r="A6804" s="24" t="s">
        <v>7</v>
      </c>
      <c r="B6804" s="24" t="s">
        <v>17635</v>
      </c>
      <c r="C6804" s="25" t="s">
        <v>17183</v>
      </c>
      <c r="D6804" s="25" t="s">
        <v>17184</v>
      </c>
      <c r="E6804" s="26">
        <v>10.51</v>
      </c>
    </row>
    <row r="6805" spans="1:6" x14ac:dyDescent="0.25">
      <c r="A6805" s="24" t="s">
        <v>7</v>
      </c>
      <c r="B6805" s="24" t="s">
        <v>17636</v>
      </c>
      <c r="C6805" s="25" t="s">
        <v>3645</v>
      </c>
      <c r="D6805" s="25" t="s">
        <v>3646</v>
      </c>
      <c r="E6805" s="26">
        <v>23.92</v>
      </c>
    </row>
    <row r="6806" spans="1:6" x14ac:dyDescent="0.25">
      <c r="A6806" s="24" t="s">
        <v>7</v>
      </c>
      <c r="B6806" s="24" t="s">
        <v>17637</v>
      </c>
      <c r="C6806" s="25" t="s">
        <v>17195</v>
      </c>
      <c r="D6806" s="25" t="s">
        <v>17196</v>
      </c>
      <c r="E6806" s="26">
        <v>63.04</v>
      </c>
    </row>
    <row r="6807" spans="1:6" x14ac:dyDescent="0.25">
      <c r="A6807" s="24" t="s">
        <v>7</v>
      </c>
      <c r="B6807" s="24" t="s">
        <v>17638</v>
      </c>
      <c r="C6807" s="25" t="s">
        <v>3654</v>
      </c>
      <c r="D6807" s="25" t="s">
        <v>3654</v>
      </c>
      <c r="E6807" s="26">
        <v>25.5</v>
      </c>
    </row>
    <row r="6808" spans="1:6" x14ac:dyDescent="0.25">
      <c r="A6808" s="24" t="s">
        <v>7</v>
      </c>
      <c r="B6808" s="24" t="s">
        <v>17639</v>
      </c>
      <c r="C6808" s="25" t="s">
        <v>3656</v>
      </c>
      <c r="D6808" s="25" t="s">
        <v>3657</v>
      </c>
      <c r="E6808" s="26">
        <v>42.02</v>
      </c>
    </row>
    <row r="6809" spans="1:6" x14ac:dyDescent="0.25">
      <c r="A6809" s="24" t="s">
        <v>7</v>
      </c>
      <c r="B6809" s="24" t="s">
        <v>17640</v>
      </c>
      <c r="C6809" s="25" t="s">
        <v>3659</v>
      </c>
      <c r="D6809" s="25" t="s">
        <v>3659</v>
      </c>
      <c r="E6809" s="26">
        <v>20.399999999999999</v>
      </c>
    </row>
    <row r="6810" spans="1:6" x14ac:dyDescent="0.25">
      <c r="A6810" s="24" t="s">
        <v>7</v>
      </c>
      <c r="B6810" s="24" t="s">
        <v>17641</v>
      </c>
      <c r="C6810" s="25" t="s">
        <v>3661</v>
      </c>
      <c r="D6810" s="25" t="s">
        <v>17642</v>
      </c>
      <c r="E6810" s="26">
        <v>62.42</v>
      </c>
    </row>
    <row r="6811" spans="1:6" x14ac:dyDescent="0.25">
      <c r="A6811" s="24" t="s">
        <v>7</v>
      </c>
      <c r="B6811" s="24" t="s">
        <v>17643</v>
      </c>
      <c r="C6811" s="25" t="s">
        <v>16141</v>
      </c>
      <c r="D6811" s="25" t="s">
        <v>16141</v>
      </c>
      <c r="E6811" s="26">
        <v>232</v>
      </c>
    </row>
    <row r="6812" spans="1:6" x14ac:dyDescent="0.25">
      <c r="A6812" s="24" t="s">
        <v>7</v>
      </c>
      <c r="B6812" s="24" t="s">
        <v>17644</v>
      </c>
      <c r="C6812" s="25" t="s">
        <v>17159</v>
      </c>
      <c r="D6812" s="25" t="s">
        <v>17160</v>
      </c>
      <c r="E6812" s="26">
        <v>36.770000000000003</v>
      </c>
    </row>
    <row r="6813" spans="1:6" x14ac:dyDescent="0.25">
      <c r="A6813" s="24" t="s">
        <v>7</v>
      </c>
      <c r="B6813" s="24" t="s">
        <v>17645</v>
      </c>
      <c r="C6813" s="25" t="s">
        <v>3726</v>
      </c>
      <c r="D6813" s="25" t="s">
        <v>3727</v>
      </c>
      <c r="E6813" s="26">
        <v>63.67</v>
      </c>
    </row>
    <row r="6814" spans="1:6" x14ac:dyDescent="0.25">
      <c r="A6814" s="24" t="s">
        <v>7</v>
      </c>
      <c r="B6814" s="24" t="s">
        <v>17646</v>
      </c>
      <c r="C6814" s="25" t="s">
        <v>17647</v>
      </c>
      <c r="D6814" s="25" t="s">
        <v>17648</v>
      </c>
      <c r="E6814" s="26">
        <v>256</v>
      </c>
    </row>
    <row r="6815" spans="1:6" x14ac:dyDescent="0.25">
      <c r="A6815" s="24" t="s">
        <v>7</v>
      </c>
      <c r="B6815" s="24" t="s">
        <v>17649</v>
      </c>
      <c r="C6815" s="25" t="s">
        <v>17186</v>
      </c>
      <c r="D6815" s="25" t="s">
        <v>17187</v>
      </c>
      <c r="E6815" s="26">
        <v>94.55</v>
      </c>
    </row>
    <row r="6816" spans="1:6" x14ac:dyDescent="0.25">
      <c r="A6816" s="24" t="s">
        <v>7</v>
      </c>
      <c r="B6816" s="24" t="s">
        <v>17650</v>
      </c>
      <c r="C6816" s="25" t="s">
        <v>17189</v>
      </c>
      <c r="D6816" s="25" t="s">
        <v>17190</v>
      </c>
      <c r="E6816" s="26">
        <v>16.649999999999999</v>
      </c>
    </row>
    <row r="6817" spans="1:5" x14ac:dyDescent="0.25">
      <c r="A6817" s="24" t="s">
        <v>7</v>
      </c>
      <c r="B6817" s="24" t="s">
        <v>17651</v>
      </c>
      <c r="C6817" s="25" t="s">
        <v>3630</v>
      </c>
      <c r="D6817" s="25" t="s">
        <v>3631</v>
      </c>
      <c r="E6817" s="26">
        <v>160</v>
      </c>
    </row>
    <row r="6818" spans="1:5" x14ac:dyDescent="0.25">
      <c r="A6818" s="24" t="s">
        <v>7</v>
      </c>
      <c r="B6818" s="24" t="s">
        <v>17652</v>
      </c>
      <c r="C6818" s="25" t="s">
        <v>17653</v>
      </c>
      <c r="D6818" s="25" t="s">
        <v>16452</v>
      </c>
      <c r="E6818" s="26">
        <v>900</v>
      </c>
    </row>
    <row r="6819" spans="1:5" x14ac:dyDescent="0.25">
      <c r="A6819" s="24" t="s">
        <v>7</v>
      </c>
      <c r="B6819" s="24" t="s">
        <v>17654</v>
      </c>
      <c r="C6819" s="25" t="s">
        <v>17655</v>
      </c>
      <c r="D6819" s="25" t="s">
        <v>17656</v>
      </c>
      <c r="E6819" s="26">
        <v>45.9</v>
      </c>
    </row>
    <row r="6820" spans="1:5" x14ac:dyDescent="0.25">
      <c r="A6820" s="24" t="s">
        <v>7</v>
      </c>
      <c r="B6820" s="24" t="s">
        <v>17657</v>
      </c>
      <c r="C6820" s="25" t="s">
        <v>3648</v>
      </c>
      <c r="D6820" s="25" t="s">
        <v>3649</v>
      </c>
      <c r="E6820" s="26">
        <v>63.04</v>
      </c>
    </row>
    <row r="6821" spans="1:5" x14ac:dyDescent="0.25">
      <c r="A6821" s="24" t="s">
        <v>7</v>
      </c>
      <c r="B6821" s="24" t="s">
        <v>17658</v>
      </c>
      <c r="C6821" s="25" t="s">
        <v>17659</v>
      </c>
      <c r="D6821" s="25" t="s">
        <v>3727</v>
      </c>
      <c r="E6821" s="26">
        <v>267.89999999999998</v>
      </c>
    </row>
    <row r="6822" spans="1:5" x14ac:dyDescent="0.25">
      <c r="A6822" s="24" t="s">
        <v>7</v>
      </c>
      <c r="B6822" s="24" t="s">
        <v>17660</v>
      </c>
      <c r="C6822" s="25" t="s">
        <v>17661</v>
      </c>
      <c r="D6822" s="25" t="s">
        <v>3727</v>
      </c>
      <c r="E6822" s="26">
        <v>191.02</v>
      </c>
    </row>
    <row r="6823" spans="1:5" x14ac:dyDescent="0.25">
      <c r="A6823" s="24" t="s">
        <v>7</v>
      </c>
      <c r="B6823" s="24" t="s">
        <v>17662</v>
      </c>
      <c r="C6823" s="25" t="s">
        <v>17148</v>
      </c>
      <c r="D6823" s="25" t="s">
        <v>17149</v>
      </c>
      <c r="E6823" s="26">
        <v>60</v>
      </c>
    </row>
    <row r="6824" spans="1:5" x14ac:dyDescent="0.25">
      <c r="A6824" s="24" t="s">
        <v>7</v>
      </c>
      <c r="B6824" s="24" t="s">
        <v>17663</v>
      </c>
      <c r="C6824" s="25" t="s">
        <v>3633</v>
      </c>
      <c r="D6824" s="25" t="s">
        <v>3634</v>
      </c>
      <c r="E6824" s="26">
        <v>62</v>
      </c>
    </row>
    <row r="6825" spans="1:5" x14ac:dyDescent="0.25">
      <c r="A6825" s="24" t="s">
        <v>7</v>
      </c>
      <c r="B6825" s="24" t="s">
        <v>17664</v>
      </c>
      <c r="C6825" s="25" t="s">
        <v>3636</v>
      </c>
      <c r="D6825" s="25" t="s">
        <v>3637</v>
      </c>
      <c r="E6825" s="26">
        <v>86</v>
      </c>
    </row>
    <row r="6826" spans="1:5" x14ac:dyDescent="0.25">
      <c r="A6826" s="24" t="s">
        <v>7</v>
      </c>
      <c r="B6826" s="24" t="s">
        <v>17665</v>
      </c>
      <c r="C6826" s="25" t="s">
        <v>3642</v>
      </c>
      <c r="D6826" s="25" t="s">
        <v>3643</v>
      </c>
      <c r="E6826" s="26">
        <v>78</v>
      </c>
    </row>
    <row r="6827" spans="1:5" x14ac:dyDescent="0.25">
      <c r="A6827" s="24" t="s">
        <v>7</v>
      </c>
      <c r="B6827" s="24" t="s">
        <v>17666</v>
      </c>
      <c r="C6827" s="25" t="s">
        <v>17667</v>
      </c>
      <c r="D6827" s="25" t="s">
        <v>17668</v>
      </c>
      <c r="E6827" s="26">
        <v>73</v>
      </c>
    </row>
    <row r="6828" spans="1:5" x14ac:dyDescent="0.25">
      <c r="A6828" s="24" t="s">
        <v>7</v>
      </c>
      <c r="B6828" s="24" t="s">
        <v>17669</v>
      </c>
      <c r="C6828" s="25" t="s">
        <v>3648</v>
      </c>
      <c r="D6828" s="25" t="s">
        <v>3649</v>
      </c>
      <c r="E6828" s="26">
        <v>76</v>
      </c>
    </row>
    <row r="6829" spans="1:5" x14ac:dyDescent="0.25">
      <c r="A6829" s="24" t="s">
        <v>7</v>
      </c>
      <c r="B6829" s="24" t="s">
        <v>17670</v>
      </c>
      <c r="C6829" s="25" t="s">
        <v>3645</v>
      </c>
      <c r="D6829" s="25" t="s">
        <v>3646</v>
      </c>
      <c r="E6829" s="26">
        <v>15</v>
      </c>
    </row>
    <row r="6830" spans="1:5" x14ac:dyDescent="0.25">
      <c r="A6830" s="24" t="s">
        <v>7</v>
      </c>
      <c r="B6830" s="24" t="s">
        <v>17671</v>
      </c>
      <c r="C6830" s="25" t="s">
        <v>17672</v>
      </c>
      <c r="D6830" s="25" t="s">
        <v>17673</v>
      </c>
      <c r="E6830" s="26">
        <v>116</v>
      </c>
    </row>
    <row r="6831" spans="1:5" x14ac:dyDescent="0.25">
      <c r="A6831" s="24" t="s">
        <v>7</v>
      </c>
      <c r="B6831" s="24" t="s">
        <v>17674</v>
      </c>
      <c r="C6831" s="25" t="s">
        <v>3654</v>
      </c>
      <c r="D6831" s="25" t="s">
        <v>3654</v>
      </c>
      <c r="E6831" s="26">
        <v>17.5</v>
      </c>
    </row>
    <row r="6832" spans="1:5" x14ac:dyDescent="0.25">
      <c r="A6832" s="24" t="s">
        <v>7</v>
      </c>
      <c r="B6832" s="24" t="s">
        <v>17675</v>
      </c>
      <c r="C6832" s="25" t="s">
        <v>3659</v>
      </c>
      <c r="D6832" s="25" t="s">
        <v>3659</v>
      </c>
      <c r="E6832" s="26">
        <v>17.5</v>
      </c>
    </row>
    <row r="6833" spans="1:5" x14ac:dyDescent="0.25">
      <c r="A6833" s="24" t="s">
        <v>7</v>
      </c>
      <c r="B6833" s="24" t="s">
        <v>17676</v>
      </c>
      <c r="C6833" s="25" t="s">
        <v>3726</v>
      </c>
      <c r="D6833" s="25" t="s">
        <v>3727</v>
      </c>
      <c r="E6833" s="26">
        <v>84</v>
      </c>
    </row>
    <row r="6834" spans="1:5" x14ac:dyDescent="0.25">
      <c r="A6834" s="24" t="s">
        <v>7</v>
      </c>
      <c r="B6834" s="24" t="s">
        <v>17677</v>
      </c>
      <c r="C6834" s="25" t="s">
        <v>3661</v>
      </c>
      <c r="D6834" s="25" t="s">
        <v>3662</v>
      </c>
      <c r="E6834" s="26">
        <v>57</v>
      </c>
    </row>
    <row r="6835" spans="1:5" x14ac:dyDescent="0.25">
      <c r="A6835" s="24" t="s">
        <v>7</v>
      </c>
      <c r="B6835" s="24" t="s">
        <v>17678</v>
      </c>
      <c r="C6835" s="25" t="s">
        <v>3656</v>
      </c>
      <c r="D6835" s="25" t="s">
        <v>3657</v>
      </c>
      <c r="E6835" s="26">
        <v>29</v>
      </c>
    </row>
    <row r="6836" spans="1:5" x14ac:dyDescent="0.25">
      <c r="A6836" s="24" t="s">
        <v>7</v>
      </c>
      <c r="B6836" s="24" t="s">
        <v>17679</v>
      </c>
      <c r="C6836" s="25" t="s">
        <v>17195</v>
      </c>
      <c r="D6836" s="25" t="s">
        <v>17196</v>
      </c>
      <c r="E6836" s="26">
        <v>53</v>
      </c>
    </row>
    <row r="6837" spans="1:5" x14ac:dyDescent="0.25">
      <c r="A6837" s="24" t="s">
        <v>7</v>
      </c>
      <c r="B6837" s="24" t="s">
        <v>17680</v>
      </c>
      <c r="C6837" s="25" t="s">
        <v>17681</v>
      </c>
      <c r="D6837" s="25" t="s">
        <v>17682</v>
      </c>
      <c r="E6837" s="26">
        <v>71.099999999999994</v>
      </c>
    </row>
    <row r="6838" spans="1:5" x14ac:dyDescent="0.25">
      <c r="A6838" s="24" t="s">
        <v>7</v>
      </c>
      <c r="B6838" s="24" t="s">
        <v>17683</v>
      </c>
      <c r="C6838" s="25" t="s">
        <v>17684</v>
      </c>
      <c r="D6838" s="25" t="s">
        <v>17684</v>
      </c>
      <c r="E6838" s="26">
        <v>138.5</v>
      </c>
    </row>
    <row r="6839" spans="1:5" x14ac:dyDescent="0.25">
      <c r="A6839" s="24" t="s">
        <v>7</v>
      </c>
      <c r="B6839" s="24" t="s">
        <v>17685</v>
      </c>
      <c r="C6839" s="25" t="s">
        <v>17686</v>
      </c>
      <c r="D6839" s="25" t="s">
        <v>17687</v>
      </c>
      <c r="E6839" s="26">
        <v>209.97</v>
      </c>
    </row>
    <row r="6840" spans="1:5" x14ac:dyDescent="0.25">
      <c r="A6840" s="24" t="s">
        <v>7</v>
      </c>
      <c r="B6840" s="24" t="s">
        <v>17688</v>
      </c>
      <c r="C6840" s="25" t="s">
        <v>15267</v>
      </c>
      <c r="D6840" s="25" t="s">
        <v>15267</v>
      </c>
      <c r="E6840" s="26">
        <v>10.59</v>
      </c>
    </row>
    <row r="6841" spans="1:5" x14ac:dyDescent="0.25">
      <c r="A6841" s="24" t="s">
        <v>7</v>
      </c>
      <c r="B6841" s="24" t="s">
        <v>17689</v>
      </c>
      <c r="C6841" s="25" t="s">
        <v>17690</v>
      </c>
      <c r="D6841" s="25" t="s">
        <v>17691</v>
      </c>
      <c r="E6841" s="26">
        <v>52.94</v>
      </c>
    </row>
    <row r="6842" spans="1:5" x14ac:dyDescent="0.25">
      <c r="A6842" s="24" t="s">
        <v>7</v>
      </c>
      <c r="B6842" s="24" t="s">
        <v>17692</v>
      </c>
      <c r="C6842" s="25" t="s">
        <v>16922</v>
      </c>
      <c r="D6842" s="25" t="s">
        <v>17693</v>
      </c>
      <c r="E6842" s="26">
        <v>8.9600000000000009</v>
      </c>
    </row>
    <row r="6843" spans="1:5" x14ac:dyDescent="0.25">
      <c r="A6843" s="24" t="s">
        <v>7</v>
      </c>
      <c r="B6843" s="24" t="s">
        <v>17694</v>
      </c>
      <c r="C6843" s="25" t="s">
        <v>3595</v>
      </c>
      <c r="D6843" s="25" t="s">
        <v>3595</v>
      </c>
      <c r="E6843" s="26">
        <v>51.31</v>
      </c>
    </row>
    <row r="6844" spans="1:5" x14ac:dyDescent="0.25">
      <c r="A6844" s="24" t="s">
        <v>7</v>
      </c>
      <c r="B6844" s="24" t="s">
        <v>17695</v>
      </c>
      <c r="C6844" s="25" t="s">
        <v>17696</v>
      </c>
      <c r="D6844" s="25" t="s">
        <v>17697</v>
      </c>
      <c r="E6844" s="26">
        <v>42.13</v>
      </c>
    </row>
    <row r="6845" spans="1:5" x14ac:dyDescent="0.25">
      <c r="A6845" s="24" t="s">
        <v>7</v>
      </c>
      <c r="B6845" s="24" t="s">
        <v>17698</v>
      </c>
      <c r="C6845" s="25" t="s">
        <v>16281</v>
      </c>
      <c r="D6845" s="25" t="s">
        <v>16281</v>
      </c>
      <c r="E6845" s="26">
        <v>29.25</v>
      </c>
    </row>
    <row r="6846" spans="1:5" x14ac:dyDescent="0.25">
      <c r="A6846" s="24" t="s">
        <v>7</v>
      </c>
      <c r="B6846" s="24" t="s">
        <v>17699</v>
      </c>
      <c r="C6846" s="25" t="s">
        <v>17700</v>
      </c>
      <c r="D6846" s="25" t="s">
        <v>17697</v>
      </c>
      <c r="E6846" s="26">
        <v>42.13</v>
      </c>
    </row>
    <row r="6847" spans="1:5" x14ac:dyDescent="0.25">
      <c r="A6847" s="24" t="s">
        <v>7</v>
      </c>
      <c r="B6847" s="24" t="s">
        <v>17701</v>
      </c>
      <c r="C6847" s="25" t="s">
        <v>17702</v>
      </c>
      <c r="D6847" s="25" t="s">
        <v>17697</v>
      </c>
      <c r="E6847" s="26">
        <v>42.13</v>
      </c>
    </row>
    <row r="6848" spans="1:5" x14ac:dyDescent="0.25">
      <c r="A6848" s="24" t="s">
        <v>7</v>
      </c>
      <c r="B6848" s="24" t="s">
        <v>17703</v>
      </c>
      <c r="C6848" s="25" t="s">
        <v>3112</v>
      </c>
      <c r="D6848" s="25" t="s">
        <v>3112</v>
      </c>
      <c r="E6848" s="26">
        <v>16.309999999999999</v>
      </c>
    </row>
    <row r="6849" spans="1:5" x14ac:dyDescent="0.25">
      <c r="A6849" s="24" t="s">
        <v>7</v>
      </c>
      <c r="B6849" s="24" t="s">
        <v>17704</v>
      </c>
      <c r="C6849" s="25" t="s">
        <v>15297</v>
      </c>
      <c r="D6849" s="25" t="s">
        <v>15298</v>
      </c>
      <c r="E6849" s="26">
        <v>15.74</v>
      </c>
    </row>
    <row r="6850" spans="1:5" x14ac:dyDescent="0.25">
      <c r="A6850" s="24" t="s">
        <v>7</v>
      </c>
      <c r="B6850" s="24" t="s">
        <v>17705</v>
      </c>
      <c r="C6850" s="25" t="s">
        <v>15303</v>
      </c>
      <c r="D6850" s="25" t="s">
        <v>15304</v>
      </c>
      <c r="E6850" s="26">
        <v>12</v>
      </c>
    </row>
    <row r="6851" spans="1:5" x14ac:dyDescent="0.25">
      <c r="A6851" s="24" t="s">
        <v>7</v>
      </c>
      <c r="B6851" s="24" t="s">
        <v>17706</v>
      </c>
      <c r="C6851" s="25" t="s">
        <v>3120</v>
      </c>
      <c r="D6851" s="25" t="s">
        <v>3118</v>
      </c>
      <c r="E6851" s="26">
        <v>17.5</v>
      </c>
    </row>
    <row r="6852" spans="1:5" x14ac:dyDescent="0.25">
      <c r="A6852" s="24" t="s">
        <v>7</v>
      </c>
      <c r="B6852" s="24" t="s">
        <v>17707</v>
      </c>
      <c r="C6852" s="25" t="s">
        <v>15320</v>
      </c>
      <c r="D6852" s="25" t="s">
        <v>3118</v>
      </c>
      <c r="E6852" s="26">
        <v>35</v>
      </c>
    </row>
    <row r="6853" spans="1:5" x14ac:dyDescent="0.25">
      <c r="A6853" s="24" t="s">
        <v>7</v>
      </c>
      <c r="B6853" s="24" t="s">
        <v>17708</v>
      </c>
      <c r="C6853" s="25" t="s">
        <v>3135</v>
      </c>
      <c r="D6853" s="25" t="s">
        <v>3136</v>
      </c>
      <c r="E6853" s="26">
        <v>35.33</v>
      </c>
    </row>
    <row r="6854" spans="1:5" x14ac:dyDescent="0.25">
      <c r="A6854" s="24" t="s">
        <v>7</v>
      </c>
      <c r="B6854" s="24" t="s">
        <v>17709</v>
      </c>
      <c r="C6854" s="25" t="s">
        <v>17710</v>
      </c>
      <c r="D6854" s="25" t="s">
        <v>17711</v>
      </c>
      <c r="E6854" s="26">
        <v>1400</v>
      </c>
    </row>
    <row r="6855" spans="1:5" x14ac:dyDescent="0.25">
      <c r="A6855" s="24" t="s">
        <v>7</v>
      </c>
      <c r="B6855" s="24" t="s">
        <v>17712</v>
      </c>
      <c r="C6855" s="25" t="s">
        <v>15839</v>
      </c>
      <c r="D6855" s="25" t="s">
        <v>15288</v>
      </c>
      <c r="E6855" s="26">
        <v>90</v>
      </c>
    </row>
    <row r="6856" spans="1:5" x14ac:dyDescent="0.25">
      <c r="A6856" s="24" t="s">
        <v>7</v>
      </c>
      <c r="B6856" s="24" t="s">
        <v>17713</v>
      </c>
      <c r="C6856" s="25" t="s">
        <v>17714</v>
      </c>
      <c r="D6856" s="25" t="s">
        <v>15206</v>
      </c>
      <c r="E6856" s="26">
        <v>25.57</v>
      </c>
    </row>
    <row r="6857" spans="1:5" x14ac:dyDescent="0.25">
      <c r="A6857" s="24" t="s">
        <v>7</v>
      </c>
      <c r="B6857" s="24" t="s">
        <v>17715</v>
      </c>
      <c r="C6857" s="25" t="s">
        <v>15397</v>
      </c>
      <c r="D6857" s="25" t="s">
        <v>15397</v>
      </c>
      <c r="E6857" s="26">
        <v>8.15</v>
      </c>
    </row>
    <row r="6858" spans="1:5" x14ac:dyDescent="0.25">
      <c r="A6858" s="24" t="s">
        <v>7</v>
      </c>
      <c r="B6858" s="24" t="s">
        <v>17716</v>
      </c>
      <c r="C6858" s="25" t="s">
        <v>17717</v>
      </c>
      <c r="D6858" s="25" t="s">
        <v>17717</v>
      </c>
      <c r="E6858" s="26">
        <v>16.86</v>
      </c>
    </row>
    <row r="6859" spans="1:5" x14ac:dyDescent="0.25">
      <c r="A6859" s="24" t="s">
        <v>7</v>
      </c>
      <c r="B6859" s="24" t="s">
        <v>17718</v>
      </c>
      <c r="C6859" s="25" t="s">
        <v>17719</v>
      </c>
      <c r="D6859" s="25" t="s">
        <v>17720</v>
      </c>
      <c r="E6859" s="26">
        <v>355</v>
      </c>
    </row>
    <row r="6860" spans="1:5" x14ac:dyDescent="0.25">
      <c r="A6860" s="24" t="s">
        <v>7</v>
      </c>
      <c r="B6860" s="24" t="s">
        <v>17721</v>
      </c>
      <c r="C6860" s="25" t="s">
        <v>17722</v>
      </c>
      <c r="D6860" s="25" t="s">
        <v>17722</v>
      </c>
      <c r="E6860" s="26">
        <v>8.15</v>
      </c>
    </row>
    <row r="6861" spans="1:5" x14ac:dyDescent="0.25">
      <c r="A6861" s="24" t="s">
        <v>7</v>
      </c>
      <c r="B6861" s="24" t="s">
        <v>17723</v>
      </c>
      <c r="C6861" s="25" t="s">
        <v>15401</v>
      </c>
      <c r="D6861" s="25" t="s">
        <v>15402</v>
      </c>
      <c r="E6861" s="26">
        <v>11.54</v>
      </c>
    </row>
    <row r="6862" spans="1:5" x14ac:dyDescent="0.25">
      <c r="A6862" s="24" t="s">
        <v>7</v>
      </c>
      <c r="B6862" s="24" t="s">
        <v>17724</v>
      </c>
      <c r="C6862" s="25" t="s">
        <v>17725</v>
      </c>
      <c r="D6862" s="25" t="s">
        <v>17725</v>
      </c>
      <c r="E6862" s="26">
        <v>12.22</v>
      </c>
    </row>
    <row r="6863" spans="1:5" x14ac:dyDescent="0.25">
      <c r="A6863" s="24" t="s">
        <v>7</v>
      </c>
      <c r="B6863" s="24" t="s">
        <v>17726</v>
      </c>
      <c r="C6863" s="25" t="s">
        <v>17727</v>
      </c>
      <c r="D6863" s="25" t="s">
        <v>17727</v>
      </c>
      <c r="E6863" s="26">
        <v>6.52</v>
      </c>
    </row>
    <row r="6864" spans="1:5" x14ac:dyDescent="0.25">
      <c r="A6864" s="24" t="s">
        <v>7</v>
      </c>
      <c r="B6864" s="24" t="s">
        <v>17728</v>
      </c>
      <c r="C6864" s="25" t="s">
        <v>17729</v>
      </c>
      <c r="D6864" s="25" t="s">
        <v>3118</v>
      </c>
      <c r="E6864" s="26">
        <v>17.5</v>
      </c>
    </row>
    <row r="6865" spans="1:5" x14ac:dyDescent="0.25">
      <c r="A6865" s="24" t="s">
        <v>7</v>
      </c>
      <c r="B6865" s="24" t="s">
        <v>17730</v>
      </c>
      <c r="C6865" s="25" t="s">
        <v>17731</v>
      </c>
      <c r="D6865" s="25" t="s">
        <v>15402</v>
      </c>
      <c r="E6865" s="26">
        <v>71</v>
      </c>
    </row>
    <row r="6866" spans="1:5" x14ac:dyDescent="0.25">
      <c r="A6866" s="24" t="s">
        <v>7</v>
      </c>
      <c r="B6866" s="24" t="s">
        <v>17732</v>
      </c>
      <c r="C6866" s="25" t="s">
        <v>17733</v>
      </c>
      <c r="D6866" s="25" t="s">
        <v>16728</v>
      </c>
      <c r="E6866" s="26">
        <v>8</v>
      </c>
    </row>
    <row r="6867" spans="1:5" x14ac:dyDescent="0.25">
      <c r="A6867" s="24" t="s">
        <v>7</v>
      </c>
      <c r="B6867" s="24" t="s">
        <v>17734</v>
      </c>
      <c r="C6867" s="25" t="s">
        <v>17735</v>
      </c>
      <c r="D6867" s="25" t="s">
        <v>17736</v>
      </c>
      <c r="E6867" s="26">
        <v>77</v>
      </c>
    </row>
    <row r="6868" spans="1:5" x14ac:dyDescent="0.25">
      <c r="A6868" s="24" t="s">
        <v>7</v>
      </c>
      <c r="B6868" s="24" t="s">
        <v>17737</v>
      </c>
      <c r="C6868" s="25" t="s">
        <v>17738</v>
      </c>
      <c r="D6868" s="25" t="s">
        <v>17739</v>
      </c>
      <c r="E6868" s="26">
        <v>5.29</v>
      </c>
    </row>
    <row r="6869" spans="1:5" x14ac:dyDescent="0.25">
      <c r="A6869" s="24" t="s">
        <v>7</v>
      </c>
      <c r="B6869" s="24" t="s">
        <v>17740</v>
      </c>
      <c r="C6869" s="25" t="s">
        <v>15195</v>
      </c>
      <c r="D6869" s="25" t="s">
        <v>15196</v>
      </c>
      <c r="E6869" s="26">
        <v>362.45</v>
      </c>
    </row>
    <row r="6870" spans="1:5" x14ac:dyDescent="0.25">
      <c r="A6870" s="24" t="s">
        <v>7</v>
      </c>
      <c r="B6870" s="24" t="s">
        <v>17741</v>
      </c>
      <c r="C6870" s="25" t="s">
        <v>17064</v>
      </c>
      <c r="D6870" s="25" t="s">
        <v>17065</v>
      </c>
      <c r="E6870" s="26">
        <v>712.69</v>
      </c>
    </row>
    <row r="6871" spans="1:5" x14ac:dyDescent="0.25">
      <c r="A6871" s="24" t="s">
        <v>7</v>
      </c>
      <c r="B6871" s="24" t="s">
        <v>17742</v>
      </c>
      <c r="C6871" s="25" t="s">
        <v>15478</v>
      </c>
      <c r="D6871" s="25" t="s">
        <v>15478</v>
      </c>
      <c r="E6871" s="26">
        <v>8.99</v>
      </c>
    </row>
    <row r="6872" spans="1:5" x14ac:dyDescent="0.25">
      <c r="A6872" s="24" t="s">
        <v>7</v>
      </c>
      <c r="B6872" s="24" t="s">
        <v>17743</v>
      </c>
      <c r="C6872" s="25" t="s">
        <v>17744</v>
      </c>
      <c r="D6872" s="25" t="s">
        <v>15190</v>
      </c>
      <c r="E6872" s="26">
        <v>375</v>
      </c>
    </row>
    <row r="6873" spans="1:5" x14ac:dyDescent="0.25">
      <c r="A6873" s="24" t="s">
        <v>7</v>
      </c>
      <c r="B6873" s="24" t="s">
        <v>17745</v>
      </c>
      <c r="C6873" s="25" t="s">
        <v>17746</v>
      </c>
      <c r="D6873" s="25" t="s">
        <v>15190</v>
      </c>
      <c r="E6873" s="26">
        <v>116</v>
      </c>
    </row>
    <row r="6874" spans="1:5" x14ac:dyDescent="0.25">
      <c r="A6874" s="24" t="s">
        <v>7</v>
      </c>
      <c r="B6874" s="24" t="s">
        <v>17747</v>
      </c>
      <c r="C6874" s="25" t="s">
        <v>17082</v>
      </c>
      <c r="D6874" s="25" t="s">
        <v>17082</v>
      </c>
      <c r="E6874" s="26">
        <v>305</v>
      </c>
    </row>
    <row r="6875" spans="1:5" x14ac:dyDescent="0.25">
      <c r="A6875" s="24" t="s">
        <v>7</v>
      </c>
      <c r="B6875" s="24" t="s">
        <v>17748</v>
      </c>
      <c r="C6875" s="25" t="s">
        <v>16099</v>
      </c>
      <c r="D6875" s="25" t="s">
        <v>3576</v>
      </c>
      <c r="E6875" s="26">
        <v>45.92</v>
      </c>
    </row>
    <row r="6876" spans="1:5" x14ac:dyDescent="0.25">
      <c r="A6876" s="24" t="s">
        <v>7</v>
      </c>
      <c r="B6876" s="24" t="s">
        <v>17749</v>
      </c>
      <c r="C6876" s="25" t="s">
        <v>15192</v>
      </c>
      <c r="D6876" s="25" t="s">
        <v>15193</v>
      </c>
      <c r="E6876" s="26">
        <v>335.81</v>
      </c>
    </row>
    <row r="6877" spans="1:5" x14ac:dyDescent="0.25">
      <c r="A6877" s="24" t="s">
        <v>7</v>
      </c>
      <c r="B6877" s="24" t="s">
        <v>17750</v>
      </c>
      <c r="C6877" s="25" t="s">
        <v>17751</v>
      </c>
      <c r="D6877" s="25" t="s">
        <v>17752</v>
      </c>
      <c r="E6877" s="26">
        <v>375</v>
      </c>
    </row>
    <row r="6878" spans="1:5" x14ac:dyDescent="0.25">
      <c r="A6878" s="24" t="s">
        <v>7</v>
      </c>
      <c r="B6878" s="24" t="s">
        <v>17753</v>
      </c>
      <c r="C6878" s="25" t="s">
        <v>17754</v>
      </c>
      <c r="D6878" s="25" t="s">
        <v>17754</v>
      </c>
      <c r="E6878" s="26">
        <v>119.5</v>
      </c>
    </row>
    <row r="6879" spans="1:5" x14ac:dyDescent="0.25">
      <c r="A6879" s="24" t="s">
        <v>7</v>
      </c>
      <c r="B6879" s="24" t="s">
        <v>17755</v>
      </c>
      <c r="C6879" s="25" t="s">
        <v>17756</v>
      </c>
      <c r="D6879" s="25" t="s">
        <v>15382</v>
      </c>
      <c r="E6879" s="26">
        <v>244.35</v>
      </c>
    </row>
    <row r="6880" spans="1:5" x14ac:dyDescent="0.25">
      <c r="A6880" s="24" t="s">
        <v>7</v>
      </c>
      <c r="B6880" s="24" t="s">
        <v>17757</v>
      </c>
      <c r="C6880" s="25" t="s">
        <v>15492</v>
      </c>
      <c r="D6880" s="25" t="s">
        <v>15493</v>
      </c>
      <c r="E6880" s="26">
        <v>153.11000000000001</v>
      </c>
    </row>
    <row r="6881" spans="1:5" x14ac:dyDescent="0.25">
      <c r="A6881" s="24" t="s">
        <v>7</v>
      </c>
      <c r="B6881" s="24" t="s">
        <v>17758</v>
      </c>
      <c r="C6881" s="25" t="s">
        <v>17759</v>
      </c>
      <c r="D6881" s="25" t="s">
        <v>17760</v>
      </c>
      <c r="E6881" s="26">
        <v>421.38</v>
      </c>
    </row>
    <row r="6882" spans="1:5" x14ac:dyDescent="0.25">
      <c r="A6882" s="24" t="s">
        <v>7</v>
      </c>
      <c r="B6882" s="24" t="s">
        <v>17761</v>
      </c>
      <c r="C6882" s="25" t="s">
        <v>15515</v>
      </c>
      <c r="D6882" s="25" t="s">
        <v>15516</v>
      </c>
      <c r="E6882" s="26">
        <v>117</v>
      </c>
    </row>
    <row r="6883" spans="1:5" x14ac:dyDescent="0.25">
      <c r="A6883" s="24" t="s">
        <v>7</v>
      </c>
      <c r="B6883" s="24" t="s">
        <v>17762</v>
      </c>
      <c r="C6883" s="25" t="s">
        <v>15518</v>
      </c>
      <c r="D6883" s="25" t="s">
        <v>15519</v>
      </c>
      <c r="E6883" s="26">
        <v>600</v>
      </c>
    </row>
    <row r="6884" spans="1:5" x14ac:dyDescent="0.25">
      <c r="A6884" s="24" t="s">
        <v>7</v>
      </c>
      <c r="B6884" s="24" t="s">
        <v>17763</v>
      </c>
      <c r="C6884" s="25" t="s">
        <v>15521</v>
      </c>
      <c r="D6884" s="25" t="s">
        <v>15522</v>
      </c>
      <c r="E6884" s="26">
        <v>450</v>
      </c>
    </row>
    <row r="6885" spans="1:5" x14ac:dyDescent="0.25">
      <c r="A6885" s="24" t="s">
        <v>7</v>
      </c>
      <c r="B6885" s="24" t="s">
        <v>17764</v>
      </c>
      <c r="C6885" s="25" t="s">
        <v>17765</v>
      </c>
      <c r="D6885" s="25" t="s">
        <v>17766</v>
      </c>
      <c r="E6885" s="26">
        <v>90</v>
      </c>
    </row>
    <row r="6886" spans="1:5" x14ac:dyDescent="0.25">
      <c r="A6886" s="24" t="s">
        <v>7</v>
      </c>
      <c r="B6886" s="24" t="s">
        <v>17767</v>
      </c>
      <c r="C6886" s="25" t="s">
        <v>15527</v>
      </c>
      <c r="D6886" s="25" t="s">
        <v>15528</v>
      </c>
      <c r="E6886" s="26">
        <v>215</v>
      </c>
    </row>
    <row r="6887" spans="1:5" x14ac:dyDescent="0.25">
      <c r="A6887" s="24" t="s">
        <v>7</v>
      </c>
      <c r="B6887" s="24" t="s">
        <v>17768</v>
      </c>
      <c r="C6887" s="25" t="s">
        <v>15542</v>
      </c>
      <c r="D6887" s="25" t="s">
        <v>15542</v>
      </c>
      <c r="E6887" s="26">
        <v>250</v>
      </c>
    </row>
    <row r="6888" spans="1:5" x14ac:dyDescent="0.25">
      <c r="A6888" s="24" t="s">
        <v>7</v>
      </c>
      <c r="B6888" s="24" t="s">
        <v>17769</v>
      </c>
      <c r="C6888" s="25" t="s">
        <v>15547</v>
      </c>
      <c r="D6888" s="25" t="s">
        <v>15548</v>
      </c>
      <c r="E6888" s="26">
        <v>9.41</v>
      </c>
    </row>
    <row r="6889" spans="1:5" x14ac:dyDescent="0.25">
      <c r="A6889" s="24" t="s">
        <v>7</v>
      </c>
      <c r="B6889" s="24" t="s">
        <v>17770</v>
      </c>
      <c r="C6889" s="25" t="s">
        <v>3177</v>
      </c>
      <c r="D6889" s="25" t="s">
        <v>3177</v>
      </c>
      <c r="E6889" s="26">
        <v>2.25</v>
      </c>
    </row>
    <row r="6890" spans="1:5" x14ac:dyDescent="0.25">
      <c r="A6890" s="24" t="s">
        <v>7</v>
      </c>
      <c r="B6890" s="24" t="s">
        <v>17771</v>
      </c>
      <c r="C6890" s="25" t="s">
        <v>3179</v>
      </c>
      <c r="D6890" s="25" t="s">
        <v>3180</v>
      </c>
      <c r="E6890" s="26">
        <v>4.4000000000000004</v>
      </c>
    </row>
    <row r="6891" spans="1:5" x14ac:dyDescent="0.25">
      <c r="A6891" s="24" t="s">
        <v>7</v>
      </c>
      <c r="B6891" s="24" t="s">
        <v>17772</v>
      </c>
      <c r="C6891" s="25" t="s">
        <v>17773</v>
      </c>
      <c r="D6891" s="25" t="s">
        <v>3180</v>
      </c>
      <c r="E6891" s="26">
        <v>3.77</v>
      </c>
    </row>
    <row r="6892" spans="1:5" x14ac:dyDescent="0.25">
      <c r="A6892" s="24" t="s">
        <v>7</v>
      </c>
      <c r="B6892" s="24" t="s">
        <v>17774</v>
      </c>
      <c r="C6892" s="25" t="s">
        <v>17775</v>
      </c>
      <c r="D6892" s="25" t="s">
        <v>17775</v>
      </c>
      <c r="E6892" s="26">
        <v>10</v>
      </c>
    </row>
    <row r="6893" spans="1:5" x14ac:dyDescent="0.25">
      <c r="A6893" s="24" t="s">
        <v>7</v>
      </c>
      <c r="B6893" s="24" t="s">
        <v>17776</v>
      </c>
      <c r="C6893" s="25" t="s">
        <v>15553</v>
      </c>
      <c r="D6893" s="25" t="s">
        <v>15553</v>
      </c>
      <c r="E6893" s="26">
        <v>2</v>
      </c>
    </row>
    <row r="6894" spans="1:5" x14ac:dyDescent="0.25">
      <c r="A6894" s="24" t="s">
        <v>7</v>
      </c>
      <c r="B6894" s="24" t="s">
        <v>17777</v>
      </c>
      <c r="C6894" s="25" t="s">
        <v>15555</v>
      </c>
      <c r="D6894" s="25" t="s">
        <v>15555</v>
      </c>
      <c r="E6894" s="26">
        <v>4.2300000000000004</v>
      </c>
    </row>
    <row r="6895" spans="1:5" x14ac:dyDescent="0.25">
      <c r="A6895" s="24" t="s">
        <v>7</v>
      </c>
      <c r="B6895" s="24" t="s">
        <v>17778</v>
      </c>
      <c r="C6895" s="25" t="s">
        <v>15557</v>
      </c>
      <c r="D6895" s="25" t="s">
        <v>15557</v>
      </c>
      <c r="E6895" s="26">
        <v>10</v>
      </c>
    </row>
    <row r="6896" spans="1:5" x14ac:dyDescent="0.25">
      <c r="A6896" s="24" t="s">
        <v>7</v>
      </c>
      <c r="B6896" s="24" t="s">
        <v>17779</v>
      </c>
      <c r="C6896" s="25" t="s">
        <v>15561</v>
      </c>
      <c r="D6896" s="25" t="s">
        <v>15561</v>
      </c>
      <c r="E6896" s="26">
        <v>65</v>
      </c>
    </row>
    <row r="6897" spans="1:5" x14ac:dyDescent="0.25">
      <c r="A6897" s="24" t="s">
        <v>7</v>
      </c>
      <c r="B6897" s="24" t="s">
        <v>17780</v>
      </c>
      <c r="C6897" s="25" t="s">
        <v>3182</v>
      </c>
      <c r="D6897" s="25" t="s">
        <v>3183</v>
      </c>
      <c r="E6897" s="26">
        <v>15.37</v>
      </c>
    </row>
    <row r="6898" spans="1:5" x14ac:dyDescent="0.25">
      <c r="A6898" s="24" t="s">
        <v>7</v>
      </c>
      <c r="B6898" s="24" t="s">
        <v>17781</v>
      </c>
      <c r="C6898" s="25" t="s">
        <v>3189</v>
      </c>
      <c r="D6898" s="25" t="s">
        <v>3190</v>
      </c>
      <c r="E6898" s="26">
        <v>4.07</v>
      </c>
    </row>
    <row r="6899" spans="1:5" x14ac:dyDescent="0.25">
      <c r="A6899" s="24" t="s">
        <v>7</v>
      </c>
      <c r="B6899" s="24" t="s">
        <v>17782</v>
      </c>
      <c r="C6899" s="25" t="s">
        <v>17783</v>
      </c>
      <c r="D6899" s="25" t="s">
        <v>15888</v>
      </c>
      <c r="E6899" s="26">
        <v>11.28</v>
      </c>
    </row>
    <row r="6900" spans="1:5" x14ac:dyDescent="0.25">
      <c r="A6900" s="24" t="s">
        <v>7</v>
      </c>
      <c r="B6900" s="24" t="s">
        <v>17784</v>
      </c>
      <c r="C6900" s="25" t="s">
        <v>17785</v>
      </c>
      <c r="D6900" s="25" t="s">
        <v>17234</v>
      </c>
      <c r="E6900" s="26">
        <v>27.04</v>
      </c>
    </row>
    <row r="6901" spans="1:5" x14ac:dyDescent="0.25">
      <c r="A6901" s="24" t="s">
        <v>7</v>
      </c>
      <c r="B6901" s="24" t="s">
        <v>17786</v>
      </c>
      <c r="C6901" s="25" t="s">
        <v>17787</v>
      </c>
      <c r="D6901" s="25" t="s">
        <v>17787</v>
      </c>
      <c r="E6901" s="26">
        <v>10</v>
      </c>
    </row>
    <row r="6902" spans="1:5" x14ac:dyDescent="0.25">
      <c r="A6902" s="24" t="s">
        <v>7</v>
      </c>
      <c r="B6902" s="24" t="s">
        <v>17788</v>
      </c>
      <c r="C6902" s="25" t="s">
        <v>15583</v>
      </c>
      <c r="D6902" s="25" t="s">
        <v>15583</v>
      </c>
      <c r="E6902" s="26">
        <v>5</v>
      </c>
    </row>
    <row r="6903" spans="1:5" x14ac:dyDescent="0.25">
      <c r="A6903" s="24" t="s">
        <v>7</v>
      </c>
      <c r="B6903" s="24" t="s">
        <v>17789</v>
      </c>
      <c r="C6903" s="25" t="s">
        <v>15575</v>
      </c>
      <c r="D6903" s="25" t="s">
        <v>15576</v>
      </c>
      <c r="E6903" s="26">
        <v>3.67</v>
      </c>
    </row>
    <row r="6904" spans="1:5" x14ac:dyDescent="0.25">
      <c r="A6904" s="24" t="s">
        <v>7</v>
      </c>
      <c r="B6904" s="24" t="s">
        <v>17790</v>
      </c>
      <c r="C6904" s="25" t="s">
        <v>17791</v>
      </c>
      <c r="D6904" s="25" t="s">
        <v>15576</v>
      </c>
      <c r="E6904" s="26">
        <v>34.299999999999997</v>
      </c>
    </row>
    <row r="6905" spans="1:5" x14ac:dyDescent="0.25">
      <c r="A6905" s="24" t="s">
        <v>7</v>
      </c>
      <c r="B6905" s="24" t="s">
        <v>17792</v>
      </c>
      <c r="C6905" s="25" t="s">
        <v>17793</v>
      </c>
      <c r="D6905" s="25" t="s">
        <v>17794</v>
      </c>
      <c r="E6905" s="26">
        <v>6</v>
      </c>
    </row>
    <row r="6906" spans="1:5" x14ac:dyDescent="0.25">
      <c r="A6906" s="24" t="s">
        <v>7</v>
      </c>
      <c r="B6906" s="24" t="s">
        <v>17795</v>
      </c>
      <c r="C6906" s="25" t="s">
        <v>15585</v>
      </c>
      <c r="D6906" s="25" t="s">
        <v>15585</v>
      </c>
      <c r="E6906" s="26">
        <v>9</v>
      </c>
    </row>
    <row r="6907" spans="1:5" x14ac:dyDescent="0.25">
      <c r="A6907" s="24" t="s">
        <v>7</v>
      </c>
      <c r="B6907" s="24" t="s">
        <v>17796</v>
      </c>
      <c r="C6907" s="25" t="s">
        <v>17797</v>
      </c>
      <c r="D6907" s="25" t="s">
        <v>17794</v>
      </c>
      <c r="E6907" s="26">
        <v>5</v>
      </c>
    </row>
    <row r="6908" spans="1:5" x14ac:dyDescent="0.25">
      <c r="A6908" s="24" t="s">
        <v>7</v>
      </c>
      <c r="B6908" s="24" t="s">
        <v>17798</v>
      </c>
      <c r="C6908" s="25" t="s">
        <v>15587</v>
      </c>
      <c r="D6908" s="25" t="s">
        <v>15587</v>
      </c>
      <c r="E6908" s="26">
        <v>11.24</v>
      </c>
    </row>
    <row r="6909" spans="1:5" x14ac:dyDescent="0.25">
      <c r="A6909" s="24" t="s">
        <v>7</v>
      </c>
      <c r="B6909" s="24" t="s">
        <v>17799</v>
      </c>
      <c r="C6909" s="25" t="s">
        <v>3210</v>
      </c>
      <c r="D6909" s="25" t="s">
        <v>3211</v>
      </c>
      <c r="E6909" s="26">
        <v>8</v>
      </c>
    </row>
    <row r="6910" spans="1:5" x14ac:dyDescent="0.25">
      <c r="A6910" s="24" t="s">
        <v>7</v>
      </c>
      <c r="B6910" s="24" t="s">
        <v>17800</v>
      </c>
      <c r="C6910" s="25" t="s">
        <v>15596</v>
      </c>
      <c r="D6910" s="25" t="s">
        <v>15597</v>
      </c>
      <c r="E6910" s="26">
        <v>4</v>
      </c>
    </row>
    <row r="6911" spans="1:5" x14ac:dyDescent="0.25">
      <c r="A6911" s="24" t="s">
        <v>7</v>
      </c>
      <c r="B6911" s="24" t="s">
        <v>17801</v>
      </c>
      <c r="C6911" s="25" t="s">
        <v>17802</v>
      </c>
      <c r="D6911" s="25" t="s">
        <v>17803</v>
      </c>
      <c r="E6911" s="26">
        <v>4</v>
      </c>
    </row>
    <row r="6912" spans="1:5" x14ac:dyDescent="0.25">
      <c r="A6912" s="24" t="s">
        <v>7</v>
      </c>
      <c r="B6912" s="24" t="s">
        <v>17804</v>
      </c>
      <c r="C6912" s="25" t="s">
        <v>3213</v>
      </c>
      <c r="D6912" s="25" t="s">
        <v>3214</v>
      </c>
      <c r="E6912" s="26">
        <v>36.6</v>
      </c>
    </row>
    <row r="6913" spans="1:5" x14ac:dyDescent="0.25">
      <c r="A6913" s="24" t="s">
        <v>7</v>
      </c>
      <c r="B6913" s="24" t="s">
        <v>17805</v>
      </c>
      <c r="C6913" s="25" t="s">
        <v>3537</v>
      </c>
      <c r="D6913" s="25" t="s">
        <v>3538</v>
      </c>
      <c r="E6913" s="26">
        <v>38</v>
      </c>
    </row>
    <row r="6914" spans="1:5" x14ac:dyDescent="0.25">
      <c r="A6914" s="24" t="s">
        <v>7</v>
      </c>
      <c r="B6914" s="24" t="s">
        <v>17806</v>
      </c>
      <c r="C6914" s="25" t="s">
        <v>15614</v>
      </c>
      <c r="D6914" s="25" t="s">
        <v>15614</v>
      </c>
      <c r="E6914" s="26">
        <v>8</v>
      </c>
    </row>
    <row r="6915" spans="1:5" x14ac:dyDescent="0.25">
      <c r="A6915" s="24" t="s">
        <v>7</v>
      </c>
      <c r="B6915" s="24" t="s">
        <v>17807</v>
      </c>
      <c r="C6915" s="25" t="s">
        <v>17808</v>
      </c>
      <c r="D6915" s="25" t="s">
        <v>17808</v>
      </c>
      <c r="E6915" s="26">
        <v>4.49</v>
      </c>
    </row>
    <row r="6916" spans="1:5" x14ac:dyDescent="0.25">
      <c r="A6916" s="24" t="s">
        <v>7</v>
      </c>
      <c r="B6916" s="24" t="s">
        <v>17809</v>
      </c>
      <c r="C6916" s="25" t="s">
        <v>15851</v>
      </c>
      <c r="D6916" s="25" t="s">
        <v>15852</v>
      </c>
      <c r="E6916" s="26">
        <v>7.33</v>
      </c>
    </row>
    <row r="6917" spans="1:5" x14ac:dyDescent="0.25">
      <c r="A6917" s="24" t="s">
        <v>7</v>
      </c>
      <c r="B6917" s="24" t="s">
        <v>17810</v>
      </c>
      <c r="C6917" s="25" t="s">
        <v>3239</v>
      </c>
      <c r="D6917" s="25" t="s">
        <v>3237</v>
      </c>
      <c r="E6917" s="26">
        <v>2</v>
      </c>
    </row>
    <row r="6918" spans="1:5" x14ac:dyDescent="0.25">
      <c r="A6918" s="24" t="s">
        <v>7</v>
      </c>
      <c r="B6918" s="24" t="s">
        <v>17811</v>
      </c>
      <c r="C6918" s="25" t="s">
        <v>17812</v>
      </c>
      <c r="D6918" s="25" t="s">
        <v>3237</v>
      </c>
      <c r="E6918" s="26">
        <v>3.16</v>
      </c>
    </row>
    <row r="6919" spans="1:5" x14ac:dyDescent="0.25">
      <c r="A6919" s="24" t="s">
        <v>7</v>
      </c>
      <c r="B6919" s="24" t="s">
        <v>17813</v>
      </c>
      <c r="C6919" s="25" t="s">
        <v>17814</v>
      </c>
      <c r="D6919" s="25" t="s">
        <v>17815</v>
      </c>
      <c r="E6919" s="26">
        <v>12.22</v>
      </c>
    </row>
    <row r="6920" spans="1:5" x14ac:dyDescent="0.25">
      <c r="A6920" s="24" t="s">
        <v>7</v>
      </c>
      <c r="B6920" s="24" t="s">
        <v>17816</v>
      </c>
      <c r="C6920" s="25" t="s">
        <v>17817</v>
      </c>
      <c r="D6920" s="25" t="s">
        <v>15619</v>
      </c>
      <c r="E6920" s="26">
        <v>11.05</v>
      </c>
    </row>
    <row r="6921" spans="1:5" x14ac:dyDescent="0.25">
      <c r="A6921" s="24" t="s">
        <v>7</v>
      </c>
      <c r="B6921" s="24" t="s">
        <v>17818</v>
      </c>
      <c r="C6921" s="25" t="s">
        <v>17819</v>
      </c>
      <c r="D6921" s="25" t="s">
        <v>17819</v>
      </c>
      <c r="E6921" s="26">
        <v>20</v>
      </c>
    </row>
    <row r="6922" spans="1:5" x14ac:dyDescent="0.25">
      <c r="A6922" s="24" t="s">
        <v>7</v>
      </c>
      <c r="B6922" s="24" t="s">
        <v>17820</v>
      </c>
      <c r="C6922" s="25" t="s">
        <v>15539</v>
      </c>
      <c r="D6922" s="25" t="s">
        <v>17821</v>
      </c>
      <c r="E6922" s="26">
        <v>20.36</v>
      </c>
    </row>
    <row r="6923" spans="1:5" x14ac:dyDescent="0.25">
      <c r="A6923" s="24" t="s">
        <v>7</v>
      </c>
      <c r="B6923" s="24" t="s">
        <v>17822</v>
      </c>
      <c r="C6923" s="25" t="s">
        <v>15621</v>
      </c>
      <c r="D6923" s="25" t="s">
        <v>15622</v>
      </c>
      <c r="E6923" s="26">
        <v>20.57</v>
      </c>
    </row>
    <row r="6924" spans="1:5" x14ac:dyDescent="0.25">
      <c r="A6924" s="24" t="s">
        <v>7</v>
      </c>
      <c r="B6924" s="24" t="s">
        <v>17823</v>
      </c>
      <c r="C6924" s="25" t="s">
        <v>17824</v>
      </c>
      <c r="D6924" s="25" t="s">
        <v>17825</v>
      </c>
      <c r="E6924" s="26">
        <v>16.09</v>
      </c>
    </row>
    <row r="6925" spans="1:5" x14ac:dyDescent="0.25">
      <c r="A6925" s="24" t="s">
        <v>7</v>
      </c>
      <c r="B6925" s="24" t="s">
        <v>17826</v>
      </c>
      <c r="C6925" s="25" t="s">
        <v>15624</v>
      </c>
      <c r="D6925" s="25" t="s">
        <v>15625</v>
      </c>
      <c r="E6925" s="26">
        <v>4.6900000000000004</v>
      </c>
    </row>
    <row r="6926" spans="1:5" x14ac:dyDescent="0.25">
      <c r="A6926" s="24" t="s">
        <v>7</v>
      </c>
      <c r="B6926" s="24" t="s">
        <v>17827</v>
      </c>
      <c r="C6926" s="25" t="s">
        <v>17828</v>
      </c>
      <c r="D6926" s="25" t="s">
        <v>15628</v>
      </c>
      <c r="E6926" s="26">
        <v>138.5</v>
      </c>
    </row>
    <row r="6927" spans="1:5" x14ac:dyDescent="0.25">
      <c r="A6927" s="24" t="s">
        <v>7</v>
      </c>
      <c r="B6927" s="24" t="s">
        <v>17829</v>
      </c>
      <c r="C6927" s="25" t="s">
        <v>17830</v>
      </c>
      <c r="D6927" s="25" t="s">
        <v>15628</v>
      </c>
      <c r="E6927" s="26">
        <v>45.61</v>
      </c>
    </row>
    <row r="6928" spans="1:5" x14ac:dyDescent="0.25">
      <c r="A6928" s="24" t="s">
        <v>7</v>
      </c>
      <c r="B6928" s="24" t="s">
        <v>17831</v>
      </c>
      <c r="C6928" s="25" t="s">
        <v>17832</v>
      </c>
      <c r="D6928" s="25" t="s">
        <v>15897</v>
      </c>
      <c r="E6928" s="26">
        <v>32</v>
      </c>
    </row>
    <row r="6929" spans="1:5" x14ac:dyDescent="0.25">
      <c r="A6929" s="24" t="s">
        <v>7</v>
      </c>
      <c r="B6929" s="24" t="s">
        <v>17833</v>
      </c>
      <c r="C6929" s="25" t="s">
        <v>17834</v>
      </c>
      <c r="D6929" s="25" t="s">
        <v>15628</v>
      </c>
      <c r="E6929" s="26">
        <v>14.66</v>
      </c>
    </row>
    <row r="6930" spans="1:5" x14ac:dyDescent="0.25">
      <c r="A6930" s="24" t="s">
        <v>7</v>
      </c>
      <c r="B6930" s="24" t="s">
        <v>17835</v>
      </c>
      <c r="C6930" s="25" t="s">
        <v>3245</v>
      </c>
      <c r="D6930" s="25" t="s">
        <v>3246</v>
      </c>
      <c r="E6930" s="26">
        <v>2</v>
      </c>
    </row>
    <row r="6931" spans="1:5" x14ac:dyDescent="0.25">
      <c r="A6931" s="24" t="s">
        <v>7</v>
      </c>
      <c r="B6931" s="24" t="s">
        <v>17836</v>
      </c>
      <c r="C6931" s="25" t="s">
        <v>17837</v>
      </c>
      <c r="D6931" s="25" t="s">
        <v>17837</v>
      </c>
      <c r="E6931" s="26">
        <v>10</v>
      </c>
    </row>
    <row r="6932" spans="1:5" x14ac:dyDescent="0.25">
      <c r="A6932" s="24" t="s">
        <v>7</v>
      </c>
      <c r="B6932" s="24" t="s">
        <v>17838</v>
      </c>
      <c r="C6932" s="25" t="s">
        <v>15644</v>
      </c>
      <c r="D6932" s="25" t="s">
        <v>15644</v>
      </c>
      <c r="E6932" s="26">
        <v>35.6</v>
      </c>
    </row>
    <row r="6933" spans="1:5" x14ac:dyDescent="0.25">
      <c r="A6933" s="24" t="s">
        <v>7</v>
      </c>
      <c r="B6933" s="24" t="s">
        <v>17839</v>
      </c>
      <c r="C6933" s="25" t="s">
        <v>17840</v>
      </c>
      <c r="D6933" s="25" t="s">
        <v>17841</v>
      </c>
      <c r="E6933" s="26">
        <v>24.23</v>
      </c>
    </row>
    <row r="6934" spans="1:5" x14ac:dyDescent="0.25">
      <c r="A6934" s="24" t="s">
        <v>7</v>
      </c>
      <c r="B6934" s="24" t="s">
        <v>17842</v>
      </c>
      <c r="C6934" s="25" t="s">
        <v>3261</v>
      </c>
      <c r="D6934" s="25" t="s">
        <v>3262</v>
      </c>
      <c r="E6934" s="26">
        <v>2.2799999999999998</v>
      </c>
    </row>
    <row r="6935" spans="1:5" x14ac:dyDescent="0.25">
      <c r="A6935" s="24" t="s">
        <v>7</v>
      </c>
      <c r="B6935" s="24" t="s">
        <v>17843</v>
      </c>
      <c r="C6935" s="25" t="s">
        <v>15652</v>
      </c>
      <c r="D6935" s="25" t="s">
        <v>15652</v>
      </c>
      <c r="E6935" s="26">
        <v>5</v>
      </c>
    </row>
    <row r="6936" spans="1:5" x14ac:dyDescent="0.25">
      <c r="A6936" s="24" t="s">
        <v>7</v>
      </c>
      <c r="B6936" s="24" t="s">
        <v>17844</v>
      </c>
      <c r="C6936" s="25" t="s">
        <v>15657</v>
      </c>
      <c r="D6936" s="25" t="s">
        <v>15657</v>
      </c>
      <c r="E6936" s="26">
        <v>10.41</v>
      </c>
    </row>
    <row r="6937" spans="1:5" x14ac:dyDescent="0.25">
      <c r="A6937" s="24" t="s">
        <v>7</v>
      </c>
      <c r="B6937" s="24" t="s">
        <v>17845</v>
      </c>
      <c r="C6937" s="25" t="s">
        <v>17846</v>
      </c>
      <c r="D6937" s="25" t="s">
        <v>17846</v>
      </c>
      <c r="E6937" s="26">
        <v>12.22</v>
      </c>
    </row>
    <row r="6938" spans="1:5" x14ac:dyDescent="0.25">
      <c r="A6938" s="24" t="s">
        <v>7</v>
      </c>
      <c r="B6938" s="24" t="s">
        <v>17847</v>
      </c>
      <c r="C6938" s="25" t="s">
        <v>17848</v>
      </c>
      <c r="D6938" s="25" t="s">
        <v>17849</v>
      </c>
      <c r="E6938" s="26">
        <v>30.95</v>
      </c>
    </row>
    <row r="6939" spans="1:5" x14ac:dyDescent="0.25">
      <c r="A6939" s="24" t="s">
        <v>7</v>
      </c>
      <c r="B6939" s="24" t="s">
        <v>17850</v>
      </c>
      <c r="C6939" s="25" t="s">
        <v>3284</v>
      </c>
      <c r="D6939" s="25" t="s">
        <v>3282</v>
      </c>
      <c r="E6939" s="26">
        <v>5</v>
      </c>
    </row>
    <row r="6940" spans="1:5" x14ac:dyDescent="0.25">
      <c r="A6940" s="24" t="s">
        <v>7</v>
      </c>
      <c r="B6940" s="24" t="s">
        <v>17851</v>
      </c>
      <c r="C6940" s="25" t="s">
        <v>17852</v>
      </c>
      <c r="D6940" s="25" t="s">
        <v>3282</v>
      </c>
      <c r="E6940" s="26">
        <v>3.16</v>
      </c>
    </row>
    <row r="6941" spans="1:5" x14ac:dyDescent="0.25">
      <c r="A6941" s="24" t="s">
        <v>7</v>
      </c>
      <c r="B6941" s="24" t="s">
        <v>17853</v>
      </c>
      <c r="C6941" s="25" t="s">
        <v>15677</v>
      </c>
      <c r="D6941" s="25" t="s">
        <v>15677</v>
      </c>
      <c r="E6941" s="26">
        <v>37</v>
      </c>
    </row>
    <row r="6942" spans="1:5" x14ac:dyDescent="0.25">
      <c r="A6942" s="24" t="s">
        <v>7</v>
      </c>
      <c r="B6942" s="24" t="s">
        <v>17854</v>
      </c>
      <c r="C6942" s="25" t="s">
        <v>17855</v>
      </c>
      <c r="D6942" s="25" t="s">
        <v>17856</v>
      </c>
      <c r="E6942" s="26">
        <v>5</v>
      </c>
    </row>
    <row r="6943" spans="1:5" x14ac:dyDescent="0.25">
      <c r="A6943" s="24" t="s">
        <v>7</v>
      </c>
      <c r="B6943" s="24" t="s">
        <v>17857</v>
      </c>
      <c r="C6943" s="25" t="s">
        <v>17243</v>
      </c>
      <c r="D6943" s="25" t="s">
        <v>17244</v>
      </c>
      <c r="E6943" s="26">
        <v>4.8899999999999997</v>
      </c>
    </row>
    <row r="6944" spans="1:5" x14ac:dyDescent="0.25">
      <c r="A6944" s="24" t="s">
        <v>7</v>
      </c>
      <c r="B6944" s="24" t="s">
        <v>17858</v>
      </c>
      <c r="C6944" s="25" t="s">
        <v>17859</v>
      </c>
      <c r="D6944" s="25" t="s">
        <v>15675</v>
      </c>
      <c r="E6944" s="26">
        <v>4.7</v>
      </c>
    </row>
    <row r="6945" spans="1:5" x14ac:dyDescent="0.25">
      <c r="A6945" s="24" t="s">
        <v>7</v>
      </c>
      <c r="B6945" s="24" t="s">
        <v>17860</v>
      </c>
      <c r="C6945" s="25" t="s">
        <v>17861</v>
      </c>
      <c r="D6945" s="25" t="s">
        <v>17862</v>
      </c>
      <c r="E6945" s="26">
        <v>165</v>
      </c>
    </row>
    <row r="6946" spans="1:5" x14ac:dyDescent="0.25">
      <c r="A6946" s="24" t="s">
        <v>7</v>
      </c>
      <c r="B6946" s="24" t="s">
        <v>17863</v>
      </c>
      <c r="C6946" s="25" t="s">
        <v>15692</v>
      </c>
      <c r="D6946" s="25" t="s">
        <v>15692</v>
      </c>
      <c r="E6946" s="26">
        <v>7.33</v>
      </c>
    </row>
    <row r="6947" spans="1:5" x14ac:dyDescent="0.25">
      <c r="A6947" s="24" t="s">
        <v>7</v>
      </c>
      <c r="B6947" s="24" t="s">
        <v>17864</v>
      </c>
      <c r="C6947" s="25" t="s">
        <v>15208</v>
      </c>
      <c r="D6947" s="25" t="s">
        <v>15208</v>
      </c>
      <c r="E6947" s="26">
        <v>5</v>
      </c>
    </row>
    <row r="6948" spans="1:5" x14ac:dyDescent="0.25">
      <c r="A6948" s="24" t="s">
        <v>7</v>
      </c>
      <c r="B6948" s="24" t="s">
        <v>17865</v>
      </c>
      <c r="C6948" s="25" t="s">
        <v>17866</v>
      </c>
      <c r="D6948" s="25" t="s">
        <v>17866</v>
      </c>
      <c r="E6948" s="26">
        <v>5.7</v>
      </c>
    </row>
    <row r="6949" spans="1:5" x14ac:dyDescent="0.25">
      <c r="A6949" s="24" t="s">
        <v>7</v>
      </c>
      <c r="B6949" s="24" t="s">
        <v>17867</v>
      </c>
      <c r="C6949" s="25" t="s">
        <v>17868</v>
      </c>
      <c r="D6949" s="25" t="s">
        <v>17868</v>
      </c>
      <c r="E6949" s="26">
        <v>10</v>
      </c>
    </row>
    <row r="6950" spans="1:5" x14ac:dyDescent="0.25">
      <c r="A6950" s="24" t="s">
        <v>7</v>
      </c>
      <c r="B6950" s="24" t="s">
        <v>17869</v>
      </c>
      <c r="C6950" s="25" t="s">
        <v>15700</v>
      </c>
      <c r="D6950" s="25" t="s">
        <v>15700</v>
      </c>
      <c r="E6950" s="26">
        <v>12.36</v>
      </c>
    </row>
    <row r="6951" spans="1:5" x14ac:dyDescent="0.25">
      <c r="A6951" s="24" t="s">
        <v>7</v>
      </c>
      <c r="B6951" s="24" t="s">
        <v>17870</v>
      </c>
      <c r="C6951" s="25" t="s">
        <v>15702</v>
      </c>
      <c r="D6951" s="25" t="s">
        <v>15703</v>
      </c>
      <c r="E6951" s="26">
        <v>5</v>
      </c>
    </row>
    <row r="6952" spans="1:5" x14ac:dyDescent="0.25">
      <c r="A6952" s="24" t="s">
        <v>7</v>
      </c>
      <c r="B6952" s="24" t="s">
        <v>17871</v>
      </c>
      <c r="C6952" s="25" t="s">
        <v>17872</v>
      </c>
      <c r="D6952" s="25" t="s">
        <v>3625</v>
      </c>
      <c r="E6952" s="26">
        <v>31.25</v>
      </c>
    </row>
    <row r="6953" spans="1:5" x14ac:dyDescent="0.25">
      <c r="A6953" s="24" t="s">
        <v>7</v>
      </c>
      <c r="B6953" s="24" t="s">
        <v>17873</v>
      </c>
      <c r="C6953" s="25" t="s">
        <v>15709</v>
      </c>
      <c r="D6953" s="25" t="s">
        <v>15709</v>
      </c>
      <c r="E6953" s="26">
        <v>2.5499999999999998</v>
      </c>
    </row>
    <row r="6954" spans="1:5" x14ac:dyDescent="0.25">
      <c r="A6954" s="24" t="s">
        <v>7</v>
      </c>
      <c r="B6954" s="24" t="s">
        <v>17874</v>
      </c>
      <c r="C6954" s="25" t="s">
        <v>16368</v>
      </c>
      <c r="D6954" s="25" t="s">
        <v>16369</v>
      </c>
      <c r="E6954" s="26">
        <v>4.68</v>
      </c>
    </row>
    <row r="6955" spans="1:5" x14ac:dyDescent="0.25">
      <c r="A6955" s="24" t="s">
        <v>7</v>
      </c>
      <c r="B6955" s="24" t="s">
        <v>17875</v>
      </c>
      <c r="C6955" s="25" t="s">
        <v>16589</v>
      </c>
      <c r="D6955" s="25" t="s">
        <v>16590</v>
      </c>
      <c r="E6955" s="26">
        <v>5.03</v>
      </c>
    </row>
    <row r="6956" spans="1:5" x14ac:dyDescent="0.25">
      <c r="A6956" s="24" t="s">
        <v>7</v>
      </c>
      <c r="B6956" s="24" t="s">
        <v>17876</v>
      </c>
      <c r="C6956" s="25" t="s">
        <v>17877</v>
      </c>
      <c r="D6956" s="25" t="s">
        <v>16590</v>
      </c>
      <c r="E6956" s="26">
        <v>5.03</v>
      </c>
    </row>
    <row r="6957" spans="1:5" x14ac:dyDescent="0.25">
      <c r="A6957" s="24" t="s">
        <v>7</v>
      </c>
      <c r="B6957" s="24" t="s">
        <v>17878</v>
      </c>
      <c r="C6957" s="25" t="s">
        <v>17879</v>
      </c>
      <c r="D6957" s="25" t="s">
        <v>16590</v>
      </c>
      <c r="E6957" s="26">
        <v>5.03</v>
      </c>
    </row>
    <row r="6958" spans="1:5" x14ac:dyDescent="0.25">
      <c r="A6958" s="24" t="s">
        <v>7</v>
      </c>
      <c r="B6958" s="24" t="s">
        <v>17880</v>
      </c>
      <c r="C6958" s="25" t="s">
        <v>17881</v>
      </c>
      <c r="D6958" s="25" t="s">
        <v>16590</v>
      </c>
      <c r="E6958" s="26">
        <v>5.03</v>
      </c>
    </row>
    <row r="6959" spans="1:5" x14ac:dyDescent="0.25">
      <c r="A6959" s="24" t="s">
        <v>7</v>
      </c>
      <c r="B6959" s="24" t="s">
        <v>17882</v>
      </c>
      <c r="C6959" s="25" t="s">
        <v>17883</v>
      </c>
      <c r="D6959" s="25" t="s">
        <v>17884</v>
      </c>
      <c r="E6959" s="26">
        <v>292</v>
      </c>
    </row>
    <row r="6960" spans="1:5" x14ac:dyDescent="0.25">
      <c r="A6960" s="24" t="s">
        <v>7</v>
      </c>
      <c r="B6960" s="24" t="s">
        <v>17885</v>
      </c>
      <c r="C6960" s="25" t="s">
        <v>15718</v>
      </c>
      <c r="D6960" s="25" t="s">
        <v>15718</v>
      </c>
      <c r="E6960" s="26">
        <v>8.15</v>
      </c>
    </row>
    <row r="6961" spans="1:5" x14ac:dyDescent="0.25">
      <c r="A6961" s="24" t="s">
        <v>7</v>
      </c>
      <c r="B6961" s="24" t="s">
        <v>17886</v>
      </c>
      <c r="C6961" s="25" t="s">
        <v>15720</v>
      </c>
      <c r="D6961" s="25" t="s">
        <v>15720</v>
      </c>
      <c r="E6961" s="26">
        <v>4.72</v>
      </c>
    </row>
    <row r="6962" spans="1:5" x14ac:dyDescent="0.25">
      <c r="A6962" s="24" t="s">
        <v>7</v>
      </c>
      <c r="B6962" s="24" t="s">
        <v>17887</v>
      </c>
      <c r="C6962" s="25" t="s">
        <v>17888</v>
      </c>
      <c r="D6962" s="25" t="s">
        <v>17888</v>
      </c>
      <c r="E6962" s="26">
        <v>17.100000000000001</v>
      </c>
    </row>
    <row r="6963" spans="1:5" x14ac:dyDescent="0.25">
      <c r="A6963" s="24" t="s">
        <v>7</v>
      </c>
      <c r="B6963" s="24" t="s">
        <v>17889</v>
      </c>
      <c r="C6963" s="25" t="s">
        <v>15725</v>
      </c>
      <c r="D6963" s="25" t="s">
        <v>15725</v>
      </c>
      <c r="E6963" s="26">
        <v>3.66</v>
      </c>
    </row>
    <row r="6964" spans="1:5" x14ac:dyDescent="0.25">
      <c r="A6964" s="24" t="s">
        <v>7</v>
      </c>
      <c r="B6964" s="24" t="s">
        <v>17890</v>
      </c>
      <c r="C6964" s="25" t="s">
        <v>3337</v>
      </c>
      <c r="D6964" s="25" t="s">
        <v>3337</v>
      </c>
      <c r="E6964" s="26">
        <v>2</v>
      </c>
    </row>
    <row r="6965" spans="1:5" x14ac:dyDescent="0.25">
      <c r="A6965" s="24" t="s">
        <v>7</v>
      </c>
      <c r="B6965" s="24" t="s">
        <v>17891</v>
      </c>
      <c r="C6965" s="25" t="s">
        <v>15729</v>
      </c>
      <c r="D6965" s="25" t="s">
        <v>15730</v>
      </c>
      <c r="E6965" s="26">
        <v>4.5</v>
      </c>
    </row>
    <row r="6966" spans="1:5" x14ac:dyDescent="0.25">
      <c r="A6966" s="24" t="s">
        <v>7</v>
      </c>
      <c r="B6966" s="24" t="s">
        <v>17892</v>
      </c>
      <c r="C6966" s="25" t="s">
        <v>3339</v>
      </c>
      <c r="D6966" s="25" t="s">
        <v>3340</v>
      </c>
      <c r="E6966" s="26">
        <v>17.5</v>
      </c>
    </row>
    <row r="6967" spans="1:5" x14ac:dyDescent="0.25">
      <c r="A6967" s="24" t="s">
        <v>7</v>
      </c>
      <c r="B6967" s="24" t="s">
        <v>17893</v>
      </c>
      <c r="C6967" s="25" t="s">
        <v>15210</v>
      </c>
      <c r="D6967" s="25" t="s">
        <v>15211</v>
      </c>
      <c r="E6967" s="26">
        <v>4</v>
      </c>
    </row>
    <row r="6968" spans="1:5" x14ac:dyDescent="0.25">
      <c r="A6968" s="24" t="s">
        <v>7</v>
      </c>
      <c r="B6968" s="24" t="s">
        <v>17894</v>
      </c>
      <c r="C6968" s="25" t="s">
        <v>15213</v>
      </c>
      <c r="D6968" s="25" t="s">
        <v>15214</v>
      </c>
      <c r="E6968" s="26">
        <v>3.26</v>
      </c>
    </row>
    <row r="6969" spans="1:5" x14ac:dyDescent="0.25">
      <c r="A6969" s="24" t="s">
        <v>7</v>
      </c>
      <c r="B6969" s="24" t="s">
        <v>17895</v>
      </c>
      <c r="C6969" s="25" t="s">
        <v>15735</v>
      </c>
      <c r="D6969" s="25" t="s">
        <v>15736</v>
      </c>
      <c r="E6969" s="26">
        <v>7.94</v>
      </c>
    </row>
    <row r="6970" spans="1:5" x14ac:dyDescent="0.25">
      <c r="A6970" s="24" t="s">
        <v>7</v>
      </c>
      <c r="B6970" s="24" t="s">
        <v>17896</v>
      </c>
      <c r="C6970" s="25" t="s">
        <v>15739</v>
      </c>
      <c r="D6970" s="25" t="s">
        <v>15740</v>
      </c>
      <c r="E6970" s="26">
        <v>3.67</v>
      </c>
    </row>
    <row r="6971" spans="1:5" x14ac:dyDescent="0.25">
      <c r="A6971" s="24" t="s">
        <v>7</v>
      </c>
      <c r="B6971" s="24" t="s">
        <v>17897</v>
      </c>
      <c r="C6971" s="25" t="s">
        <v>15751</v>
      </c>
      <c r="D6971" s="25" t="s">
        <v>15752</v>
      </c>
      <c r="E6971" s="26">
        <v>9.16</v>
      </c>
    </row>
    <row r="6972" spans="1:5" x14ac:dyDescent="0.25">
      <c r="A6972" s="24" t="s">
        <v>7</v>
      </c>
      <c r="B6972" s="24" t="s">
        <v>17898</v>
      </c>
      <c r="C6972" s="25" t="s">
        <v>15748</v>
      </c>
      <c r="D6972" s="25" t="s">
        <v>15749</v>
      </c>
      <c r="E6972" s="26">
        <v>9.16</v>
      </c>
    </row>
    <row r="6973" spans="1:5" x14ac:dyDescent="0.25">
      <c r="A6973" s="24" t="s">
        <v>7</v>
      </c>
      <c r="B6973" s="24" t="s">
        <v>17899</v>
      </c>
      <c r="C6973" s="25" t="s">
        <v>17900</v>
      </c>
      <c r="D6973" s="25" t="s">
        <v>17900</v>
      </c>
      <c r="E6973" s="26">
        <v>16</v>
      </c>
    </row>
    <row r="6974" spans="1:5" x14ac:dyDescent="0.25">
      <c r="A6974" s="24" t="s">
        <v>7</v>
      </c>
      <c r="B6974" s="24" t="s">
        <v>17901</v>
      </c>
      <c r="C6974" s="25" t="s">
        <v>15779</v>
      </c>
      <c r="D6974" s="25" t="s">
        <v>15780</v>
      </c>
      <c r="E6974" s="26">
        <v>6.79</v>
      </c>
    </row>
    <row r="6975" spans="1:5" x14ac:dyDescent="0.25">
      <c r="A6975" s="24" t="s">
        <v>7</v>
      </c>
      <c r="B6975" s="24" t="s">
        <v>17902</v>
      </c>
      <c r="C6975" s="25" t="s">
        <v>17903</v>
      </c>
      <c r="D6975" s="25" t="s">
        <v>15783</v>
      </c>
      <c r="E6975" s="26">
        <v>12.22</v>
      </c>
    </row>
    <row r="6976" spans="1:5" x14ac:dyDescent="0.25">
      <c r="A6976" s="24" t="s">
        <v>7</v>
      </c>
      <c r="B6976" s="24" t="s">
        <v>17904</v>
      </c>
      <c r="C6976" s="25" t="s">
        <v>15785</v>
      </c>
      <c r="D6976" s="25" t="s">
        <v>15786</v>
      </c>
      <c r="E6976" s="26">
        <v>10.06</v>
      </c>
    </row>
    <row r="6977" spans="1:5" x14ac:dyDescent="0.25">
      <c r="A6977" s="24" t="s">
        <v>7</v>
      </c>
      <c r="B6977" s="24" t="s">
        <v>17905</v>
      </c>
      <c r="C6977" s="25" t="s">
        <v>17906</v>
      </c>
      <c r="D6977" s="25" t="s">
        <v>17907</v>
      </c>
      <c r="E6977" s="26">
        <v>25</v>
      </c>
    </row>
    <row r="6978" spans="1:5" x14ac:dyDescent="0.25">
      <c r="A6978" s="24" t="s">
        <v>7</v>
      </c>
      <c r="B6978" s="24" t="s">
        <v>17908</v>
      </c>
      <c r="C6978" s="25" t="s">
        <v>17909</v>
      </c>
      <c r="D6978" s="25" t="s">
        <v>17910</v>
      </c>
      <c r="E6978" s="26">
        <v>8.15</v>
      </c>
    </row>
    <row r="6979" spans="1:5" x14ac:dyDescent="0.25">
      <c r="A6979" s="24" t="s">
        <v>7</v>
      </c>
      <c r="B6979" s="24" t="s">
        <v>17911</v>
      </c>
      <c r="C6979" s="25" t="s">
        <v>17912</v>
      </c>
      <c r="D6979" s="25" t="s">
        <v>17913</v>
      </c>
      <c r="E6979" s="26">
        <v>10</v>
      </c>
    </row>
    <row r="6980" spans="1:5" x14ac:dyDescent="0.25">
      <c r="A6980" s="24" t="s">
        <v>7</v>
      </c>
      <c r="B6980" s="24" t="s">
        <v>17914</v>
      </c>
      <c r="C6980" s="25" t="s">
        <v>17915</v>
      </c>
      <c r="D6980" s="25" t="s">
        <v>17916</v>
      </c>
      <c r="E6980" s="26">
        <v>52.94</v>
      </c>
    </row>
    <row r="6981" spans="1:5" x14ac:dyDescent="0.25">
      <c r="A6981" s="24" t="s">
        <v>7</v>
      </c>
      <c r="B6981" s="24" t="s">
        <v>17917</v>
      </c>
      <c r="C6981" s="25" t="s">
        <v>17918</v>
      </c>
      <c r="D6981" s="25" t="s">
        <v>17919</v>
      </c>
      <c r="E6981" s="26">
        <v>71.75</v>
      </c>
    </row>
    <row r="6982" spans="1:5" x14ac:dyDescent="0.25">
      <c r="A6982" s="24" t="s">
        <v>7</v>
      </c>
      <c r="B6982" s="24" t="s">
        <v>17920</v>
      </c>
      <c r="C6982" s="25" t="s">
        <v>15793</v>
      </c>
      <c r="D6982" s="25" t="s">
        <v>15793</v>
      </c>
      <c r="E6982" s="26">
        <v>3.67</v>
      </c>
    </row>
    <row r="6983" spans="1:5" x14ac:dyDescent="0.25">
      <c r="A6983" s="24" t="s">
        <v>7</v>
      </c>
      <c r="B6983" s="24" t="s">
        <v>17921</v>
      </c>
      <c r="C6983" s="25" t="s">
        <v>15810</v>
      </c>
      <c r="D6983" s="25" t="s">
        <v>15811</v>
      </c>
      <c r="E6983" s="26">
        <v>4</v>
      </c>
    </row>
    <row r="6984" spans="1:5" x14ac:dyDescent="0.25">
      <c r="A6984" s="24" t="s">
        <v>7</v>
      </c>
      <c r="B6984" s="24" t="s">
        <v>17922</v>
      </c>
      <c r="C6984" s="25" t="s">
        <v>17923</v>
      </c>
      <c r="D6984" s="25" t="s">
        <v>17923</v>
      </c>
      <c r="E6984" s="26">
        <v>4.25</v>
      </c>
    </row>
    <row r="6985" spans="1:5" x14ac:dyDescent="0.25">
      <c r="A6985" s="24" t="s">
        <v>7</v>
      </c>
      <c r="B6985" s="24" t="s">
        <v>17924</v>
      </c>
      <c r="C6985" s="25" t="s">
        <v>15815</v>
      </c>
      <c r="D6985" s="25" t="s">
        <v>15816</v>
      </c>
      <c r="E6985" s="26">
        <v>2.44</v>
      </c>
    </row>
    <row r="6986" spans="1:5" x14ac:dyDescent="0.25">
      <c r="A6986" s="24" t="s">
        <v>7</v>
      </c>
      <c r="B6986" s="24" t="s">
        <v>17925</v>
      </c>
      <c r="C6986" s="25" t="s">
        <v>15818</v>
      </c>
      <c r="D6986" s="25" t="s">
        <v>15819</v>
      </c>
      <c r="E6986" s="26">
        <v>2.44</v>
      </c>
    </row>
    <row r="6987" spans="1:5" x14ac:dyDescent="0.25">
      <c r="A6987" s="24" t="s">
        <v>7</v>
      </c>
      <c r="B6987" s="24" t="s">
        <v>17926</v>
      </c>
      <c r="C6987" s="25" t="s">
        <v>16783</v>
      </c>
      <c r="D6987" s="25" t="s">
        <v>16784</v>
      </c>
      <c r="E6987" s="26">
        <v>10.34</v>
      </c>
    </row>
    <row r="6988" spans="1:5" x14ac:dyDescent="0.25">
      <c r="A6988" s="24" t="s">
        <v>7</v>
      </c>
      <c r="B6988" s="24" t="s">
        <v>17927</v>
      </c>
      <c r="C6988" s="25" t="s">
        <v>17928</v>
      </c>
      <c r="D6988" s="25" t="s">
        <v>17929</v>
      </c>
      <c r="E6988" s="26">
        <v>5.95</v>
      </c>
    </row>
    <row r="6989" spans="1:5" x14ac:dyDescent="0.25">
      <c r="A6989" s="24" t="s">
        <v>7</v>
      </c>
      <c r="B6989" s="24" t="s">
        <v>17930</v>
      </c>
      <c r="C6989" s="25" t="s">
        <v>17931</v>
      </c>
      <c r="D6989" s="25" t="s">
        <v>17931</v>
      </c>
      <c r="E6989" s="26">
        <v>3.37</v>
      </c>
    </row>
    <row r="6990" spans="1:5" x14ac:dyDescent="0.25">
      <c r="A6990" s="24" t="s">
        <v>7</v>
      </c>
      <c r="B6990" s="24" t="s">
        <v>17932</v>
      </c>
      <c r="C6990" s="25" t="s">
        <v>15823</v>
      </c>
      <c r="D6990" s="25" t="s">
        <v>15823</v>
      </c>
      <c r="E6990" s="26">
        <v>28.47</v>
      </c>
    </row>
    <row r="6991" spans="1:5" x14ac:dyDescent="0.25">
      <c r="A6991" s="24" t="s">
        <v>7</v>
      </c>
      <c r="B6991" s="24" t="s">
        <v>17933</v>
      </c>
      <c r="C6991" s="25" t="s">
        <v>17934</v>
      </c>
      <c r="D6991" s="25" t="s">
        <v>17934</v>
      </c>
      <c r="E6991" s="26">
        <v>35.71</v>
      </c>
    </row>
    <row r="6992" spans="1:5" x14ac:dyDescent="0.25">
      <c r="A6992" s="24" t="s">
        <v>7</v>
      </c>
      <c r="B6992" s="24" t="s">
        <v>17935</v>
      </c>
      <c r="C6992" s="25" t="s">
        <v>17936</v>
      </c>
      <c r="D6992" s="25" t="s">
        <v>15828</v>
      </c>
      <c r="E6992" s="26">
        <v>36.65</v>
      </c>
    </row>
    <row r="6993" spans="1:5" x14ac:dyDescent="0.25">
      <c r="A6993" s="24" t="s">
        <v>7</v>
      </c>
      <c r="B6993" s="24" t="s">
        <v>17937</v>
      </c>
      <c r="C6993" s="25" t="s">
        <v>3373</v>
      </c>
      <c r="D6993" s="25" t="s">
        <v>3374</v>
      </c>
      <c r="E6993" s="26">
        <v>3.67</v>
      </c>
    </row>
    <row r="6994" spans="1:5" x14ac:dyDescent="0.25">
      <c r="A6994" s="24" t="s">
        <v>7</v>
      </c>
      <c r="B6994" s="24" t="s">
        <v>17938</v>
      </c>
      <c r="C6994" s="25" t="s">
        <v>17939</v>
      </c>
      <c r="D6994" s="25" t="s">
        <v>17940</v>
      </c>
      <c r="E6994" s="26">
        <v>16.29</v>
      </c>
    </row>
    <row r="6995" spans="1:5" x14ac:dyDescent="0.25">
      <c r="A6995" s="24" t="s">
        <v>7</v>
      </c>
      <c r="B6995" s="24" t="s">
        <v>17941</v>
      </c>
      <c r="C6995" s="25" t="s">
        <v>16001</v>
      </c>
      <c r="D6995" s="25" t="s">
        <v>16001</v>
      </c>
      <c r="E6995" s="26">
        <v>6.11</v>
      </c>
    </row>
    <row r="6996" spans="1:5" x14ac:dyDescent="0.25">
      <c r="A6996" s="24" t="s">
        <v>7</v>
      </c>
      <c r="B6996" s="24" t="s">
        <v>17942</v>
      </c>
      <c r="C6996" s="25" t="s">
        <v>17943</v>
      </c>
      <c r="D6996" s="25" t="s">
        <v>17944</v>
      </c>
      <c r="E6996" s="26">
        <v>23.42</v>
      </c>
    </row>
    <row r="6997" spans="1:5" x14ac:dyDescent="0.25">
      <c r="A6997" s="24" t="s">
        <v>7</v>
      </c>
      <c r="B6997" s="24" t="s">
        <v>17945</v>
      </c>
      <c r="C6997" s="25" t="s">
        <v>17946</v>
      </c>
      <c r="D6997" s="25" t="s">
        <v>17946</v>
      </c>
      <c r="E6997" s="26">
        <v>54</v>
      </c>
    </row>
    <row r="6998" spans="1:5" x14ac:dyDescent="0.25">
      <c r="A6998" s="24" t="s">
        <v>7</v>
      </c>
      <c r="B6998" s="24" t="s">
        <v>17947</v>
      </c>
      <c r="C6998" s="25" t="s">
        <v>3381</v>
      </c>
      <c r="D6998" s="25" t="s">
        <v>3382</v>
      </c>
      <c r="E6998" s="26">
        <v>4</v>
      </c>
    </row>
    <row r="6999" spans="1:5" x14ac:dyDescent="0.25">
      <c r="A6999" s="24" t="s">
        <v>7</v>
      </c>
      <c r="B6999" s="24" t="s">
        <v>17948</v>
      </c>
      <c r="C6999" s="25" t="s">
        <v>17949</v>
      </c>
      <c r="D6999" s="25" t="s">
        <v>17581</v>
      </c>
      <c r="E6999" s="26">
        <v>5.29</v>
      </c>
    </row>
    <row r="7000" spans="1:5" x14ac:dyDescent="0.25">
      <c r="A7000" s="24" t="s">
        <v>7</v>
      </c>
      <c r="B7000" s="24" t="s">
        <v>17950</v>
      </c>
      <c r="C7000" s="25" t="s">
        <v>17951</v>
      </c>
      <c r="D7000" s="25" t="s">
        <v>17952</v>
      </c>
      <c r="E7000" s="26">
        <v>6.35</v>
      </c>
    </row>
    <row r="7001" spans="1:5" x14ac:dyDescent="0.25">
      <c r="A7001" s="24" t="s">
        <v>7</v>
      </c>
      <c r="B7001" s="24" t="s">
        <v>17953</v>
      </c>
      <c r="C7001" s="25" t="s">
        <v>17954</v>
      </c>
      <c r="D7001" s="25" t="s">
        <v>17955</v>
      </c>
      <c r="E7001" s="26">
        <v>2</v>
      </c>
    </row>
    <row r="7002" spans="1:5" x14ac:dyDescent="0.25">
      <c r="A7002" s="24" t="s">
        <v>7</v>
      </c>
      <c r="B7002" s="24" t="s">
        <v>17956</v>
      </c>
      <c r="C7002" s="25" t="s">
        <v>17957</v>
      </c>
      <c r="D7002" s="25" t="s">
        <v>17958</v>
      </c>
      <c r="E7002" s="26">
        <v>56.2</v>
      </c>
    </row>
    <row r="7003" spans="1:5" x14ac:dyDescent="0.25">
      <c r="A7003" s="24" t="s">
        <v>7</v>
      </c>
      <c r="B7003" s="24" t="s">
        <v>17959</v>
      </c>
      <c r="C7003" s="25" t="s">
        <v>17960</v>
      </c>
      <c r="D7003" s="25" t="s">
        <v>17960</v>
      </c>
      <c r="E7003" s="26">
        <v>30</v>
      </c>
    </row>
    <row r="7004" spans="1:5" x14ac:dyDescent="0.25">
      <c r="A7004" s="24" t="s">
        <v>7</v>
      </c>
      <c r="B7004" s="24" t="s">
        <v>17961</v>
      </c>
      <c r="C7004" s="25" t="s">
        <v>15578</v>
      </c>
      <c r="D7004" s="25" t="s">
        <v>15579</v>
      </c>
      <c r="E7004" s="26">
        <v>65.16</v>
      </c>
    </row>
    <row r="7005" spans="1:5" x14ac:dyDescent="0.25">
      <c r="A7005" s="24" t="s">
        <v>7</v>
      </c>
      <c r="B7005" s="24" t="s">
        <v>17962</v>
      </c>
      <c r="C7005" s="25" t="s">
        <v>17963</v>
      </c>
      <c r="D7005" s="25" t="s">
        <v>17964</v>
      </c>
      <c r="E7005" s="26">
        <v>32</v>
      </c>
    </row>
    <row r="7006" spans="1:5" x14ac:dyDescent="0.25">
      <c r="A7006" s="24" t="s">
        <v>7</v>
      </c>
      <c r="B7006" s="24" t="s">
        <v>17965</v>
      </c>
      <c r="C7006" s="25" t="s">
        <v>15845</v>
      </c>
      <c r="D7006" s="25" t="s">
        <v>15846</v>
      </c>
      <c r="E7006" s="26">
        <v>10.119999999999999</v>
      </c>
    </row>
    <row r="7007" spans="1:5" x14ac:dyDescent="0.25">
      <c r="A7007" s="24" t="s">
        <v>7</v>
      </c>
      <c r="B7007" s="24" t="s">
        <v>17966</v>
      </c>
      <c r="C7007" s="25" t="s">
        <v>3387</v>
      </c>
      <c r="D7007" s="25" t="s">
        <v>3388</v>
      </c>
      <c r="E7007" s="26">
        <v>3.03</v>
      </c>
    </row>
    <row r="7008" spans="1:5" x14ac:dyDescent="0.25">
      <c r="A7008" s="24" t="s">
        <v>7</v>
      </c>
      <c r="B7008" s="24" t="s">
        <v>17967</v>
      </c>
      <c r="C7008" s="25" t="s">
        <v>15856</v>
      </c>
      <c r="D7008" s="25" t="s">
        <v>15857</v>
      </c>
      <c r="E7008" s="26">
        <v>2.25</v>
      </c>
    </row>
    <row r="7009" spans="1:5" x14ac:dyDescent="0.25">
      <c r="A7009" s="24" t="s">
        <v>7</v>
      </c>
      <c r="B7009" s="24" t="s">
        <v>17968</v>
      </c>
      <c r="C7009" s="25" t="s">
        <v>15859</v>
      </c>
      <c r="D7009" s="25" t="s">
        <v>15860</v>
      </c>
      <c r="E7009" s="26">
        <v>3.03</v>
      </c>
    </row>
    <row r="7010" spans="1:5" x14ac:dyDescent="0.25">
      <c r="A7010" s="24" t="s">
        <v>7</v>
      </c>
      <c r="B7010" s="24" t="s">
        <v>17969</v>
      </c>
      <c r="C7010" s="25" t="s">
        <v>15862</v>
      </c>
      <c r="D7010" s="25" t="s">
        <v>15863</v>
      </c>
      <c r="E7010" s="26">
        <v>32</v>
      </c>
    </row>
    <row r="7011" spans="1:5" x14ac:dyDescent="0.25">
      <c r="A7011" s="24" t="s">
        <v>7</v>
      </c>
      <c r="B7011" s="24" t="s">
        <v>17970</v>
      </c>
      <c r="C7011" s="25" t="s">
        <v>17971</v>
      </c>
      <c r="D7011" s="25" t="s">
        <v>17972</v>
      </c>
      <c r="E7011" s="26">
        <v>42</v>
      </c>
    </row>
    <row r="7012" spans="1:5" x14ac:dyDescent="0.25">
      <c r="A7012" s="24" t="s">
        <v>7</v>
      </c>
      <c r="B7012" s="24" t="s">
        <v>17973</v>
      </c>
      <c r="C7012" s="25" t="s">
        <v>17974</v>
      </c>
      <c r="D7012" s="25" t="s">
        <v>17975</v>
      </c>
      <c r="E7012" s="26">
        <v>3.26</v>
      </c>
    </row>
    <row r="7013" spans="1:5" x14ac:dyDescent="0.25">
      <c r="A7013" s="24" t="s">
        <v>7</v>
      </c>
      <c r="B7013" s="24" t="s">
        <v>17976</v>
      </c>
      <c r="C7013" s="25" t="s">
        <v>17977</v>
      </c>
      <c r="D7013" s="25" t="s">
        <v>17978</v>
      </c>
      <c r="E7013" s="26">
        <v>3.26</v>
      </c>
    </row>
    <row r="7014" spans="1:5" x14ac:dyDescent="0.25">
      <c r="A7014" s="24" t="s">
        <v>7</v>
      </c>
      <c r="B7014" s="24" t="s">
        <v>17979</v>
      </c>
      <c r="C7014" s="25" t="s">
        <v>17980</v>
      </c>
      <c r="D7014" s="25" t="s">
        <v>17980</v>
      </c>
      <c r="E7014" s="26">
        <v>11.25</v>
      </c>
    </row>
    <row r="7015" spans="1:5" x14ac:dyDescent="0.25">
      <c r="A7015" s="24" t="s">
        <v>7</v>
      </c>
      <c r="B7015" s="24" t="s">
        <v>17981</v>
      </c>
      <c r="C7015" s="25" t="s">
        <v>15758</v>
      </c>
      <c r="D7015" s="25" t="s">
        <v>15759</v>
      </c>
      <c r="E7015" s="26">
        <v>16.3</v>
      </c>
    </row>
    <row r="7016" spans="1:5" x14ac:dyDescent="0.25">
      <c r="A7016" s="24" t="s">
        <v>7</v>
      </c>
      <c r="B7016" s="24" t="s">
        <v>17982</v>
      </c>
      <c r="C7016" s="25" t="s">
        <v>17983</v>
      </c>
      <c r="D7016" s="25" t="s">
        <v>17984</v>
      </c>
      <c r="E7016" s="26">
        <v>14.5</v>
      </c>
    </row>
    <row r="7017" spans="1:5" x14ac:dyDescent="0.25">
      <c r="A7017" s="24" t="s">
        <v>7</v>
      </c>
      <c r="B7017" s="24" t="s">
        <v>17985</v>
      </c>
      <c r="C7017" s="25" t="s">
        <v>17986</v>
      </c>
      <c r="D7017" s="25" t="s">
        <v>17986</v>
      </c>
      <c r="E7017" s="26">
        <v>8.76</v>
      </c>
    </row>
    <row r="7018" spans="1:5" x14ac:dyDescent="0.25">
      <c r="A7018" s="24" t="s">
        <v>7</v>
      </c>
      <c r="B7018" s="24" t="s">
        <v>17987</v>
      </c>
      <c r="C7018" s="25" t="s">
        <v>17988</v>
      </c>
      <c r="D7018" s="25" t="s">
        <v>17988</v>
      </c>
      <c r="E7018" s="26">
        <v>5</v>
      </c>
    </row>
    <row r="7019" spans="1:5" x14ac:dyDescent="0.25">
      <c r="A7019" s="24" t="s">
        <v>7</v>
      </c>
      <c r="B7019" s="24" t="s">
        <v>17989</v>
      </c>
      <c r="C7019" s="25" t="s">
        <v>17990</v>
      </c>
      <c r="D7019" s="25" t="s">
        <v>3118</v>
      </c>
      <c r="E7019" s="26">
        <v>101.46</v>
      </c>
    </row>
    <row r="7020" spans="1:5" x14ac:dyDescent="0.25">
      <c r="A7020" s="24" t="s">
        <v>7</v>
      </c>
      <c r="B7020" s="24" t="s">
        <v>17991</v>
      </c>
      <c r="C7020" s="25" t="s">
        <v>17992</v>
      </c>
      <c r="D7020" s="25" t="s">
        <v>17993</v>
      </c>
      <c r="E7020" s="26">
        <v>15.48</v>
      </c>
    </row>
    <row r="7021" spans="1:5" x14ac:dyDescent="0.25">
      <c r="A7021" s="24" t="s">
        <v>7</v>
      </c>
      <c r="B7021" s="24" t="s">
        <v>17994</v>
      </c>
      <c r="C7021" s="25" t="s">
        <v>17995</v>
      </c>
      <c r="D7021" s="25" t="s">
        <v>17995</v>
      </c>
      <c r="E7021" s="26">
        <v>25</v>
      </c>
    </row>
    <row r="7022" spans="1:5" x14ac:dyDescent="0.25">
      <c r="A7022" s="24" t="s">
        <v>7</v>
      </c>
      <c r="B7022" s="24" t="s">
        <v>17996</v>
      </c>
      <c r="C7022" s="25" t="s">
        <v>16050</v>
      </c>
      <c r="D7022" s="25" t="s">
        <v>16050</v>
      </c>
      <c r="E7022" s="26">
        <v>12.22</v>
      </c>
    </row>
    <row r="7023" spans="1:5" x14ac:dyDescent="0.25">
      <c r="A7023" s="24" t="s">
        <v>7</v>
      </c>
      <c r="B7023" s="24" t="s">
        <v>17997</v>
      </c>
      <c r="C7023" s="25" t="s">
        <v>17998</v>
      </c>
      <c r="D7023" s="25" t="s">
        <v>17999</v>
      </c>
      <c r="E7023" s="26">
        <v>15.96</v>
      </c>
    </row>
    <row r="7024" spans="1:5" x14ac:dyDescent="0.25">
      <c r="A7024" s="24" t="s">
        <v>7</v>
      </c>
      <c r="B7024" s="24" t="s">
        <v>18000</v>
      </c>
      <c r="C7024" s="25" t="s">
        <v>15890</v>
      </c>
      <c r="D7024" s="25" t="s">
        <v>15891</v>
      </c>
      <c r="E7024" s="26">
        <v>13.16</v>
      </c>
    </row>
    <row r="7025" spans="1:5" x14ac:dyDescent="0.25">
      <c r="A7025" s="24" t="s">
        <v>7</v>
      </c>
      <c r="B7025" s="24" t="s">
        <v>18001</v>
      </c>
      <c r="C7025" s="25" t="s">
        <v>17257</v>
      </c>
      <c r="D7025" s="25" t="s">
        <v>17257</v>
      </c>
      <c r="E7025" s="26">
        <v>5</v>
      </c>
    </row>
    <row r="7026" spans="1:5" x14ac:dyDescent="0.25">
      <c r="A7026" s="24" t="s">
        <v>7</v>
      </c>
      <c r="B7026" s="24" t="s">
        <v>18002</v>
      </c>
      <c r="C7026" s="25" t="s">
        <v>18003</v>
      </c>
      <c r="D7026" s="25" t="s">
        <v>3406</v>
      </c>
      <c r="E7026" s="26">
        <v>187.34</v>
      </c>
    </row>
    <row r="7027" spans="1:5" x14ac:dyDescent="0.25">
      <c r="A7027" s="24" t="s">
        <v>7</v>
      </c>
      <c r="B7027" s="24" t="s">
        <v>18004</v>
      </c>
      <c r="C7027" s="25" t="s">
        <v>16200</v>
      </c>
      <c r="D7027" s="25" t="s">
        <v>15897</v>
      </c>
      <c r="E7027" s="26">
        <v>24.73</v>
      </c>
    </row>
    <row r="7028" spans="1:5" x14ac:dyDescent="0.25">
      <c r="A7028" s="24" t="s">
        <v>7</v>
      </c>
      <c r="B7028" s="24" t="s">
        <v>18005</v>
      </c>
      <c r="C7028" s="25" t="s">
        <v>15602</v>
      </c>
      <c r="D7028" s="25" t="s">
        <v>15603</v>
      </c>
      <c r="E7028" s="26">
        <v>14</v>
      </c>
    </row>
    <row r="7029" spans="1:5" x14ac:dyDescent="0.25">
      <c r="A7029" s="24" t="s">
        <v>7</v>
      </c>
      <c r="B7029" s="24" t="s">
        <v>18006</v>
      </c>
      <c r="C7029" s="25" t="s">
        <v>18007</v>
      </c>
      <c r="D7029" s="25" t="s">
        <v>18007</v>
      </c>
      <c r="E7029" s="26">
        <v>22.81</v>
      </c>
    </row>
    <row r="7030" spans="1:5" x14ac:dyDescent="0.25">
      <c r="A7030" s="24" t="s">
        <v>7</v>
      </c>
      <c r="B7030" s="24" t="s">
        <v>18008</v>
      </c>
      <c r="C7030" s="25" t="s">
        <v>15899</v>
      </c>
      <c r="D7030" s="25" t="s">
        <v>15603</v>
      </c>
      <c r="E7030" s="26">
        <v>16.29</v>
      </c>
    </row>
    <row r="7031" spans="1:5" x14ac:dyDescent="0.25">
      <c r="A7031" s="24" t="s">
        <v>7</v>
      </c>
      <c r="B7031" s="24" t="s">
        <v>18009</v>
      </c>
      <c r="C7031" s="25" t="s">
        <v>18010</v>
      </c>
      <c r="D7031" s="25" t="s">
        <v>15603</v>
      </c>
      <c r="E7031" s="26">
        <v>16.29</v>
      </c>
    </row>
    <row r="7032" spans="1:5" x14ac:dyDescent="0.25">
      <c r="A7032" s="24" t="s">
        <v>7</v>
      </c>
      <c r="B7032" s="24" t="s">
        <v>18011</v>
      </c>
      <c r="C7032" s="25" t="s">
        <v>3416</v>
      </c>
      <c r="D7032" s="25" t="s">
        <v>3417</v>
      </c>
      <c r="E7032" s="26">
        <v>4.49</v>
      </c>
    </row>
    <row r="7033" spans="1:5" x14ac:dyDescent="0.25">
      <c r="A7033" s="24" t="s">
        <v>7</v>
      </c>
      <c r="B7033" s="24" t="s">
        <v>18012</v>
      </c>
      <c r="C7033" s="25" t="s">
        <v>15902</v>
      </c>
      <c r="D7033" s="25" t="s">
        <v>15903</v>
      </c>
      <c r="E7033" s="26">
        <v>4.8899999999999997</v>
      </c>
    </row>
    <row r="7034" spans="1:5" x14ac:dyDescent="0.25">
      <c r="A7034" s="24" t="s">
        <v>7</v>
      </c>
      <c r="B7034" s="24" t="s">
        <v>18013</v>
      </c>
      <c r="C7034" s="25" t="s">
        <v>15913</v>
      </c>
      <c r="D7034" s="25" t="s">
        <v>15914</v>
      </c>
      <c r="E7034" s="26">
        <v>28.61</v>
      </c>
    </row>
    <row r="7035" spans="1:5" x14ac:dyDescent="0.25">
      <c r="A7035" s="24" t="s">
        <v>7</v>
      </c>
      <c r="B7035" s="24" t="s">
        <v>18014</v>
      </c>
      <c r="C7035" s="25" t="s">
        <v>18015</v>
      </c>
      <c r="D7035" s="25" t="s">
        <v>18015</v>
      </c>
      <c r="E7035" s="26">
        <v>14.38</v>
      </c>
    </row>
    <row r="7036" spans="1:5" x14ac:dyDescent="0.25">
      <c r="A7036" s="24" t="s">
        <v>7</v>
      </c>
      <c r="B7036" s="24" t="s">
        <v>18016</v>
      </c>
      <c r="C7036" s="25" t="s">
        <v>16711</v>
      </c>
      <c r="D7036" s="25" t="s">
        <v>16711</v>
      </c>
      <c r="E7036" s="26">
        <v>187.34</v>
      </c>
    </row>
    <row r="7037" spans="1:5" x14ac:dyDescent="0.25">
      <c r="A7037" s="24" t="s">
        <v>7</v>
      </c>
      <c r="B7037" s="24" t="s">
        <v>18017</v>
      </c>
      <c r="C7037" s="25" t="s">
        <v>18018</v>
      </c>
      <c r="D7037" s="25" t="s">
        <v>18018</v>
      </c>
      <c r="E7037" s="26">
        <v>50</v>
      </c>
    </row>
    <row r="7038" spans="1:5" x14ac:dyDescent="0.25">
      <c r="A7038" s="24" t="s">
        <v>7</v>
      </c>
      <c r="B7038" s="24" t="s">
        <v>18019</v>
      </c>
      <c r="C7038" s="25" t="s">
        <v>18020</v>
      </c>
      <c r="D7038" s="25" t="s">
        <v>18020</v>
      </c>
      <c r="E7038" s="26">
        <v>9</v>
      </c>
    </row>
    <row r="7039" spans="1:5" x14ac:dyDescent="0.25">
      <c r="A7039" s="24" t="s">
        <v>7</v>
      </c>
      <c r="B7039" s="24" t="s">
        <v>18021</v>
      </c>
      <c r="C7039" s="25" t="s">
        <v>18022</v>
      </c>
      <c r="D7039" s="25" t="s">
        <v>18022</v>
      </c>
      <c r="E7039" s="26">
        <v>140.09</v>
      </c>
    </row>
    <row r="7040" spans="1:5" x14ac:dyDescent="0.25">
      <c r="A7040" s="24" t="s">
        <v>7</v>
      </c>
      <c r="B7040" s="24" t="s">
        <v>18023</v>
      </c>
      <c r="C7040" s="25" t="s">
        <v>18024</v>
      </c>
      <c r="D7040" s="25" t="s">
        <v>18024</v>
      </c>
      <c r="E7040" s="26">
        <v>100</v>
      </c>
    </row>
    <row r="7041" spans="1:5" x14ac:dyDescent="0.25">
      <c r="A7041" s="24" t="s">
        <v>7</v>
      </c>
      <c r="B7041" s="24" t="s">
        <v>18025</v>
      </c>
      <c r="C7041" s="25" t="s">
        <v>16811</v>
      </c>
      <c r="D7041" s="25" t="s">
        <v>16812</v>
      </c>
      <c r="E7041" s="26">
        <v>19</v>
      </c>
    </row>
    <row r="7042" spans="1:5" x14ac:dyDescent="0.25">
      <c r="A7042" s="24" t="s">
        <v>7</v>
      </c>
      <c r="B7042" s="24" t="s">
        <v>18026</v>
      </c>
      <c r="C7042" s="25" t="s">
        <v>15927</v>
      </c>
      <c r="D7042" s="25" t="s">
        <v>15927</v>
      </c>
      <c r="E7042" s="26">
        <v>3.65</v>
      </c>
    </row>
    <row r="7043" spans="1:5" x14ac:dyDescent="0.25">
      <c r="A7043" s="24" t="s">
        <v>7</v>
      </c>
      <c r="B7043" s="24" t="s">
        <v>18027</v>
      </c>
      <c r="C7043" s="25" t="s">
        <v>18028</v>
      </c>
      <c r="D7043" s="25" t="s">
        <v>17581</v>
      </c>
      <c r="E7043" s="26">
        <v>5.29</v>
      </c>
    </row>
    <row r="7044" spans="1:5" x14ac:dyDescent="0.25">
      <c r="A7044" s="24" t="s">
        <v>7</v>
      </c>
      <c r="B7044" s="24" t="s">
        <v>18029</v>
      </c>
      <c r="C7044" s="25" t="s">
        <v>3422</v>
      </c>
      <c r="D7044" s="25" t="s">
        <v>3423</v>
      </c>
      <c r="E7044" s="26">
        <v>8.41</v>
      </c>
    </row>
    <row r="7045" spans="1:5" x14ac:dyDescent="0.25">
      <c r="A7045" s="24" t="s">
        <v>7</v>
      </c>
      <c r="B7045" s="24" t="s">
        <v>18030</v>
      </c>
      <c r="C7045" s="25" t="s">
        <v>18031</v>
      </c>
      <c r="D7045" s="25" t="s">
        <v>18032</v>
      </c>
      <c r="E7045" s="26">
        <v>100</v>
      </c>
    </row>
    <row r="7046" spans="1:5" x14ac:dyDescent="0.25">
      <c r="A7046" s="24" t="s">
        <v>7</v>
      </c>
      <c r="B7046" s="24" t="s">
        <v>18033</v>
      </c>
      <c r="C7046" s="25" t="s">
        <v>18034</v>
      </c>
      <c r="D7046" s="25" t="s">
        <v>18034</v>
      </c>
      <c r="E7046" s="26">
        <v>6.74</v>
      </c>
    </row>
    <row r="7047" spans="1:5" x14ac:dyDescent="0.25">
      <c r="A7047" s="24" t="s">
        <v>7</v>
      </c>
      <c r="B7047" s="24" t="s">
        <v>18035</v>
      </c>
      <c r="C7047" s="25" t="s">
        <v>18036</v>
      </c>
      <c r="D7047" s="25" t="s">
        <v>18037</v>
      </c>
      <c r="E7047" s="26">
        <v>40</v>
      </c>
    </row>
    <row r="7048" spans="1:5" x14ac:dyDescent="0.25">
      <c r="A7048" s="24" t="s">
        <v>7</v>
      </c>
      <c r="B7048" s="24" t="s">
        <v>18038</v>
      </c>
      <c r="C7048" s="25" t="s">
        <v>3427</v>
      </c>
      <c r="D7048" s="25" t="s">
        <v>3428</v>
      </c>
      <c r="E7048" s="26">
        <v>2.5</v>
      </c>
    </row>
    <row r="7049" spans="1:5" x14ac:dyDescent="0.25">
      <c r="A7049" s="24" t="s">
        <v>7</v>
      </c>
      <c r="B7049" s="24" t="s">
        <v>18039</v>
      </c>
      <c r="C7049" s="25" t="s">
        <v>15945</v>
      </c>
      <c r="D7049" s="25" t="s">
        <v>15946</v>
      </c>
      <c r="E7049" s="26">
        <v>2.5</v>
      </c>
    </row>
    <row r="7050" spans="1:5" x14ac:dyDescent="0.25">
      <c r="A7050" s="24" t="s">
        <v>7</v>
      </c>
      <c r="B7050" s="24" t="s">
        <v>18040</v>
      </c>
      <c r="C7050" s="25" t="s">
        <v>3435</v>
      </c>
      <c r="D7050" s="25" t="s">
        <v>3436</v>
      </c>
      <c r="E7050" s="26">
        <v>2</v>
      </c>
    </row>
    <row r="7051" spans="1:5" x14ac:dyDescent="0.25">
      <c r="A7051" s="24" t="s">
        <v>7</v>
      </c>
      <c r="B7051" s="24" t="s">
        <v>18041</v>
      </c>
      <c r="C7051" s="25" t="s">
        <v>17265</v>
      </c>
      <c r="D7051" s="25" t="s">
        <v>17266</v>
      </c>
      <c r="E7051" s="26">
        <v>6.37</v>
      </c>
    </row>
    <row r="7052" spans="1:5" x14ac:dyDescent="0.25">
      <c r="A7052" s="24" t="s">
        <v>7</v>
      </c>
      <c r="B7052" s="24" t="s">
        <v>18042</v>
      </c>
      <c r="C7052" s="25" t="s">
        <v>18043</v>
      </c>
      <c r="D7052" s="25" t="s">
        <v>18044</v>
      </c>
      <c r="E7052" s="26">
        <v>16</v>
      </c>
    </row>
    <row r="7053" spans="1:5" x14ac:dyDescent="0.25">
      <c r="A7053" s="24" t="s">
        <v>7</v>
      </c>
      <c r="B7053" s="24" t="s">
        <v>18045</v>
      </c>
      <c r="C7053" s="25" t="s">
        <v>15956</v>
      </c>
      <c r="D7053" s="25" t="s">
        <v>15956</v>
      </c>
      <c r="E7053" s="26">
        <v>3.37</v>
      </c>
    </row>
    <row r="7054" spans="1:5" x14ac:dyDescent="0.25">
      <c r="A7054" s="24" t="s">
        <v>7</v>
      </c>
      <c r="B7054" s="24" t="s">
        <v>18046</v>
      </c>
      <c r="C7054" s="25" t="s">
        <v>15307</v>
      </c>
      <c r="D7054" s="25" t="s">
        <v>15307</v>
      </c>
      <c r="E7054" s="26">
        <v>11.92</v>
      </c>
    </row>
    <row r="7055" spans="1:5" x14ac:dyDescent="0.25">
      <c r="A7055" s="24" t="s">
        <v>7</v>
      </c>
      <c r="B7055" s="24" t="s">
        <v>18047</v>
      </c>
      <c r="C7055" s="25" t="s">
        <v>15958</v>
      </c>
      <c r="D7055" s="25" t="s">
        <v>15958</v>
      </c>
      <c r="E7055" s="26">
        <v>3.26</v>
      </c>
    </row>
    <row r="7056" spans="1:5" x14ac:dyDescent="0.25">
      <c r="A7056" s="24" t="s">
        <v>7</v>
      </c>
      <c r="B7056" s="24" t="s">
        <v>18048</v>
      </c>
      <c r="C7056" s="25" t="s">
        <v>3451</v>
      </c>
      <c r="D7056" s="25" t="s">
        <v>3451</v>
      </c>
      <c r="E7056" s="26">
        <v>2.64</v>
      </c>
    </row>
    <row r="7057" spans="1:5" x14ac:dyDescent="0.25">
      <c r="A7057" s="24" t="s">
        <v>7</v>
      </c>
      <c r="B7057" s="24" t="s">
        <v>18049</v>
      </c>
      <c r="C7057" s="25" t="s">
        <v>16998</v>
      </c>
      <c r="D7057" s="25" t="s">
        <v>16998</v>
      </c>
      <c r="E7057" s="26">
        <v>3.29</v>
      </c>
    </row>
    <row r="7058" spans="1:5" x14ac:dyDescent="0.25">
      <c r="A7058" s="24" t="s">
        <v>7</v>
      </c>
      <c r="B7058" s="24" t="s">
        <v>18050</v>
      </c>
      <c r="C7058" s="25" t="s">
        <v>3457</v>
      </c>
      <c r="D7058" s="25" t="s">
        <v>3457</v>
      </c>
      <c r="E7058" s="26">
        <v>2.76</v>
      </c>
    </row>
    <row r="7059" spans="1:5" x14ac:dyDescent="0.25">
      <c r="A7059" s="24" t="s">
        <v>7</v>
      </c>
      <c r="B7059" s="24" t="s">
        <v>18051</v>
      </c>
      <c r="C7059" s="25" t="s">
        <v>15968</v>
      </c>
      <c r="D7059" s="25" t="s">
        <v>15969</v>
      </c>
      <c r="E7059" s="26">
        <v>2.64</v>
      </c>
    </row>
    <row r="7060" spans="1:5" x14ac:dyDescent="0.25">
      <c r="A7060" s="24" t="s">
        <v>7</v>
      </c>
      <c r="B7060" s="24" t="s">
        <v>18052</v>
      </c>
      <c r="C7060" s="25" t="s">
        <v>3455</v>
      </c>
      <c r="D7060" s="25" t="s">
        <v>3455</v>
      </c>
      <c r="E7060" s="26">
        <v>5.26</v>
      </c>
    </row>
    <row r="7061" spans="1:5" x14ac:dyDescent="0.25">
      <c r="A7061" s="24" t="s">
        <v>7</v>
      </c>
      <c r="B7061" s="24" t="s">
        <v>18053</v>
      </c>
      <c r="C7061" s="25" t="s">
        <v>18054</v>
      </c>
      <c r="D7061" s="25" t="s">
        <v>18055</v>
      </c>
      <c r="E7061" s="26">
        <v>8.3000000000000007</v>
      </c>
    </row>
    <row r="7062" spans="1:5" x14ac:dyDescent="0.25">
      <c r="A7062" s="24" t="s">
        <v>7</v>
      </c>
      <c r="B7062" s="24" t="s">
        <v>18056</v>
      </c>
      <c r="C7062" s="25" t="s">
        <v>18057</v>
      </c>
      <c r="D7062" s="25" t="s">
        <v>18055</v>
      </c>
      <c r="E7062" s="26">
        <v>4.41</v>
      </c>
    </row>
    <row r="7063" spans="1:5" x14ac:dyDescent="0.25">
      <c r="A7063" s="24" t="s">
        <v>7</v>
      </c>
      <c r="B7063" s="24" t="s">
        <v>18058</v>
      </c>
      <c r="C7063" s="25" t="s">
        <v>18059</v>
      </c>
      <c r="D7063" s="25" t="s">
        <v>18055</v>
      </c>
      <c r="E7063" s="26">
        <v>3.29</v>
      </c>
    </row>
    <row r="7064" spans="1:5" x14ac:dyDescent="0.25">
      <c r="A7064" s="24" t="s">
        <v>7</v>
      </c>
      <c r="B7064" s="24" t="s">
        <v>18060</v>
      </c>
      <c r="C7064" s="25" t="s">
        <v>18061</v>
      </c>
      <c r="D7064" s="25" t="s">
        <v>18061</v>
      </c>
      <c r="E7064" s="26">
        <v>2.25</v>
      </c>
    </row>
    <row r="7065" spans="1:5" x14ac:dyDescent="0.25">
      <c r="A7065" s="24" t="s">
        <v>7</v>
      </c>
      <c r="B7065" s="24" t="s">
        <v>18062</v>
      </c>
      <c r="C7065" s="25" t="s">
        <v>18063</v>
      </c>
      <c r="D7065" s="25" t="s">
        <v>16281</v>
      </c>
      <c r="E7065" s="26">
        <v>107.51</v>
      </c>
    </row>
    <row r="7066" spans="1:5" x14ac:dyDescent="0.25">
      <c r="A7066" s="24" t="s">
        <v>7</v>
      </c>
      <c r="B7066" s="24" t="s">
        <v>18064</v>
      </c>
      <c r="C7066" s="25" t="s">
        <v>18065</v>
      </c>
      <c r="D7066" s="25" t="s">
        <v>18066</v>
      </c>
      <c r="E7066" s="26">
        <v>26.48</v>
      </c>
    </row>
    <row r="7067" spans="1:5" x14ac:dyDescent="0.25">
      <c r="A7067" s="24" t="s">
        <v>7</v>
      </c>
      <c r="B7067" s="24" t="s">
        <v>18067</v>
      </c>
      <c r="C7067" s="25" t="s">
        <v>18068</v>
      </c>
      <c r="D7067" s="25" t="s">
        <v>18069</v>
      </c>
      <c r="E7067" s="26">
        <v>26.48</v>
      </c>
    </row>
    <row r="7068" spans="1:5" x14ac:dyDescent="0.25">
      <c r="A7068" s="24" t="s">
        <v>7</v>
      </c>
      <c r="B7068" s="24" t="s">
        <v>18070</v>
      </c>
      <c r="C7068" s="25" t="s">
        <v>3461</v>
      </c>
      <c r="D7068" s="25" t="s">
        <v>3449</v>
      </c>
      <c r="E7068" s="26">
        <v>4.41</v>
      </c>
    </row>
    <row r="7069" spans="1:5" x14ac:dyDescent="0.25">
      <c r="A7069" s="24" t="s">
        <v>7</v>
      </c>
      <c r="B7069" s="24" t="s">
        <v>18071</v>
      </c>
      <c r="C7069" s="25" t="s">
        <v>15227</v>
      </c>
      <c r="D7069" s="25" t="s">
        <v>15227</v>
      </c>
      <c r="E7069" s="26">
        <v>4.8899999999999997</v>
      </c>
    </row>
    <row r="7070" spans="1:5" x14ac:dyDescent="0.25">
      <c r="A7070" s="24" t="s">
        <v>7</v>
      </c>
      <c r="B7070" s="24" t="s">
        <v>18072</v>
      </c>
      <c r="C7070" s="25" t="s">
        <v>15977</v>
      </c>
      <c r="D7070" s="25" t="s">
        <v>15978</v>
      </c>
      <c r="E7070" s="26">
        <v>7.25</v>
      </c>
    </row>
    <row r="7071" spans="1:5" x14ac:dyDescent="0.25">
      <c r="A7071" s="24" t="s">
        <v>7</v>
      </c>
      <c r="B7071" s="24" t="s">
        <v>18073</v>
      </c>
      <c r="C7071" s="25" t="s">
        <v>15980</v>
      </c>
      <c r="D7071" s="25" t="s">
        <v>15980</v>
      </c>
      <c r="E7071" s="26">
        <v>6</v>
      </c>
    </row>
    <row r="7072" spans="1:5" x14ac:dyDescent="0.25">
      <c r="A7072" s="24" t="s">
        <v>7</v>
      </c>
      <c r="B7072" s="24" t="s">
        <v>18074</v>
      </c>
      <c r="C7072" s="25" t="s">
        <v>15329</v>
      </c>
      <c r="D7072" s="25" t="s">
        <v>15329</v>
      </c>
      <c r="E7072" s="26">
        <v>3.67</v>
      </c>
    </row>
    <row r="7073" spans="1:5" x14ac:dyDescent="0.25">
      <c r="A7073" s="24" t="s">
        <v>7</v>
      </c>
      <c r="B7073" s="24" t="s">
        <v>18075</v>
      </c>
      <c r="C7073" s="25" t="s">
        <v>18076</v>
      </c>
      <c r="D7073" s="25" t="s">
        <v>18076</v>
      </c>
      <c r="E7073" s="26">
        <v>3.66</v>
      </c>
    </row>
    <row r="7074" spans="1:5" x14ac:dyDescent="0.25">
      <c r="A7074" s="24" t="s">
        <v>7</v>
      </c>
      <c r="B7074" s="24" t="s">
        <v>18077</v>
      </c>
      <c r="C7074" s="25" t="s">
        <v>16267</v>
      </c>
      <c r="D7074" s="25" t="s">
        <v>16268</v>
      </c>
      <c r="E7074" s="26">
        <v>26.48</v>
      </c>
    </row>
    <row r="7075" spans="1:5" x14ac:dyDescent="0.25">
      <c r="A7075" s="24" t="s">
        <v>7</v>
      </c>
      <c r="B7075" s="24" t="s">
        <v>18078</v>
      </c>
      <c r="C7075" s="25" t="s">
        <v>18079</v>
      </c>
      <c r="D7075" s="25" t="s">
        <v>18080</v>
      </c>
      <c r="E7075" s="26">
        <v>35</v>
      </c>
    </row>
    <row r="7076" spans="1:5" x14ac:dyDescent="0.25">
      <c r="A7076" s="24" t="s">
        <v>7</v>
      </c>
      <c r="B7076" s="24" t="s">
        <v>18081</v>
      </c>
      <c r="C7076" s="25" t="s">
        <v>3466</v>
      </c>
      <c r="D7076" s="25" t="s">
        <v>3467</v>
      </c>
      <c r="E7076" s="26">
        <v>2.25</v>
      </c>
    </row>
    <row r="7077" spans="1:5" x14ac:dyDescent="0.25">
      <c r="A7077" s="24" t="s">
        <v>7</v>
      </c>
      <c r="B7077" s="24" t="s">
        <v>18082</v>
      </c>
      <c r="C7077" s="25" t="s">
        <v>18083</v>
      </c>
      <c r="D7077" s="25" t="s">
        <v>18083</v>
      </c>
      <c r="E7077" s="26">
        <v>28.51</v>
      </c>
    </row>
    <row r="7078" spans="1:5" x14ac:dyDescent="0.25">
      <c r="A7078" s="24" t="s">
        <v>7</v>
      </c>
      <c r="B7078" s="24" t="s">
        <v>18084</v>
      </c>
      <c r="C7078" s="25" t="s">
        <v>15993</v>
      </c>
      <c r="D7078" s="25" t="s">
        <v>15993</v>
      </c>
      <c r="E7078" s="26">
        <v>12.22</v>
      </c>
    </row>
    <row r="7079" spans="1:5" x14ac:dyDescent="0.25">
      <c r="A7079" s="24" t="s">
        <v>7</v>
      </c>
      <c r="B7079" s="24" t="s">
        <v>18085</v>
      </c>
      <c r="C7079" s="25" t="s">
        <v>18086</v>
      </c>
      <c r="D7079" s="25" t="s">
        <v>3476</v>
      </c>
      <c r="E7079" s="26">
        <v>18.45</v>
      </c>
    </row>
    <row r="7080" spans="1:5" x14ac:dyDescent="0.25">
      <c r="A7080" s="24" t="s">
        <v>7</v>
      </c>
      <c r="B7080" s="24" t="s">
        <v>18087</v>
      </c>
      <c r="C7080" s="25" t="s">
        <v>16581</v>
      </c>
      <c r="D7080" s="25" t="s">
        <v>16581</v>
      </c>
      <c r="E7080" s="26">
        <v>7.46</v>
      </c>
    </row>
    <row r="7081" spans="1:5" x14ac:dyDescent="0.25">
      <c r="A7081" s="24" t="s">
        <v>7</v>
      </c>
      <c r="B7081" s="24" t="s">
        <v>18088</v>
      </c>
      <c r="C7081" s="25" t="s">
        <v>18089</v>
      </c>
      <c r="D7081" s="25" t="s">
        <v>18089</v>
      </c>
      <c r="E7081" s="26">
        <v>21.85</v>
      </c>
    </row>
    <row r="7082" spans="1:5" x14ac:dyDescent="0.25">
      <c r="A7082" s="24" t="s">
        <v>7</v>
      </c>
      <c r="B7082" s="24" t="s">
        <v>18090</v>
      </c>
      <c r="C7082" s="25" t="s">
        <v>18091</v>
      </c>
      <c r="D7082" s="25" t="s">
        <v>18092</v>
      </c>
      <c r="E7082" s="26">
        <v>17.5</v>
      </c>
    </row>
    <row r="7083" spans="1:5" x14ac:dyDescent="0.25">
      <c r="A7083" s="24" t="s">
        <v>7</v>
      </c>
      <c r="B7083" s="24" t="s">
        <v>18093</v>
      </c>
      <c r="C7083" s="25" t="s">
        <v>3485</v>
      </c>
      <c r="D7083" s="25" t="s">
        <v>3486</v>
      </c>
      <c r="E7083" s="26">
        <v>3.26</v>
      </c>
    </row>
    <row r="7084" spans="1:5" x14ac:dyDescent="0.25">
      <c r="A7084" s="24" t="s">
        <v>7</v>
      </c>
      <c r="B7084" s="24" t="s">
        <v>18094</v>
      </c>
      <c r="C7084" s="25" t="s">
        <v>16809</v>
      </c>
      <c r="D7084" s="25" t="s">
        <v>3486</v>
      </c>
      <c r="E7084" s="26">
        <v>15.03</v>
      </c>
    </row>
    <row r="7085" spans="1:5" x14ac:dyDescent="0.25">
      <c r="A7085" s="24" t="s">
        <v>7</v>
      </c>
      <c r="B7085" s="24" t="s">
        <v>18095</v>
      </c>
      <c r="C7085" s="25" t="s">
        <v>18096</v>
      </c>
      <c r="D7085" s="25" t="s">
        <v>18097</v>
      </c>
      <c r="E7085" s="26">
        <v>3.26</v>
      </c>
    </row>
    <row r="7086" spans="1:5" x14ac:dyDescent="0.25">
      <c r="A7086" s="24" t="s">
        <v>7</v>
      </c>
      <c r="B7086" s="24" t="s">
        <v>18098</v>
      </c>
      <c r="C7086" s="25" t="s">
        <v>16012</v>
      </c>
      <c r="D7086" s="25" t="s">
        <v>16013</v>
      </c>
      <c r="E7086" s="26">
        <v>12.14</v>
      </c>
    </row>
    <row r="7087" spans="1:5" x14ac:dyDescent="0.25">
      <c r="A7087" s="24" t="s">
        <v>7</v>
      </c>
      <c r="B7087" s="24" t="s">
        <v>18099</v>
      </c>
      <c r="C7087" s="25" t="s">
        <v>18100</v>
      </c>
      <c r="D7087" s="25" t="s">
        <v>18101</v>
      </c>
      <c r="E7087" s="26">
        <v>12.14</v>
      </c>
    </row>
    <row r="7088" spans="1:5" x14ac:dyDescent="0.25">
      <c r="A7088" s="24" t="s">
        <v>7</v>
      </c>
      <c r="B7088" s="24" t="s">
        <v>18102</v>
      </c>
      <c r="C7088" s="25" t="s">
        <v>16017</v>
      </c>
      <c r="D7088" s="25" t="s">
        <v>16017</v>
      </c>
      <c r="E7088" s="26">
        <v>45</v>
      </c>
    </row>
    <row r="7089" spans="1:5" x14ac:dyDescent="0.25">
      <c r="A7089" s="24" t="s">
        <v>7</v>
      </c>
      <c r="B7089" s="24" t="s">
        <v>18103</v>
      </c>
      <c r="C7089" s="25" t="s">
        <v>3490</v>
      </c>
      <c r="D7089" s="25" t="s">
        <v>3491</v>
      </c>
      <c r="E7089" s="26">
        <v>2.5</v>
      </c>
    </row>
    <row r="7090" spans="1:5" x14ac:dyDescent="0.25">
      <c r="A7090" s="24" t="s">
        <v>7</v>
      </c>
      <c r="B7090" s="24" t="s">
        <v>18104</v>
      </c>
      <c r="C7090" s="25" t="s">
        <v>17275</v>
      </c>
      <c r="D7090" s="25" t="s">
        <v>17276</v>
      </c>
      <c r="E7090" s="26">
        <v>9.3699999999999992</v>
      </c>
    </row>
    <row r="7091" spans="1:5" x14ac:dyDescent="0.25">
      <c r="A7091" s="24" t="s">
        <v>7</v>
      </c>
      <c r="B7091" s="24" t="s">
        <v>18105</v>
      </c>
      <c r="C7091" s="25" t="s">
        <v>16019</v>
      </c>
      <c r="D7091" s="25" t="s">
        <v>16020</v>
      </c>
      <c r="E7091" s="26">
        <v>24.44</v>
      </c>
    </row>
    <row r="7092" spans="1:5" x14ac:dyDescent="0.25">
      <c r="A7092" s="24" t="s">
        <v>7</v>
      </c>
      <c r="B7092" s="24" t="s">
        <v>18106</v>
      </c>
      <c r="C7092" s="25" t="s">
        <v>18107</v>
      </c>
      <c r="D7092" s="25" t="s">
        <v>18108</v>
      </c>
      <c r="E7092" s="26">
        <v>8.65</v>
      </c>
    </row>
    <row r="7093" spans="1:5" x14ac:dyDescent="0.25">
      <c r="A7093" s="24" t="s">
        <v>7</v>
      </c>
      <c r="B7093" s="24" t="s">
        <v>18109</v>
      </c>
      <c r="C7093" s="25" t="s">
        <v>16022</v>
      </c>
      <c r="D7093" s="25" t="s">
        <v>16023</v>
      </c>
      <c r="E7093" s="26">
        <v>11.4</v>
      </c>
    </row>
    <row r="7094" spans="1:5" x14ac:dyDescent="0.25">
      <c r="A7094" s="24" t="s">
        <v>7</v>
      </c>
      <c r="B7094" s="24" t="s">
        <v>18110</v>
      </c>
      <c r="C7094" s="25" t="s">
        <v>18111</v>
      </c>
      <c r="D7094" s="25" t="s">
        <v>16023</v>
      </c>
      <c r="E7094" s="26">
        <v>40.729999999999997</v>
      </c>
    </row>
    <row r="7095" spans="1:5" x14ac:dyDescent="0.25">
      <c r="A7095" s="24" t="s">
        <v>7</v>
      </c>
      <c r="B7095" s="24" t="s">
        <v>18112</v>
      </c>
      <c r="C7095" s="25" t="s">
        <v>18113</v>
      </c>
      <c r="D7095" s="25" t="s">
        <v>16023</v>
      </c>
      <c r="E7095" s="26">
        <v>65.16</v>
      </c>
    </row>
    <row r="7096" spans="1:5" x14ac:dyDescent="0.25">
      <c r="A7096" s="24" t="s">
        <v>7</v>
      </c>
      <c r="B7096" s="24" t="s">
        <v>18114</v>
      </c>
      <c r="C7096" s="25" t="s">
        <v>3498</v>
      </c>
      <c r="D7096" s="25" t="s">
        <v>18115</v>
      </c>
      <c r="E7096" s="26">
        <v>36.61</v>
      </c>
    </row>
    <row r="7097" spans="1:5" x14ac:dyDescent="0.25">
      <c r="A7097" s="24" t="s">
        <v>7</v>
      </c>
      <c r="B7097" s="24" t="s">
        <v>18116</v>
      </c>
      <c r="C7097" s="25" t="s">
        <v>3501</v>
      </c>
      <c r="D7097" s="25" t="s">
        <v>3501</v>
      </c>
      <c r="E7097" s="26">
        <v>2.44</v>
      </c>
    </row>
    <row r="7098" spans="1:5" x14ac:dyDescent="0.25">
      <c r="A7098" s="24" t="s">
        <v>7</v>
      </c>
      <c r="B7098" s="24" t="s">
        <v>18117</v>
      </c>
      <c r="C7098" s="25" t="s">
        <v>3512</v>
      </c>
      <c r="D7098" s="25" t="s">
        <v>3513</v>
      </c>
      <c r="E7098" s="26">
        <v>2.25</v>
      </c>
    </row>
    <row r="7099" spans="1:5" x14ac:dyDescent="0.25">
      <c r="A7099" s="24" t="s">
        <v>7</v>
      </c>
      <c r="B7099" s="24" t="s">
        <v>18118</v>
      </c>
      <c r="C7099" s="25" t="s">
        <v>18119</v>
      </c>
      <c r="D7099" s="25" t="s">
        <v>18120</v>
      </c>
      <c r="E7099" s="26">
        <v>15.75</v>
      </c>
    </row>
    <row r="7100" spans="1:5" x14ac:dyDescent="0.25">
      <c r="A7100" s="24" t="s">
        <v>7</v>
      </c>
      <c r="B7100" s="24" t="s">
        <v>18121</v>
      </c>
      <c r="C7100" s="25" t="s">
        <v>3523</v>
      </c>
      <c r="D7100" s="25" t="s">
        <v>3521</v>
      </c>
      <c r="E7100" s="26">
        <v>2</v>
      </c>
    </row>
    <row r="7101" spans="1:5" x14ac:dyDescent="0.25">
      <c r="A7101" s="24" t="s">
        <v>7</v>
      </c>
      <c r="B7101" s="24" t="s">
        <v>18122</v>
      </c>
      <c r="C7101" s="25" t="s">
        <v>3525</v>
      </c>
      <c r="D7101" s="25" t="s">
        <v>3525</v>
      </c>
      <c r="E7101" s="26">
        <v>2</v>
      </c>
    </row>
    <row r="7102" spans="1:5" x14ac:dyDescent="0.25">
      <c r="A7102" s="24" t="s">
        <v>7</v>
      </c>
      <c r="B7102" s="24" t="s">
        <v>18123</v>
      </c>
      <c r="C7102" s="25" t="s">
        <v>3530</v>
      </c>
      <c r="D7102" s="25" t="s">
        <v>3528</v>
      </c>
      <c r="E7102" s="26">
        <v>2</v>
      </c>
    </row>
    <row r="7103" spans="1:5" x14ac:dyDescent="0.25">
      <c r="A7103" s="24" t="s">
        <v>7</v>
      </c>
      <c r="B7103" s="24" t="s">
        <v>18124</v>
      </c>
      <c r="C7103" s="25" t="s">
        <v>16032</v>
      </c>
      <c r="D7103" s="25" t="s">
        <v>16032</v>
      </c>
      <c r="E7103" s="26">
        <v>5.7</v>
      </c>
    </row>
    <row r="7104" spans="1:5" x14ac:dyDescent="0.25">
      <c r="A7104" s="24" t="s">
        <v>7</v>
      </c>
      <c r="B7104" s="24" t="s">
        <v>18125</v>
      </c>
      <c r="C7104" s="25" t="s">
        <v>16034</v>
      </c>
      <c r="D7104" s="25" t="s">
        <v>16035</v>
      </c>
      <c r="E7104" s="26">
        <v>24.44</v>
      </c>
    </row>
    <row r="7105" spans="1:5" x14ac:dyDescent="0.25">
      <c r="A7105" s="24" t="s">
        <v>7</v>
      </c>
      <c r="B7105" s="24" t="s">
        <v>18126</v>
      </c>
      <c r="C7105" s="25" t="s">
        <v>16037</v>
      </c>
      <c r="D7105" s="25" t="s">
        <v>16038</v>
      </c>
      <c r="E7105" s="26">
        <v>9.5</v>
      </c>
    </row>
    <row r="7106" spans="1:5" x14ac:dyDescent="0.25">
      <c r="A7106" s="24" t="s">
        <v>7</v>
      </c>
      <c r="B7106" s="24" t="s">
        <v>18127</v>
      </c>
      <c r="C7106" s="25" t="s">
        <v>15687</v>
      </c>
      <c r="D7106" s="25" t="s">
        <v>15688</v>
      </c>
      <c r="E7106" s="26">
        <v>9.77</v>
      </c>
    </row>
    <row r="7107" spans="1:5" x14ac:dyDescent="0.25">
      <c r="A7107" s="24" t="s">
        <v>7</v>
      </c>
      <c r="B7107" s="24" t="s">
        <v>18128</v>
      </c>
      <c r="C7107" s="25" t="s">
        <v>18129</v>
      </c>
      <c r="D7107" s="25" t="s">
        <v>3538</v>
      </c>
      <c r="E7107" s="26">
        <v>7.95</v>
      </c>
    </row>
    <row r="7108" spans="1:5" x14ac:dyDescent="0.25">
      <c r="A7108" s="24" t="s">
        <v>7</v>
      </c>
      <c r="B7108" s="24" t="s">
        <v>18130</v>
      </c>
      <c r="C7108" s="25" t="s">
        <v>18131</v>
      </c>
      <c r="D7108" s="25" t="s">
        <v>18132</v>
      </c>
      <c r="E7108" s="26">
        <v>57</v>
      </c>
    </row>
    <row r="7109" spans="1:5" x14ac:dyDescent="0.25">
      <c r="A7109" s="24" t="s">
        <v>7</v>
      </c>
      <c r="B7109" s="24" t="s">
        <v>18133</v>
      </c>
      <c r="C7109" s="25" t="s">
        <v>16044</v>
      </c>
      <c r="D7109" s="25" t="s">
        <v>16044</v>
      </c>
      <c r="E7109" s="26">
        <v>4.28</v>
      </c>
    </row>
    <row r="7110" spans="1:5" x14ac:dyDescent="0.25">
      <c r="A7110" s="24" t="s">
        <v>7</v>
      </c>
      <c r="B7110" s="24" t="s">
        <v>18134</v>
      </c>
      <c r="C7110" s="25" t="s">
        <v>15232</v>
      </c>
      <c r="D7110" s="25" t="s">
        <v>15233</v>
      </c>
      <c r="E7110" s="26">
        <v>4</v>
      </c>
    </row>
    <row r="7111" spans="1:5" x14ac:dyDescent="0.25">
      <c r="A7111" s="24" t="s">
        <v>7</v>
      </c>
      <c r="B7111" s="24" t="s">
        <v>18135</v>
      </c>
      <c r="C7111" s="25" t="s">
        <v>3542</v>
      </c>
      <c r="D7111" s="25" t="s">
        <v>3543</v>
      </c>
      <c r="E7111" s="26">
        <v>4</v>
      </c>
    </row>
    <row r="7112" spans="1:5" x14ac:dyDescent="0.25">
      <c r="A7112" s="24" t="s">
        <v>7</v>
      </c>
      <c r="B7112" s="24" t="s">
        <v>18136</v>
      </c>
      <c r="C7112" s="25" t="s">
        <v>16052</v>
      </c>
      <c r="D7112" s="25" t="s">
        <v>16052</v>
      </c>
      <c r="E7112" s="26">
        <v>5.7</v>
      </c>
    </row>
    <row r="7113" spans="1:5" x14ac:dyDescent="0.25">
      <c r="A7113" s="24" t="s">
        <v>7</v>
      </c>
      <c r="B7113" s="24" t="s">
        <v>18137</v>
      </c>
      <c r="C7113" s="25" t="s">
        <v>15235</v>
      </c>
      <c r="D7113" s="25" t="s">
        <v>15233</v>
      </c>
      <c r="E7113" s="26">
        <v>11.61</v>
      </c>
    </row>
    <row r="7114" spans="1:5" x14ac:dyDescent="0.25">
      <c r="A7114" s="24" t="s">
        <v>7</v>
      </c>
      <c r="B7114" s="24" t="s">
        <v>18138</v>
      </c>
      <c r="C7114" s="25" t="s">
        <v>3558</v>
      </c>
      <c r="D7114" s="25" t="s">
        <v>3558</v>
      </c>
      <c r="E7114" s="26">
        <v>2.5499999999999998</v>
      </c>
    </row>
    <row r="7115" spans="1:5" x14ac:dyDescent="0.25">
      <c r="A7115" s="24" t="s">
        <v>7</v>
      </c>
      <c r="B7115" s="24" t="s">
        <v>18139</v>
      </c>
      <c r="C7115" s="25" t="s">
        <v>18140</v>
      </c>
      <c r="D7115" s="25" t="s">
        <v>18140</v>
      </c>
      <c r="E7115" s="26">
        <v>3.67</v>
      </c>
    </row>
    <row r="7116" spans="1:5" x14ac:dyDescent="0.25">
      <c r="A7116" s="24" t="s">
        <v>7</v>
      </c>
      <c r="B7116" s="24" t="s">
        <v>18141</v>
      </c>
      <c r="C7116" s="25" t="s">
        <v>16056</v>
      </c>
      <c r="D7116" s="25" t="s">
        <v>16057</v>
      </c>
      <c r="E7116" s="26">
        <v>15</v>
      </c>
    </row>
    <row r="7117" spans="1:5" x14ac:dyDescent="0.25">
      <c r="A7117" s="24" t="s">
        <v>7</v>
      </c>
      <c r="B7117" s="24" t="s">
        <v>18142</v>
      </c>
      <c r="C7117" s="25" t="s">
        <v>16059</v>
      </c>
      <c r="D7117" s="25" t="s">
        <v>16060</v>
      </c>
      <c r="E7117" s="26">
        <v>12.22</v>
      </c>
    </row>
    <row r="7118" spans="1:5" x14ac:dyDescent="0.25">
      <c r="A7118" s="24" t="s">
        <v>7</v>
      </c>
      <c r="B7118" s="24" t="s">
        <v>18143</v>
      </c>
      <c r="C7118" s="25" t="s">
        <v>16062</v>
      </c>
      <c r="D7118" s="25" t="s">
        <v>16063</v>
      </c>
      <c r="E7118" s="26">
        <v>40.729999999999997</v>
      </c>
    </row>
    <row r="7119" spans="1:5" x14ac:dyDescent="0.25">
      <c r="A7119" s="24" t="s">
        <v>7</v>
      </c>
      <c r="B7119" s="24" t="s">
        <v>18144</v>
      </c>
      <c r="C7119" s="25" t="s">
        <v>18145</v>
      </c>
      <c r="D7119" s="25" t="s">
        <v>16066</v>
      </c>
      <c r="E7119" s="26">
        <v>40.729999999999997</v>
      </c>
    </row>
    <row r="7120" spans="1:5" x14ac:dyDescent="0.25">
      <c r="A7120" s="24" t="s">
        <v>7</v>
      </c>
      <c r="B7120" s="24" t="s">
        <v>18146</v>
      </c>
      <c r="C7120" s="25" t="s">
        <v>17015</v>
      </c>
      <c r="D7120" s="25" t="s">
        <v>17016</v>
      </c>
      <c r="E7120" s="26">
        <v>60.27</v>
      </c>
    </row>
    <row r="7121" spans="1:5" x14ac:dyDescent="0.25">
      <c r="A7121" s="24" t="s">
        <v>7</v>
      </c>
      <c r="B7121" s="24" t="s">
        <v>18147</v>
      </c>
      <c r="C7121" s="25" t="s">
        <v>16077</v>
      </c>
      <c r="D7121" s="25" t="s">
        <v>16078</v>
      </c>
      <c r="E7121" s="26">
        <v>20</v>
      </c>
    </row>
    <row r="7122" spans="1:5" x14ac:dyDescent="0.25">
      <c r="A7122" s="24" t="s">
        <v>7</v>
      </c>
      <c r="B7122" s="24" t="s">
        <v>18148</v>
      </c>
      <c r="C7122" s="25" t="s">
        <v>16083</v>
      </c>
      <c r="D7122" s="25" t="s">
        <v>16084</v>
      </c>
      <c r="E7122" s="26">
        <v>57.02</v>
      </c>
    </row>
    <row r="7123" spans="1:5" x14ac:dyDescent="0.25">
      <c r="A7123" s="24" t="s">
        <v>7</v>
      </c>
      <c r="B7123" s="24" t="s">
        <v>18149</v>
      </c>
      <c r="C7123" s="25" t="s">
        <v>16094</v>
      </c>
      <c r="D7123" s="25" t="s">
        <v>16092</v>
      </c>
      <c r="E7123" s="26">
        <v>12.29</v>
      </c>
    </row>
    <row r="7124" spans="1:5" x14ac:dyDescent="0.25">
      <c r="A7124" s="24" t="s">
        <v>7</v>
      </c>
      <c r="B7124" s="24" t="s">
        <v>18150</v>
      </c>
      <c r="C7124" s="25" t="s">
        <v>18151</v>
      </c>
      <c r="D7124" s="25" t="s">
        <v>18152</v>
      </c>
      <c r="E7124" s="26">
        <v>10</v>
      </c>
    </row>
    <row r="7125" spans="1:5" x14ac:dyDescent="0.25">
      <c r="A7125" s="24" t="s">
        <v>7</v>
      </c>
      <c r="B7125" s="24" t="s">
        <v>18153</v>
      </c>
      <c r="C7125" s="25" t="s">
        <v>18154</v>
      </c>
      <c r="D7125" s="25" t="s">
        <v>16097</v>
      </c>
      <c r="E7125" s="26">
        <v>14.1</v>
      </c>
    </row>
    <row r="7126" spans="1:5" x14ac:dyDescent="0.25">
      <c r="A7126" s="24" t="s">
        <v>7</v>
      </c>
      <c r="B7126" s="24" t="s">
        <v>18155</v>
      </c>
      <c r="C7126" s="25" t="s">
        <v>18156</v>
      </c>
      <c r="D7126" s="25" t="s">
        <v>18156</v>
      </c>
      <c r="E7126" s="26">
        <v>16</v>
      </c>
    </row>
    <row r="7127" spans="1:5" x14ac:dyDescent="0.25">
      <c r="A7127" s="24" t="s">
        <v>7</v>
      </c>
      <c r="B7127" s="24" t="s">
        <v>18157</v>
      </c>
      <c r="C7127" s="25" t="s">
        <v>18158</v>
      </c>
      <c r="D7127" s="25" t="s">
        <v>18159</v>
      </c>
      <c r="E7127" s="26">
        <v>36.65</v>
      </c>
    </row>
    <row r="7128" spans="1:5" x14ac:dyDescent="0.25">
      <c r="A7128" s="24" t="s">
        <v>7</v>
      </c>
      <c r="B7128" s="24" t="s">
        <v>18160</v>
      </c>
      <c r="C7128" s="25" t="s">
        <v>18161</v>
      </c>
      <c r="D7128" s="25" t="s">
        <v>16596</v>
      </c>
      <c r="E7128" s="26">
        <v>12.22</v>
      </c>
    </row>
    <row r="7129" spans="1:5" x14ac:dyDescent="0.25">
      <c r="A7129" s="24" t="s">
        <v>7</v>
      </c>
      <c r="B7129" s="24" t="s">
        <v>18162</v>
      </c>
      <c r="C7129" s="25" t="s">
        <v>18163</v>
      </c>
      <c r="D7129" s="25" t="s">
        <v>16092</v>
      </c>
      <c r="E7129" s="26">
        <v>12.29</v>
      </c>
    </row>
    <row r="7130" spans="1:5" x14ac:dyDescent="0.25">
      <c r="A7130" s="24" t="s">
        <v>7</v>
      </c>
      <c r="B7130" s="24" t="s">
        <v>18164</v>
      </c>
      <c r="C7130" s="25" t="s">
        <v>3586</v>
      </c>
      <c r="D7130" s="25" t="s">
        <v>3587</v>
      </c>
      <c r="E7130" s="26">
        <v>11.4</v>
      </c>
    </row>
    <row r="7131" spans="1:5" x14ac:dyDescent="0.25">
      <c r="A7131" s="24" t="s">
        <v>7</v>
      </c>
      <c r="B7131" s="24" t="s">
        <v>18165</v>
      </c>
      <c r="C7131" s="25" t="s">
        <v>3592</v>
      </c>
      <c r="D7131" s="25" t="s">
        <v>3593</v>
      </c>
      <c r="E7131" s="26">
        <v>4</v>
      </c>
    </row>
    <row r="7132" spans="1:5" x14ac:dyDescent="0.25">
      <c r="A7132" s="24" t="s">
        <v>7</v>
      </c>
      <c r="B7132" s="24" t="s">
        <v>18166</v>
      </c>
      <c r="C7132" s="25" t="s">
        <v>18167</v>
      </c>
      <c r="D7132" s="25" t="s">
        <v>17577</v>
      </c>
      <c r="E7132" s="26">
        <v>195</v>
      </c>
    </row>
    <row r="7133" spans="1:5" x14ac:dyDescent="0.25">
      <c r="A7133" s="24" t="s">
        <v>7</v>
      </c>
      <c r="B7133" s="24" t="s">
        <v>18168</v>
      </c>
      <c r="C7133" s="25" t="s">
        <v>18169</v>
      </c>
      <c r="D7133" s="25" t="s">
        <v>18170</v>
      </c>
      <c r="E7133" s="26">
        <v>5</v>
      </c>
    </row>
    <row r="7134" spans="1:5" x14ac:dyDescent="0.25">
      <c r="A7134" s="24" t="s">
        <v>7</v>
      </c>
      <c r="B7134" s="24" t="s">
        <v>18171</v>
      </c>
      <c r="C7134" s="25" t="s">
        <v>18172</v>
      </c>
      <c r="D7134" s="25" t="s">
        <v>18173</v>
      </c>
      <c r="E7134" s="26">
        <v>10</v>
      </c>
    </row>
    <row r="7135" spans="1:5" x14ac:dyDescent="0.25">
      <c r="A7135" s="24" t="s">
        <v>7</v>
      </c>
      <c r="B7135" s="24" t="s">
        <v>18174</v>
      </c>
      <c r="C7135" s="25" t="s">
        <v>18175</v>
      </c>
      <c r="D7135" s="25" t="s">
        <v>18175</v>
      </c>
      <c r="E7135" s="26">
        <v>5</v>
      </c>
    </row>
    <row r="7136" spans="1:5" x14ac:dyDescent="0.25">
      <c r="A7136" s="24" t="s">
        <v>7</v>
      </c>
      <c r="B7136" s="24" t="s">
        <v>18176</v>
      </c>
      <c r="C7136" s="25" t="s">
        <v>16110</v>
      </c>
      <c r="D7136" s="25" t="s">
        <v>16111</v>
      </c>
      <c r="E7136" s="26">
        <v>4.8899999999999997</v>
      </c>
    </row>
    <row r="7137" spans="1:5" x14ac:dyDescent="0.25">
      <c r="A7137" s="24" t="s">
        <v>7</v>
      </c>
      <c r="B7137" s="24" t="s">
        <v>18177</v>
      </c>
      <c r="C7137" s="25" t="s">
        <v>17416</v>
      </c>
      <c r="D7137" s="25" t="s">
        <v>17417</v>
      </c>
      <c r="E7137" s="26">
        <v>21.99</v>
      </c>
    </row>
    <row r="7138" spans="1:5" x14ac:dyDescent="0.25">
      <c r="A7138" s="24" t="s">
        <v>7</v>
      </c>
      <c r="B7138" s="24" t="s">
        <v>18178</v>
      </c>
      <c r="C7138" s="25" t="s">
        <v>16280</v>
      </c>
      <c r="D7138" s="25" t="s">
        <v>16281</v>
      </c>
      <c r="E7138" s="26">
        <v>81.45</v>
      </c>
    </row>
    <row r="7139" spans="1:5" x14ac:dyDescent="0.25">
      <c r="A7139" s="24" t="s">
        <v>7</v>
      </c>
      <c r="B7139" s="24" t="s">
        <v>18179</v>
      </c>
      <c r="C7139" s="25" t="s">
        <v>3614</v>
      </c>
      <c r="D7139" s="25" t="s">
        <v>3615</v>
      </c>
      <c r="E7139" s="26">
        <v>45.92</v>
      </c>
    </row>
    <row r="7140" spans="1:5" x14ac:dyDescent="0.25">
      <c r="A7140" s="24" t="s">
        <v>7</v>
      </c>
      <c r="B7140" s="24" t="s">
        <v>18180</v>
      </c>
      <c r="C7140" s="25" t="s">
        <v>16117</v>
      </c>
      <c r="D7140" s="25" t="s">
        <v>16118</v>
      </c>
      <c r="E7140" s="26">
        <v>10.5</v>
      </c>
    </row>
    <row r="7141" spans="1:5" x14ac:dyDescent="0.25">
      <c r="A7141" s="24" t="s">
        <v>7</v>
      </c>
      <c r="B7141" s="24" t="s">
        <v>18181</v>
      </c>
      <c r="C7141" s="25" t="s">
        <v>16120</v>
      </c>
      <c r="D7141" s="25" t="s">
        <v>16118</v>
      </c>
      <c r="E7141" s="26">
        <v>16.64</v>
      </c>
    </row>
    <row r="7142" spans="1:5" x14ac:dyDescent="0.25">
      <c r="A7142" s="24" t="s">
        <v>7</v>
      </c>
      <c r="B7142" s="24" t="s">
        <v>18182</v>
      </c>
      <c r="C7142" s="25" t="s">
        <v>18183</v>
      </c>
      <c r="D7142" s="25" t="s">
        <v>3625</v>
      </c>
      <c r="E7142" s="26">
        <v>10.5</v>
      </c>
    </row>
    <row r="7143" spans="1:5" x14ac:dyDescent="0.25">
      <c r="A7143" s="24" t="s">
        <v>7</v>
      </c>
      <c r="B7143" s="24" t="s">
        <v>18184</v>
      </c>
      <c r="C7143" s="25" t="s">
        <v>16122</v>
      </c>
      <c r="D7143" s="25" t="s">
        <v>16122</v>
      </c>
      <c r="E7143" s="26">
        <v>58.24</v>
      </c>
    </row>
    <row r="7144" spans="1:5" x14ac:dyDescent="0.25">
      <c r="A7144" s="24" t="s">
        <v>7</v>
      </c>
      <c r="B7144" s="24" t="s">
        <v>18185</v>
      </c>
      <c r="C7144" s="25" t="s">
        <v>15775</v>
      </c>
      <c r="D7144" s="25" t="s">
        <v>15775</v>
      </c>
      <c r="E7144" s="26">
        <v>3.37</v>
      </c>
    </row>
    <row r="7145" spans="1:5" x14ac:dyDescent="0.25">
      <c r="A7145" s="24" t="s">
        <v>7</v>
      </c>
      <c r="B7145" s="24" t="s">
        <v>18186</v>
      </c>
      <c r="C7145" s="25" t="s">
        <v>18187</v>
      </c>
      <c r="D7145" s="25" t="s">
        <v>16125</v>
      </c>
      <c r="E7145" s="26">
        <v>8</v>
      </c>
    </row>
    <row r="7146" spans="1:5" x14ac:dyDescent="0.25">
      <c r="A7146" s="24" t="s">
        <v>7</v>
      </c>
      <c r="B7146" s="24" t="s">
        <v>18188</v>
      </c>
      <c r="C7146" s="25" t="s">
        <v>16127</v>
      </c>
      <c r="D7146" s="25" t="s">
        <v>16127</v>
      </c>
      <c r="E7146" s="26">
        <v>45.92</v>
      </c>
    </row>
    <row r="7147" spans="1:5" x14ac:dyDescent="0.25">
      <c r="A7147" s="24" t="s">
        <v>7</v>
      </c>
      <c r="B7147" s="24" t="s">
        <v>18189</v>
      </c>
      <c r="C7147" s="25" t="s">
        <v>16141</v>
      </c>
      <c r="D7147" s="25" t="s">
        <v>16141</v>
      </c>
      <c r="E7147" s="26">
        <v>62.9</v>
      </c>
    </row>
    <row r="7148" spans="1:5" x14ac:dyDescent="0.25">
      <c r="A7148" s="24" t="s">
        <v>7</v>
      </c>
      <c r="B7148" s="24" t="s">
        <v>18190</v>
      </c>
      <c r="C7148" s="25" t="s">
        <v>3630</v>
      </c>
      <c r="D7148" s="25" t="s">
        <v>3631</v>
      </c>
      <c r="E7148" s="26">
        <v>4.07</v>
      </c>
    </row>
    <row r="7149" spans="1:5" x14ac:dyDescent="0.25">
      <c r="A7149" s="24" t="s">
        <v>7</v>
      </c>
      <c r="B7149" s="24" t="s">
        <v>18191</v>
      </c>
      <c r="C7149" s="25" t="s">
        <v>17152</v>
      </c>
      <c r="D7149" s="25" t="s">
        <v>17152</v>
      </c>
      <c r="E7149" s="26">
        <v>14.66</v>
      </c>
    </row>
    <row r="7150" spans="1:5" x14ac:dyDescent="0.25">
      <c r="A7150" s="24" t="s">
        <v>7</v>
      </c>
      <c r="B7150" s="24" t="s">
        <v>18192</v>
      </c>
      <c r="C7150" s="25" t="s">
        <v>3639</v>
      </c>
      <c r="D7150" s="25" t="s">
        <v>3640</v>
      </c>
      <c r="E7150" s="26">
        <v>3.18</v>
      </c>
    </row>
    <row r="7151" spans="1:5" x14ac:dyDescent="0.25">
      <c r="A7151" s="24" t="s">
        <v>7</v>
      </c>
      <c r="B7151" s="24" t="s">
        <v>18193</v>
      </c>
      <c r="C7151" s="25" t="s">
        <v>16143</v>
      </c>
      <c r="D7151" s="25" t="s">
        <v>16143</v>
      </c>
      <c r="E7151" s="26">
        <v>14.66</v>
      </c>
    </row>
    <row r="7152" spans="1:5" x14ac:dyDescent="0.25">
      <c r="A7152" s="24" t="s">
        <v>7</v>
      </c>
      <c r="B7152" s="24" t="s">
        <v>18194</v>
      </c>
      <c r="C7152" s="25" t="s">
        <v>18195</v>
      </c>
      <c r="D7152" s="25" t="s">
        <v>18195</v>
      </c>
      <c r="E7152" s="26">
        <v>41.21</v>
      </c>
    </row>
    <row r="7153" spans="1:5" x14ac:dyDescent="0.25">
      <c r="A7153" s="24" t="s">
        <v>7</v>
      </c>
      <c r="B7153" s="24" t="s">
        <v>18196</v>
      </c>
      <c r="C7153" s="25" t="s">
        <v>16163</v>
      </c>
      <c r="D7153" s="25" t="s">
        <v>16164</v>
      </c>
      <c r="E7153" s="26">
        <v>18.239999999999998</v>
      </c>
    </row>
    <row r="7154" spans="1:5" x14ac:dyDescent="0.25">
      <c r="A7154" s="24" t="s">
        <v>7</v>
      </c>
      <c r="B7154" s="24" t="s">
        <v>18197</v>
      </c>
      <c r="C7154" s="25" t="s">
        <v>18198</v>
      </c>
      <c r="D7154" s="25" t="s">
        <v>16167</v>
      </c>
      <c r="E7154" s="26">
        <v>2.82</v>
      </c>
    </row>
    <row r="7155" spans="1:5" x14ac:dyDescent="0.25">
      <c r="A7155" s="24" t="s">
        <v>7</v>
      </c>
      <c r="B7155" s="24" t="s">
        <v>18199</v>
      </c>
      <c r="C7155" s="25" t="s">
        <v>18200</v>
      </c>
      <c r="D7155" s="25" t="s">
        <v>18201</v>
      </c>
      <c r="E7155" s="26">
        <v>3.26</v>
      </c>
    </row>
    <row r="7156" spans="1:5" x14ac:dyDescent="0.25">
      <c r="A7156" s="24" t="s">
        <v>7</v>
      </c>
      <c r="B7156" s="24" t="s">
        <v>18202</v>
      </c>
      <c r="C7156" s="25" t="s">
        <v>17286</v>
      </c>
      <c r="D7156" s="25" t="s">
        <v>16177</v>
      </c>
      <c r="E7156" s="26">
        <v>11.61</v>
      </c>
    </row>
    <row r="7157" spans="1:5" x14ac:dyDescent="0.25">
      <c r="A7157" s="24" t="s">
        <v>7</v>
      </c>
      <c r="B7157" s="24" t="s">
        <v>18203</v>
      </c>
      <c r="C7157" s="25" t="s">
        <v>18204</v>
      </c>
      <c r="D7157" s="25" t="s">
        <v>16167</v>
      </c>
      <c r="E7157" s="26">
        <v>12.22</v>
      </c>
    </row>
    <row r="7158" spans="1:5" x14ac:dyDescent="0.25">
      <c r="A7158" s="24" t="s">
        <v>7</v>
      </c>
      <c r="B7158" s="24" t="s">
        <v>18205</v>
      </c>
      <c r="C7158" s="25" t="s">
        <v>16182</v>
      </c>
      <c r="D7158" s="25" t="s">
        <v>16183</v>
      </c>
      <c r="E7158" s="26">
        <v>3.67</v>
      </c>
    </row>
    <row r="7159" spans="1:5" x14ac:dyDescent="0.25">
      <c r="A7159" s="24" t="s">
        <v>7</v>
      </c>
      <c r="B7159" s="24" t="s">
        <v>18206</v>
      </c>
      <c r="C7159" s="25" t="s">
        <v>18207</v>
      </c>
      <c r="D7159" s="25" t="s">
        <v>18208</v>
      </c>
      <c r="E7159" s="26">
        <v>19.75</v>
      </c>
    </row>
    <row r="7160" spans="1:5" x14ac:dyDescent="0.25">
      <c r="A7160" s="24" t="s">
        <v>7</v>
      </c>
      <c r="B7160" s="24" t="s">
        <v>18209</v>
      </c>
      <c r="C7160" s="25" t="s">
        <v>16185</v>
      </c>
      <c r="D7160" s="25" t="s">
        <v>15531</v>
      </c>
      <c r="E7160" s="26">
        <v>4.5</v>
      </c>
    </row>
    <row r="7161" spans="1:5" x14ac:dyDescent="0.25">
      <c r="A7161" s="24" t="s">
        <v>7</v>
      </c>
      <c r="B7161" s="24" t="s">
        <v>18210</v>
      </c>
      <c r="C7161" s="25" t="s">
        <v>15530</v>
      </c>
      <c r="D7161" s="25" t="s">
        <v>15531</v>
      </c>
      <c r="E7161" s="26">
        <v>61.65</v>
      </c>
    </row>
    <row r="7162" spans="1:5" x14ac:dyDescent="0.25">
      <c r="A7162" s="24" t="s">
        <v>7</v>
      </c>
      <c r="B7162" s="24" t="s">
        <v>18211</v>
      </c>
      <c r="C7162" s="25" t="s">
        <v>16176</v>
      </c>
      <c r="D7162" s="25" t="s">
        <v>16177</v>
      </c>
      <c r="E7162" s="26">
        <v>5.7</v>
      </c>
    </row>
    <row r="7163" spans="1:5" x14ac:dyDescent="0.25">
      <c r="A7163" s="24" t="s">
        <v>7</v>
      </c>
      <c r="B7163" s="24" t="s">
        <v>18212</v>
      </c>
      <c r="C7163" s="25" t="s">
        <v>16188</v>
      </c>
      <c r="D7163" s="25" t="s">
        <v>16177</v>
      </c>
      <c r="E7163" s="26">
        <v>5.7</v>
      </c>
    </row>
    <row r="7164" spans="1:5" x14ac:dyDescent="0.25">
      <c r="A7164" s="24" t="s">
        <v>7</v>
      </c>
      <c r="B7164" s="24" t="s">
        <v>18213</v>
      </c>
      <c r="C7164" s="25" t="s">
        <v>16195</v>
      </c>
      <c r="D7164" s="25" t="s">
        <v>16196</v>
      </c>
      <c r="E7164" s="26">
        <v>4.07</v>
      </c>
    </row>
    <row r="7165" spans="1:5" x14ac:dyDescent="0.25">
      <c r="A7165" s="24" t="s">
        <v>7</v>
      </c>
      <c r="B7165" s="24" t="s">
        <v>18214</v>
      </c>
      <c r="C7165" s="25" t="s">
        <v>16198</v>
      </c>
      <c r="D7165" s="25" t="s">
        <v>16196</v>
      </c>
      <c r="E7165" s="26">
        <v>4.07</v>
      </c>
    </row>
    <row r="7166" spans="1:5" x14ac:dyDescent="0.25">
      <c r="A7166" s="24" t="s">
        <v>7</v>
      </c>
      <c r="B7166" s="24" t="s">
        <v>18215</v>
      </c>
      <c r="C7166" s="25" t="s">
        <v>16158</v>
      </c>
      <c r="D7166" s="25" t="s">
        <v>3691</v>
      </c>
      <c r="E7166" s="26">
        <v>8.5500000000000007</v>
      </c>
    </row>
    <row r="7167" spans="1:5" x14ac:dyDescent="0.25">
      <c r="A7167" s="24" t="s">
        <v>7</v>
      </c>
      <c r="B7167" s="24" t="s">
        <v>18216</v>
      </c>
      <c r="C7167" s="25" t="s">
        <v>17439</v>
      </c>
      <c r="D7167" s="25" t="s">
        <v>17440</v>
      </c>
      <c r="E7167" s="26">
        <v>6.52</v>
      </c>
    </row>
    <row r="7168" spans="1:5" x14ac:dyDescent="0.25">
      <c r="A7168" s="24" t="s">
        <v>7</v>
      </c>
      <c r="B7168" s="24" t="s">
        <v>18217</v>
      </c>
      <c r="C7168" s="25" t="s">
        <v>18218</v>
      </c>
      <c r="D7168" s="25" t="s">
        <v>17440</v>
      </c>
      <c r="E7168" s="26">
        <v>6.52</v>
      </c>
    </row>
    <row r="7169" spans="1:5" x14ac:dyDescent="0.25">
      <c r="A7169" s="24" t="s">
        <v>7</v>
      </c>
      <c r="B7169" s="24" t="s">
        <v>18219</v>
      </c>
      <c r="C7169" s="25" t="s">
        <v>18220</v>
      </c>
      <c r="D7169" s="25" t="s">
        <v>16196</v>
      </c>
      <c r="E7169" s="26">
        <v>4.07</v>
      </c>
    </row>
    <row r="7170" spans="1:5" x14ac:dyDescent="0.25">
      <c r="A7170" s="24" t="s">
        <v>7</v>
      </c>
      <c r="B7170" s="24" t="s">
        <v>18221</v>
      </c>
      <c r="C7170" s="25" t="s">
        <v>18222</v>
      </c>
      <c r="D7170" s="25" t="s">
        <v>18223</v>
      </c>
      <c r="E7170" s="26">
        <v>460</v>
      </c>
    </row>
    <row r="7171" spans="1:5" x14ac:dyDescent="0.25">
      <c r="A7171" s="24" t="s">
        <v>7</v>
      </c>
      <c r="B7171" s="24" t="s">
        <v>18224</v>
      </c>
      <c r="C7171" s="25" t="s">
        <v>18225</v>
      </c>
      <c r="D7171" s="25" t="s">
        <v>18225</v>
      </c>
      <c r="E7171" s="26">
        <v>3.67</v>
      </c>
    </row>
    <row r="7172" spans="1:5" x14ac:dyDescent="0.25">
      <c r="A7172" s="24" t="s">
        <v>7</v>
      </c>
      <c r="B7172" s="24" t="s">
        <v>18226</v>
      </c>
      <c r="C7172" s="25" t="s">
        <v>3693</v>
      </c>
      <c r="D7172" s="25" t="s">
        <v>3691</v>
      </c>
      <c r="E7172" s="26">
        <v>9.57</v>
      </c>
    </row>
    <row r="7173" spans="1:5" x14ac:dyDescent="0.25">
      <c r="A7173" s="24" t="s">
        <v>7</v>
      </c>
      <c r="B7173" s="24" t="s">
        <v>18227</v>
      </c>
      <c r="C7173" s="25" t="s">
        <v>16210</v>
      </c>
      <c r="D7173" s="25" t="s">
        <v>16211</v>
      </c>
      <c r="E7173" s="26">
        <v>4</v>
      </c>
    </row>
    <row r="7174" spans="1:5" x14ac:dyDescent="0.25">
      <c r="A7174" s="24" t="s">
        <v>7</v>
      </c>
      <c r="B7174" s="24" t="s">
        <v>18228</v>
      </c>
      <c r="C7174" s="25" t="s">
        <v>16240</v>
      </c>
      <c r="D7174" s="25" t="s">
        <v>16219</v>
      </c>
      <c r="E7174" s="26">
        <v>13.06</v>
      </c>
    </row>
    <row r="7175" spans="1:5" x14ac:dyDescent="0.25">
      <c r="A7175" s="24" t="s">
        <v>7</v>
      </c>
      <c r="B7175" s="24" t="s">
        <v>18229</v>
      </c>
      <c r="C7175" s="25" t="s">
        <v>18230</v>
      </c>
      <c r="D7175" s="25" t="s">
        <v>18230</v>
      </c>
      <c r="E7175" s="26">
        <v>18.73</v>
      </c>
    </row>
    <row r="7176" spans="1:5" x14ac:dyDescent="0.25">
      <c r="A7176" s="24" t="s">
        <v>7</v>
      </c>
      <c r="B7176" s="24" t="s">
        <v>18231</v>
      </c>
      <c r="C7176" s="25" t="s">
        <v>16471</v>
      </c>
      <c r="D7176" s="25" t="s">
        <v>16472</v>
      </c>
      <c r="E7176" s="26">
        <v>6.74</v>
      </c>
    </row>
    <row r="7177" spans="1:5" x14ac:dyDescent="0.25">
      <c r="A7177" s="24" t="s">
        <v>7</v>
      </c>
      <c r="B7177" s="24" t="s">
        <v>18232</v>
      </c>
      <c r="C7177" s="25" t="s">
        <v>16223</v>
      </c>
      <c r="D7177" s="25" t="s">
        <v>16224</v>
      </c>
      <c r="E7177" s="26">
        <v>14.78</v>
      </c>
    </row>
    <row r="7178" spans="1:5" x14ac:dyDescent="0.25">
      <c r="A7178" s="24" t="s">
        <v>7</v>
      </c>
      <c r="B7178" s="24" t="s">
        <v>18233</v>
      </c>
      <c r="C7178" s="25" t="s">
        <v>16216</v>
      </c>
      <c r="D7178" s="25" t="s">
        <v>16216</v>
      </c>
      <c r="E7178" s="26">
        <v>12.22</v>
      </c>
    </row>
    <row r="7179" spans="1:5" x14ac:dyDescent="0.25">
      <c r="A7179" s="24" t="s">
        <v>7</v>
      </c>
      <c r="B7179" s="24" t="s">
        <v>18234</v>
      </c>
      <c r="C7179" s="25" t="s">
        <v>16237</v>
      </c>
      <c r="D7179" s="25" t="s">
        <v>16238</v>
      </c>
      <c r="E7179" s="26">
        <v>7.05</v>
      </c>
    </row>
    <row r="7180" spans="1:5" x14ac:dyDescent="0.25">
      <c r="A7180" s="24" t="s">
        <v>7</v>
      </c>
      <c r="B7180" s="24" t="s">
        <v>18235</v>
      </c>
      <c r="C7180" s="25" t="s">
        <v>17301</v>
      </c>
      <c r="D7180" s="25" t="s">
        <v>16238</v>
      </c>
      <c r="E7180" s="26">
        <v>9.89</v>
      </c>
    </row>
    <row r="7181" spans="1:5" x14ac:dyDescent="0.25">
      <c r="A7181" s="24" t="s">
        <v>7</v>
      </c>
      <c r="B7181" s="24" t="s">
        <v>18236</v>
      </c>
      <c r="C7181" s="25" t="s">
        <v>17303</v>
      </c>
      <c r="D7181" s="25" t="s">
        <v>16238</v>
      </c>
      <c r="E7181" s="26">
        <v>8.15</v>
      </c>
    </row>
    <row r="7182" spans="1:5" x14ac:dyDescent="0.25">
      <c r="A7182" s="24" t="s">
        <v>7</v>
      </c>
      <c r="B7182" s="24" t="s">
        <v>18237</v>
      </c>
      <c r="C7182" s="25" t="s">
        <v>18238</v>
      </c>
      <c r="D7182" s="25" t="s">
        <v>16238</v>
      </c>
      <c r="E7182" s="26">
        <v>7.05</v>
      </c>
    </row>
    <row r="7183" spans="1:5" x14ac:dyDescent="0.25">
      <c r="A7183" s="24" t="s">
        <v>7</v>
      </c>
      <c r="B7183" s="24" t="s">
        <v>18239</v>
      </c>
      <c r="C7183" s="25" t="s">
        <v>15990</v>
      </c>
      <c r="D7183" s="25" t="s">
        <v>15991</v>
      </c>
      <c r="E7183" s="26">
        <v>4.68</v>
      </c>
    </row>
    <row r="7184" spans="1:5" x14ac:dyDescent="0.25">
      <c r="A7184" s="24" t="s">
        <v>7</v>
      </c>
      <c r="B7184" s="24" t="s">
        <v>18240</v>
      </c>
      <c r="C7184" s="25" t="s">
        <v>16249</v>
      </c>
      <c r="D7184" s="25" t="s">
        <v>16250</v>
      </c>
      <c r="E7184" s="26">
        <v>14.66</v>
      </c>
    </row>
    <row r="7185" spans="1:5" x14ac:dyDescent="0.25">
      <c r="A7185" s="24" t="s">
        <v>7</v>
      </c>
      <c r="B7185" s="24" t="s">
        <v>18241</v>
      </c>
      <c r="C7185" s="25" t="s">
        <v>16258</v>
      </c>
      <c r="D7185" s="25" t="s">
        <v>16259</v>
      </c>
      <c r="E7185" s="26">
        <v>5.7</v>
      </c>
    </row>
    <row r="7186" spans="1:5" x14ac:dyDescent="0.25">
      <c r="A7186" s="24" t="s">
        <v>7</v>
      </c>
      <c r="B7186" s="24" t="s">
        <v>18242</v>
      </c>
      <c r="C7186" s="25" t="s">
        <v>16274</v>
      </c>
      <c r="D7186" s="25" t="s">
        <v>16275</v>
      </c>
      <c r="E7186" s="26">
        <v>8</v>
      </c>
    </row>
    <row r="7187" spans="1:5" x14ac:dyDescent="0.25">
      <c r="A7187" s="24" t="s">
        <v>7</v>
      </c>
      <c r="B7187" s="24" t="s">
        <v>18243</v>
      </c>
      <c r="C7187" s="25" t="s">
        <v>18244</v>
      </c>
      <c r="D7187" s="25" t="s">
        <v>18245</v>
      </c>
      <c r="E7187" s="26">
        <v>4.7699999999999996</v>
      </c>
    </row>
    <row r="7188" spans="1:5" x14ac:dyDescent="0.25">
      <c r="A7188" s="24" t="s">
        <v>7</v>
      </c>
      <c r="B7188" s="24" t="s">
        <v>18246</v>
      </c>
      <c r="C7188" s="25" t="s">
        <v>18247</v>
      </c>
      <c r="D7188" s="25" t="s">
        <v>18248</v>
      </c>
      <c r="E7188" s="26">
        <v>4.7699999999999996</v>
      </c>
    </row>
    <row r="7189" spans="1:5" x14ac:dyDescent="0.25">
      <c r="A7189" s="24" t="s">
        <v>7</v>
      </c>
      <c r="B7189" s="24" t="s">
        <v>18249</v>
      </c>
      <c r="C7189" s="25" t="s">
        <v>18250</v>
      </c>
      <c r="D7189" s="25" t="s">
        <v>16593</v>
      </c>
      <c r="E7189" s="26">
        <v>14.66</v>
      </c>
    </row>
    <row r="7190" spans="1:5" x14ac:dyDescent="0.25">
      <c r="A7190" s="24" t="s">
        <v>7</v>
      </c>
      <c r="B7190" s="24" t="s">
        <v>18251</v>
      </c>
      <c r="C7190" s="25" t="s">
        <v>17310</v>
      </c>
      <c r="D7190" s="25" t="s">
        <v>17310</v>
      </c>
      <c r="E7190" s="26">
        <v>11.4</v>
      </c>
    </row>
    <row r="7191" spans="1:5" x14ac:dyDescent="0.25">
      <c r="A7191" s="24" t="s">
        <v>7</v>
      </c>
      <c r="B7191" s="24" t="s">
        <v>18252</v>
      </c>
      <c r="C7191" s="25" t="s">
        <v>16284</v>
      </c>
      <c r="D7191" s="25" t="s">
        <v>16284</v>
      </c>
      <c r="E7191" s="26">
        <v>7.5</v>
      </c>
    </row>
    <row r="7192" spans="1:5" x14ac:dyDescent="0.25">
      <c r="A7192" s="24" t="s">
        <v>7</v>
      </c>
      <c r="B7192" s="24" t="s">
        <v>18253</v>
      </c>
      <c r="C7192" s="25" t="s">
        <v>16826</v>
      </c>
      <c r="D7192" s="25" t="s">
        <v>16268</v>
      </c>
      <c r="E7192" s="26">
        <v>6.7</v>
      </c>
    </row>
    <row r="7193" spans="1:5" x14ac:dyDescent="0.25">
      <c r="A7193" s="24" t="s">
        <v>7</v>
      </c>
      <c r="B7193" s="24" t="s">
        <v>18254</v>
      </c>
      <c r="C7193" s="25" t="s">
        <v>18255</v>
      </c>
      <c r="D7193" s="25" t="s">
        <v>16268</v>
      </c>
      <c r="E7193" s="26">
        <v>17.920000000000002</v>
      </c>
    </row>
    <row r="7194" spans="1:5" x14ac:dyDescent="0.25">
      <c r="A7194" s="24" t="s">
        <v>7</v>
      </c>
      <c r="B7194" s="24" t="s">
        <v>18256</v>
      </c>
      <c r="C7194" s="25" t="s">
        <v>17314</v>
      </c>
      <c r="D7194" s="25" t="s">
        <v>16304</v>
      </c>
      <c r="E7194" s="26">
        <v>15.75</v>
      </c>
    </row>
    <row r="7195" spans="1:5" x14ac:dyDescent="0.25">
      <c r="A7195" s="24" t="s">
        <v>7</v>
      </c>
      <c r="B7195" s="24" t="s">
        <v>18257</v>
      </c>
      <c r="C7195" s="25" t="s">
        <v>18258</v>
      </c>
      <c r="D7195" s="25" t="s">
        <v>16593</v>
      </c>
      <c r="E7195" s="26">
        <v>4.8899999999999997</v>
      </c>
    </row>
    <row r="7196" spans="1:5" x14ac:dyDescent="0.25">
      <c r="A7196" s="24" t="s">
        <v>7</v>
      </c>
      <c r="B7196" s="24" t="s">
        <v>18259</v>
      </c>
      <c r="C7196" s="25" t="s">
        <v>16303</v>
      </c>
      <c r="D7196" s="25" t="s">
        <v>16304</v>
      </c>
      <c r="E7196" s="26">
        <v>13.49</v>
      </c>
    </row>
    <row r="7197" spans="1:5" x14ac:dyDescent="0.25">
      <c r="A7197" s="24" t="s">
        <v>7</v>
      </c>
      <c r="B7197" s="24" t="s">
        <v>18260</v>
      </c>
      <c r="C7197" s="25" t="s">
        <v>18261</v>
      </c>
      <c r="D7197" s="25" t="s">
        <v>16593</v>
      </c>
      <c r="E7197" s="26">
        <v>4.88</v>
      </c>
    </row>
    <row r="7198" spans="1:5" x14ac:dyDescent="0.25">
      <c r="A7198" s="24" t="s">
        <v>7</v>
      </c>
      <c r="B7198" s="24" t="s">
        <v>18262</v>
      </c>
      <c r="C7198" s="25" t="s">
        <v>3679</v>
      </c>
      <c r="D7198" s="25" t="s">
        <v>3679</v>
      </c>
      <c r="E7198" s="26">
        <v>2.35</v>
      </c>
    </row>
    <row r="7199" spans="1:5" x14ac:dyDescent="0.25">
      <c r="A7199" s="24" t="s">
        <v>7</v>
      </c>
      <c r="B7199" s="24" t="s">
        <v>18263</v>
      </c>
      <c r="C7199" s="25" t="s">
        <v>16319</v>
      </c>
      <c r="D7199" s="25" t="s">
        <v>16320</v>
      </c>
      <c r="E7199" s="26">
        <v>6</v>
      </c>
    </row>
    <row r="7200" spans="1:5" x14ac:dyDescent="0.25">
      <c r="A7200" s="24" t="s">
        <v>7</v>
      </c>
      <c r="B7200" s="24" t="s">
        <v>18264</v>
      </c>
      <c r="C7200" s="25" t="s">
        <v>16322</v>
      </c>
      <c r="D7200" s="25" t="s">
        <v>16323</v>
      </c>
      <c r="E7200" s="26">
        <v>5</v>
      </c>
    </row>
    <row r="7201" spans="1:5" x14ac:dyDescent="0.25">
      <c r="A7201" s="24" t="s">
        <v>7</v>
      </c>
      <c r="B7201" s="24" t="s">
        <v>18265</v>
      </c>
      <c r="C7201" s="25" t="s">
        <v>16328</v>
      </c>
      <c r="D7201" s="25" t="s">
        <v>16329</v>
      </c>
      <c r="E7201" s="26">
        <v>2.35</v>
      </c>
    </row>
    <row r="7202" spans="1:5" x14ac:dyDescent="0.25">
      <c r="A7202" s="24" t="s">
        <v>7</v>
      </c>
      <c r="B7202" s="24" t="s">
        <v>18266</v>
      </c>
      <c r="C7202" s="25" t="s">
        <v>16331</v>
      </c>
      <c r="D7202" s="25" t="s">
        <v>16332</v>
      </c>
      <c r="E7202" s="26">
        <v>3.5</v>
      </c>
    </row>
    <row r="7203" spans="1:5" x14ac:dyDescent="0.25">
      <c r="A7203" s="24" t="s">
        <v>7</v>
      </c>
      <c r="B7203" s="24" t="s">
        <v>18267</v>
      </c>
      <c r="C7203" s="25" t="s">
        <v>16334</v>
      </c>
      <c r="D7203" s="25" t="s">
        <v>16335</v>
      </c>
      <c r="E7203" s="26">
        <v>2.82</v>
      </c>
    </row>
    <row r="7204" spans="1:5" x14ac:dyDescent="0.25">
      <c r="A7204" s="24" t="s">
        <v>7</v>
      </c>
      <c r="B7204" s="24" t="s">
        <v>18268</v>
      </c>
      <c r="C7204" s="25" t="s">
        <v>18269</v>
      </c>
      <c r="D7204" s="25" t="s">
        <v>18270</v>
      </c>
      <c r="E7204" s="26">
        <v>15</v>
      </c>
    </row>
    <row r="7205" spans="1:5" x14ac:dyDescent="0.25">
      <c r="A7205" s="24" t="s">
        <v>7</v>
      </c>
      <c r="B7205" s="24" t="s">
        <v>18271</v>
      </c>
      <c r="C7205" s="25" t="s">
        <v>16337</v>
      </c>
      <c r="D7205" s="25" t="s">
        <v>16338</v>
      </c>
      <c r="E7205" s="26">
        <v>10</v>
      </c>
    </row>
    <row r="7206" spans="1:5" x14ac:dyDescent="0.25">
      <c r="A7206" s="24" t="s">
        <v>7</v>
      </c>
      <c r="B7206" s="24" t="s">
        <v>18272</v>
      </c>
      <c r="C7206" s="25" t="s">
        <v>16343</v>
      </c>
      <c r="D7206" s="25" t="s">
        <v>16341</v>
      </c>
      <c r="E7206" s="26">
        <v>10</v>
      </c>
    </row>
    <row r="7207" spans="1:5" x14ac:dyDescent="0.25">
      <c r="A7207" s="24" t="s">
        <v>7</v>
      </c>
      <c r="B7207" s="24" t="s">
        <v>18273</v>
      </c>
      <c r="C7207" s="25" t="s">
        <v>16534</v>
      </c>
      <c r="D7207" s="25" t="s">
        <v>16535</v>
      </c>
      <c r="E7207" s="26">
        <v>4.7</v>
      </c>
    </row>
    <row r="7208" spans="1:5" x14ac:dyDescent="0.25">
      <c r="A7208" s="24" t="s">
        <v>7</v>
      </c>
      <c r="B7208" s="24" t="s">
        <v>18274</v>
      </c>
      <c r="C7208" s="25" t="s">
        <v>16345</v>
      </c>
      <c r="D7208" s="25" t="s">
        <v>16346</v>
      </c>
      <c r="E7208" s="26">
        <v>5.19</v>
      </c>
    </row>
    <row r="7209" spans="1:5" x14ac:dyDescent="0.25">
      <c r="A7209" s="24" t="s">
        <v>7</v>
      </c>
      <c r="B7209" s="24" t="s">
        <v>18275</v>
      </c>
      <c r="C7209" s="25" t="s">
        <v>16350</v>
      </c>
      <c r="D7209" s="25" t="s">
        <v>16284</v>
      </c>
      <c r="E7209" s="26">
        <v>7.9</v>
      </c>
    </row>
    <row r="7210" spans="1:5" x14ac:dyDescent="0.25">
      <c r="A7210" s="24" t="s">
        <v>7</v>
      </c>
      <c r="B7210" s="24" t="s">
        <v>18276</v>
      </c>
      <c r="C7210" s="25" t="s">
        <v>3686</v>
      </c>
      <c r="D7210" s="25" t="s">
        <v>3686</v>
      </c>
      <c r="E7210" s="26">
        <v>4.88</v>
      </c>
    </row>
    <row r="7211" spans="1:5" x14ac:dyDescent="0.25">
      <c r="A7211" s="24" t="s">
        <v>7</v>
      </c>
      <c r="B7211" s="24" t="s">
        <v>18277</v>
      </c>
      <c r="C7211" s="25" t="s">
        <v>18278</v>
      </c>
      <c r="D7211" s="25" t="s">
        <v>15789</v>
      </c>
      <c r="E7211" s="26">
        <v>2.82</v>
      </c>
    </row>
    <row r="7212" spans="1:5" x14ac:dyDescent="0.25">
      <c r="A7212" s="24" t="s">
        <v>7</v>
      </c>
      <c r="B7212" s="24" t="s">
        <v>18279</v>
      </c>
      <c r="C7212" s="25" t="s">
        <v>18280</v>
      </c>
      <c r="D7212" s="25" t="s">
        <v>15789</v>
      </c>
      <c r="E7212" s="26">
        <v>8.15</v>
      </c>
    </row>
    <row r="7213" spans="1:5" x14ac:dyDescent="0.25">
      <c r="A7213" s="24" t="s">
        <v>7</v>
      </c>
      <c r="B7213" s="24" t="s">
        <v>18281</v>
      </c>
      <c r="C7213" s="25" t="s">
        <v>18282</v>
      </c>
      <c r="D7213" s="25" t="s">
        <v>16356</v>
      </c>
      <c r="E7213" s="26">
        <v>70</v>
      </c>
    </row>
    <row r="7214" spans="1:5" x14ac:dyDescent="0.25">
      <c r="A7214" s="24" t="s">
        <v>7</v>
      </c>
      <c r="B7214" s="24" t="s">
        <v>18283</v>
      </c>
      <c r="C7214" s="25" t="s">
        <v>16716</v>
      </c>
      <c r="D7214" s="25" t="s">
        <v>16717</v>
      </c>
      <c r="E7214" s="26">
        <v>84.71</v>
      </c>
    </row>
    <row r="7215" spans="1:5" x14ac:dyDescent="0.25">
      <c r="A7215" s="24" t="s">
        <v>7</v>
      </c>
      <c r="B7215" s="24" t="s">
        <v>18284</v>
      </c>
      <c r="C7215" s="25" t="s">
        <v>18285</v>
      </c>
      <c r="D7215" s="25" t="s">
        <v>18285</v>
      </c>
      <c r="E7215" s="26">
        <v>6.11</v>
      </c>
    </row>
    <row r="7216" spans="1:5" x14ac:dyDescent="0.25">
      <c r="A7216" s="24" t="s">
        <v>7</v>
      </c>
      <c r="B7216" s="24" t="s">
        <v>18286</v>
      </c>
      <c r="C7216" s="25" t="s">
        <v>18287</v>
      </c>
      <c r="D7216" s="25" t="s">
        <v>3691</v>
      </c>
      <c r="E7216" s="26">
        <v>2.85</v>
      </c>
    </row>
    <row r="7217" spans="1:5" x14ac:dyDescent="0.25">
      <c r="A7217" s="24" t="s">
        <v>7</v>
      </c>
      <c r="B7217" s="24" t="s">
        <v>18288</v>
      </c>
      <c r="C7217" s="25" t="s">
        <v>16378</v>
      </c>
      <c r="D7217" s="25" t="s">
        <v>16379</v>
      </c>
      <c r="E7217" s="26">
        <v>16.18</v>
      </c>
    </row>
    <row r="7218" spans="1:5" x14ac:dyDescent="0.25">
      <c r="A7218" s="24" t="s">
        <v>7</v>
      </c>
      <c r="B7218" s="24" t="s">
        <v>18289</v>
      </c>
      <c r="C7218" s="25" t="s">
        <v>18290</v>
      </c>
      <c r="D7218" s="25" t="s">
        <v>18291</v>
      </c>
      <c r="E7218" s="26">
        <v>25.59</v>
      </c>
    </row>
    <row r="7219" spans="1:5" x14ac:dyDescent="0.25">
      <c r="A7219" s="24" t="s">
        <v>7</v>
      </c>
      <c r="B7219" s="24" t="s">
        <v>18292</v>
      </c>
      <c r="C7219" s="25" t="s">
        <v>18293</v>
      </c>
      <c r="D7219" s="25" t="s">
        <v>18294</v>
      </c>
      <c r="E7219" s="26">
        <v>22</v>
      </c>
    </row>
    <row r="7220" spans="1:5" x14ac:dyDescent="0.25">
      <c r="A7220" s="24" t="s">
        <v>7</v>
      </c>
      <c r="B7220" s="24" t="s">
        <v>18295</v>
      </c>
      <c r="C7220" s="25" t="s">
        <v>16371</v>
      </c>
      <c r="D7220" s="25" t="s">
        <v>16372</v>
      </c>
      <c r="E7220" s="26">
        <v>9</v>
      </c>
    </row>
    <row r="7221" spans="1:5" x14ac:dyDescent="0.25">
      <c r="A7221" s="24" t="s">
        <v>7</v>
      </c>
      <c r="B7221" s="24" t="s">
        <v>18296</v>
      </c>
      <c r="C7221" s="25" t="s">
        <v>18297</v>
      </c>
      <c r="D7221" s="25" t="s">
        <v>18291</v>
      </c>
      <c r="E7221" s="26">
        <v>20.11</v>
      </c>
    </row>
    <row r="7222" spans="1:5" x14ac:dyDescent="0.25">
      <c r="A7222" s="24" t="s">
        <v>7</v>
      </c>
      <c r="B7222" s="24" t="s">
        <v>18298</v>
      </c>
      <c r="C7222" s="25" t="s">
        <v>18299</v>
      </c>
      <c r="D7222" s="25" t="s">
        <v>18299</v>
      </c>
      <c r="E7222" s="26">
        <v>81.45</v>
      </c>
    </row>
    <row r="7223" spans="1:5" x14ac:dyDescent="0.25">
      <c r="A7223" s="24" t="s">
        <v>7</v>
      </c>
      <c r="B7223" s="24" t="s">
        <v>18300</v>
      </c>
      <c r="C7223" s="25" t="s">
        <v>16403</v>
      </c>
      <c r="D7223" s="25" t="s">
        <v>16404</v>
      </c>
      <c r="E7223" s="26">
        <v>50</v>
      </c>
    </row>
    <row r="7224" spans="1:5" x14ac:dyDescent="0.25">
      <c r="A7224" s="24" t="s">
        <v>7</v>
      </c>
      <c r="B7224" s="24" t="s">
        <v>18301</v>
      </c>
      <c r="C7224" s="25" t="s">
        <v>18302</v>
      </c>
      <c r="D7224" s="25" t="s">
        <v>16407</v>
      </c>
      <c r="E7224" s="26">
        <v>16.29</v>
      </c>
    </row>
    <row r="7225" spans="1:5" x14ac:dyDescent="0.25">
      <c r="A7225" s="24" t="s">
        <v>7</v>
      </c>
      <c r="B7225" s="24" t="s">
        <v>18303</v>
      </c>
      <c r="C7225" s="25" t="s">
        <v>3664</v>
      </c>
      <c r="D7225" s="25" t="s">
        <v>3665</v>
      </c>
      <c r="E7225" s="26">
        <v>6.92</v>
      </c>
    </row>
    <row r="7226" spans="1:5" x14ac:dyDescent="0.25">
      <c r="A7226" s="24" t="s">
        <v>7</v>
      </c>
      <c r="B7226" s="24" t="s">
        <v>18304</v>
      </c>
      <c r="C7226" s="25" t="s">
        <v>16415</v>
      </c>
      <c r="D7226" s="25" t="s">
        <v>16111</v>
      </c>
      <c r="E7226" s="26">
        <v>12.49</v>
      </c>
    </row>
    <row r="7227" spans="1:5" x14ac:dyDescent="0.25">
      <c r="A7227" s="24" t="s">
        <v>7</v>
      </c>
      <c r="B7227" s="24" t="s">
        <v>18305</v>
      </c>
      <c r="C7227" s="25" t="s">
        <v>18306</v>
      </c>
      <c r="D7227" s="25" t="s">
        <v>16111</v>
      </c>
      <c r="E7227" s="26">
        <v>4.8899999999999997</v>
      </c>
    </row>
    <row r="7228" spans="1:5" x14ac:dyDescent="0.25">
      <c r="A7228" s="24" t="s">
        <v>7</v>
      </c>
      <c r="B7228" s="24" t="s">
        <v>18307</v>
      </c>
      <c r="C7228" s="25" t="s">
        <v>18308</v>
      </c>
      <c r="D7228" s="25" t="s">
        <v>16253</v>
      </c>
      <c r="E7228" s="26">
        <v>5.95</v>
      </c>
    </row>
    <row r="7229" spans="1:5" x14ac:dyDescent="0.25">
      <c r="A7229" s="24" t="s">
        <v>7</v>
      </c>
      <c r="B7229" s="24" t="s">
        <v>18309</v>
      </c>
      <c r="C7229" s="25" t="s">
        <v>16422</v>
      </c>
      <c r="D7229" s="25" t="s">
        <v>16423</v>
      </c>
      <c r="E7229" s="26">
        <v>2.82</v>
      </c>
    </row>
    <row r="7230" spans="1:5" x14ac:dyDescent="0.25">
      <c r="A7230" s="24" t="s">
        <v>7</v>
      </c>
      <c r="B7230" s="24" t="s">
        <v>18310</v>
      </c>
      <c r="C7230" s="25" t="s">
        <v>16428</v>
      </c>
      <c r="D7230" s="25" t="s">
        <v>16423</v>
      </c>
      <c r="E7230" s="26">
        <v>2.82</v>
      </c>
    </row>
    <row r="7231" spans="1:5" x14ac:dyDescent="0.25">
      <c r="A7231" s="24" t="s">
        <v>7</v>
      </c>
      <c r="B7231" s="24" t="s">
        <v>18311</v>
      </c>
      <c r="C7231" s="25" t="s">
        <v>17317</v>
      </c>
      <c r="D7231" s="25" t="s">
        <v>16423</v>
      </c>
      <c r="E7231" s="26">
        <v>2.82</v>
      </c>
    </row>
    <row r="7232" spans="1:5" x14ac:dyDescent="0.25">
      <c r="A7232" s="24" t="s">
        <v>7</v>
      </c>
      <c r="B7232" s="24" t="s">
        <v>18312</v>
      </c>
      <c r="C7232" s="25" t="s">
        <v>18313</v>
      </c>
      <c r="D7232" s="25" t="s">
        <v>18314</v>
      </c>
      <c r="E7232" s="26">
        <v>36.65</v>
      </c>
    </row>
    <row r="7233" spans="1:5" x14ac:dyDescent="0.25">
      <c r="A7233" s="24" t="s">
        <v>7</v>
      </c>
      <c r="B7233" s="24" t="s">
        <v>18315</v>
      </c>
      <c r="C7233" s="25" t="s">
        <v>3703</v>
      </c>
      <c r="D7233" s="25" t="s">
        <v>3704</v>
      </c>
      <c r="E7233" s="26">
        <v>3</v>
      </c>
    </row>
    <row r="7234" spans="1:5" x14ac:dyDescent="0.25">
      <c r="A7234" s="24" t="s">
        <v>7</v>
      </c>
      <c r="B7234" s="24" t="s">
        <v>18316</v>
      </c>
      <c r="C7234" s="25" t="s">
        <v>16560</v>
      </c>
      <c r="D7234" s="25" t="s">
        <v>16560</v>
      </c>
      <c r="E7234" s="26">
        <v>8.98</v>
      </c>
    </row>
    <row r="7235" spans="1:5" x14ac:dyDescent="0.25">
      <c r="A7235" s="24" t="s">
        <v>7</v>
      </c>
      <c r="B7235" s="24" t="s">
        <v>18317</v>
      </c>
      <c r="C7235" s="25" t="s">
        <v>18318</v>
      </c>
      <c r="D7235" s="25" t="s">
        <v>18318</v>
      </c>
      <c r="E7235" s="26">
        <v>14.66</v>
      </c>
    </row>
    <row r="7236" spans="1:5" x14ac:dyDescent="0.25">
      <c r="A7236" s="24" t="s">
        <v>7</v>
      </c>
      <c r="B7236" s="24" t="s">
        <v>18319</v>
      </c>
      <c r="C7236" s="25" t="s">
        <v>18320</v>
      </c>
      <c r="D7236" s="25" t="s">
        <v>18320</v>
      </c>
      <c r="E7236" s="26">
        <v>41.21</v>
      </c>
    </row>
    <row r="7237" spans="1:5" x14ac:dyDescent="0.25">
      <c r="A7237" s="24" t="s">
        <v>7</v>
      </c>
      <c r="B7237" s="24" t="s">
        <v>18321</v>
      </c>
      <c r="C7237" s="25" t="s">
        <v>18322</v>
      </c>
      <c r="D7237" s="25" t="s">
        <v>18322</v>
      </c>
      <c r="E7237" s="26">
        <v>41.21</v>
      </c>
    </row>
    <row r="7238" spans="1:5" x14ac:dyDescent="0.25">
      <c r="A7238" s="24" t="s">
        <v>7</v>
      </c>
      <c r="B7238" s="24" t="s">
        <v>18323</v>
      </c>
      <c r="C7238" s="25" t="s">
        <v>18324</v>
      </c>
      <c r="D7238" s="25" t="s">
        <v>18324</v>
      </c>
      <c r="E7238" s="26">
        <v>26.48</v>
      </c>
    </row>
    <row r="7239" spans="1:5" x14ac:dyDescent="0.25">
      <c r="A7239" s="24" t="s">
        <v>7</v>
      </c>
      <c r="B7239" s="24" t="s">
        <v>18325</v>
      </c>
      <c r="C7239" s="25" t="s">
        <v>16221</v>
      </c>
      <c r="D7239" s="25" t="s">
        <v>16221</v>
      </c>
      <c r="E7239" s="26">
        <v>13.64</v>
      </c>
    </row>
    <row r="7240" spans="1:5" x14ac:dyDescent="0.25">
      <c r="A7240" s="24" t="s">
        <v>7</v>
      </c>
      <c r="B7240" s="24" t="s">
        <v>18326</v>
      </c>
      <c r="C7240" s="25" t="s">
        <v>3709</v>
      </c>
      <c r="D7240" s="25" t="s">
        <v>3710</v>
      </c>
      <c r="E7240" s="26">
        <v>1.63</v>
      </c>
    </row>
    <row r="7241" spans="1:5" x14ac:dyDescent="0.25">
      <c r="A7241" s="24" t="s">
        <v>7</v>
      </c>
      <c r="B7241" s="24" t="s">
        <v>18327</v>
      </c>
      <c r="C7241" s="25" t="s">
        <v>3712</v>
      </c>
      <c r="D7241" s="25" t="s">
        <v>3710</v>
      </c>
      <c r="E7241" s="26">
        <v>3</v>
      </c>
    </row>
    <row r="7242" spans="1:5" x14ac:dyDescent="0.25">
      <c r="A7242" s="24" t="s">
        <v>7</v>
      </c>
      <c r="B7242" s="24" t="s">
        <v>18328</v>
      </c>
      <c r="C7242" s="25" t="s">
        <v>16445</v>
      </c>
      <c r="D7242" s="25" t="s">
        <v>3710</v>
      </c>
      <c r="E7242" s="26">
        <v>3.26</v>
      </c>
    </row>
    <row r="7243" spans="1:5" x14ac:dyDescent="0.25">
      <c r="A7243" s="24" t="s">
        <v>7</v>
      </c>
      <c r="B7243" s="24" t="s">
        <v>18329</v>
      </c>
      <c r="C7243" s="25" t="s">
        <v>16447</v>
      </c>
      <c r="D7243" s="25" t="s">
        <v>3710</v>
      </c>
      <c r="E7243" s="26">
        <v>3.35</v>
      </c>
    </row>
    <row r="7244" spans="1:5" x14ac:dyDescent="0.25">
      <c r="A7244" s="24" t="s">
        <v>7</v>
      </c>
      <c r="B7244" s="24" t="s">
        <v>18330</v>
      </c>
      <c r="C7244" s="25" t="s">
        <v>18331</v>
      </c>
      <c r="D7244" s="25" t="s">
        <v>16456</v>
      </c>
      <c r="E7244" s="26">
        <v>27.9</v>
      </c>
    </row>
    <row r="7245" spans="1:5" x14ac:dyDescent="0.25">
      <c r="A7245" s="24" t="s">
        <v>7</v>
      </c>
      <c r="B7245" s="24" t="s">
        <v>18332</v>
      </c>
      <c r="C7245" s="25" t="s">
        <v>18333</v>
      </c>
      <c r="D7245" s="25" t="s">
        <v>18334</v>
      </c>
      <c r="E7245" s="26">
        <v>25.59</v>
      </c>
    </row>
    <row r="7246" spans="1:5" x14ac:dyDescent="0.25">
      <c r="A7246" s="24" t="s">
        <v>7</v>
      </c>
      <c r="B7246" s="24" t="s">
        <v>18335</v>
      </c>
      <c r="C7246" s="25" t="s">
        <v>18336</v>
      </c>
      <c r="D7246" s="25" t="s">
        <v>18334</v>
      </c>
      <c r="E7246" s="26">
        <v>25.59</v>
      </c>
    </row>
    <row r="7247" spans="1:5" x14ac:dyDescent="0.25">
      <c r="A7247" s="24" t="s">
        <v>7</v>
      </c>
      <c r="B7247" s="24" t="s">
        <v>18337</v>
      </c>
      <c r="C7247" s="25" t="s">
        <v>18338</v>
      </c>
      <c r="D7247" s="25" t="s">
        <v>18334</v>
      </c>
      <c r="E7247" s="26">
        <v>25.59</v>
      </c>
    </row>
    <row r="7248" spans="1:5" x14ac:dyDescent="0.25">
      <c r="A7248" s="24" t="s">
        <v>7</v>
      </c>
      <c r="B7248" s="24" t="s">
        <v>18339</v>
      </c>
      <c r="C7248" s="25" t="s">
        <v>17320</v>
      </c>
      <c r="D7248" s="25" t="s">
        <v>17320</v>
      </c>
      <c r="E7248" s="26">
        <v>25.59</v>
      </c>
    </row>
    <row r="7249" spans="1:5" x14ac:dyDescent="0.25">
      <c r="A7249" s="24" t="s">
        <v>7</v>
      </c>
      <c r="B7249" s="24" t="s">
        <v>18340</v>
      </c>
      <c r="C7249" s="25" t="s">
        <v>18341</v>
      </c>
      <c r="D7249" s="25" t="s">
        <v>18341</v>
      </c>
      <c r="E7249" s="26">
        <v>3.66</v>
      </c>
    </row>
    <row r="7250" spans="1:5" x14ac:dyDescent="0.25">
      <c r="A7250" s="24" t="s">
        <v>7</v>
      </c>
      <c r="B7250" s="24" t="s">
        <v>18342</v>
      </c>
      <c r="C7250" s="25" t="s">
        <v>18343</v>
      </c>
      <c r="D7250" s="25" t="s">
        <v>18343</v>
      </c>
      <c r="E7250" s="26">
        <v>3.66</v>
      </c>
    </row>
    <row r="7251" spans="1:5" x14ac:dyDescent="0.25">
      <c r="A7251" s="24" t="s">
        <v>7</v>
      </c>
      <c r="B7251" s="24" t="s">
        <v>18344</v>
      </c>
      <c r="C7251" s="25" t="s">
        <v>18345</v>
      </c>
      <c r="D7251" s="25" t="s">
        <v>18345</v>
      </c>
      <c r="E7251" s="26">
        <v>3.67</v>
      </c>
    </row>
    <row r="7252" spans="1:5" x14ac:dyDescent="0.25">
      <c r="A7252" s="24" t="s">
        <v>7</v>
      </c>
      <c r="B7252" s="24" t="s">
        <v>18346</v>
      </c>
      <c r="C7252" s="25" t="s">
        <v>18347</v>
      </c>
      <c r="D7252" s="25" t="s">
        <v>18347</v>
      </c>
      <c r="E7252" s="26">
        <v>3.67</v>
      </c>
    </row>
    <row r="7253" spans="1:5" x14ac:dyDescent="0.25">
      <c r="A7253" s="24" t="s">
        <v>7</v>
      </c>
      <c r="B7253" s="24" t="s">
        <v>18348</v>
      </c>
      <c r="C7253" s="25" t="s">
        <v>16374</v>
      </c>
      <c r="D7253" s="25" t="s">
        <v>15789</v>
      </c>
      <c r="E7253" s="26">
        <v>7.33</v>
      </c>
    </row>
    <row r="7254" spans="1:5" x14ac:dyDescent="0.25">
      <c r="A7254" s="24" t="s">
        <v>7</v>
      </c>
      <c r="B7254" s="24" t="s">
        <v>18349</v>
      </c>
      <c r="C7254" s="25" t="s">
        <v>18350</v>
      </c>
      <c r="D7254" s="25" t="s">
        <v>16284</v>
      </c>
      <c r="E7254" s="26">
        <v>18.73</v>
      </c>
    </row>
    <row r="7255" spans="1:5" x14ac:dyDescent="0.25">
      <c r="A7255" s="24" t="s">
        <v>7</v>
      </c>
      <c r="B7255" s="24" t="s">
        <v>18351</v>
      </c>
      <c r="C7255" s="25" t="s">
        <v>18352</v>
      </c>
      <c r="D7255" s="25" t="s">
        <v>16284</v>
      </c>
      <c r="E7255" s="26">
        <v>7.5</v>
      </c>
    </row>
    <row r="7256" spans="1:5" x14ac:dyDescent="0.25">
      <c r="A7256" s="24" t="s">
        <v>7</v>
      </c>
      <c r="B7256" s="24" t="s">
        <v>18353</v>
      </c>
      <c r="C7256" s="25" t="s">
        <v>18354</v>
      </c>
      <c r="D7256" s="25" t="s">
        <v>18355</v>
      </c>
      <c r="E7256" s="26">
        <v>139.91</v>
      </c>
    </row>
    <row r="7257" spans="1:5" x14ac:dyDescent="0.25">
      <c r="A7257" s="24" t="s">
        <v>7</v>
      </c>
      <c r="B7257" s="24" t="s">
        <v>18356</v>
      </c>
      <c r="C7257" s="25" t="s">
        <v>18357</v>
      </c>
      <c r="D7257" s="25" t="s">
        <v>18357</v>
      </c>
      <c r="E7257" s="26">
        <v>14.66</v>
      </c>
    </row>
    <row r="7258" spans="1:5" x14ac:dyDescent="0.25">
      <c r="A7258" s="24" t="s">
        <v>7</v>
      </c>
      <c r="B7258" s="24" t="s">
        <v>18358</v>
      </c>
      <c r="C7258" s="25" t="s">
        <v>18359</v>
      </c>
      <c r="D7258" s="25" t="s">
        <v>18359</v>
      </c>
      <c r="E7258" s="26">
        <v>12.74</v>
      </c>
    </row>
    <row r="7259" spans="1:5" x14ac:dyDescent="0.25">
      <c r="A7259" s="24" t="s">
        <v>7</v>
      </c>
      <c r="B7259" s="24" t="s">
        <v>18360</v>
      </c>
      <c r="C7259" s="25" t="s">
        <v>16465</v>
      </c>
      <c r="D7259" s="25" t="s">
        <v>16465</v>
      </c>
      <c r="E7259" s="26">
        <v>8.9600000000000009</v>
      </c>
    </row>
    <row r="7260" spans="1:5" x14ac:dyDescent="0.25">
      <c r="A7260" s="24" t="s">
        <v>7</v>
      </c>
      <c r="B7260" s="24" t="s">
        <v>18361</v>
      </c>
      <c r="C7260" s="25" t="s">
        <v>16413</v>
      </c>
      <c r="D7260" s="25" t="s">
        <v>16413</v>
      </c>
      <c r="E7260" s="26">
        <v>51.11</v>
      </c>
    </row>
    <row r="7261" spans="1:5" x14ac:dyDescent="0.25">
      <c r="A7261" s="24" t="s">
        <v>7</v>
      </c>
      <c r="B7261" s="24" t="s">
        <v>18362</v>
      </c>
      <c r="C7261" s="25" t="s">
        <v>18363</v>
      </c>
      <c r="D7261" s="25" t="s">
        <v>18363</v>
      </c>
      <c r="E7261" s="26">
        <v>11.28</v>
      </c>
    </row>
    <row r="7262" spans="1:5" x14ac:dyDescent="0.25">
      <c r="A7262" s="24" t="s">
        <v>7</v>
      </c>
      <c r="B7262" s="24" t="s">
        <v>18364</v>
      </c>
      <c r="C7262" s="25" t="s">
        <v>18365</v>
      </c>
      <c r="D7262" s="25" t="s">
        <v>18365</v>
      </c>
      <c r="E7262" s="26">
        <v>13.03</v>
      </c>
    </row>
    <row r="7263" spans="1:5" x14ac:dyDescent="0.25">
      <c r="A7263" s="24" t="s">
        <v>7</v>
      </c>
      <c r="B7263" s="24" t="s">
        <v>18366</v>
      </c>
      <c r="C7263" s="25" t="s">
        <v>15813</v>
      </c>
      <c r="D7263" s="25" t="s">
        <v>15288</v>
      </c>
      <c r="E7263" s="26">
        <v>27.81</v>
      </c>
    </row>
    <row r="7264" spans="1:5" x14ac:dyDescent="0.25">
      <c r="A7264" s="24" t="s">
        <v>7</v>
      </c>
      <c r="B7264" s="24" t="s">
        <v>18367</v>
      </c>
      <c r="C7264" s="25" t="s">
        <v>16476</v>
      </c>
      <c r="D7264" s="25" t="s">
        <v>16477</v>
      </c>
      <c r="E7264" s="26">
        <v>4.28</v>
      </c>
    </row>
    <row r="7265" spans="1:5" x14ac:dyDescent="0.25">
      <c r="A7265" s="24" t="s">
        <v>7</v>
      </c>
      <c r="B7265" s="24" t="s">
        <v>18368</v>
      </c>
      <c r="C7265" s="25" t="s">
        <v>18369</v>
      </c>
      <c r="D7265" s="25" t="s">
        <v>18370</v>
      </c>
      <c r="E7265" s="26">
        <v>4.8899999999999997</v>
      </c>
    </row>
    <row r="7266" spans="1:5" x14ac:dyDescent="0.25">
      <c r="A7266" s="24" t="s">
        <v>7</v>
      </c>
      <c r="B7266" s="24" t="s">
        <v>18371</v>
      </c>
      <c r="C7266" s="25" t="s">
        <v>16899</v>
      </c>
      <c r="D7266" s="25" t="s">
        <v>16900</v>
      </c>
      <c r="E7266" s="26">
        <v>11.03</v>
      </c>
    </row>
    <row r="7267" spans="1:5" x14ac:dyDescent="0.25">
      <c r="A7267" s="24" t="s">
        <v>7</v>
      </c>
      <c r="B7267" s="24" t="s">
        <v>18372</v>
      </c>
      <c r="C7267" s="25" t="s">
        <v>16570</v>
      </c>
      <c r="D7267" s="25" t="s">
        <v>16232</v>
      </c>
      <c r="E7267" s="26">
        <v>4.75</v>
      </c>
    </row>
    <row r="7268" spans="1:5" x14ac:dyDescent="0.25">
      <c r="A7268" s="24" t="s">
        <v>7</v>
      </c>
      <c r="B7268" s="24" t="s">
        <v>18373</v>
      </c>
      <c r="C7268" s="25" t="s">
        <v>18374</v>
      </c>
      <c r="D7268" s="25" t="s">
        <v>16232</v>
      </c>
      <c r="E7268" s="26">
        <v>4.75</v>
      </c>
    </row>
    <row r="7269" spans="1:5" x14ac:dyDescent="0.25">
      <c r="A7269" s="24" t="s">
        <v>7</v>
      </c>
      <c r="B7269" s="24" t="s">
        <v>18375</v>
      </c>
      <c r="C7269" s="25" t="s">
        <v>18376</v>
      </c>
      <c r="D7269" s="25" t="s">
        <v>16232</v>
      </c>
      <c r="E7269" s="26">
        <v>4.75</v>
      </c>
    </row>
    <row r="7270" spans="1:5" x14ac:dyDescent="0.25">
      <c r="A7270" s="24" t="s">
        <v>7</v>
      </c>
      <c r="B7270" s="24" t="s">
        <v>18377</v>
      </c>
      <c r="C7270" s="25" t="s">
        <v>18378</v>
      </c>
      <c r="D7270" s="25" t="s">
        <v>16232</v>
      </c>
      <c r="E7270" s="26">
        <v>4.75</v>
      </c>
    </row>
    <row r="7271" spans="1:5" x14ac:dyDescent="0.25">
      <c r="A7271" s="24" t="s">
        <v>7</v>
      </c>
      <c r="B7271" s="24" t="s">
        <v>18379</v>
      </c>
      <c r="C7271" s="25" t="s">
        <v>18380</v>
      </c>
      <c r="D7271" s="25" t="s">
        <v>16232</v>
      </c>
      <c r="E7271" s="26">
        <v>4.75</v>
      </c>
    </row>
    <row r="7272" spans="1:5" x14ac:dyDescent="0.25">
      <c r="A7272" s="24" t="s">
        <v>7</v>
      </c>
      <c r="B7272" s="24" t="s">
        <v>18381</v>
      </c>
      <c r="C7272" s="25" t="s">
        <v>18382</v>
      </c>
      <c r="D7272" s="25" t="s">
        <v>16232</v>
      </c>
      <c r="E7272" s="26">
        <v>4.75</v>
      </c>
    </row>
    <row r="7273" spans="1:5" x14ac:dyDescent="0.25">
      <c r="A7273" s="24" t="s">
        <v>7</v>
      </c>
      <c r="B7273" s="24" t="s">
        <v>18383</v>
      </c>
      <c r="C7273" s="25" t="s">
        <v>18384</v>
      </c>
      <c r="D7273" s="25" t="s">
        <v>16281</v>
      </c>
      <c r="E7273" s="26">
        <v>36</v>
      </c>
    </row>
    <row r="7274" spans="1:5" x14ac:dyDescent="0.25">
      <c r="A7274" s="24" t="s">
        <v>7</v>
      </c>
      <c r="B7274" s="24" t="s">
        <v>18385</v>
      </c>
      <c r="C7274" s="25" t="s">
        <v>18386</v>
      </c>
      <c r="D7274" s="25" t="s">
        <v>16281</v>
      </c>
      <c r="E7274" s="26">
        <v>27.9</v>
      </c>
    </row>
    <row r="7275" spans="1:5" x14ac:dyDescent="0.25">
      <c r="A7275" s="24" t="s">
        <v>7</v>
      </c>
      <c r="B7275" s="24" t="s">
        <v>18387</v>
      </c>
      <c r="C7275" s="25" t="s">
        <v>18388</v>
      </c>
      <c r="D7275" s="25" t="s">
        <v>16232</v>
      </c>
      <c r="E7275" s="26">
        <v>75.95</v>
      </c>
    </row>
    <row r="7276" spans="1:5" x14ac:dyDescent="0.25">
      <c r="A7276" s="24" t="s">
        <v>7</v>
      </c>
      <c r="B7276" s="24" t="s">
        <v>18389</v>
      </c>
      <c r="C7276" s="25" t="s">
        <v>18390</v>
      </c>
      <c r="D7276" s="25" t="s">
        <v>16232</v>
      </c>
      <c r="E7276" s="26">
        <v>75.95</v>
      </c>
    </row>
    <row r="7277" spans="1:5" x14ac:dyDescent="0.25">
      <c r="A7277" s="24" t="s">
        <v>7</v>
      </c>
      <c r="B7277" s="24" t="s">
        <v>18391</v>
      </c>
      <c r="C7277" s="25" t="s">
        <v>16510</v>
      </c>
      <c r="D7277" s="25" t="s">
        <v>16510</v>
      </c>
      <c r="E7277" s="26">
        <v>5.7</v>
      </c>
    </row>
    <row r="7278" spans="1:5" x14ac:dyDescent="0.25">
      <c r="A7278" s="24" t="s">
        <v>7</v>
      </c>
      <c r="B7278" s="24" t="s">
        <v>18392</v>
      </c>
      <c r="C7278" s="25" t="s">
        <v>16509</v>
      </c>
      <c r="D7278" s="25" t="s">
        <v>16510</v>
      </c>
      <c r="E7278" s="26">
        <v>5.7</v>
      </c>
    </row>
    <row r="7279" spans="1:5" x14ac:dyDescent="0.25">
      <c r="A7279" s="24" t="s">
        <v>7</v>
      </c>
      <c r="B7279" s="24" t="s">
        <v>18393</v>
      </c>
      <c r="C7279" s="25" t="s">
        <v>18394</v>
      </c>
      <c r="D7279" s="25" t="s">
        <v>18394</v>
      </c>
      <c r="E7279" s="26">
        <v>25.59</v>
      </c>
    </row>
    <row r="7280" spans="1:5" x14ac:dyDescent="0.25">
      <c r="A7280" s="24" t="s">
        <v>7</v>
      </c>
      <c r="B7280" s="24" t="s">
        <v>18395</v>
      </c>
      <c r="C7280" s="25" t="s">
        <v>16520</v>
      </c>
      <c r="D7280" s="25" t="s">
        <v>16338</v>
      </c>
      <c r="E7280" s="26">
        <v>14.96</v>
      </c>
    </row>
    <row r="7281" spans="1:5" x14ac:dyDescent="0.25">
      <c r="A7281" s="24" t="s">
        <v>7</v>
      </c>
      <c r="B7281" s="24" t="s">
        <v>18396</v>
      </c>
      <c r="C7281" s="25" t="s">
        <v>16522</v>
      </c>
      <c r="D7281" s="25" t="s">
        <v>16522</v>
      </c>
      <c r="E7281" s="26">
        <v>32.369999999999997</v>
      </c>
    </row>
    <row r="7282" spans="1:5" x14ac:dyDescent="0.25">
      <c r="A7282" s="24" t="s">
        <v>7</v>
      </c>
      <c r="B7282" s="24" t="s">
        <v>18397</v>
      </c>
      <c r="C7282" s="25" t="s">
        <v>18398</v>
      </c>
      <c r="D7282" s="25" t="s">
        <v>18398</v>
      </c>
      <c r="E7282" s="26">
        <v>16.190000000000001</v>
      </c>
    </row>
    <row r="7283" spans="1:5" x14ac:dyDescent="0.25">
      <c r="A7283" s="24" t="s">
        <v>7</v>
      </c>
      <c r="B7283" s="24" t="s">
        <v>18399</v>
      </c>
      <c r="C7283" s="25" t="s">
        <v>3721</v>
      </c>
      <c r="D7283" s="25" t="s">
        <v>3722</v>
      </c>
      <c r="E7283" s="26">
        <v>6.5</v>
      </c>
    </row>
    <row r="7284" spans="1:5" x14ac:dyDescent="0.25">
      <c r="A7284" s="24" t="s">
        <v>7</v>
      </c>
      <c r="B7284" s="24" t="s">
        <v>18400</v>
      </c>
      <c r="C7284" s="25" t="s">
        <v>18401</v>
      </c>
      <c r="D7284" s="25" t="s">
        <v>18402</v>
      </c>
      <c r="E7284" s="26">
        <v>5</v>
      </c>
    </row>
    <row r="7285" spans="1:5" x14ac:dyDescent="0.25">
      <c r="A7285" s="24" t="s">
        <v>7</v>
      </c>
      <c r="B7285" s="24" t="s">
        <v>18403</v>
      </c>
      <c r="C7285" s="25" t="s">
        <v>16325</v>
      </c>
      <c r="D7285" s="25" t="s">
        <v>16326</v>
      </c>
      <c r="E7285" s="26">
        <v>2.82</v>
      </c>
    </row>
    <row r="7286" spans="1:5" x14ac:dyDescent="0.25">
      <c r="A7286" s="24" t="s">
        <v>7</v>
      </c>
      <c r="B7286" s="24" t="s">
        <v>18404</v>
      </c>
      <c r="C7286" s="25" t="s">
        <v>16202</v>
      </c>
      <c r="D7286" s="25" t="s">
        <v>16202</v>
      </c>
      <c r="E7286" s="26">
        <v>7.34</v>
      </c>
    </row>
    <row r="7287" spans="1:5" x14ac:dyDescent="0.25">
      <c r="A7287" s="24" t="s">
        <v>7</v>
      </c>
      <c r="B7287" s="24" t="s">
        <v>18405</v>
      </c>
      <c r="C7287" s="25" t="s">
        <v>16312</v>
      </c>
      <c r="D7287" s="25" t="s">
        <v>16312</v>
      </c>
      <c r="E7287" s="26">
        <v>2.85</v>
      </c>
    </row>
    <row r="7288" spans="1:5" x14ac:dyDescent="0.25">
      <c r="A7288" s="24" t="s">
        <v>7</v>
      </c>
      <c r="B7288" s="24" t="s">
        <v>18406</v>
      </c>
      <c r="C7288" s="25" t="s">
        <v>16530</v>
      </c>
      <c r="D7288" s="25" t="s">
        <v>16530</v>
      </c>
      <c r="E7288" s="26">
        <v>27.75</v>
      </c>
    </row>
    <row r="7289" spans="1:5" x14ac:dyDescent="0.25">
      <c r="A7289" s="24" t="s">
        <v>7</v>
      </c>
      <c r="B7289" s="24" t="s">
        <v>18407</v>
      </c>
      <c r="C7289" s="25" t="s">
        <v>16532</v>
      </c>
      <c r="D7289" s="25" t="s">
        <v>16530</v>
      </c>
      <c r="E7289" s="26">
        <v>25.75</v>
      </c>
    </row>
    <row r="7290" spans="1:5" x14ac:dyDescent="0.25">
      <c r="A7290" s="24" t="s">
        <v>7</v>
      </c>
      <c r="B7290" s="24" t="s">
        <v>18408</v>
      </c>
      <c r="C7290" s="25" t="s">
        <v>18409</v>
      </c>
      <c r="D7290" s="25" t="s">
        <v>16219</v>
      </c>
      <c r="E7290" s="26">
        <v>18</v>
      </c>
    </row>
    <row r="7291" spans="1:5" x14ac:dyDescent="0.25">
      <c r="A7291" s="24" t="s">
        <v>7</v>
      </c>
      <c r="B7291" s="24" t="s">
        <v>18410</v>
      </c>
      <c r="C7291" s="25" t="s">
        <v>18411</v>
      </c>
      <c r="D7291" s="25" t="s">
        <v>16219</v>
      </c>
      <c r="E7291" s="26">
        <v>18</v>
      </c>
    </row>
    <row r="7292" spans="1:5" x14ac:dyDescent="0.25">
      <c r="A7292" s="24" t="s">
        <v>7</v>
      </c>
      <c r="B7292" s="24" t="s">
        <v>18412</v>
      </c>
      <c r="C7292" s="25" t="s">
        <v>16392</v>
      </c>
      <c r="D7292" s="25" t="s">
        <v>16393</v>
      </c>
      <c r="E7292" s="26">
        <v>23.4</v>
      </c>
    </row>
    <row r="7293" spans="1:5" x14ac:dyDescent="0.25">
      <c r="A7293" s="24" t="s">
        <v>7</v>
      </c>
      <c r="B7293" s="24" t="s">
        <v>18413</v>
      </c>
      <c r="C7293" s="25" t="s">
        <v>18414</v>
      </c>
      <c r="D7293" s="25" t="s">
        <v>18415</v>
      </c>
      <c r="E7293" s="26">
        <v>50</v>
      </c>
    </row>
    <row r="7294" spans="1:5" x14ac:dyDescent="0.25">
      <c r="A7294" s="24" t="s">
        <v>7</v>
      </c>
      <c r="B7294" s="24" t="s">
        <v>18416</v>
      </c>
      <c r="C7294" s="25" t="s">
        <v>16542</v>
      </c>
      <c r="D7294" s="25" t="s">
        <v>16542</v>
      </c>
      <c r="E7294" s="26">
        <v>2.44</v>
      </c>
    </row>
    <row r="7295" spans="1:5" x14ac:dyDescent="0.25">
      <c r="A7295" s="24" t="s">
        <v>7</v>
      </c>
      <c r="B7295" s="24" t="s">
        <v>18417</v>
      </c>
      <c r="C7295" s="25" t="s">
        <v>16548</v>
      </c>
      <c r="D7295" s="25" t="s">
        <v>16548</v>
      </c>
      <c r="E7295" s="26">
        <v>5.7</v>
      </c>
    </row>
    <row r="7296" spans="1:5" x14ac:dyDescent="0.25">
      <c r="A7296" s="24" t="s">
        <v>7</v>
      </c>
      <c r="B7296" s="24" t="s">
        <v>18418</v>
      </c>
      <c r="C7296" s="25" t="s">
        <v>18419</v>
      </c>
      <c r="D7296" s="25" t="s">
        <v>18419</v>
      </c>
      <c r="E7296" s="26">
        <v>5.7</v>
      </c>
    </row>
    <row r="7297" spans="1:5" x14ac:dyDescent="0.25">
      <c r="A7297" s="24" t="s">
        <v>7</v>
      </c>
      <c r="B7297" s="24" t="s">
        <v>18420</v>
      </c>
      <c r="C7297" s="25" t="s">
        <v>16552</v>
      </c>
      <c r="D7297" s="25" t="s">
        <v>16552</v>
      </c>
      <c r="E7297" s="26">
        <v>11.4</v>
      </c>
    </row>
    <row r="7298" spans="1:5" x14ac:dyDescent="0.25">
      <c r="A7298" s="24" t="s">
        <v>7</v>
      </c>
      <c r="B7298" s="24" t="s">
        <v>18421</v>
      </c>
      <c r="C7298" s="25" t="s">
        <v>18422</v>
      </c>
      <c r="D7298" s="25" t="s">
        <v>16538</v>
      </c>
      <c r="E7298" s="26">
        <v>10.59</v>
      </c>
    </row>
    <row r="7299" spans="1:5" x14ac:dyDescent="0.25">
      <c r="A7299" s="24" t="s">
        <v>7</v>
      </c>
      <c r="B7299" s="24" t="s">
        <v>18423</v>
      </c>
      <c r="C7299" s="25" t="s">
        <v>3724</v>
      </c>
      <c r="D7299" s="25" t="s">
        <v>3724</v>
      </c>
      <c r="E7299" s="26">
        <v>2.44</v>
      </c>
    </row>
    <row r="7300" spans="1:5" x14ac:dyDescent="0.25">
      <c r="A7300" s="24" t="s">
        <v>7</v>
      </c>
      <c r="B7300" s="24" t="s">
        <v>18424</v>
      </c>
      <c r="C7300" s="25" t="s">
        <v>16316</v>
      </c>
      <c r="D7300" s="25" t="s">
        <v>16316</v>
      </c>
      <c r="E7300" s="26">
        <v>7.49</v>
      </c>
    </row>
    <row r="7301" spans="1:5" x14ac:dyDescent="0.25">
      <c r="A7301" s="24" t="s">
        <v>7</v>
      </c>
      <c r="B7301" s="24" t="s">
        <v>18425</v>
      </c>
      <c r="C7301" s="25" t="s">
        <v>16606</v>
      </c>
      <c r="D7301" s="25" t="s">
        <v>16606</v>
      </c>
      <c r="E7301" s="26">
        <v>5.29</v>
      </c>
    </row>
    <row r="7302" spans="1:5" x14ac:dyDescent="0.25">
      <c r="A7302" s="24" t="s">
        <v>7</v>
      </c>
      <c r="B7302" s="24" t="s">
        <v>18426</v>
      </c>
      <c r="C7302" s="25" t="s">
        <v>18427</v>
      </c>
      <c r="D7302" s="25" t="s">
        <v>18428</v>
      </c>
      <c r="E7302" s="26">
        <v>5.96</v>
      </c>
    </row>
    <row r="7303" spans="1:5" x14ac:dyDescent="0.25">
      <c r="A7303" s="24" t="s">
        <v>7</v>
      </c>
      <c r="B7303" s="24" t="s">
        <v>18429</v>
      </c>
      <c r="C7303" s="25" t="s">
        <v>16437</v>
      </c>
      <c r="D7303" s="25" t="s">
        <v>16438</v>
      </c>
      <c r="E7303" s="26">
        <v>19</v>
      </c>
    </row>
    <row r="7304" spans="1:5" x14ac:dyDescent="0.25">
      <c r="A7304" s="24" t="s">
        <v>7</v>
      </c>
      <c r="B7304" s="24" t="s">
        <v>18430</v>
      </c>
      <c r="C7304" s="25" t="s">
        <v>16431</v>
      </c>
      <c r="D7304" s="25" t="s">
        <v>16432</v>
      </c>
      <c r="E7304" s="26">
        <v>19</v>
      </c>
    </row>
    <row r="7305" spans="1:5" x14ac:dyDescent="0.25">
      <c r="A7305" s="24" t="s">
        <v>7</v>
      </c>
      <c r="B7305" s="24" t="s">
        <v>18431</v>
      </c>
      <c r="C7305" s="25" t="s">
        <v>16434</v>
      </c>
      <c r="D7305" s="25" t="s">
        <v>16435</v>
      </c>
      <c r="E7305" s="26">
        <v>19</v>
      </c>
    </row>
    <row r="7306" spans="1:5" x14ac:dyDescent="0.25">
      <c r="A7306" s="24" t="s">
        <v>7</v>
      </c>
      <c r="B7306" s="24" t="s">
        <v>18432</v>
      </c>
      <c r="C7306" s="25" t="s">
        <v>16308</v>
      </c>
      <c r="D7306" s="25" t="s">
        <v>16304</v>
      </c>
      <c r="E7306" s="26">
        <v>3.46</v>
      </c>
    </row>
    <row r="7307" spans="1:5" x14ac:dyDescent="0.25">
      <c r="A7307" s="24" t="s">
        <v>7</v>
      </c>
      <c r="B7307" s="24" t="s">
        <v>18433</v>
      </c>
      <c r="C7307" s="25" t="s">
        <v>16572</v>
      </c>
      <c r="D7307" s="25" t="s">
        <v>16304</v>
      </c>
      <c r="E7307" s="26">
        <v>15.75</v>
      </c>
    </row>
    <row r="7308" spans="1:5" x14ac:dyDescent="0.25">
      <c r="A7308" s="24" t="s">
        <v>7</v>
      </c>
      <c r="B7308" s="24" t="s">
        <v>18434</v>
      </c>
      <c r="C7308" s="25" t="s">
        <v>16579</v>
      </c>
      <c r="D7308" s="25" t="s">
        <v>16438</v>
      </c>
      <c r="E7308" s="26">
        <v>19</v>
      </c>
    </row>
    <row r="7309" spans="1:5" x14ac:dyDescent="0.25">
      <c r="A7309" s="24" t="s">
        <v>7</v>
      </c>
      <c r="B7309" s="24" t="s">
        <v>18435</v>
      </c>
      <c r="C7309" s="25" t="s">
        <v>16583</v>
      </c>
      <c r="D7309" s="25" t="s">
        <v>16584</v>
      </c>
      <c r="E7309" s="26">
        <v>40.25</v>
      </c>
    </row>
    <row r="7310" spans="1:5" x14ac:dyDescent="0.25">
      <c r="A7310" s="24" t="s">
        <v>7</v>
      </c>
      <c r="B7310" s="24" t="s">
        <v>18436</v>
      </c>
      <c r="C7310" s="25" t="s">
        <v>18437</v>
      </c>
      <c r="D7310" s="25" t="s">
        <v>18438</v>
      </c>
      <c r="E7310" s="26">
        <v>13.85</v>
      </c>
    </row>
    <row r="7311" spans="1:5" x14ac:dyDescent="0.25">
      <c r="A7311" s="24" t="s">
        <v>7</v>
      </c>
      <c r="B7311" s="24" t="s">
        <v>18439</v>
      </c>
      <c r="C7311" s="25" t="s">
        <v>16574</v>
      </c>
      <c r="D7311" s="25" t="s">
        <v>16575</v>
      </c>
      <c r="E7311" s="26">
        <v>71.680000000000007</v>
      </c>
    </row>
    <row r="7312" spans="1:5" x14ac:dyDescent="0.25">
      <c r="A7312" s="24" t="s">
        <v>7</v>
      </c>
      <c r="B7312" s="24" t="s">
        <v>18440</v>
      </c>
      <c r="C7312" s="25" t="s">
        <v>18441</v>
      </c>
      <c r="D7312" s="25" t="s">
        <v>18442</v>
      </c>
      <c r="E7312" s="26">
        <v>6.74</v>
      </c>
    </row>
    <row r="7313" spans="1:5" x14ac:dyDescent="0.25">
      <c r="A7313" s="24" t="s">
        <v>7</v>
      </c>
      <c r="B7313" s="24" t="s">
        <v>18443</v>
      </c>
      <c r="C7313" s="25" t="s">
        <v>18444</v>
      </c>
      <c r="D7313" s="25" t="s">
        <v>18445</v>
      </c>
      <c r="E7313" s="26">
        <v>4.8899999999999997</v>
      </c>
    </row>
    <row r="7314" spans="1:5" x14ac:dyDescent="0.25">
      <c r="A7314" s="24" t="s">
        <v>7</v>
      </c>
      <c r="B7314" s="24" t="s">
        <v>18446</v>
      </c>
      <c r="C7314" s="25" t="s">
        <v>18447</v>
      </c>
      <c r="D7314" s="25" t="s">
        <v>18448</v>
      </c>
      <c r="E7314" s="26">
        <v>7.5</v>
      </c>
    </row>
    <row r="7315" spans="1:5" x14ac:dyDescent="0.25">
      <c r="A7315" s="24" t="s">
        <v>7</v>
      </c>
      <c r="B7315" s="24" t="s">
        <v>18449</v>
      </c>
      <c r="C7315" s="25" t="s">
        <v>18450</v>
      </c>
      <c r="D7315" s="25" t="s">
        <v>16596</v>
      </c>
      <c r="E7315" s="26">
        <v>16</v>
      </c>
    </row>
    <row r="7316" spans="1:5" x14ac:dyDescent="0.25">
      <c r="A7316" s="24" t="s">
        <v>7</v>
      </c>
      <c r="B7316" s="24" t="s">
        <v>18451</v>
      </c>
      <c r="C7316" s="25" t="s">
        <v>15240</v>
      </c>
      <c r="D7316" s="25" t="s">
        <v>15241</v>
      </c>
      <c r="E7316" s="26">
        <v>4.7</v>
      </c>
    </row>
    <row r="7317" spans="1:5" x14ac:dyDescent="0.25">
      <c r="A7317" s="24" t="s">
        <v>7</v>
      </c>
      <c r="B7317" s="24" t="s">
        <v>18452</v>
      </c>
      <c r="C7317" s="25" t="s">
        <v>18453</v>
      </c>
      <c r="D7317" s="25" t="s">
        <v>18453</v>
      </c>
      <c r="E7317" s="26">
        <v>7.33</v>
      </c>
    </row>
    <row r="7318" spans="1:5" x14ac:dyDescent="0.25">
      <c r="A7318" s="24" t="s">
        <v>7</v>
      </c>
      <c r="B7318" s="24" t="s">
        <v>18454</v>
      </c>
      <c r="C7318" s="25" t="s">
        <v>16602</v>
      </c>
      <c r="D7318" s="25" t="s">
        <v>16602</v>
      </c>
      <c r="E7318" s="26">
        <v>9.77</v>
      </c>
    </row>
    <row r="7319" spans="1:5" x14ac:dyDescent="0.25">
      <c r="A7319" s="24" t="s">
        <v>7</v>
      </c>
      <c r="B7319" s="24" t="s">
        <v>18455</v>
      </c>
      <c r="C7319" s="25" t="s">
        <v>16890</v>
      </c>
      <c r="D7319" s="25" t="s">
        <v>16891</v>
      </c>
      <c r="E7319" s="26">
        <v>5.83</v>
      </c>
    </row>
    <row r="7320" spans="1:5" x14ac:dyDescent="0.25">
      <c r="A7320" s="24" t="s">
        <v>7</v>
      </c>
      <c r="B7320" s="24" t="s">
        <v>18456</v>
      </c>
      <c r="C7320" s="25" t="s">
        <v>3729</v>
      </c>
      <c r="D7320" s="25" t="s">
        <v>3730</v>
      </c>
      <c r="E7320" s="26">
        <v>7.33</v>
      </c>
    </row>
    <row r="7321" spans="1:5" x14ac:dyDescent="0.25">
      <c r="A7321" s="24" t="s">
        <v>7</v>
      </c>
      <c r="B7321" s="24" t="s">
        <v>18457</v>
      </c>
      <c r="C7321" s="25" t="s">
        <v>16609</v>
      </c>
      <c r="D7321" s="25" t="s">
        <v>16609</v>
      </c>
      <c r="E7321" s="26">
        <v>16.489999999999998</v>
      </c>
    </row>
    <row r="7322" spans="1:5" x14ac:dyDescent="0.25">
      <c r="A7322" s="24" t="s">
        <v>7</v>
      </c>
      <c r="B7322" s="24" t="s">
        <v>18458</v>
      </c>
      <c r="C7322" s="25" t="s">
        <v>18459</v>
      </c>
      <c r="D7322" s="25" t="s">
        <v>18459</v>
      </c>
      <c r="E7322" s="26">
        <v>14.99</v>
      </c>
    </row>
    <row r="7323" spans="1:5" x14ac:dyDescent="0.25">
      <c r="A7323" s="24" t="s">
        <v>7</v>
      </c>
      <c r="B7323" s="24" t="s">
        <v>18460</v>
      </c>
      <c r="C7323" s="25" t="s">
        <v>18461</v>
      </c>
      <c r="D7323" s="25" t="s">
        <v>16612</v>
      </c>
      <c r="E7323" s="26">
        <v>4.53</v>
      </c>
    </row>
    <row r="7324" spans="1:5" x14ac:dyDescent="0.25">
      <c r="A7324" s="24" t="s">
        <v>7</v>
      </c>
      <c r="B7324" s="24" t="s">
        <v>18462</v>
      </c>
      <c r="C7324" s="25" t="s">
        <v>18463</v>
      </c>
      <c r="D7324" s="25" t="s">
        <v>16612</v>
      </c>
      <c r="E7324" s="26">
        <v>4.54</v>
      </c>
    </row>
    <row r="7325" spans="1:5" x14ac:dyDescent="0.25">
      <c r="A7325" s="24" t="s">
        <v>7</v>
      </c>
      <c r="B7325" s="24" t="s">
        <v>18464</v>
      </c>
      <c r="C7325" s="25" t="s">
        <v>16600</v>
      </c>
      <c r="D7325" s="25" t="s">
        <v>16600</v>
      </c>
      <c r="E7325" s="26">
        <v>12.74</v>
      </c>
    </row>
    <row r="7326" spans="1:5" x14ac:dyDescent="0.25">
      <c r="A7326" s="24" t="s">
        <v>7</v>
      </c>
      <c r="B7326" s="24" t="s">
        <v>18465</v>
      </c>
      <c r="C7326" s="25" t="s">
        <v>18466</v>
      </c>
      <c r="D7326" s="25" t="s">
        <v>3742</v>
      </c>
      <c r="E7326" s="26">
        <v>16</v>
      </c>
    </row>
    <row r="7327" spans="1:5" x14ac:dyDescent="0.25">
      <c r="A7327" s="24" t="s">
        <v>7</v>
      </c>
      <c r="B7327" s="24" t="s">
        <v>18467</v>
      </c>
      <c r="C7327" s="25" t="s">
        <v>18468</v>
      </c>
      <c r="D7327" s="25" t="s">
        <v>18469</v>
      </c>
      <c r="E7327" s="26">
        <v>9.64</v>
      </c>
    </row>
    <row r="7328" spans="1:5" x14ac:dyDescent="0.25">
      <c r="A7328" s="24" t="s">
        <v>7</v>
      </c>
      <c r="B7328" s="24" t="s">
        <v>18470</v>
      </c>
      <c r="C7328" s="25" t="s">
        <v>18471</v>
      </c>
      <c r="D7328" s="25" t="s">
        <v>16636</v>
      </c>
      <c r="E7328" s="26">
        <v>16.29</v>
      </c>
    </row>
    <row r="7329" spans="1:5" x14ac:dyDescent="0.25">
      <c r="A7329" s="24" t="s">
        <v>7</v>
      </c>
      <c r="B7329" s="24" t="s">
        <v>18472</v>
      </c>
      <c r="C7329" s="25" t="s">
        <v>16638</v>
      </c>
      <c r="D7329" s="25" t="s">
        <v>16639</v>
      </c>
      <c r="E7329" s="26">
        <v>10</v>
      </c>
    </row>
    <row r="7330" spans="1:5" x14ac:dyDescent="0.25">
      <c r="A7330" s="24" t="s">
        <v>7</v>
      </c>
      <c r="B7330" s="24" t="s">
        <v>18473</v>
      </c>
      <c r="C7330" s="25" t="s">
        <v>18474</v>
      </c>
      <c r="D7330" s="25" t="s">
        <v>16636</v>
      </c>
      <c r="E7330" s="26">
        <v>16.29</v>
      </c>
    </row>
    <row r="7331" spans="1:5" x14ac:dyDescent="0.25">
      <c r="A7331" s="24" t="s">
        <v>7</v>
      </c>
      <c r="B7331" s="24" t="s">
        <v>18475</v>
      </c>
      <c r="C7331" s="25" t="s">
        <v>3832</v>
      </c>
      <c r="D7331" s="25" t="s">
        <v>3833</v>
      </c>
      <c r="E7331" s="26">
        <v>7</v>
      </c>
    </row>
    <row r="7332" spans="1:5" x14ac:dyDescent="0.25">
      <c r="A7332" s="24" t="s">
        <v>7</v>
      </c>
      <c r="B7332" s="24" t="s">
        <v>18476</v>
      </c>
      <c r="C7332" s="25" t="s">
        <v>16852</v>
      </c>
      <c r="D7332" s="25" t="s">
        <v>16853</v>
      </c>
      <c r="E7332" s="26">
        <v>10</v>
      </c>
    </row>
    <row r="7333" spans="1:5" x14ac:dyDescent="0.25">
      <c r="A7333" s="24" t="s">
        <v>7</v>
      </c>
      <c r="B7333" s="24" t="s">
        <v>18477</v>
      </c>
      <c r="C7333" s="25" t="s">
        <v>18478</v>
      </c>
      <c r="D7333" s="25" t="s">
        <v>3851</v>
      </c>
      <c r="E7333" s="26">
        <v>20.36</v>
      </c>
    </row>
    <row r="7334" spans="1:5" x14ac:dyDescent="0.25">
      <c r="A7334" s="24" t="s">
        <v>7</v>
      </c>
      <c r="B7334" s="24" t="s">
        <v>18479</v>
      </c>
      <c r="C7334" s="25" t="s">
        <v>3855</v>
      </c>
      <c r="D7334" s="25" t="s">
        <v>3856</v>
      </c>
      <c r="E7334" s="26">
        <v>4</v>
      </c>
    </row>
    <row r="7335" spans="1:5" x14ac:dyDescent="0.25">
      <c r="A7335" s="24" t="s">
        <v>7</v>
      </c>
      <c r="B7335" s="24" t="s">
        <v>18480</v>
      </c>
      <c r="C7335" s="25" t="s">
        <v>18481</v>
      </c>
      <c r="D7335" s="25" t="s">
        <v>3856</v>
      </c>
      <c r="E7335" s="26">
        <v>4</v>
      </c>
    </row>
    <row r="7336" spans="1:5" x14ac:dyDescent="0.25">
      <c r="A7336" s="24" t="s">
        <v>7</v>
      </c>
      <c r="B7336" s="24" t="s">
        <v>18482</v>
      </c>
      <c r="C7336" s="25" t="s">
        <v>17282</v>
      </c>
      <c r="D7336" s="25" t="s">
        <v>17282</v>
      </c>
      <c r="E7336" s="26">
        <v>10.49</v>
      </c>
    </row>
    <row r="7337" spans="1:5" x14ac:dyDescent="0.25">
      <c r="A7337" s="24" t="s">
        <v>7</v>
      </c>
      <c r="B7337" s="24" t="s">
        <v>18483</v>
      </c>
      <c r="C7337" s="25" t="s">
        <v>3875</v>
      </c>
      <c r="D7337" s="25" t="s">
        <v>3876</v>
      </c>
      <c r="E7337" s="26">
        <v>3.6</v>
      </c>
    </row>
    <row r="7338" spans="1:5" x14ac:dyDescent="0.25">
      <c r="A7338" s="24" t="s">
        <v>7</v>
      </c>
      <c r="B7338" s="24" t="s">
        <v>18484</v>
      </c>
      <c r="C7338" s="25" t="s">
        <v>18485</v>
      </c>
      <c r="D7338" s="25" t="s">
        <v>3867</v>
      </c>
      <c r="E7338" s="26">
        <v>7</v>
      </c>
    </row>
    <row r="7339" spans="1:5" x14ac:dyDescent="0.25">
      <c r="A7339" s="24" t="s">
        <v>7</v>
      </c>
      <c r="B7339" s="24" t="s">
        <v>18486</v>
      </c>
      <c r="C7339" s="25" t="s">
        <v>16647</v>
      </c>
      <c r="D7339" s="25" t="s">
        <v>16631</v>
      </c>
      <c r="E7339" s="26">
        <v>21.99</v>
      </c>
    </row>
    <row r="7340" spans="1:5" x14ac:dyDescent="0.25">
      <c r="A7340" s="24" t="s">
        <v>7</v>
      </c>
      <c r="B7340" s="24" t="s">
        <v>18487</v>
      </c>
      <c r="C7340" s="25" t="s">
        <v>16885</v>
      </c>
      <c r="D7340" s="25" t="s">
        <v>16631</v>
      </c>
      <c r="E7340" s="26">
        <v>30</v>
      </c>
    </row>
    <row r="7341" spans="1:5" x14ac:dyDescent="0.25">
      <c r="A7341" s="24" t="s">
        <v>7</v>
      </c>
      <c r="B7341" s="24" t="s">
        <v>18488</v>
      </c>
      <c r="C7341" s="25" t="s">
        <v>18489</v>
      </c>
      <c r="D7341" s="25" t="s">
        <v>16652</v>
      </c>
      <c r="E7341" s="26">
        <v>20.36</v>
      </c>
    </row>
    <row r="7342" spans="1:5" x14ac:dyDescent="0.25">
      <c r="A7342" s="24" t="s">
        <v>7</v>
      </c>
      <c r="B7342" s="24" t="s">
        <v>18490</v>
      </c>
      <c r="C7342" s="25" t="s">
        <v>18491</v>
      </c>
      <c r="D7342" s="25" t="s">
        <v>18492</v>
      </c>
      <c r="E7342" s="26">
        <v>20.37</v>
      </c>
    </row>
    <row r="7343" spans="1:5" x14ac:dyDescent="0.25">
      <c r="A7343" s="24" t="s">
        <v>7</v>
      </c>
      <c r="B7343" s="24" t="s">
        <v>18493</v>
      </c>
      <c r="C7343" s="25" t="s">
        <v>16654</v>
      </c>
      <c r="D7343" s="25" t="s">
        <v>16655</v>
      </c>
      <c r="E7343" s="26">
        <v>17</v>
      </c>
    </row>
    <row r="7344" spans="1:5" x14ac:dyDescent="0.25">
      <c r="A7344" s="24" t="s">
        <v>7</v>
      </c>
      <c r="B7344" s="24" t="s">
        <v>18494</v>
      </c>
      <c r="C7344" s="25" t="s">
        <v>16663</v>
      </c>
      <c r="D7344" s="25" t="s">
        <v>16664</v>
      </c>
      <c r="E7344" s="26">
        <v>9.42</v>
      </c>
    </row>
    <row r="7345" spans="1:5" x14ac:dyDescent="0.25">
      <c r="A7345" s="24" t="s">
        <v>7</v>
      </c>
      <c r="B7345" s="24" t="s">
        <v>18495</v>
      </c>
      <c r="C7345" s="25" t="s">
        <v>16666</v>
      </c>
      <c r="D7345" s="25" t="s">
        <v>16667</v>
      </c>
      <c r="E7345" s="26">
        <v>9.42</v>
      </c>
    </row>
    <row r="7346" spans="1:5" x14ac:dyDescent="0.25">
      <c r="A7346" s="24" t="s">
        <v>7</v>
      </c>
      <c r="B7346" s="24" t="s">
        <v>18496</v>
      </c>
      <c r="C7346" s="25" t="s">
        <v>18497</v>
      </c>
      <c r="D7346" s="25" t="s">
        <v>16670</v>
      </c>
      <c r="E7346" s="26">
        <v>16.649999999999999</v>
      </c>
    </row>
    <row r="7347" spans="1:5" x14ac:dyDescent="0.25">
      <c r="A7347" s="24" t="s">
        <v>7</v>
      </c>
      <c r="B7347" s="24" t="s">
        <v>18498</v>
      </c>
      <c r="C7347" s="25" t="s">
        <v>16807</v>
      </c>
      <c r="D7347" s="25" t="s">
        <v>16807</v>
      </c>
      <c r="E7347" s="26">
        <v>9.42</v>
      </c>
    </row>
    <row r="7348" spans="1:5" x14ac:dyDescent="0.25">
      <c r="A7348" s="24" t="s">
        <v>7</v>
      </c>
      <c r="B7348" s="24" t="s">
        <v>18499</v>
      </c>
      <c r="C7348" s="25" t="s">
        <v>18500</v>
      </c>
      <c r="D7348" s="25" t="s">
        <v>18501</v>
      </c>
      <c r="E7348" s="26">
        <v>32.58</v>
      </c>
    </row>
    <row r="7349" spans="1:5" x14ac:dyDescent="0.25">
      <c r="A7349" s="24" t="s">
        <v>7</v>
      </c>
      <c r="B7349" s="24" t="s">
        <v>18502</v>
      </c>
      <c r="C7349" s="25" t="s">
        <v>16798</v>
      </c>
      <c r="D7349" s="25" t="s">
        <v>16799</v>
      </c>
      <c r="E7349" s="26">
        <v>9.42</v>
      </c>
    </row>
    <row r="7350" spans="1:5" x14ac:dyDescent="0.25">
      <c r="A7350" s="24" t="s">
        <v>7</v>
      </c>
      <c r="B7350" s="24" t="s">
        <v>18503</v>
      </c>
      <c r="C7350" s="25" t="s">
        <v>18504</v>
      </c>
      <c r="D7350" s="25" t="s">
        <v>16675</v>
      </c>
      <c r="E7350" s="26">
        <v>9.41</v>
      </c>
    </row>
    <row r="7351" spans="1:5" x14ac:dyDescent="0.25">
      <c r="A7351" s="24" t="s">
        <v>7</v>
      </c>
      <c r="B7351" s="24" t="s">
        <v>18505</v>
      </c>
      <c r="C7351" s="25" t="s">
        <v>18506</v>
      </c>
      <c r="D7351" s="25" t="s">
        <v>18506</v>
      </c>
      <c r="E7351" s="26">
        <v>12.22</v>
      </c>
    </row>
    <row r="7352" spans="1:5" x14ac:dyDescent="0.25">
      <c r="A7352" s="24" t="s">
        <v>7</v>
      </c>
      <c r="B7352" s="24" t="s">
        <v>18507</v>
      </c>
      <c r="C7352" s="25" t="s">
        <v>15390</v>
      </c>
      <c r="D7352" s="25" t="s">
        <v>15390</v>
      </c>
      <c r="E7352" s="26">
        <v>59.5</v>
      </c>
    </row>
    <row r="7353" spans="1:5" x14ac:dyDescent="0.25">
      <c r="A7353" s="24" t="s">
        <v>7</v>
      </c>
      <c r="B7353" s="24" t="s">
        <v>18508</v>
      </c>
      <c r="C7353" s="25" t="s">
        <v>16683</v>
      </c>
      <c r="D7353" s="25" t="s">
        <v>16684</v>
      </c>
      <c r="E7353" s="26">
        <v>30</v>
      </c>
    </row>
    <row r="7354" spans="1:5" x14ac:dyDescent="0.25">
      <c r="A7354" s="24" t="s">
        <v>7</v>
      </c>
      <c r="B7354" s="24" t="s">
        <v>18509</v>
      </c>
      <c r="C7354" s="25" t="s">
        <v>15392</v>
      </c>
      <c r="D7354" s="25" t="s">
        <v>15393</v>
      </c>
      <c r="E7354" s="26">
        <v>27</v>
      </c>
    </row>
    <row r="7355" spans="1:5" x14ac:dyDescent="0.25">
      <c r="A7355" s="24" t="s">
        <v>7</v>
      </c>
      <c r="B7355" s="24" t="s">
        <v>18510</v>
      </c>
      <c r="C7355" s="25" t="s">
        <v>16686</v>
      </c>
      <c r="D7355" s="25" t="s">
        <v>16687</v>
      </c>
      <c r="E7355" s="26">
        <v>65</v>
      </c>
    </row>
    <row r="7356" spans="1:5" x14ac:dyDescent="0.25">
      <c r="A7356" s="24" t="s">
        <v>7</v>
      </c>
      <c r="B7356" s="24" t="s">
        <v>18511</v>
      </c>
      <c r="C7356" s="25" t="s">
        <v>16691</v>
      </c>
      <c r="D7356" s="25" t="s">
        <v>16692</v>
      </c>
      <c r="E7356" s="26">
        <v>6.95</v>
      </c>
    </row>
    <row r="7357" spans="1:5" x14ac:dyDescent="0.25">
      <c r="A7357" s="24" t="s">
        <v>7</v>
      </c>
      <c r="B7357" s="24" t="s">
        <v>18512</v>
      </c>
      <c r="C7357" s="25" t="s">
        <v>18513</v>
      </c>
      <c r="D7357" s="25" t="s">
        <v>16219</v>
      </c>
      <c r="E7357" s="26">
        <v>18</v>
      </c>
    </row>
    <row r="7358" spans="1:5" x14ac:dyDescent="0.25">
      <c r="A7358" s="24" t="s">
        <v>7</v>
      </c>
      <c r="B7358" s="24" t="s">
        <v>18514</v>
      </c>
      <c r="C7358" s="25" t="s">
        <v>18515</v>
      </c>
      <c r="D7358" s="25" t="s">
        <v>16530</v>
      </c>
      <c r="E7358" s="26">
        <v>31.75</v>
      </c>
    </row>
    <row r="7359" spans="1:5" x14ac:dyDescent="0.25">
      <c r="A7359" s="24" t="s">
        <v>7</v>
      </c>
      <c r="B7359" s="24" t="s">
        <v>18516</v>
      </c>
      <c r="C7359" s="25" t="s">
        <v>16855</v>
      </c>
      <c r="D7359" s="25" t="s">
        <v>16856</v>
      </c>
      <c r="E7359" s="26">
        <v>95</v>
      </c>
    </row>
    <row r="7360" spans="1:5" x14ac:dyDescent="0.25">
      <c r="A7360" s="24" t="s">
        <v>7</v>
      </c>
      <c r="B7360" s="24" t="s">
        <v>18517</v>
      </c>
      <c r="C7360" s="25" t="s">
        <v>18518</v>
      </c>
      <c r="D7360" s="25" t="s">
        <v>3909</v>
      </c>
      <c r="E7360" s="26">
        <v>9</v>
      </c>
    </row>
    <row r="7361" spans="1:5" x14ac:dyDescent="0.25">
      <c r="A7361" s="24" t="s">
        <v>7</v>
      </c>
      <c r="B7361" s="24" t="s">
        <v>18519</v>
      </c>
      <c r="C7361" s="25" t="s">
        <v>18520</v>
      </c>
      <c r="D7361" s="25" t="s">
        <v>3909</v>
      </c>
      <c r="E7361" s="26">
        <v>10</v>
      </c>
    </row>
    <row r="7362" spans="1:5" x14ac:dyDescent="0.25">
      <c r="A7362" s="24" t="s">
        <v>7</v>
      </c>
      <c r="B7362" s="24" t="s">
        <v>18521</v>
      </c>
      <c r="C7362" s="25" t="s">
        <v>18522</v>
      </c>
      <c r="D7362" s="25" t="s">
        <v>18522</v>
      </c>
      <c r="E7362" s="26">
        <v>73</v>
      </c>
    </row>
    <row r="7363" spans="1:5" x14ac:dyDescent="0.25">
      <c r="A7363" s="24" t="s">
        <v>7</v>
      </c>
      <c r="B7363" s="24" t="s">
        <v>18523</v>
      </c>
      <c r="C7363" s="25" t="s">
        <v>16702</v>
      </c>
      <c r="D7363" s="25" t="s">
        <v>16703</v>
      </c>
      <c r="E7363" s="26">
        <v>69</v>
      </c>
    </row>
    <row r="7364" spans="1:5" x14ac:dyDescent="0.25">
      <c r="A7364" s="24" t="s">
        <v>7</v>
      </c>
      <c r="B7364" s="24" t="s">
        <v>18524</v>
      </c>
      <c r="C7364" s="25" t="s">
        <v>18525</v>
      </c>
      <c r="D7364" s="25" t="s">
        <v>18526</v>
      </c>
      <c r="E7364" s="26">
        <v>195</v>
      </c>
    </row>
    <row r="7365" spans="1:5" x14ac:dyDescent="0.25">
      <c r="A7365" s="24" t="s">
        <v>7</v>
      </c>
      <c r="B7365" s="24" t="s">
        <v>18527</v>
      </c>
      <c r="C7365" s="25" t="s">
        <v>15908</v>
      </c>
      <c r="D7365" s="25" t="s">
        <v>15908</v>
      </c>
      <c r="E7365" s="26">
        <v>79</v>
      </c>
    </row>
    <row r="7366" spans="1:5" x14ac:dyDescent="0.25">
      <c r="A7366" s="24" t="s">
        <v>7</v>
      </c>
      <c r="B7366" s="24" t="s">
        <v>18528</v>
      </c>
      <c r="C7366" s="25" t="s">
        <v>18529</v>
      </c>
      <c r="D7366" s="25" t="s">
        <v>16714</v>
      </c>
      <c r="E7366" s="26">
        <v>32.58</v>
      </c>
    </row>
    <row r="7367" spans="1:5" x14ac:dyDescent="0.25">
      <c r="A7367" s="24" t="s">
        <v>7</v>
      </c>
      <c r="B7367" s="24" t="s">
        <v>18530</v>
      </c>
      <c r="C7367" s="25" t="s">
        <v>18531</v>
      </c>
      <c r="D7367" s="25" t="s">
        <v>16714</v>
      </c>
      <c r="E7367" s="26">
        <v>16.29</v>
      </c>
    </row>
    <row r="7368" spans="1:5" x14ac:dyDescent="0.25">
      <c r="A7368" s="24" t="s">
        <v>7</v>
      </c>
      <c r="B7368" s="24" t="s">
        <v>18532</v>
      </c>
      <c r="C7368" s="25" t="s">
        <v>16713</v>
      </c>
      <c r="D7368" s="25" t="s">
        <v>16714</v>
      </c>
      <c r="E7368" s="26">
        <v>16.29</v>
      </c>
    </row>
    <row r="7369" spans="1:5" x14ac:dyDescent="0.25">
      <c r="A7369" s="24" t="s">
        <v>7</v>
      </c>
      <c r="B7369" s="24" t="s">
        <v>18533</v>
      </c>
      <c r="C7369" s="25" t="s">
        <v>18534</v>
      </c>
      <c r="D7369" s="25" t="s">
        <v>18535</v>
      </c>
      <c r="E7369" s="26">
        <v>74.930000000000007</v>
      </c>
    </row>
    <row r="7370" spans="1:5" x14ac:dyDescent="0.25">
      <c r="A7370" s="24" t="s">
        <v>7</v>
      </c>
      <c r="B7370" s="24" t="s">
        <v>18536</v>
      </c>
      <c r="C7370" s="25" t="s">
        <v>16727</v>
      </c>
      <c r="D7370" s="25" t="s">
        <v>16728</v>
      </c>
      <c r="E7370" s="26">
        <v>8.5</v>
      </c>
    </row>
    <row r="7371" spans="1:5" x14ac:dyDescent="0.25">
      <c r="A7371" s="24" t="s">
        <v>7</v>
      </c>
      <c r="B7371" s="24" t="s">
        <v>18537</v>
      </c>
      <c r="C7371" s="25" t="s">
        <v>3914</v>
      </c>
      <c r="D7371" s="25" t="s">
        <v>16725</v>
      </c>
      <c r="E7371" s="26">
        <v>10</v>
      </c>
    </row>
    <row r="7372" spans="1:5" x14ac:dyDescent="0.25">
      <c r="A7372" s="24" t="s">
        <v>7</v>
      </c>
      <c r="B7372" s="24" t="s">
        <v>18538</v>
      </c>
      <c r="C7372" s="25" t="s">
        <v>16272</v>
      </c>
      <c r="D7372" s="25" t="s">
        <v>15256</v>
      </c>
      <c r="E7372" s="26">
        <v>138</v>
      </c>
    </row>
    <row r="7373" spans="1:5" x14ac:dyDescent="0.25">
      <c r="A7373" s="24" t="s">
        <v>7</v>
      </c>
      <c r="B7373" s="24" t="s">
        <v>18539</v>
      </c>
      <c r="C7373" s="25" t="s">
        <v>16749</v>
      </c>
      <c r="D7373" s="25" t="s">
        <v>3927</v>
      </c>
      <c r="E7373" s="26">
        <v>148</v>
      </c>
    </row>
    <row r="7374" spans="1:5" x14ac:dyDescent="0.25">
      <c r="A7374" s="24" t="s">
        <v>7</v>
      </c>
      <c r="B7374" s="24" t="s">
        <v>18540</v>
      </c>
      <c r="C7374" s="25" t="s">
        <v>18541</v>
      </c>
      <c r="D7374" s="25" t="s">
        <v>18542</v>
      </c>
      <c r="E7374" s="26">
        <v>150</v>
      </c>
    </row>
    <row r="7375" spans="1:5" x14ac:dyDescent="0.25">
      <c r="A7375" s="24" t="s">
        <v>7</v>
      </c>
      <c r="B7375" s="24" t="s">
        <v>18543</v>
      </c>
      <c r="C7375" s="25" t="s">
        <v>17502</v>
      </c>
      <c r="D7375" s="25" t="s">
        <v>17502</v>
      </c>
      <c r="E7375" s="26">
        <v>29</v>
      </c>
    </row>
    <row r="7376" spans="1:5" x14ac:dyDescent="0.25">
      <c r="A7376" s="24" t="s">
        <v>7</v>
      </c>
      <c r="B7376" s="24" t="s">
        <v>18544</v>
      </c>
      <c r="C7376" s="25" t="s">
        <v>16912</v>
      </c>
      <c r="D7376" s="25" t="s">
        <v>16913</v>
      </c>
      <c r="E7376" s="26">
        <v>175</v>
      </c>
    </row>
    <row r="7377" spans="1:5" x14ac:dyDescent="0.25">
      <c r="A7377" s="24" t="s">
        <v>7</v>
      </c>
      <c r="B7377" s="24" t="s">
        <v>18545</v>
      </c>
      <c r="C7377" s="25" t="s">
        <v>18546</v>
      </c>
      <c r="D7377" s="25" t="s">
        <v>3927</v>
      </c>
      <c r="E7377" s="26">
        <v>69.5</v>
      </c>
    </row>
    <row r="7378" spans="1:5" x14ac:dyDescent="0.25">
      <c r="A7378" s="24" t="s">
        <v>7</v>
      </c>
      <c r="B7378" s="24" t="s">
        <v>18547</v>
      </c>
      <c r="C7378" s="25" t="s">
        <v>18548</v>
      </c>
      <c r="D7378" s="25" t="s">
        <v>3927</v>
      </c>
      <c r="E7378" s="26">
        <v>180</v>
      </c>
    </row>
    <row r="7379" spans="1:5" x14ac:dyDescent="0.25">
      <c r="A7379" s="24" t="s">
        <v>7</v>
      </c>
      <c r="B7379" s="24" t="s">
        <v>18549</v>
      </c>
      <c r="C7379" s="25" t="s">
        <v>16747</v>
      </c>
      <c r="D7379" s="25" t="s">
        <v>3927</v>
      </c>
      <c r="E7379" s="26">
        <v>40.5</v>
      </c>
    </row>
    <row r="7380" spans="1:5" x14ac:dyDescent="0.25">
      <c r="A7380" s="24" t="s">
        <v>7</v>
      </c>
      <c r="B7380" s="24" t="s">
        <v>18550</v>
      </c>
      <c r="C7380" s="25" t="s">
        <v>18551</v>
      </c>
      <c r="D7380" s="25" t="s">
        <v>3927</v>
      </c>
      <c r="E7380" s="26">
        <v>165</v>
      </c>
    </row>
    <row r="7381" spans="1:5" x14ac:dyDescent="0.25">
      <c r="A7381" s="24" t="s">
        <v>7</v>
      </c>
      <c r="B7381" s="24" t="s">
        <v>18552</v>
      </c>
      <c r="C7381" s="25" t="s">
        <v>15238</v>
      </c>
      <c r="D7381" s="25" t="s">
        <v>3927</v>
      </c>
      <c r="E7381" s="26">
        <v>128</v>
      </c>
    </row>
    <row r="7382" spans="1:5" x14ac:dyDescent="0.25">
      <c r="A7382" s="24" t="s">
        <v>7</v>
      </c>
      <c r="B7382" s="24" t="s">
        <v>18553</v>
      </c>
      <c r="C7382" s="25" t="s">
        <v>18554</v>
      </c>
      <c r="D7382" s="25" t="s">
        <v>3933</v>
      </c>
      <c r="E7382" s="26">
        <v>18.5</v>
      </c>
    </row>
    <row r="7383" spans="1:5" x14ac:dyDescent="0.25">
      <c r="A7383" s="24" t="s">
        <v>7</v>
      </c>
      <c r="B7383" s="24" t="s">
        <v>18555</v>
      </c>
      <c r="C7383" s="25" t="s">
        <v>18556</v>
      </c>
      <c r="D7383" s="25" t="s">
        <v>3933</v>
      </c>
      <c r="E7383" s="26">
        <v>12.25</v>
      </c>
    </row>
    <row r="7384" spans="1:5" x14ac:dyDescent="0.25">
      <c r="A7384" s="24" t="s">
        <v>7</v>
      </c>
      <c r="B7384" s="24" t="s">
        <v>18557</v>
      </c>
      <c r="C7384" s="25" t="s">
        <v>18558</v>
      </c>
      <c r="D7384" s="25" t="s">
        <v>18559</v>
      </c>
      <c r="E7384" s="26">
        <v>520</v>
      </c>
    </row>
    <row r="7385" spans="1:5" x14ac:dyDescent="0.25">
      <c r="A7385" s="24" t="s">
        <v>7</v>
      </c>
      <c r="B7385" s="24" t="s">
        <v>18560</v>
      </c>
      <c r="C7385" s="25" t="s">
        <v>18561</v>
      </c>
      <c r="D7385" s="25" t="s">
        <v>18562</v>
      </c>
      <c r="E7385" s="26">
        <v>14.66</v>
      </c>
    </row>
    <row r="7386" spans="1:5" x14ac:dyDescent="0.25">
      <c r="A7386" s="24" t="s">
        <v>7</v>
      </c>
      <c r="B7386" s="24" t="s">
        <v>18563</v>
      </c>
      <c r="C7386" s="25" t="s">
        <v>18564</v>
      </c>
      <c r="D7386" s="25" t="s">
        <v>3933</v>
      </c>
      <c r="E7386" s="26">
        <v>8.4600000000000009</v>
      </c>
    </row>
    <row r="7387" spans="1:5" x14ac:dyDescent="0.25">
      <c r="A7387" s="24" t="s">
        <v>7</v>
      </c>
      <c r="B7387" s="24" t="s">
        <v>18565</v>
      </c>
      <c r="C7387" s="25" t="s">
        <v>18566</v>
      </c>
      <c r="D7387" s="25" t="s">
        <v>3118</v>
      </c>
      <c r="E7387" s="26">
        <v>7.22</v>
      </c>
    </row>
    <row r="7388" spans="1:5" x14ac:dyDescent="0.25">
      <c r="A7388" s="24" t="s">
        <v>7</v>
      </c>
      <c r="B7388" s="24" t="s">
        <v>18567</v>
      </c>
      <c r="C7388" s="25" t="s">
        <v>18568</v>
      </c>
      <c r="D7388" s="25" t="s">
        <v>3118</v>
      </c>
      <c r="E7388" s="26">
        <v>45</v>
      </c>
    </row>
    <row r="7389" spans="1:5" x14ac:dyDescent="0.25">
      <c r="A7389" s="24" t="s">
        <v>7</v>
      </c>
      <c r="B7389" s="24" t="s">
        <v>18569</v>
      </c>
      <c r="C7389" s="25" t="s">
        <v>18570</v>
      </c>
      <c r="D7389" s="25" t="s">
        <v>18571</v>
      </c>
      <c r="E7389" s="26">
        <v>580</v>
      </c>
    </row>
    <row r="7390" spans="1:5" x14ac:dyDescent="0.25">
      <c r="A7390" s="24" t="s">
        <v>7</v>
      </c>
      <c r="B7390" s="24" t="s">
        <v>18572</v>
      </c>
      <c r="C7390" s="25" t="s">
        <v>18573</v>
      </c>
      <c r="D7390" s="25" t="s">
        <v>17682</v>
      </c>
      <c r="E7390" s="26">
        <v>176.49</v>
      </c>
    </row>
    <row r="7391" spans="1:5" x14ac:dyDescent="0.25">
      <c r="A7391" s="24" t="s">
        <v>7</v>
      </c>
      <c r="B7391" s="24" t="s">
        <v>18574</v>
      </c>
      <c r="C7391" s="25" t="s">
        <v>18575</v>
      </c>
      <c r="D7391" s="25" t="s">
        <v>17682</v>
      </c>
      <c r="E7391" s="26">
        <v>102.16</v>
      </c>
    </row>
    <row r="7392" spans="1:5" x14ac:dyDescent="0.25">
      <c r="A7392" s="24" t="s">
        <v>7</v>
      </c>
      <c r="B7392" s="24" t="s">
        <v>18576</v>
      </c>
      <c r="C7392" s="25" t="s">
        <v>16779</v>
      </c>
      <c r="D7392" s="25" t="s">
        <v>15569</v>
      </c>
      <c r="E7392" s="26">
        <v>392</v>
      </c>
    </row>
    <row r="7393" spans="1:5" x14ac:dyDescent="0.25">
      <c r="A7393" s="24" t="s">
        <v>7</v>
      </c>
      <c r="B7393" s="24" t="s">
        <v>18577</v>
      </c>
      <c r="C7393" s="25" t="s">
        <v>18578</v>
      </c>
      <c r="D7393" s="25" t="s">
        <v>18579</v>
      </c>
      <c r="E7393" s="26">
        <v>155</v>
      </c>
    </row>
    <row r="7394" spans="1:5" x14ac:dyDescent="0.25">
      <c r="A7394" s="24" t="s">
        <v>7</v>
      </c>
      <c r="B7394" s="24" t="s">
        <v>18580</v>
      </c>
      <c r="C7394" s="25" t="s">
        <v>18581</v>
      </c>
      <c r="D7394" s="25" t="s">
        <v>18579</v>
      </c>
      <c r="E7394" s="26">
        <v>56</v>
      </c>
    </row>
    <row r="7395" spans="1:5" x14ac:dyDescent="0.25">
      <c r="A7395" s="24" t="s">
        <v>7</v>
      </c>
      <c r="B7395" s="24" t="s">
        <v>18582</v>
      </c>
      <c r="C7395" s="25" t="s">
        <v>18583</v>
      </c>
      <c r="D7395" s="25" t="s">
        <v>17459</v>
      </c>
      <c r="E7395" s="26">
        <v>101.79</v>
      </c>
    </row>
    <row r="7396" spans="1:5" x14ac:dyDescent="0.25">
      <c r="A7396" s="24" t="s">
        <v>7</v>
      </c>
      <c r="B7396" s="24" t="s">
        <v>18584</v>
      </c>
      <c r="C7396" s="25" t="s">
        <v>18585</v>
      </c>
      <c r="D7396" s="25" t="s">
        <v>17325</v>
      </c>
      <c r="E7396" s="26">
        <v>162.77000000000001</v>
      </c>
    </row>
    <row r="7397" spans="1:5" x14ac:dyDescent="0.25">
      <c r="A7397" s="24" t="s">
        <v>7</v>
      </c>
      <c r="B7397" s="24" t="s">
        <v>18586</v>
      </c>
      <c r="C7397" s="25" t="s">
        <v>17093</v>
      </c>
      <c r="D7397" s="25" t="s">
        <v>17094</v>
      </c>
      <c r="E7397" s="26">
        <v>306</v>
      </c>
    </row>
    <row r="7398" spans="1:5" x14ac:dyDescent="0.25">
      <c r="A7398" s="24" t="s">
        <v>7</v>
      </c>
      <c r="B7398" s="24" t="s">
        <v>18587</v>
      </c>
      <c r="C7398" s="25" t="s">
        <v>17102</v>
      </c>
      <c r="D7398" s="25" t="s">
        <v>17103</v>
      </c>
      <c r="E7398" s="26">
        <v>90</v>
      </c>
    </row>
    <row r="7399" spans="1:5" x14ac:dyDescent="0.25">
      <c r="A7399" s="24" t="s">
        <v>7</v>
      </c>
      <c r="B7399" s="24" t="s">
        <v>18588</v>
      </c>
      <c r="C7399" s="25" t="s">
        <v>17105</v>
      </c>
      <c r="D7399" s="25" t="s">
        <v>17106</v>
      </c>
      <c r="E7399" s="26">
        <v>220</v>
      </c>
    </row>
    <row r="7400" spans="1:5" x14ac:dyDescent="0.25">
      <c r="A7400" s="24" t="s">
        <v>7</v>
      </c>
      <c r="B7400" s="24" t="s">
        <v>18589</v>
      </c>
      <c r="C7400" s="25" t="s">
        <v>18590</v>
      </c>
      <c r="D7400" s="25" t="s">
        <v>17682</v>
      </c>
      <c r="E7400" s="26">
        <v>47.66</v>
      </c>
    </row>
    <row r="7401" spans="1:5" x14ac:dyDescent="0.25">
      <c r="A7401" s="24" t="s">
        <v>7</v>
      </c>
      <c r="B7401" s="24" t="s">
        <v>18591</v>
      </c>
      <c r="C7401" s="25" t="s">
        <v>18592</v>
      </c>
      <c r="D7401" s="25" t="s">
        <v>18593</v>
      </c>
      <c r="E7401" s="26">
        <v>7.5</v>
      </c>
    </row>
    <row r="7402" spans="1:5" x14ac:dyDescent="0.25">
      <c r="A7402" s="24" t="s">
        <v>7</v>
      </c>
      <c r="B7402" s="24" t="s">
        <v>18594</v>
      </c>
      <c r="C7402" s="25" t="s">
        <v>17466</v>
      </c>
      <c r="D7402" s="25" t="s">
        <v>17467</v>
      </c>
      <c r="E7402" s="26">
        <v>91.41</v>
      </c>
    </row>
    <row r="7403" spans="1:5" x14ac:dyDescent="0.25">
      <c r="A7403" s="24" t="s">
        <v>7</v>
      </c>
      <c r="B7403" s="24" t="s">
        <v>18595</v>
      </c>
      <c r="C7403" s="25" t="s">
        <v>17108</v>
      </c>
      <c r="D7403" s="25" t="s">
        <v>17109</v>
      </c>
      <c r="E7403" s="26">
        <v>28.77</v>
      </c>
    </row>
    <row r="7404" spans="1:5" x14ac:dyDescent="0.25">
      <c r="A7404" s="24" t="s">
        <v>7</v>
      </c>
      <c r="B7404" s="24" t="s">
        <v>18596</v>
      </c>
      <c r="C7404" s="25" t="s">
        <v>18597</v>
      </c>
      <c r="D7404" s="25" t="s">
        <v>17112</v>
      </c>
      <c r="E7404" s="26">
        <v>27.21</v>
      </c>
    </row>
    <row r="7405" spans="1:5" x14ac:dyDescent="0.25">
      <c r="A7405" s="24" t="s">
        <v>7</v>
      </c>
      <c r="B7405" s="24" t="s">
        <v>18598</v>
      </c>
      <c r="C7405" s="25" t="s">
        <v>18599</v>
      </c>
      <c r="D7405" s="25" t="s">
        <v>18600</v>
      </c>
      <c r="E7405" s="26">
        <v>4.5999999999999996</v>
      </c>
    </row>
    <row r="7406" spans="1:5" x14ac:dyDescent="0.25">
      <c r="A7406" s="24" t="s">
        <v>7</v>
      </c>
      <c r="B7406" s="24" t="s">
        <v>18601</v>
      </c>
      <c r="C7406" s="25" t="s">
        <v>16192</v>
      </c>
      <c r="D7406" s="25" t="s">
        <v>16193</v>
      </c>
      <c r="E7406" s="26">
        <v>19.34</v>
      </c>
    </row>
    <row r="7407" spans="1:5" x14ac:dyDescent="0.25">
      <c r="A7407" s="24" t="s">
        <v>7</v>
      </c>
      <c r="B7407" s="24" t="s">
        <v>18602</v>
      </c>
      <c r="C7407" s="25" t="s">
        <v>3937</v>
      </c>
      <c r="D7407" s="25" t="s">
        <v>3938</v>
      </c>
      <c r="E7407" s="26">
        <v>4.75</v>
      </c>
    </row>
    <row r="7408" spans="1:5" x14ac:dyDescent="0.25">
      <c r="A7408" s="24" t="s">
        <v>7</v>
      </c>
      <c r="B7408" s="24" t="s">
        <v>18603</v>
      </c>
      <c r="C7408" s="25" t="s">
        <v>15368</v>
      </c>
      <c r="D7408" s="25" t="s">
        <v>15368</v>
      </c>
      <c r="E7408" s="26">
        <v>24.44</v>
      </c>
    </row>
    <row r="7409" spans="1:5" x14ac:dyDescent="0.25">
      <c r="A7409" s="24" t="s">
        <v>7</v>
      </c>
      <c r="B7409" s="24" t="s">
        <v>18604</v>
      </c>
      <c r="C7409" s="25" t="s">
        <v>18605</v>
      </c>
      <c r="D7409" s="25" t="s">
        <v>18606</v>
      </c>
      <c r="E7409" s="26">
        <v>175</v>
      </c>
    </row>
    <row r="7410" spans="1:5" x14ac:dyDescent="0.25">
      <c r="A7410" s="24" t="s">
        <v>7</v>
      </c>
      <c r="B7410" s="24" t="s">
        <v>18607</v>
      </c>
      <c r="C7410" s="25" t="s">
        <v>18608</v>
      </c>
      <c r="D7410" s="25" t="s">
        <v>18609</v>
      </c>
      <c r="E7410" s="26">
        <v>126.96</v>
      </c>
    </row>
    <row r="7411" spans="1:5" x14ac:dyDescent="0.25">
      <c r="A7411" s="24" t="s">
        <v>7</v>
      </c>
      <c r="B7411" s="24" t="s">
        <v>18610</v>
      </c>
      <c r="C7411" s="25" t="s">
        <v>18611</v>
      </c>
      <c r="D7411" s="25" t="s">
        <v>18612</v>
      </c>
      <c r="E7411" s="26">
        <v>364.84</v>
      </c>
    </row>
    <row r="7412" spans="1:5" x14ac:dyDescent="0.25">
      <c r="A7412" s="24" t="s">
        <v>7</v>
      </c>
      <c r="B7412" s="24" t="s">
        <v>18613</v>
      </c>
      <c r="C7412" s="25" t="s">
        <v>18614</v>
      </c>
      <c r="D7412" s="25" t="s">
        <v>18615</v>
      </c>
      <c r="E7412" s="26">
        <v>364.84</v>
      </c>
    </row>
    <row r="7413" spans="1:5" x14ac:dyDescent="0.25">
      <c r="A7413" s="24" t="s">
        <v>7</v>
      </c>
      <c r="B7413" s="24" t="s">
        <v>18616</v>
      </c>
      <c r="C7413" s="25" t="s">
        <v>18617</v>
      </c>
      <c r="D7413" s="25" t="s">
        <v>17100</v>
      </c>
      <c r="E7413" s="26">
        <v>174.14</v>
      </c>
    </row>
    <row r="7414" spans="1:5" x14ac:dyDescent="0.25">
      <c r="A7414" s="24" t="s">
        <v>7</v>
      </c>
      <c r="B7414" s="24" t="s">
        <v>18618</v>
      </c>
      <c r="C7414" s="25" t="s">
        <v>4075</v>
      </c>
      <c r="D7414" s="25" t="s">
        <v>4076</v>
      </c>
      <c r="E7414" s="26">
        <v>56.88</v>
      </c>
    </row>
    <row r="7415" spans="1:5" x14ac:dyDescent="0.25">
      <c r="A7415" s="24" t="s">
        <v>7</v>
      </c>
      <c r="B7415" s="24" t="s">
        <v>18619</v>
      </c>
      <c r="C7415" s="25" t="s">
        <v>18620</v>
      </c>
      <c r="D7415" s="25" t="s">
        <v>16790</v>
      </c>
      <c r="E7415" s="26">
        <v>159</v>
      </c>
    </row>
    <row r="7416" spans="1:5" x14ac:dyDescent="0.25">
      <c r="A7416" s="24" t="s">
        <v>7</v>
      </c>
      <c r="B7416" s="24" t="s">
        <v>18621</v>
      </c>
      <c r="C7416" s="25" t="s">
        <v>18622</v>
      </c>
      <c r="D7416" s="25" t="s">
        <v>16790</v>
      </c>
      <c r="E7416" s="26">
        <v>28</v>
      </c>
    </row>
    <row r="7417" spans="1:5" x14ac:dyDescent="0.25">
      <c r="A7417" s="24" t="s">
        <v>7</v>
      </c>
      <c r="B7417" s="24" t="s">
        <v>18623</v>
      </c>
      <c r="C7417" s="25" t="s">
        <v>17954</v>
      </c>
      <c r="D7417" s="25" t="s">
        <v>17955</v>
      </c>
      <c r="E7417" s="26">
        <v>2</v>
      </c>
    </row>
    <row r="7418" spans="1:5" x14ac:dyDescent="0.25">
      <c r="A7418" s="24" t="s">
        <v>7</v>
      </c>
      <c r="B7418" s="24" t="s">
        <v>18624</v>
      </c>
      <c r="C7418" s="25" t="s">
        <v>17381</v>
      </c>
      <c r="D7418" s="25" t="s">
        <v>17382</v>
      </c>
      <c r="E7418" s="26">
        <v>95</v>
      </c>
    </row>
    <row r="7419" spans="1:5" x14ac:dyDescent="0.25">
      <c r="A7419" s="24" t="s">
        <v>7</v>
      </c>
      <c r="B7419" s="24" t="s">
        <v>18625</v>
      </c>
      <c r="C7419" s="25" t="s">
        <v>18626</v>
      </c>
      <c r="D7419" s="25" t="s">
        <v>18627</v>
      </c>
      <c r="E7419" s="26">
        <v>30</v>
      </c>
    </row>
    <row r="7420" spans="1:5" x14ac:dyDescent="0.25">
      <c r="A7420" s="24" t="s">
        <v>7</v>
      </c>
      <c r="B7420" s="24" t="s">
        <v>18628</v>
      </c>
      <c r="C7420" s="25" t="s">
        <v>18629</v>
      </c>
      <c r="D7420" s="25" t="s">
        <v>18630</v>
      </c>
      <c r="E7420" s="26">
        <v>20</v>
      </c>
    </row>
    <row r="7421" spans="1:5" x14ac:dyDescent="0.25">
      <c r="A7421" s="24" t="s">
        <v>7</v>
      </c>
      <c r="B7421" s="24" t="s">
        <v>18631</v>
      </c>
      <c r="C7421" s="25" t="s">
        <v>18632</v>
      </c>
      <c r="D7421" s="25" t="s">
        <v>17266</v>
      </c>
      <c r="E7421" s="26">
        <v>6.23</v>
      </c>
    </row>
    <row r="7422" spans="1:5" x14ac:dyDescent="0.25">
      <c r="A7422" s="24" t="s">
        <v>7</v>
      </c>
      <c r="B7422" s="24" t="s">
        <v>18633</v>
      </c>
      <c r="C7422" s="25" t="s">
        <v>15985</v>
      </c>
      <c r="D7422" s="25" t="s">
        <v>15985</v>
      </c>
      <c r="E7422" s="26">
        <v>5</v>
      </c>
    </row>
    <row r="7423" spans="1:5" x14ac:dyDescent="0.25">
      <c r="A7423" s="24" t="s">
        <v>7</v>
      </c>
      <c r="B7423" s="24" t="s">
        <v>18634</v>
      </c>
      <c r="C7423" s="25" t="s">
        <v>18635</v>
      </c>
      <c r="D7423" s="25" t="s">
        <v>16023</v>
      </c>
      <c r="E7423" s="26">
        <v>24.44</v>
      </c>
    </row>
    <row r="7424" spans="1:5" x14ac:dyDescent="0.25">
      <c r="A7424" s="24" t="s">
        <v>7</v>
      </c>
      <c r="B7424" s="24" t="s">
        <v>18636</v>
      </c>
      <c r="C7424" s="25" t="s">
        <v>18637</v>
      </c>
      <c r="D7424" s="25" t="s">
        <v>18638</v>
      </c>
      <c r="E7424" s="26">
        <v>2.25</v>
      </c>
    </row>
    <row r="7425" spans="1:5" x14ac:dyDescent="0.25">
      <c r="A7425" s="24" t="s">
        <v>7</v>
      </c>
      <c r="B7425" s="24" t="s">
        <v>18639</v>
      </c>
      <c r="C7425" s="25" t="s">
        <v>17528</v>
      </c>
      <c r="D7425" s="25" t="s">
        <v>17529</v>
      </c>
      <c r="E7425" s="26">
        <v>126.96</v>
      </c>
    </row>
    <row r="7426" spans="1:5" x14ac:dyDescent="0.25">
      <c r="A7426" s="24" t="s">
        <v>7</v>
      </c>
      <c r="B7426" s="24" t="s">
        <v>18640</v>
      </c>
      <c r="C7426" s="25" t="s">
        <v>18641</v>
      </c>
      <c r="D7426" s="25" t="s">
        <v>18642</v>
      </c>
      <c r="E7426" s="26">
        <v>95</v>
      </c>
    </row>
    <row r="7427" spans="1:5" x14ac:dyDescent="0.25">
      <c r="A7427" s="24" t="s">
        <v>7</v>
      </c>
      <c r="B7427" s="24" t="s">
        <v>18643</v>
      </c>
      <c r="C7427" s="25" t="s">
        <v>18644</v>
      </c>
      <c r="D7427" s="25" t="s">
        <v>18645</v>
      </c>
      <c r="E7427" s="26">
        <v>262.68</v>
      </c>
    </row>
    <row r="7428" spans="1:5" x14ac:dyDescent="0.25">
      <c r="A7428" s="24" t="s">
        <v>7</v>
      </c>
      <c r="B7428" s="24" t="s">
        <v>18646</v>
      </c>
      <c r="C7428" s="25" t="s">
        <v>17386</v>
      </c>
      <c r="D7428" s="25" t="s">
        <v>17387</v>
      </c>
      <c r="E7428" s="26">
        <v>70</v>
      </c>
    </row>
    <row r="7429" spans="1:5" x14ac:dyDescent="0.25">
      <c r="A7429" s="24" t="s">
        <v>7</v>
      </c>
      <c r="B7429" s="24" t="s">
        <v>18647</v>
      </c>
      <c r="C7429" s="25" t="s">
        <v>17118</v>
      </c>
      <c r="D7429" s="25" t="s">
        <v>17119</v>
      </c>
      <c r="E7429" s="26">
        <v>28</v>
      </c>
    </row>
    <row r="7430" spans="1:5" x14ac:dyDescent="0.25">
      <c r="A7430" s="24" t="s">
        <v>7</v>
      </c>
      <c r="B7430" s="24" t="s">
        <v>18648</v>
      </c>
      <c r="C7430" s="25" t="s">
        <v>16089</v>
      </c>
      <c r="D7430" s="25" t="s">
        <v>15362</v>
      </c>
      <c r="E7430" s="26">
        <v>10</v>
      </c>
    </row>
    <row r="7431" spans="1:5" x14ac:dyDescent="0.25">
      <c r="A7431" s="24" t="s">
        <v>7</v>
      </c>
      <c r="B7431" s="24" t="s">
        <v>18649</v>
      </c>
      <c r="C7431" s="25" t="s">
        <v>16101</v>
      </c>
      <c r="D7431" s="25" t="s">
        <v>16102</v>
      </c>
      <c r="E7431" s="26">
        <v>125</v>
      </c>
    </row>
    <row r="7432" spans="1:5" x14ac:dyDescent="0.25">
      <c r="A7432" s="24" t="s">
        <v>7</v>
      </c>
      <c r="B7432" s="24" t="s">
        <v>18650</v>
      </c>
      <c r="C7432" s="25" t="s">
        <v>18651</v>
      </c>
      <c r="D7432" s="25" t="s">
        <v>18652</v>
      </c>
      <c r="E7432" s="26">
        <v>135</v>
      </c>
    </row>
    <row r="7433" spans="1:5" x14ac:dyDescent="0.25">
      <c r="A7433" s="24" t="s">
        <v>7</v>
      </c>
      <c r="B7433" s="24" t="s">
        <v>18653</v>
      </c>
      <c r="C7433" s="25" t="s">
        <v>3463</v>
      </c>
      <c r="D7433" s="25" t="s">
        <v>3464</v>
      </c>
      <c r="E7433" s="26">
        <v>22.96</v>
      </c>
    </row>
    <row r="7434" spans="1:5" x14ac:dyDescent="0.25">
      <c r="A7434" s="24" t="s">
        <v>7</v>
      </c>
      <c r="B7434" s="24" t="s">
        <v>18654</v>
      </c>
      <c r="C7434" s="25" t="s">
        <v>18655</v>
      </c>
      <c r="D7434" s="25" t="s">
        <v>17272</v>
      </c>
      <c r="E7434" s="26">
        <v>84.71</v>
      </c>
    </row>
    <row r="7435" spans="1:5" x14ac:dyDescent="0.25">
      <c r="A7435" s="24" t="s">
        <v>7</v>
      </c>
      <c r="B7435" s="24" t="s">
        <v>18656</v>
      </c>
      <c r="C7435" s="25" t="s">
        <v>18657</v>
      </c>
      <c r="D7435" s="25" t="s">
        <v>16253</v>
      </c>
      <c r="E7435" s="26">
        <v>15</v>
      </c>
    </row>
    <row r="7436" spans="1:5" x14ac:dyDescent="0.25">
      <c r="A7436" s="24" t="s">
        <v>7</v>
      </c>
      <c r="B7436" s="24" t="s">
        <v>18658</v>
      </c>
      <c r="C7436" s="25" t="s">
        <v>18659</v>
      </c>
      <c r="D7436" s="25" t="s">
        <v>16268</v>
      </c>
      <c r="E7436" s="26">
        <v>6.7</v>
      </c>
    </row>
    <row r="7437" spans="1:5" x14ac:dyDescent="0.25">
      <c r="A7437" s="24" t="s">
        <v>7</v>
      </c>
      <c r="B7437" s="24" t="s">
        <v>18660</v>
      </c>
      <c r="C7437" s="25" t="s">
        <v>18661</v>
      </c>
      <c r="D7437" s="25" t="s">
        <v>16253</v>
      </c>
      <c r="E7437" s="26">
        <v>12.5</v>
      </c>
    </row>
    <row r="7438" spans="1:5" x14ac:dyDescent="0.25">
      <c r="A7438" s="24" t="s">
        <v>7</v>
      </c>
      <c r="B7438" s="24" t="s">
        <v>18662</v>
      </c>
      <c r="C7438" s="25" t="s">
        <v>16440</v>
      </c>
      <c r="D7438" s="25" t="s">
        <v>16441</v>
      </c>
      <c r="E7438" s="26">
        <v>40</v>
      </c>
    </row>
    <row r="7439" spans="1:5" x14ac:dyDescent="0.25">
      <c r="A7439" s="24" t="s">
        <v>7</v>
      </c>
      <c r="B7439" s="24" t="s">
        <v>18663</v>
      </c>
      <c r="C7439" s="25" t="s">
        <v>16831</v>
      </c>
      <c r="D7439" s="25" t="s">
        <v>16832</v>
      </c>
      <c r="E7439" s="26">
        <v>8.15</v>
      </c>
    </row>
    <row r="7440" spans="1:5" x14ac:dyDescent="0.25">
      <c r="A7440" s="24" t="s">
        <v>7</v>
      </c>
      <c r="B7440" s="24" t="s">
        <v>18664</v>
      </c>
      <c r="C7440" s="25" t="s">
        <v>18665</v>
      </c>
      <c r="D7440" s="25" t="s">
        <v>16232</v>
      </c>
      <c r="E7440" s="26">
        <v>16.29</v>
      </c>
    </row>
    <row r="7441" spans="1:5" x14ac:dyDescent="0.25">
      <c r="A7441" s="24" t="s">
        <v>7</v>
      </c>
      <c r="B7441" s="24" t="s">
        <v>18666</v>
      </c>
      <c r="C7441" s="25" t="s">
        <v>16449</v>
      </c>
      <c r="D7441" s="25" t="s">
        <v>3710</v>
      </c>
      <c r="E7441" s="26">
        <v>3.11</v>
      </c>
    </row>
    <row r="7442" spans="1:5" x14ac:dyDescent="0.25">
      <c r="A7442" s="24" t="s">
        <v>7</v>
      </c>
      <c r="B7442" s="24" t="s">
        <v>18667</v>
      </c>
      <c r="C7442" s="25" t="s">
        <v>18668</v>
      </c>
      <c r="D7442" s="25" t="s">
        <v>18668</v>
      </c>
      <c r="E7442" s="26">
        <v>24.44</v>
      </c>
    </row>
    <row r="7443" spans="1:5" x14ac:dyDescent="0.25">
      <c r="A7443" s="24" t="s">
        <v>7</v>
      </c>
      <c r="B7443" s="24" t="s">
        <v>18669</v>
      </c>
      <c r="C7443" s="25" t="s">
        <v>18670</v>
      </c>
      <c r="D7443" s="25" t="s">
        <v>18670</v>
      </c>
      <c r="E7443" s="26">
        <v>10</v>
      </c>
    </row>
    <row r="7444" spans="1:5" x14ac:dyDescent="0.25">
      <c r="A7444" s="24" t="s">
        <v>7</v>
      </c>
      <c r="B7444" s="24" t="s">
        <v>18671</v>
      </c>
      <c r="C7444" s="25" t="s">
        <v>18672</v>
      </c>
      <c r="D7444" s="25" t="s">
        <v>18673</v>
      </c>
      <c r="E7444" s="26">
        <v>73.31</v>
      </c>
    </row>
    <row r="7445" spans="1:5" x14ac:dyDescent="0.25">
      <c r="A7445" s="24" t="s">
        <v>7</v>
      </c>
      <c r="B7445" s="24" t="s">
        <v>18674</v>
      </c>
      <c r="C7445" s="25" t="s">
        <v>17343</v>
      </c>
      <c r="D7445" s="25" t="s">
        <v>17344</v>
      </c>
      <c r="E7445" s="26">
        <v>5.3</v>
      </c>
    </row>
    <row r="7446" spans="1:5" x14ac:dyDescent="0.25">
      <c r="A7446" s="24" t="s">
        <v>7</v>
      </c>
      <c r="B7446" s="24" t="s">
        <v>18675</v>
      </c>
      <c r="C7446" s="25" t="s">
        <v>18676</v>
      </c>
      <c r="D7446" s="25" t="s">
        <v>16894</v>
      </c>
      <c r="E7446" s="26">
        <v>3.75</v>
      </c>
    </row>
    <row r="7447" spans="1:5" x14ac:dyDescent="0.25">
      <c r="A7447" s="24" t="s">
        <v>7</v>
      </c>
      <c r="B7447" s="24" t="s">
        <v>18677</v>
      </c>
      <c r="C7447" s="25" t="s">
        <v>18678</v>
      </c>
      <c r="D7447" s="25" t="s">
        <v>16894</v>
      </c>
      <c r="E7447" s="26">
        <v>3.75</v>
      </c>
    </row>
    <row r="7448" spans="1:5" x14ac:dyDescent="0.25">
      <c r="A7448" s="24" t="s">
        <v>7</v>
      </c>
      <c r="B7448" s="24" t="s">
        <v>18679</v>
      </c>
      <c r="C7448" s="25" t="s">
        <v>18680</v>
      </c>
      <c r="D7448" s="25" t="s">
        <v>16341</v>
      </c>
      <c r="E7448" s="26">
        <v>14.97</v>
      </c>
    </row>
    <row r="7449" spans="1:5" x14ac:dyDescent="0.25">
      <c r="A7449" s="24" t="s">
        <v>7</v>
      </c>
      <c r="B7449" s="24" t="s">
        <v>18681</v>
      </c>
      <c r="C7449" s="25" t="s">
        <v>18682</v>
      </c>
      <c r="D7449" s="25" t="s">
        <v>16219</v>
      </c>
      <c r="E7449" s="26">
        <v>18</v>
      </c>
    </row>
    <row r="7450" spans="1:5" x14ac:dyDescent="0.25">
      <c r="A7450" s="24" t="s">
        <v>7</v>
      </c>
      <c r="B7450" s="24" t="s">
        <v>18683</v>
      </c>
      <c r="C7450" s="25" t="s">
        <v>18684</v>
      </c>
      <c r="D7450" s="25" t="s">
        <v>16612</v>
      </c>
      <c r="E7450" s="26">
        <v>4.53</v>
      </c>
    </row>
    <row r="7451" spans="1:5" x14ac:dyDescent="0.25">
      <c r="A7451" s="24" t="s">
        <v>7</v>
      </c>
      <c r="B7451" s="24" t="s">
        <v>18685</v>
      </c>
      <c r="C7451" s="25" t="s">
        <v>18686</v>
      </c>
      <c r="D7451" s="25" t="s">
        <v>18687</v>
      </c>
      <c r="E7451" s="26">
        <v>39</v>
      </c>
    </row>
    <row r="7452" spans="1:5" x14ac:dyDescent="0.25">
      <c r="A7452" s="24" t="s">
        <v>7</v>
      </c>
      <c r="B7452" s="24" t="s">
        <v>18688</v>
      </c>
      <c r="C7452" s="25" t="s">
        <v>18689</v>
      </c>
      <c r="D7452" s="25" t="s">
        <v>18689</v>
      </c>
      <c r="E7452" s="26">
        <v>50</v>
      </c>
    </row>
    <row r="7453" spans="1:5" x14ac:dyDescent="0.25">
      <c r="A7453" s="24" t="s">
        <v>7</v>
      </c>
      <c r="B7453" s="24" t="s">
        <v>18690</v>
      </c>
      <c r="C7453" s="25" t="s">
        <v>18691</v>
      </c>
      <c r="D7453" s="25" t="s">
        <v>16510</v>
      </c>
      <c r="E7453" s="26">
        <v>18</v>
      </c>
    </row>
    <row r="7454" spans="1:5" x14ac:dyDescent="0.25">
      <c r="A7454" s="24" t="s">
        <v>7</v>
      </c>
      <c r="B7454" s="24" t="s">
        <v>18692</v>
      </c>
      <c r="C7454" s="25" t="s">
        <v>18693</v>
      </c>
      <c r="D7454" s="25" t="s">
        <v>3752</v>
      </c>
      <c r="E7454" s="26">
        <v>3.61</v>
      </c>
    </row>
    <row r="7455" spans="1:5" x14ac:dyDescent="0.25">
      <c r="A7455" s="24" t="s">
        <v>7</v>
      </c>
      <c r="B7455" s="24" t="s">
        <v>18694</v>
      </c>
      <c r="C7455" s="25" t="s">
        <v>18695</v>
      </c>
      <c r="D7455" s="25" t="s">
        <v>18696</v>
      </c>
      <c r="E7455" s="26">
        <v>59.5</v>
      </c>
    </row>
    <row r="7456" spans="1:5" x14ac:dyDescent="0.25">
      <c r="A7456" s="24" t="s">
        <v>7</v>
      </c>
      <c r="B7456" s="24" t="s">
        <v>18697</v>
      </c>
      <c r="C7456" s="25" t="s">
        <v>18698</v>
      </c>
      <c r="D7456" s="25" t="s">
        <v>18699</v>
      </c>
      <c r="E7456" s="26">
        <v>68</v>
      </c>
    </row>
    <row r="7457" spans="1:5" x14ac:dyDescent="0.25">
      <c r="A7457" s="24" t="s">
        <v>7</v>
      </c>
      <c r="B7457" s="24" t="s">
        <v>18700</v>
      </c>
      <c r="C7457" s="25" t="s">
        <v>3926</v>
      </c>
      <c r="D7457" s="25" t="s">
        <v>3927</v>
      </c>
      <c r="E7457" s="26">
        <v>40.5</v>
      </c>
    </row>
    <row r="7458" spans="1:5" x14ac:dyDescent="0.25">
      <c r="A7458" s="24" t="s">
        <v>7</v>
      </c>
      <c r="B7458" s="24" t="s">
        <v>18701</v>
      </c>
      <c r="C7458" s="25" t="s">
        <v>18702</v>
      </c>
      <c r="D7458" s="25" t="s">
        <v>3933</v>
      </c>
      <c r="E7458" s="26">
        <v>12.25</v>
      </c>
    </row>
    <row r="7459" spans="1:5" x14ac:dyDescent="0.25">
      <c r="A7459" s="24" t="s">
        <v>7</v>
      </c>
      <c r="B7459" s="24" t="s">
        <v>18703</v>
      </c>
      <c r="C7459" s="25" t="s">
        <v>18704</v>
      </c>
      <c r="D7459" s="25" t="s">
        <v>18705</v>
      </c>
      <c r="E7459" s="26">
        <v>128.5</v>
      </c>
    </row>
    <row r="7460" spans="1:5" x14ac:dyDescent="0.25">
      <c r="A7460" s="24" t="s">
        <v>7</v>
      </c>
      <c r="B7460" s="24" t="s">
        <v>18706</v>
      </c>
      <c r="C7460" s="25" t="s">
        <v>18707</v>
      </c>
      <c r="D7460" s="25" t="s">
        <v>18708</v>
      </c>
      <c r="E7460" s="26">
        <v>58.66</v>
      </c>
    </row>
    <row r="7461" spans="1:5" x14ac:dyDescent="0.25">
      <c r="A7461" s="24" t="s">
        <v>7</v>
      </c>
      <c r="B7461" s="24" t="s">
        <v>18709</v>
      </c>
      <c r="C7461" s="25" t="s">
        <v>17346</v>
      </c>
      <c r="D7461" s="25" t="s">
        <v>17347</v>
      </c>
      <c r="E7461" s="26">
        <v>238.92</v>
      </c>
    </row>
    <row r="7462" spans="1:5" x14ac:dyDescent="0.25">
      <c r="A7462" s="24" t="s">
        <v>7</v>
      </c>
      <c r="B7462" s="24" t="s">
        <v>18710</v>
      </c>
      <c r="C7462" s="25" t="s">
        <v>18711</v>
      </c>
      <c r="D7462" s="25" t="s">
        <v>18609</v>
      </c>
      <c r="E7462" s="26">
        <v>24.52</v>
      </c>
    </row>
    <row r="7463" spans="1:5" x14ac:dyDescent="0.25">
      <c r="A7463" s="24" t="s">
        <v>7</v>
      </c>
      <c r="B7463" s="24" t="s">
        <v>18712</v>
      </c>
      <c r="C7463" s="25" t="s">
        <v>17050</v>
      </c>
      <c r="D7463" s="25" t="s">
        <v>17051</v>
      </c>
      <c r="E7463" s="26">
        <v>67.37</v>
      </c>
    </row>
    <row r="7464" spans="1:5" x14ac:dyDescent="0.25">
      <c r="A7464" s="24" t="s">
        <v>7</v>
      </c>
      <c r="B7464" s="24" t="s">
        <v>18713</v>
      </c>
      <c r="C7464" s="25" t="s">
        <v>18714</v>
      </c>
      <c r="D7464" s="25" t="s">
        <v>18715</v>
      </c>
      <c r="E7464" s="26">
        <v>172.5</v>
      </c>
    </row>
    <row r="7465" spans="1:5" x14ac:dyDescent="0.25">
      <c r="A7465" s="24" t="s">
        <v>7</v>
      </c>
      <c r="B7465" s="24" t="s">
        <v>18716</v>
      </c>
      <c r="C7465" s="25" t="s">
        <v>18717</v>
      </c>
      <c r="D7465" s="25" t="s">
        <v>18718</v>
      </c>
      <c r="E7465" s="26">
        <v>176.47</v>
      </c>
    </row>
    <row r="7466" spans="1:5" x14ac:dyDescent="0.25">
      <c r="A7466" s="24" t="s">
        <v>7</v>
      </c>
      <c r="B7466" s="24" t="s">
        <v>18719</v>
      </c>
      <c r="C7466" s="25" t="s">
        <v>18720</v>
      </c>
      <c r="D7466" s="25" t="s">
        <v>18721</v>
      </c>
      <c r="E7466" s="26">
        <v>18.75</v>
      </c>
    </row>
    <row r="7467" spans="1:5" x14ac:dyDescent="0.25">
      <c r="A7467" s="24" t="s">
        <v>7</v>
      </c>
      <c r="B7467" s="24" t="s">
        <v>18722</v>
      </c>
      <c r="C7467" s="25" t="s">
        <v>18723</v>
      </c>
      <c r="D7467" s="25" t="s">
        <v>15190</v>
      </c>
      <c r="E7467" s="26">
        <v>116</v>
      </c>
    </row>
    <row r="7468" spans="1:5" x14ac:dyDescent="0.25">
      <c r="A7468" s="24" t="s">
        <v>7</v>
      </c>
      <c r="B7468" s="24" t="s">
        <v>18724</v>
      </c>
      <c r="C7468" s="25" t="s">
        <v>15475</v>
      </c>
      <c r="D7468" s="25" t="s">
        <v>15476</v>
      </c>
      <c r="E7468" s="26">
        <v>34.28</v>
      </c>
    </row>
    <row r="7469" spans="1:5" x14ac:dyDescent="0.25">
      <c r="A7469" s="24" t="s">
        <v>7</v>
      </c>
      <c r="B7469" s="24" t="s">
        <v>18725</v>
      </c>
      <c r="C7469" s="25" t="s">
        <v>18726</v>
      </c>
      <c r="D7469" s="25" t="s">
        <v>18727</v>
      </c>
      <c r="E7469" s="26">
        <v>27.51</v>
      </c>
    </row>
    <row r="7470" spans="1:5" x14ac:dyDescent="0.25">
      <c r="A7470" s="24" t="s">
        <v>7</v>
      </c>
      <c r="B7470" s="24" t="s">
        <v>18728</v>
      </c>
      <c r="C7470" s="25" t="s">
        <v>18729</v>
      </c>
      <c r="D7470" s="25" t="s">
        <v>18730</v>
      </c>
      <c r="E7470" s="26">
        <v>285.08</v>
      </c>
    </row>
    <row r="7471" spans="1:5" x14ac:dyDescent="0.25">
      <c r="A7471" s="24" t="s">
        <v>7</v>
      </c>
      <c r="B7471" s="24" t="s">
        <v>18731</v>
      </c>
      <c r="C7471" s="25" t="s">
        <v>18732</v>
      </c>
      <c r="D7471" s="25" t="s">
        <v>18733</v>
      </c>
      <c r="E7471" s="26">
        <v>57.02</v>
      </c>
    </row>
    <row r="7472" spans="1:5" x14ac:dyDescent="0.25">
      <c r="A7472" s="24" t="s">
        <v>7</v>
      </c>
      <c r="B7472" s="24" t="s">
        <v>18734</v>
      </c>
      <c r="C7472" s="25" t="s">
        <v>18735</v>
      </c>
      <c r="D7472" s="25" t="s">
        <v>18736</v>
      </c>
      <c r="E7472" s="26">
        <v>61.09</v>
      </c>
    </row>
    <row r="7473" spans="1:5" x14ac:dyDescent="0.25">
      <c r="A7473" s="24" t="s">
        <v>7</v>
      </c>
      <c r="B7473" s="24" t="s">
        <v>18737</v>
      </c>
      <c r="C7473" s="25" t="s">
        <v>18738</v>
      </c>
      <c r="D7473" s="25" t="s">
        <v>17760</v>
      </c>
      <c r="E7473" s="26">
        <v>117</v>
      </c>
    </row>
    <row r="7474" spans="1:5" x14ac:dyDescent="0.25">
      <c r="A7474" s="24" t="s">
        <v>7</v>
      </c>
      <c r="B7474" s="24" t="s">
        <v>18739</v>
      </c>
      <c r="C7474" s="25" t="s">
        <v>3970</v>
      </c>
      <c r="D7474" s="25" t="s">
        <v>3423</v>
      </c>
      <c r="E7474" s="26">
        <v>2.59</v>
      </c>
    </row>
    <row r="7475" spans="1:5" x14ac:dyDescent="0.25">
      <c r="A7475" s="24" t="s">
        <v>7</v>
      </c>
      <c r="B7475" s="24" t="s">
        <v>18740</v>
      </c>
      <c r="C7475" s="25" t="s">
        <v>15929</v>
      </c>
      <c r="D7475" s="25" t="s">
        <v>15929</v>
      </c>
      <c r="E7475" s="26">
        <v>23.93</v>
      </c>
    </row>
    <row r="7476" spans="1:5" x14ac:dyDescent="0.25">
      <c r="A7476" s="24" t="s">
        <v>7</v>
      </c>
      <c r="B7476" s="24" t="s">
        <v>18741</v>
      </c>
      <c r="C7476" s="25" t="s">
        <v>18742</v>
      </c>
      <c r="D7476" s="25" t="s">
        <v>18743</v>
      </c>
      <c r="E7476" s="26">
        <v>4.5999999999999996</v>
      </c>
    </row>
    <row r="7477" spans="1:5" x14ac:dyDescent="0.25">
      <c r="A7477" s="24" t="s">
        <v>7</v>
      </c>
      <c r="B7477" s="24" t="s">
        <v>18744</v>
      </c>
      <c r="C7477" s="25" t="s">
        <v>18745</v>
      </c>
      <c r="D7477" s="25" t="s">
        <v>16894</v>
      </c>
      <c r="E7477" s="26">
        <v>11.03</v>
      </c>
    </row>
    <row r="7478" spans="1:5" x14ac:dyDescent="0.25">
      <c r="A7478" s="24" t="s">
        <v>7</v>
      </c>
      <c r="B7478" s="24" t="s">
        <v>18746</v>
      </c>
      <c r="C7478" s="25" t="s">
        <v>18747</v>
      </c>
      <c r="D7478" s="25" t="s">
        <v>18748</v>
      </c>
      <c r="E7478" s="26">
        <v>11.03</v>
      </c>
    </row>
    <row r="7479" spans="1:5" x14ac:dyDescent="0.25">
      <c r="A7479" s="24" t="s">
        <v>7</v>
      </c>
      <c r="B7479" s="24" t="s">
        <v>18749</v>
      </c>
      <c r="C7479" s="25" t="s">
        <v>18750</v>
      </c>
      <c r="D7479" s="25" t="s">
        <v>18750</v>
      </c>
      <c r="E7479" s="26">
        <v>33</v>
      </c>
    </row>
    <row r="7480" spans="1:5" x14ac:dyDescent="0.25">
      <c r="A7480" s="24" t="s">
        <v>7</v>
      </c>
      <c r="B7480" s="24" t="s">
        <v>18751</v>
      </c>
      <c r="C7480" s="25" t="s">
        <v>18752</v>
      </c>
      <c r="D7480" s="25" t="s">
        <v>18752</v>
      </c>
      <c r="E7480" s="26">
        <v>30</v>
      </c>
    </row>
    <row r="7481" spans="1:5" x14ac:dyDescent="0.25">
      <c r="A7481" s="24" t="s">
        <v>7</v>
      </c>
      <c r="B7481" s="24" t="s">
        <v>18753</v>
      </c>
      <c r="C7481" s="25" t="s">
        <v>18754</v>
      </c>
      <c r="D7481" s="25" t="s">
        <v>18755</v>
      </c>
      <c r="E7481" s="26">
        <v>133</v>
      </c>
    </row>
    <row r="7482" spans="1:5" x14ac:dyDescent="0.25">
      <c r="A7482" s="24" t="s">
        <v>7</v>
      </c>
      <c r="B7482" s="24" t="s">
        <v>18756</v>
      </c>
      <c r="C7482" s="25" t="s">
        <v>18757</v>
      </c>
      <c r="D7482" s="25" t="s">
        <v>18758</v>
      </c>
      <c r="E7482" s="26">
        <v>132</v>
      </c>
    </row>
    <row r="7483" spans="1:5" x14ac:dyDescent="0.25">
      <c r="A7483" s="24" t="s">
        <v>7</v>
      </c>
      <c r="B7483" s="24" t="s">
        <v>18759</v>
      </c>
      <c r="C7483" s="25" t="s">
        <v>15454</v>
      </c>
      <c r="D7483" s="25" t="s">
        <v>15455</v>
      </c>
      <c r="E7483" s="26">
        <v>2490</v>
      </c>
    </row>
    <row r="7484" spans="1:5" x14ac:dyDescent="0.25">
      <c r="A7484" s="24" t="s">
        <v>7</v>
      </c>
      <c r="B7484" s="24" t="s">
        <v>18760</v>
      </c>
      <c r="C7484" s="25" t="s">
        <v>18761</v>
      </c>
      <c r="D7484" s="25" t="s">
        <v>18762</v>
      </c>
      <c r="E7484" s="26">
        <v>1300</v>
      </c>
    </row>
    <row r="7485" spans="1:5" x14ac:dyDescent="0.25">
      <c r="A7485" s="24" t="s">
        <v>7</v>
      </c>
      <c r="B7485" s="24" t="s">
        <v>18763</v>
      </c>
      <c r="C7485" s="25" t="s">
        <v>18764</v>
      </c>
      <c r="D7485" s="25" t="s">
        <v>18765</v>
      </c>
      <c r="E7485" s="26">
        <v>1300</v>
      </c>
    </row>
    <row r="7486" spans="1:5" x14ac:dyDescent="0.25">
      <c r="A7486" s="24" t="s">
        <v>7</v>
      </c>
      <c r="B7486" s="24" t="s">
        <v>18766</v>
      </c>
      <c r="C7486" s="25" t="s">
        <v>18767</v>
      </c>
      <c r="D7486" s="25" t="s">
        <v>18768</v>
      </c>
      <c r="E7486" s="26">
        <v>441</v>
      </c>
    </row>
    <row r="7487" spans="1:5" x14ac:dyDescent="0.25">
      <c r="A7487" s="24" t="s">
        <v>7</v>
      </c>
      <c r="B7487" s="24" t="s">
        <v>18769</v>
      </c>
      <c r="C7487" s="25" t="s">
        <v>18770</v>
      </c>
      <c r="D7487" s="25" t="s">
        <v>18771</v>
      </c>
      <c r="E7487" s="26">
        <v>600</v>
      </c>
    </row>
    <row r="7488" spans="1:5" x14ac:dyDescent="0.25">
      <c r="A7488" s="24" t="s">
        <v>7</v>
      </c>
      <c r="B7488" s="24" t="s">
        <v>18772</v>
      </c>
      <c r="C7488" s="25" t="s">
        <v>18773</v>
      </c>
      <c r="D7488" s="25" t="s">
        <v>18774</v>
      </c>
      <c r="E7488" s="26">
        <v>320</v>
      </c>
    </row>
    <row r="7489" spans="1:5" x14ac:dyDescent="0.25">
      <c r="A7489" s="24" t="s">
        <v>7</v>
      </c>
      <c r="B7489" s="24" t="s">
        <v>18775</v>
      </c>
      <c r="C7489" s="25" t="s">
        <v>15457</v>
      </c>
      <c r="D7489" s="25" t="s">
        <v>15458</v>
      </c>
      <c r="E7489" s="26">
        <v>126</v>
      </c>
    </row>
    <row r="7490" spans="1:5" x14ac:dyDescent="0.25">
      <c r="A7490" s="24" t="s">
        <v>7</v>
      </c>
      <c r="B7490" s="24" t="s">
        <v>18776</v>
      </c>
      <c r="C7490" s="25" t="s">
        <v>17060</v>
      </c>
      <c r="D7490" s="25" t="s">
        <v>17061</v>
      </c>
      <c r="E7490" s="26">
        <v>100</v>
      </c>
    </row>
    <row r="7491" spans="1:5" x14ac:dyDescent="0.25">
      <c r="A7491" s="24" t="s">
        <v>7</v>
      </c>
      <c r="B7491" s="24" t="s">
        <v>18777</v>
      </c>
      <c r="C7491" s="25" t="s">
        <v>18778</v>
      </c>
      <c r="D7491" s="25" t="s">
        <v>18779</v>
      </c>
      <c r="E7491" s="26">
        <v>275</v>
      </c>
    </row>
    <row r="7492" spans="1:5" x14ac:dyDescent="0.25">
      <c r="A7492" s="24" t="s">
        <v>7</v>
      </c>
      <c r="B7492" s="24" t="s">
        <v>18780</v>
      </c>
      <c r="C7492" s="25" t="s">
        <v>15195</v>
      </c>
      <c r="D7492" s="25" t="s">
        <v>15196</v>
      </c>
      <c r="E7492" s="26">
        <v>110</v>
      </c>
    </row>
    <row r="7493" spans="1:5" x14ac:dyDescent="0.25">
      <c r="A7493" s="24" t="s">
        <v>7</v>
      </c>
      <c r="B7493" s="24" t="s">
        <v>18781</v>
      </c>
      <c r="C7493" s="25" t="s">
        <v>18782</v>
      </c>
      <c r="D7493" s="25" t="s">
        <v>18783</v>
      </c>
      <c r="E7493" s="26">
        <v>300</v>
      </c>
    </row>
    <row r="7494" spans="1:5" x14ac:dyDescent="0.25">
      <c r="A7494" s="24" t="s">
        <v>7</v>
      </c>
      <c r="B7494" s="24" t="s">
        <v>18784</v>
      </c>
      <c r="C7494" s="25" t="s">
        <v>15460</v>
      </c>
      <c r="D7494" s="25" t="s">
        <v>15461</v>
      </c>
      <c r="E7494" s="26">
        <v>280</v>
      </c>
    </row>
    <row r="7495" spans="1:5" x14ac:dyDescent="0.25">
      <c r="A7495" s="24" t="s">
        <v>7</v>
      </c>
      <c r="B7495" s="24" t="s">
        <v>18785</v>
      </c>
      <c r="C7495" s="25" t="s">
        <v>17217</v>
      </c>
      <c r="D7495" s="25" t="s">
        <v>17218</v>
      </c>
      <c r="E7495" s="26">
        <v>1440</v>
      </c>
    </row>
    <row r="7496" spans="1:5" x14ac:dyDescent="0.25">
      <c r="A7496" s="24" t="s">
        <v>7</v>
      </c>
      <c r="B7496" s="24" t="s">
        <v>18786</v>
      </c>
      <c r="C7496" s="25" t="s">
        <v>17064</v>
      </c>
      <c r="D7496" s="25" t="s">
        <v>17065</v>
      </c>
      <c r="E7496" s="26">
        <v>310</v>
      </c>
    </row>
    <row r="7497" spans="1:5" x14ac:dyDescent="0.25">
      <c r="A7497" s="24" t="s">
        <v>7</v>
      </c>
      <c r="B7497" s="24" t="s">
        <v>18787</v>
      </c>
      <c r="C7497" s="25" t="s">
        <v>17067</v>
      </c>
      <c r="D7497" s="25" t="s">
        <v>18788</v>
      </c>
      <c r="E7497" s="26">
        <v>210</v>
      </c>
    </row>
    <row r="7498" spans="1:5" x14ac:dyDescent="0.25">
      <c r="A7498" s="24" t="s">
        <v>7</v>
      </c>
      <c r="B7498" s="24" t="s">
        <v>18789</v>
      </c>
      <c r="C7498" s="25" t="s">
        <v>17070</v>
      </c>
      <c r="D7498" s="25" t="s">
        <v>17071</v>
      </c>
      <c r="E7498" s="26">
        <v>90</v>
      </c>
    </row>
    <row r="7499" spans="1:5" x14ac:dyDescent="0.25">
      <c r="A7499" s="24" t="s">
        <v>7</v>
      </c>
      <c r="B7499" s="24" t="s">
        <v>18790</v>
      </c>
      <c r="C7499" s="25" t="s">
        <v>17482</v>
      </c>
      <c r="D7499" s="25" t="s">
        <v>17483</v>
      </c>
      <c r="E7499" s="26">
        <v>271</v>
      </c>
    </row>
    <row r="7500" spans="1:5" x14ac:dyDescent="0.25">
      <c r="A7500" s="24" t="s">
        <v>7</v>
      </c>
      <c r="B7500" s="24" t="s">
        <v>18791</v>
      </c>
      <c r="C7500" s="25" t="s">
        <v>18792</v>
      </c>
      <c r="D7500" s="25" t="s">
        <v>18793</v>
      </c>
      <c r="E7500" s="26">
        <v>410</v>
      </c>
    </row>
    <row r="7501" spans="1:5" x14ac:dyDescent="0.25">
      <c r="A7501" s="24" t="s">
        <v>7</v>
      </c>
      <c r="B7501" s="24" t="s">
        <v>18794</v>
      </c>
      <c r="C7501" s="25" t="s">
        <v>18795</v>
      </c>
      <c r="D7501" s="25" t="s">
        <v>18796</v>
      </c>
      <c r="E7501" s="26">
        <v>221</v>
      </c>
    </row>
    <row r="7502" spans="1:5" x14ac:dyDescent="0.25">
      <c r="A7502" s="24" t="s">
        <v>7</v>
      </c>
      <c r="B7502" s="24" t="s">
        <v>18797</v>
      </c>
      <c r="C7502" s="25" t="s">
        <v>16883</v>
      </c>
      <c r="D7502" s="25" t="s">
        <v>16883</v>
      </c>
      <c r="E7502" s="26">
        <v>201</v>
      </c>
    </row>
    <row r="7503" spans="1:5" x14ac:dyDescent="0.25">
      <c r="A7503" s="24" t="s">
        <v>7</v>
      </c>
      <c r="B7503" s="24" t="s">
        <v>18798</v>
      </c>
      <c r="C7503" s="25" t="s">
        <v>18799</v>
      </c>
      <c r="D7503" s="25" t="s">
        <v>18800</v>
      </c>
      <c r="E7503" s="26">
        <v>258</v>
      </c>
    </row>
    <row r="7504" spans="1:5" x14ac:dyDescent="0.25">
      <c r="A7504" s="24" t="s">
        <v>7</v>
      </c>
      <c r="B7504" s="24" t="s">
        <v>18801</v>
      </c>
      <c r="C7504" s="25" t="s">
        <v>18802</v>
      </c>
      <c r="D7504" s="25" t="s">
        <v>18803</v>
      </c>
      <c r="E7504" s="26">
        <v>390</v>
      </c>
    </row>
    <row r="7505" spans="1:5" x14ac:dyDescent="0.25">
      <c r="A7505" s="24" t="s">
        <v>7</v>
      </c>
      <c r="B7505" s="24" t="s">
        <v>18804</v>
      </c>
      <c r="C7505" s="25" t="s">
        <v>18805</v>
      </c>
      <c r="D7505" s="25" t="s">
        <v>18805</v>
      </c>
      <c r="E7505" s="26">
        <v>320</v>
      </c>
    </row>
    <row r="7506" spans="1:5" x14ac:dyDescent="0.25">
      <c r="A7506" s="24" t="s">
        <v>7</v>
      </c>
      <c r="B7506" s="24" t="s">
        <v>18806</v>
      </c>
      <c r="C7506" s="25" t="s">
        <v>17082</v>
      </c>
      <c r="D7506" s="25" t="s">
        <v>17082</v>
      </c>
      <c r="E7506" s="26">
        <v>360</v>
      </c>
    </row>
    <row r="7507" spans="1:5" x14ac:dyDescent="0.25">
      <c r="A7507" s="24" t="s">
        <v>7</v>
      </c>
      <c r="B7507" s="24" t="s">
        <v>18807</v>
      </c>
      <c r="C7507" s="25" t="s">
        <v>18808</v>
      </c>
      <c r="D7507" s="25" t="s">
        <v>18809</v>
      </c>
      <c r="E7507" s="26">
        <v>780</v>
      </c>
    </row>
    <row r="7508" spans="1:5" x14ac:dyDescent="0.25">
      <c r="A7508" s="24" t="s">
        <v>7</v>
      </c>
      <c r="B7508" s="24" t="s">
        <v>18810</v>
      </c>
      <c r="C7508" s="25" t="s">
        <v>18811</v>
      </c>
      <c r="D7508" s="25" t="s">
        <v>18812</v>
      </c>
      <c r="E7508" s="26">
        <v>780</v>
      </c>
    </row>
    <row r="7509" spans="1:5" x14ac:dyDescent="0.25">
      <c r="A7509" s="24" t="s">
        <v>7</v>
      </c>
      <c r="B7509" s="24" t="s">
        <v>18813</v>
      </c>
      <c r="C7509" s="25" t="s">
        <v>18814</v>
      </c>
      <c r="D7509" s="25" t="s">
        <v>18815</v>
      </c>
      <c r="E7509" s="26">
        <v>780</v>
      </c>
    </row>
    <row r="7510" spans="1:5" x14ac:dyDescent="0.25">
      <c r="A7510" s="24" t="s">
        <v>7</v>
      </c>
      <c r="B7510" s="24" t="s">
        <v>18816</v>
      </c>
      <c r="C7510" s="25" t="s">
        <v>15192</v>
      </c>
      <c r="D7510" s="25" t="s">
        <v>15193</v>
      </c>
      <c r="E7510" s="26">
        <v>482</v>
      </c>
    </row>
    <row r="7511" spans="1:5" x14ac:dyDescent="0.25">
      <c r="A7511" s="24" t="s">
        <v>7</v>
      </c>
      <c r="B7511" s="24" t="s">
        <v>18817</v>
      </c>
      <c r="C7511" s="25" t="s">
        <v>18818</v>
      </c>
      <c r="D7511" s="25" t="s">
        <v>18819</v>
      </c>
      <c r="E7511" s="26">
        <v>290</v>
      </c>
    </row>
    <row r="7512" spans="1:5" x14ac:dyDescent="0.25">
      <c r="A7512" s="24" t="s">
        <v>7</v>
      </c>
      <c r="B7512" s="24" t="s">
        <v>18820</v>
      </c>
      <c r="C7512" s="25" t="s">
        <v>17073</v>
      </c>
      <c r="D7512" s="25" t="s">
        <v>17074</v>
      </c>
      <c r="E7512" s="26">
        <v>270</v>
      </c>
    </row>
    <row r="7513" spans="1:5" x14ac:dyDescent="0.25">
      <c r="A7513" s="24" t="s">
        <v>7</v>
      </c>
      <c r="B7513" s="24" t="s">
        <v>18821</v>
      </c>
      <c r="C7513" s="25" t="s">
        <v>17751</v>
      </c>
      <c r="D7513" s="25" t="s">
        <v>17752</v>
      </c>
      <c r="E7513" s="26">
        <v>340</v>
      </c>
    </row>
    <row r="7514" spans="1:5" x14ac:dyDescent="0.25">
      <c r="A7514" s="24" t="s">
        <v>7</v>
      </c>
      <c r="B7514" s="24" t="s">
        <v>18822</v>
      </c>
      <c r="C7514" s="25" t="s">
        <v>18823</v>
      </c>
      <c r="D7514" s="25" t="s">
        <v>18824</v>
      </c>
      <c r="E7514" s="26">
        <v>500</v>
      </c>
    </row>
    <row r="7515" spans="1:5" x14ac:dyDescent="0.25">
      <c r="A7515" s="24" t="s">
        <v>7</v>
      </c>
      <c r="B7515" s="24" t="s">
        <v>18825</v>
      </c>
      <c r="C7515" s="25" t="s">
        <v>18826</v>
      </c>
      <c r="D7515" s="25" t="s">
        <v>18827</v>
      </c>
      <c r="E7515" s="26">
        <v>280</v>
      </c>
    </row>
    <row r="7516" spans="1:5" x14ac:dyDescent="0.25">
      <c r="A7516" s="24" t="s">
        <v>7</v>
      </c>
      <c r="B7516" s="24" t="s">
        <v>18828</v>
      </c>
      <c r="C7516" s="25" t="s">
        <v>18829</v>
      </c>
      <c r="D7516" s="25" t="s">
        <v>18830</v>
      </c>
      <c r="E7516" s="26">
        <v>780</v>
      </c>
    </row>
    <row r="7517" spans="1:5" x14ac:dyDescent="0.25">
      <c r="A7517" s="24" t="s">
        <v>7</v>
      </c>
      <c r="B7517" s="24" t="s">
        <v>18831</v>
      </c>
      <c r="C7517" s="25" t="s">
        <v>18832</v>
      </c>
      <c r="D7517" s="25" t="s">
        <v>18833</v>
      </c>
      <c r="E7517" s="26">
        <v>250</v>
      </c>
    </row>
    <row r="7518" spans="1:5" x14ac:dyDescent="0.25">
      <c r="A7518" s="24" t="s">
        <v>7</v>
      </c>
      <c r="B7518" s="24" t="s">
        <v>18834</v>
      </c>
      <c r="C7518" s="25" t="s">
        <v>17488</v>
      </c>
      <c r="D7518" s="25" t="s">
        <v>17489</v>
      </c>
      <c r="E7518" s="26">
        <v>250</v>
      </c>
    </row>
    <row r="7519" spans="1:5" x14ac:dyDescent="0.25">
      <c r="A7519" s="24" t="s">
        <v>7</v>
      </c>
      <c r="B7519" s="24" t="s">
        <v>18835</v>
      </c>
      <c r="C7519" s="25" t="s">
        <v>18836</v>
      </c>
      <c r="D7519" s="25" t="s">
        <v>18837</v>
      </c>
      <c r="E7519" s="26">
        <v>200</v>
      </c>
    </row>
    <row r="7520" spans="1:5" x14ac:dyDescent="0.25">
      <c r="A7520" s="24" t="s">
        <v>7</v>
      </c>
      <c r="B7520" s="24" t="s">
        <v>18838</v>
      </c>
      <c r="C7520" s="25" t="s">
        <v>17756</v>
      </c>
      <c r="D7520" s="25" t="s">
        <v>15382</v>
      </c>
      <c r="E7520" s="26">
        <v>80</v>
      </c>
    </row>
    <row r="7521" spans="1:5" x14ac:dyDescent="0.25">
      <c r="A7521" s="24" t="s">
        <v>7</v>
      </c>
      <c r="B7521" s="24" t="s">
        <v>18839</v>
      </c>
      <c r="C7521" s="25" t="s">
        <v>17227</v>
      </c>
      <c r="D7521" s="25" t="s">
        <v>17228</v>
      </c>
      <c r="E7521" s="26">
        <v>345</v>
      </c>
    </row>
    <row r="7522" spans="1:5" x14ac:dyDescent="0.25">
      <c r="A7522" s="24" t="s">
        <v>7</v>
      </c>
      <c r="B7522" s="24" t="s">
        <v>18840</v>
      </c>
      <c r="C7522" s="25" t="s">
        <v>15489</v>
      </c>
      <c r="D7522" s="25" t="s">
        <v>15490</v>
      </c>
      <c r="E7522" s="26">
        <v>221</v>
      </c>
    </row>
    <row r="7523" spans="1:5" x14ac:dyDescent="0.25">
      <c r="A7523" s="24" t="s">
        <v>7</v>
      </c>
      <c r="B7523" s="24" t="s">
        <v>18841</v>
      </c>
      <c r="C7523" s="25" t="s">
        <v>18842</v>
      </c>
      <c r="D7523" s="25" t="s">
        <v>18843</v>
      </c>
      <c r="E7523" s="26">
        <v>3000</v>
      </c>
    </row>
    <row r="7524" spans="1:5" x14ac:dyDescent="0.25">
      <c r="A7524" s="24" t="s">
        <v>7</v>
      </c>
      <c r="B7524" s="24" t="s">
        <v>18844</v>
      </c>
      <c r="C7524" s="25" t="s">
        <v>17053</v>
      </c>
      <c r="D7524" s="25" t="s">
        <v>17054</v>
      </c>
      <c r="E7524" s="26">
        <v>2210</v>
      </c>
    </row>
    <row r="7525" spans="1:5" x14ac:dyDescent="0.25">
      <c r="A7525" s="24" t="s">
        <v>7</v>
      </c>
      <c r="B7525" s="24" t="s">
        <v>18845</v>
      </c>
      <c r="C7525" s="25" t="s">
        <v>15515</v>
      </c>
      <c r="D7525" s="25" t="s">
        <v>15516</v>
      </c>
      <c r="E7525" s="26">
        <v>226</v>
      </c>
    </row>
    <row r="7526" spans="1:5" x14ac:dyDescent="0.25">
      <c r="A7526" s="24" t="s">
        <v>7</v>
      </c>
      <c r="B7526" s="24" t="s">
        <v>18846</v>
      </c>
      <c r="C7526" s="25" t="s">
        <v>15261</v>
      </c>
      <c r="D7526" s="25" t="s">
        <v>15181</v>
      </c>
      <c r="E7526" s="26">
        <v>91</v>
      </c>
    </row>
    <row r="7527" spans="1:5" x14ac:dyDescent="0.25">
      <c r="A7527" s="24" t="s">
        <v>7</v>
      </c>
      <c r="B7527" s="24" t="s">
        <v>18847</v>
      </c>
      <c r="C7527" s="25" t="s">
        <v>17473</v>
      </c>
      <c r="D7527" s="25" t="s">
        <v>15304</v>
      </c>
      <c r="E7527" s="26">
        <v>11</v>
      </c>
    </row>
    <row r="7528" spans="1:5" x14ac:dyDescent="0.25">
      <c r="A7528" s="24" t="s">
        <v>7</v>
      </c>
      <c r="B7528" s="24" t="s">
        <v>18848</v>
      </c>
      <c r="C7528" s="25" t="s">
        <v>17504</v>
      </c>
      <c r="D7528" s="25" t="s">
        <v>17505</v>
      </c>
      <c r="E7528" s="26">
        <v>75</v>
      </c>
    </row>
    <row r="7529" spans="1:5" x14ac:dyDescent="0.25">
      <c r="A7529" s="24" t="s">
        <v>7</v>
      </c>
      <c r="B7529" s="24" t="s">
        <v>18849</v>
      </c>
      <c r="C7529" s="25" t="s">
        <v>18850</v>
      </c>
      <c r="D7529" s="25" t="s">
        <v>17496</v>
      </c>
      <c r="E7529" s="26">
        <v>75</v>
      </c>
    </row>
    <row r="7530" spans="1:5" x14ac:dyDescent="0.25">
      <c r="A7530" s="24" t="s">
        <v>7</v>
      </c>
      <c r="B7530" s="24" t="s">
        <v>18851</v>
      </c>
      <c r="C7530" s="25" t="s">
        <v>18852</v>
      </c>
      <c r="D7530" s="25" t="s">
        <v>17508</v>
      </c>
      <c r="E7530" s="26">
        <v>75</v>
      </c>
    </row>
    <row r="7531" spans="1:5" x14ac:dyDescent="0.25">
      <c r="A7531" s="24" t="s">
        <v>7</v>
      </c>
      <c r="B7531" s="24" t="s">
        <v>18853</v>
      </c>
      <c r="C7531" s="25" t="s">
        <v>17096</v>
      </c>
      <c r="D7531" s="25" t="s">
        <v>17097</v>
      </c>
      <c r="E7531" s="26">
        <v>330</v>
      </c>
    </row>
    <row r="7532" spans="1:5" x14ac:dyDescent="0.25">
      <c r="A7532" s="24" t="s">
        <v>7</v>
      </c>
      <c r="B7532" s="24" t="s">
        <v>18854</v>
      </c>
      <c r="C7532" s="25" t="s">
        <v>18855</v>
      </c>
      <c r="D7532" s="25" t="s">
        <v>17094</v>
      </c>
      <c r="E7532" s="26">
        <v>330</v>
      </c>
    </row>
    <row r="7533" spans="1:5" x14ac:dyDescent="0.25">
      <c r="A7533" s="24" t="s">
        <v>7</v>
      </c>
      <c r="B7533" s="24" t="s">
        <v>18856</v>
      </c>
      <c r="C7533" s="25" t="s">
        <v>17334</v>
      </c>
      <c r="D7533" s="25" t="s">
        <v>17335</v>
      </c>
      <c r="E7533" s="26">
        <v>45</v>
      </c>
    </row>
    <row r="7534" spans="1:5" x14ac:dyDescent="0.25">
      <c r="A7534" s="24" t="s">
        <v>7</v>
      </c>
      <c r="B7534" s="24" t="s">
        <v>18857</v>
      </c>
      <c r="C7534" s="25" t="s">
        <v>17204</v>
      </c>
      <c r="D7534" s="25" t="s">
        <v>17205</v>
      </c>
      <c r="E7534" s="26">
        <v>30</v>
      </c>
    </row>
    <row r="7535" spans="1:5" x14ac:dyDescent="0.25">
      <c r="A7535" s="24" t="s">
        <v>7</v>
      </c>
      <c r="B7535" s="24" t="s">
        <v>18858</v>
      </c>
      <c r="C7535" s="25" t="s">
        <v>4069</v>
      </c>
      <c r="D7535" s="25" t="s">
        <v>4070</v>
      </c>
      <c r="E7535" s="26">
        <v>51</v>
      </c>
    </row>
    <row r="7536" spans="1:5" x14ac:dyDescent="0.25">
      <c r="A7536" s="24" t="s">
        <v>7</v>
      </c>
      <c r="B7536" s="24" t="s">
        <v>18859</v>
      </c>
      <c r="C7536" s="25" t="s">
        <v>4072</v>
      </c>
      <c r="D7536" s="25" t="s">
        <v>4073</v>
      </c>
      <c r="E7536" s="26">
        <v>45</v>
      </c>
    </row>
    <row r="7537" spans="1:5" x14ac:dyDescent="0.25">
      <c r="A7537" s="24" t="s">
        <v>7</v>
      </c>
      <c r="B7537" s="24" t="s">
        <v>18860</v>
      </c>
      <c r="C7537" s="25" t="s">
        <v>18861</v>
      </c>
      <c r="D7537" s="25" t="s">
        <v>18862</v>
      </c>
      <c r="E7537" s="26">
        <v>80</v>
      </c>
    </row>
    <row r="7538" spans="1:5" x14ac:dyDescent="0.25">
      <c r="A7538" s="24" t="s">
        <v>7</v>
      </c>
      <c r="B7538" s="24" t="s">
        <v>18863</v>
      </c>
      <c r="C7538" s="25" t="s">
        <v>17115</v>
      </c>
      <c r="D7538" s="25" t="s">
        <v>17116</v>
      </c>
      <c r="E7538" s="26">
        <v>125</v>
      </c>
    </row>
    <row r="7539" spans="1:5" x14ac:dyDescent="0.25">
      <c r="A7539" s="24" t="s">
        <v>7</v>
      </c>
      <c r="B7539" s="24" t="s">
        <v>18864</v>
      </c>
      <c r="C7539" s="25" t="s">
        <v>17386</v>
      </c>
      <c r="D7539" s="25" t="s">
        <v>17387</v>
      </c>
      <c r="E7539" s="26">
        <v>83</v>
      </c>
    </row>
    <row r="7540" spans="1:5" x14ac:dyDescent="0.25">
      <c r="A7540" s="24" t="s">
        <v>7</v>
      </c>
      <c r="B7540" s="24" t="s">
        <v>18865</v>
      </c>
      <c r="C7540" s="25" t="s">
        <v>4075</v>
      </c>
      <c r="D7540" s="25" t="s">
        <v>4076</v>
      </c>
      <c r="E7540" s="26">
        <v>45</v>
      </c>
    </row>
    <row r="7541" spans="1:5" x14ac:dyDescent="0.25">
      <c r="A7541" s="24" t="s">
        <v>7</v>
      </c>
      <c r="B7541" s="24" t="s">
        <v>18866</v>
      </c>
      <c r="C7541" s="25" t="s">
        <v>17050</v>
      </c>
      <c r="D7541" s="25" t="s">
        <v>17051</v>
      </c>
      <c r="E7541" s="26">
        <v>100</v>
      </c>
    </row>
    <row r="7542" spans="1:5" x14ac:dyDescent="0.25">
      <c r="A7542" s="24" t="s">
        <v>7</v>
      </c>
      <c r="B7542" s="24" t="s">
        <v>18867</v>
      </c>
      <c r="C7542" s="25" t="s">
        <v>17525</v>
      </c>
      <c r="D7542" s="25" t="s">
        <v>17526</v>
      </c>
      <c r="E7542" s="26">
        <v>78</v>
      </c>
    </row>
    <row r="7543" spans="1:5" x14ac:dyDescent="0.25">
      <c r="A7543" s="24" t="s">
        <v>7</v>
      </c>
      <c r="B7543" s="24" t="s">
        <v>18868</v>
      </c>
      <c r="C7543" s="25" t="s">
        <v>17528</v>
      </c>
      <c r="D7543" s="25" t="s">
        <v>17529</v>
      </c>
      <c r="E7543" s="26">
        <v>110</v>
      </c>
    </row>
    <row r="7544" spans="1:5" x14ac:dyDescent="0.25">
      <c r="A7544" s="24" t="s">
        <v>7</v>
      </c>
      <c r="B7544" s="24" t="s">
        <v>18869</v>
      </c>
      <c r="C7544" s="25" t="s">
        <v>17381</v>
      </c>
      <c r="D7544" s="25" t="s">
        <v>17382</v>
      </c>
      <c r="E7544" s="26">
        <v>169</v>
      </c>
    </row>
    <row r="7545" spans="1:5" x14ac:dyDescent="0.25">
      <c r="A7545" s="24" t="s">
        <v>7</v>
      </c>
      <c r="B7545" s="24" t="s">
        <v>18870</v>
      </c>
      <c r="C7545" s="25" t="s">
        <v>17044</v>
      </c>
      <c r="D7545" s="25" t="s">
        <v>17045</v>
      </c>
      <c r="E7545" s="26">
        <v>143</v>
      </c>
    </row>
    <row r="7546" spans="1:5" x14ac:dyDescent="0.25">
      <c r="A7546" s="24" t="s">
        <v>7</v>
      </c>
      <c r="B7546" s="24" t="s">
        <v>18871</v>
      </c>
      <c r="C7546" s="25" t="s">
        <v>17047</v>
      </c>
      <c r="D7546" s="25" t="s">
        <v>17048</v>
      </c>
      <c r="E7546" s="26">
        <v>123</v>
      </c>
    </row>
    <row r="7547" spans="1:5" x14ac:dyDescent="0.25">
      <c r="A7547" s="24" t="s">
        <v>7</v>
      </c>
      <c r="B7547" s="24" t="s">
        <v>18872</v>
      </c>
      <c r="C7547" s="25" t="s">
        <v>17122</v>
      </c>
      <c r="D7547" s="25" t="s">
        <v>17085</v>
      </c>
      <c r="E7547" s="26">
        <v>286</v>
      </c>
    </row>
    <row r="7548" spans="1:5" x14ac:dyDescent="0.25">
      <c r="A7548" s="24" t="s">
        <v>7</v>
      </c>
      <c r="B7548" s="24" t="s">
        <v>18873</v>
      </c>
      <c r="C7548" s="25" t="s">
        <v>17124</v>
      </c>
      <c r="D7548" s="25" t="s">
        <v>17125</v>
      </c>
      <c r="E7548" s="26">
        <v>286</v>
      </c>
    </row>
    <row r="7549" spans="1:5" x14ac:dyDescent="0.25">
      <c r="A7549" s="24" t="s">
        <v>7</v>
      </c>
      <c r="B7549" s="24" t="s">
        <v>18874</v>
      </c>
      <c r="C7549" s="25" t="s">
        <v>17473</v>
      </c>
      <c r="D7549" s="25" t="s">
        <v>15304</v>
      </c>
      <c r="E7549" s="26">
        <v>344</v>
      </c>
    </row>
    <row r="7550" spans="1:5" x14ac:dyDescent="0.25">
      <c r="A7550" s="24" t="s">
        <v>7</v>
      </c>
      <c r="B7550" s="24" t="s">
        <v>18875</v>
      </c>
      <c r="C7550" s="25" t="s">
        <v>17458</v>
      </c>
      <c r="D7550" s="25" t="s">
        <v>17459</v>
      </c>
      <c r="E7550" s="26">
        <v>90</v>
      </c>
    </row>
    <row r="7551" spans="1:5" x14ac:dyDescent="0.25">
      <c r="A7551" s="24" t="s">
        <v>7</v>
      </c>
      <c r="B7551" s="24" t="s">
        <v>18876</v>
      </c>
      <c r="C7551" s="25" t="s">
        <v>17093</v>
      </c>
      <c r="D7551" s="25" t="s">
        <v>17094</v>
      </c>
      <c r="E7551" s="26">
        <v>90</v>
      </c>
    </row>
    <row r="7552" spans="1:5" x14ac:dyDescent="0.25">
      <c r="A7552" s="24" t="s">
        <v>7</v>
      </c>
      <c r="B7552" s="24" t="s">
        <v>18877</v>
      </c>
      <c r="C7552" s="25" t="s">
        <v>18878</v>
      </c>
      <c r="D7552" s="25" t="s">
        <v>17116</v>
      </c>
      <c r="E7552" s="26">
        <v>70</v>
      </c>
    </row>
    <row r="7553" spans="1:5" x14ac:dyDescent="0.25">
      <c r="A7553" s="24" t="s">
        <v>7</v>
      </c>
      <c r="B7553" s="24" t="s">
        <v>18879</v>
      </c>
      <c r="C7553" s="25" t="s">
        <v>18880</v>
      </c>
      <c r="D7553" s="25" t="s">
        <v>17116</v>
      </c>
      <c r="E7553" s="26">
        <v>55</v>
      </c>
    </row>
    <row r="7554" spans="1:5" x14ac:dyDescent="0.25">
      <c r="A7554" s="24" t="s">
        <v>7</v>
      </c>
      <c r="B7554" s="24" t="s">
        <v>18881</v>
      </c>
      <c r="C7554" s="25" t="s">
        <v>17118</v>
      </c>
      <c r="D7554" s="25" t="s">
        <v>17119</v>
      </c>
      <c r="E7554" s="26">
        <v>38</v>
      </c>
    </row>
    <row r="7555" spans="1:5" x14ac:dyDescent="0.25">
      <c r="A7555" s="24" t="s">
        <v>7</v>
      </c>
      <c r="B7555" s="24" t="s">
        <v>18882</v>
      </c>
      <c r="C7555" s="25" t="s">
        <v>18883</v>
      </c>
      <c r="D7555" s="25" t="s">
        <v>18884</v>
      </c>
      <c r="E7555" s="26">
        <v>45</v>
      </c>
    </row>
    <row r="7556" spans="1:5" x14ac:dyDescent="0.25">
      <c r="A7556" s="24" t="s">
        <v>7</v>
      </c>
      <c r="B7556" s="24" t="s">
        <v>18885</v>
      </c>
      <c r="C7556" s="25" t="s">
        <v>18886</v>
      </c>
      <c r="D7556" s="25" t="s">
        <v>18609</v>
      </c>
      <c r="E7556" s="26">
        <v>110</v>
      </c>
    </row>
    <row r="7557" spans="1:5" x14ac:dyDescent="0.25">
      <c r="A7557" s="24" t="s">
        <v>7</v>
      </c>
      <c r="B7557" s="24" t="s">
        <v>18887</v>
      </c>
      <c r="C7557" s="25" t="s">
        <v>18711</v>
      </c>
      <c r="D7557" s="25" t="s">
        <v>18609</v>
      </c>
      <c r="E7557" s="26">
        <v>59</v>
      </c>
    </row>
    <row r="7558" spans="1:5" x14ac:dyDescent="0.25">
      <c r="A7558" s="24" t="s">
        <v>7</v>
      </c>
      <c r="B7558" s="24" t="s">
        <v>18888</v>
      </c>
      <c r="C7558" s="25" t="s">
        <v>17056</v>
      </c>
      <c r="D7558" s="25" t="s">
        <v>17057</v>
      </c>
      <c r="E7558" s="26">
        <v>2040</v>
      </c>
    </row>
    <row r="7559" spans="1:5" x14ac:dyDescent="0.25">
      <c r="A7559" s="24" t="s">
        <v>7</v>
      </c>
      <c r="B7559" s="24" t="s">
        <v>18889</v>
      </c>
      <c r="C7559" s="25" t="s">
        <v>15492</v>
      </c>
      <c r="D7559" s="25" t="s">
        <v>15493</v>
      </c>
      <c r="E7559" s="26">
        <v>295</v>
      </c>
    </row>
    <row r="7560" spans="1:5" x14ac:dyDescent="0.25">
      <c r="A7560" s="24" t="s">
        <v>7</v>
      </c>
      <c r="B7560" s="24" t="s">
        <v>18890</v>
      </c>
      <c r="C7560" s="25" t="s">
        <v>17078</v>
      </c>
      <c r="D7560" s="25" t="s">
        <v>17079</v>
      </c>
      <c r="E7560" s="26">
        <v>1440</v>
      </c>
    </row>
    <row r="7561" spans="1:5" x14ac:dyDescent="0.25">
      <c r="A7561" s="24" t="s">
        <v>7</v>
      </c>
      <c r="B7561" s="24" t="s">
        <v>18891</v>
      </c>
      <c r="C7561" s="25" t="s">
        <v>15518</v>
      </c>
      <c r="D7561" s="25" t="s">
        <v>15519</v>
      </c>
      <c r="E7561" s="26">
        <v>2340</v>
      </c>
    </row>
    <row r="7562" spans="1:5" x14ac:dyDescent="0.25">
      <c r="A7562" s="24" t="s">
        <v>7</v>
      </c>
      <c r="B7562" s="24" t="s">
        <v>18892</v>
      </c>
      <c r="C7562" s="25" t="s">
        <v>15521</v>
      </c>
      <c r="D7562" s="25" t="s">
        <v>15522</v>
      </c>
      <c r="E7562" s="26">
        <v>500</v>
      </c>
    </row>
    <row r="7563" spans="1:5" x14ac:dyDescent="0.25">
      <c r="A7563" s="24" t="s">
        <v>7</v>
      </c>
      <c r="B7563" s="24" t="s">
        <v>18893</v>
      </c>
      <c r="C7563" s="25" t="s">
        <v>17710</v>
      </c>
      <c r="D7563" s="25" t="s">
        <v>17711</v>
      </c>
      <c r="E7563" s="26">
        <v>580</v>
      </c>
    </row>
    <row r="7564" spans="1:5" x14ac:dyDescent="0.25">
      <c r="A7564" s="24" t="s">
        <v>7</v>
      </c>
      <c r="B7564" s="24" t="s">
        <v>18894</v>
      </c>
      <c r="C7564" s="25" t="s">
        <v>18895</v>
      </c>
      <c r="D7564" s="25" t="s">
        <v>18896</v>
      </c>
      <c r="E7564" s="26">
        <v>492</v>
      </c>
    </row>
    <row r="7565" spans="1:5" x14ac:dyDescent="0.25">
      <c r="A7565" s="24" t="s">
        <v>7</v>
      </c>
      <c r="B7565" s="24" t="s">
        <v>18897</v>
      </c>
      <c r="C7565" s="25" t="s">
        <v>18898</v>
      </c>
      <c r="D7565" s="25" t="s">
        <v>18899</v>
      </c>
      <c r="E7565" s="26">
        <v>1463</v>
      </c>
    </row>
    <row r="7566" spans="1:5" x14ac:dyDescent="0.25">
      <c r="A7566" s="24" t="s">
        <v>7</v>
      </c>
      <c r="B7566" s="24" t="s">
        <v>18900</v>
      </c>
      <c r="C7566" s="25" t="s">
        <v>18901</v>
      </c>
      <c r="D7566" s="25" t="s">
        <v>18902</v>
      </c>
      <c r="E7566" s="26">
        <v>390</v>
      </c>
    </row>
    <row r="7567" spans="1:5" x14ac:dyDescent="0.25">
      <c r="A7567" s="24" t="s">
        <v>7</v>
      </c>
      <c r="B7567" s="24" t="s">
        <v>18903</v>
      </c>
      <c r="C7567" s="25" t="s">
        <v>18904</v>
      </c>
      <c r="D7567" s="25" t="s">
        <v>18905</v>
      </c>
      <c r="E7567" s="26">
        <v>265</v>
      </c>
    </row>
    <row r="7568" spans="1:5" x14ac:dyDescent="0.25">
      <c r="A7568" s="24" t="s">
        <v>7</v>
      </c>
      <c r="B7568" s="24" t="s">
        <v>18906</v>
      </c>
      <c r="C7568" s="25" t="s">
        <v>18907</v>
      </c>
      <c r="D7568" s="25" t="s">
        <v>18908</v>
      </c>
      <c r="E7568" s="26">
        <v>3500</v>
      </c>
    </row>
    <row r="7569" spans="1:5" x14ac:dyDescent="0.25">
      <c r="A7569" s="24" t="s">
        <v>7</v>
      </c>
      <c r="B7569" s="24" t="s">
        <v>18909</v>
      </c>
      <c r="C7569" s="25" t="s">
        <v>18910</v>
      </c>
      <c r="D7569" s="25" t="s">
        <v>18911</v>
      </c>
      <c r="E7569" s="26">
        <v>1260</v>
      </c>
    </row>
    <row r="7570" spans="1:5" x14ac:dyDescent="0.25">
      <c r="A7570" s="24" t="s">
        <v>7</v>
      </c>
      <c r="B7570" s="24" t="s">
        <v>18912</v>
      </c>
      <c r="C7570" s="25" t="s">
        <v>18913</v>
      </c>
      <c r="D7570" s="25" t="s">
        <v>18914</v>
      </c>
      <c r="E7570" s="26">
        <v>48</v>
      </c>
    </row>
    <row r="7571" spans="1:5" x14ac:dyDescent="0.25">
      <c r="A7571" s="24" t="s">
        <v>7</v>
      </c>
      <c r="B7571" s="24" t="s">
        <v>18915</v>
      </c>
      <c r="C7571" s="25" t="s">
        <v>17084</v>
      </c>
      <c r="D7571" s="25" t="s">
        <v>17085</v>
      </c>
      <c r="E7571" s="26">
        <v>246</v>
      </c>
    </row>
    <row r="7572" spans="1:5" x14ac:dyDescent="0.25">
      <c r="A7572" s="24" t="s">
        <v>7</v>
      </c>
      <c r="B7572" s="24" t="s">
        <v>18916</v>
      </c>
      <c r="C7572" s="25" t="s">
        <v>18917</v>
      </c>
      <c r="D7572" s="25" t="s">
        <v>18918</v>
      </c>
      <c r="E7572" s="26">
        <v>246</v>
      </c>
    </row>
    <row r="7573" spans="1:5" x14ac:dyDescent="0.25">
      <c r="A7573" s="24" t="s">
        <v>7</v>
      </c>
      <c r="B7573" s="24" t="s">
        <v>18919</v>
      </c>
      <c r="C7573" s="25" t="s">
        <v>18920</v>
      </c>
      <c r="D7573" s="25" t="s">
        <v>18921</v>
      </c>
      <c r="E7573" s="26">
        <v>145</v>
      </c>
    </row>
    <row r="7574" spans="1:5" x14ac:dyDescent="0.25">
      <c r="A7574" s="24" t="s">
        <v>7</v>
      </c>
      <c r="B7574" s="24" t="s">
        <v>18922</v>
      </c>
      <c r="C7574" s="25" t="s">
        <v>18923</v>
      </c>
      <c r="D7574" s="25" t="s">
        <v>18924</v>
      </c>
      <c r="E7574" s="26">
        <v>170</v>
      </c>
    </row>
    <row r="7575" spans="1:5" x14ac:dyDescent="0.25">
      <c r="A7575" s="24" t="s">
        <v>7</v>
      </c>
      <c r="B7575" s="24" t="s">
        <v>18925</v>
      </c>
      <c r="C7575" s="25" t="s">
        <v>18926</v>
      </c>
      <c r="D7575" s="25" t="s">
        <v>18927</v>
      </c>
      <c r="E7575" s="26">
        <v>40</v>
      </c>
    </row>
    <row r="7576" spans="1:5" x14ac:dyDescent="0.25">
      <c r="A7576" s="24" t="s">
        <v>7</v>
      </c>
      <c r="B7576" s="24" t="s">
        <v>18928</v>
      </c>
      <c r="C7576" s="25" t="s">
        <v>18929</v>
      </c>
      <c r="D7576" s="25" t="s">
        <v>18930</v>
      </c>
      <c r="E7576" s="26">
        <v>45</v>
      </c>
    </row>
    <row r="7577" spans="1:5" x14ac:dyDescent="0.25">
      <c r="A7577" s="24" t="s">
        <v>7</v>
      </c>
      <c r="B7577" s="24" t="s">
        <v>18931</v>
      </c>
      <c r="C7577" s="25" t="s">
        <v>18932</v>
      </c>
      <c r="D7577" s="25" t="s">
        <v>18933</v>
      </c>
      <c r="E7577" s="26">
        <v>221</v>
      </c>
    </row>
    <row r="7578" spans="1:5" x14ac:dyDescent="0.25">
      <c r="A7578" s="24" t="s">
        <v>7</v>
      </c>
      <c r="B7578" s="24" t="s">
        <v>18934</v>
      </c>
      <c r="C7578" s="25" t="s">
        <v>18935</v>
      </c>
      <c r="D7578" s="25" t="s">
        <v>18936</v>
      </c>
      <c r="E7578" s="26">
        <v>450</v>
      </c>
    </row>
    <row r="7579" spans="1:5" x14ac:dyDescent="0.25">
      <c r="A7579" s="24" t="s">
        <v>7</v>
      </c>
      <c r="B7579" s="24" t="s">
        <v>18937</v>
      </c>
      <c r="C7579" s="25" t="s">
        <v>18938</v>
      </c>
      <c r="D7579" s="25" t="s">
        <v>18939</v>
      </c>
      <c r="E7579" s="26">
        <v>1530</v>
      </c>
    </row>
    <row r="7580" spans="1:5" x14ac:dyDescent="0.25">
      <c r="A7580" s="24" t="s">
        <v>7</v>
      </c>
      <c r="B7580" s="24" t="s">
        <v>18940</v>
      </c>
      <c r="C7580" s="25" t="s">
        <v>18941</v>
      </c>
      <c r="D7580" s="25" t="s">
        <v>18942</v>
      </c>
      <c r="E7580" s="26">
        <v>2950</v>
      </c>
    </row>
    <row r="7581" spans="1:5" x14ac:dyDescent="0.25">
      <c r="A7581" s="24" t="s">
        <v>7</v>
      </c>
      <c r="B7581" s="24" t="s">
        <v>18943</v>
      </c>
      <c r="C7581" s="25" t="s">
        <v>18944</v>
      </c>
      <c r="D7581" s="25" t="s">
        <v>18945</v>
      </c>
      <c r="E7581" s="26">
        <v>656</v>
      </c>
    </row>
    <row r="7582" spans="1:5" x14ac:dyDescent="0.25">
      <c r="A7582" s="24" t="s">
        <v>7</v>
      </c>
      <c r="B7582" s="24" t="s">
        <v>18946</v>
      </c>
      <c r="C7582" s="25" t="s">
        <v>18947</v>
      </c>
      <c r="D7582" s="25" t="s">
        <v>18948</v>
      </c>
      <c r="E7582" s="26">
        <v>2950</v>
      </c>
    </row>
    <row r="7583" spans="1:5" x14ac:dyDescent="0.25">
      <c r="A7583" s="24" t="s">
        <v>7</v>
      </c>
      <c r="B7583" s="24" t="s">
        <v>18949</v>
      </c>
      <c r="C7583" s="25" t="s">
        <v>18950</v>
      </c>
      <c r="D7583" s="25" t="s">
        <v>18951</v>
      </c>
      <c r="E7583" s="26">
        <v>410</v>
      </c>
    </row>
    <row r="7584" spans="1:5" x14ac:dyDescent="0.25">
      <c r="A7584" s="24" t="s">
        <v>7</v>
      </c>
      <c r="B7584" s="24" t="s">
        <v>18952</v>
      </c>
      <c r="C7584" s="25" t="s">
        <v>18953</v>
      </c>
      <c r="D7584" s="25" t="s">
        <v>18954</v>
      </c>
      <c r="E7584" s="26">
        <v>80</v>
      </c>
    </row>
    <row r="7585" spans="1:6" x14ac:dyDescent="0.25">
      <c r="A7585" s="24" t="s">
        <v>7</v>
      </c>
      <c r="B7585" s="24" t="s">
        <v>18955</v>
      </c>
      <c r="C7585" s="25" t="s">
        <v>18956</v>
      </c>
      <c r="D7585" s="25" t="s">
        <v>18956</v>
      </c>
      <c r="E7585" s="26">
        <v>3739</v>
      </c>
    </row>
    <row r="7586" spans="1:6" x14ac:dyDescent="0.25">
      <c r="A7586" s="24" t="s">
        <v>7</v>
      </c>
      <c r="B7586" s="24" t="s">
        <v>18957</v>
      </c>
      <c r="C7586" s="25" t="s">
        <v>18958</v>
      </c>
      <c r="D7586" s="25" t="s">
        <v>18959</v>
      </c>
      <c r="E7586" s="26">
        <v>3958</v>
      </c>
      <c r="F7586" s="24" t="s">
        <v>502</v>
      </c>
    </row>
    <row r="7587" spans="1:6" x14ac:dyDescent="0.25">
      <c r="A7587" s="24" t="s">
        <v>7</v>
      </c>
      <c r="B7587" s="24" t="s">
        <v>18960</v>
      </c>
      <c r="C7587" s="25" t="s">
        <v>18961</v>
      </c>
      <c r="D7587" s="25" t="s">
        <v>18959</v>
      </c>
      <c r="E7587" s="26">
        <v>3369</v>
      </c>
      <c r="F7587" s="24" t="s">
        <v>502</v>
      </c>
    </row>
    <row r="7588" spans="1:6" x14ac:dyDescent="0.25">
      <c r="A7588" s="24" t="s">
        <v>7</v>
      </c>
      <c r="B7588" s="24" t="s">
        <v>18962</v>
      </c>
      <c r="C7588" s="25" t="s">
        <v>18963</v>
      </c>
      <c r="D7588" s="25" t="s">
        <v>18964</v>
      </c>
      <c r="E7588" s="26">
        <v>3958</v>
      </c>
      <c r="F7588" s="24" t="s">
        <v>502</v>
      </c>
    </row>
    <row r="7589" spans="1:6" x14ac:dyDescent="0.25">
      <c r="A7589" s="24" t="s">
        <v>7</v>
      </c>
      <c r="B7589" s="24" t="s">
        <v>18965</v>
      </c>
      <c r="C7589" s="25" t="s">
        <v>18966</v>
      </c>
      <c r="D7589" s="25" t="s">
        <v>18966</v>
      </c>
      <c r="E7589" s="26">
        <v>19164</v>
      </c>
      <c r="F7589" s="24" t="s">
        <v>502</v>
      </c>
    </row>
    <row r="7590" spans="1:6" x14ac:dyDescent="0.25">
      <c r="A7590" s="24" t="s">
        <v>7</v>
      </c>
      <c r="B7590" s="24" t="s">
        <v>18967</v>
      </c>
      <c r="C7590" s="25" t="s">
        <v>18968</v>
      </c>
      <c r="D7590" s="25" t="s">
        <v>18969</v>
      </c>
      <c r="E7590" s="26">
        <v>6345</v>
      </c>
      <c r="F7590" s="24" t="s">
        <v>502</v>
      </c>
    </row>
    <row r="7591" spans="1:6" x14ac:dyDescent="0.25">
      <c r="A7591" s="24" t="s">
        <v>7</v>
      </c>
      <c r="B7591" s="24" t="s">
        <v>18970</v>
      </c>
      <c r="C7591" s="25" t="s">
        <v>18971</v>
      </c>
      <c r="D7591" s="25" t="s">
        <v>18971</v>
      </c>
      <c r="E7591" s="26">
        <v>1436</v>
      </c>
    </row>
    <row r="7592" spans="1:6" x14ac:dyDescent="0.25">
      <c r="A7592" s="24" t="s">
        <v>7</v>
      </c>
      <c r="B7592" s="24" t="s">
        <v>18972</v>
      </c>
      <c r="C7592" s="25" t="s">
        <v>18973</v>
      </c>
      <c r="D7592" s="25" t="s">
        <v>18973</v>
      </c>
      <c r="E7592" s="26">
        <v>3569</v>
      </c>
    </row>
    <row r="7593" spans="1:6" x14ac:dyDescent="0.25">
      <c r="A7593" s="24" t="s">
        <v>7</v>
      </c>
      <c r="B7593" s="24" t="s">
        <v>18974</v>
      </c>
      <c r="C7593" s="25" t="s">
        <v>18975</v>
      </c>
      <c r="D7593" s="25" t="s">
        <v>18976</v>
      </c>
      <c r="E7593" s="26">
        <v>1077</v>
      </c>
      <c r="F7593" s="24" t="s">
        <v>502</v>
      </c>
    </row>
    <row r="7594" spans="1:6" x14ac:dyDescent="0.25">
      <c r="A7594" s="24" t="s">
        <v>7</v>
      </c>
      <c r="B7594" s="24" t="s">
        <v>18977</v>
      </c>
      <c r="C7594" s="25" t="s">
        <v>18978</v>
      </c>
      <c r="D7594" s="25" t="s">
        <v>18978</v>
      </c>
      <c r="E7594" s="26">
        <v>254</v>
      </c>
    </row>
    <row r="7595" spans="1:6" x14ac:dyDescent="0.25">
      <c r="A7595" s="24" t="s">
        <v>7</v>
      </c>
      <c r="B7595" s="24" t="s">
        <v>18979</v>
      </c>
      <c r="C7595" s="25" t="s">
        <v>18980</v>
      </c>
      <c r="D7595" s="25" t="s">
        <v>18980</v>
      </c>
      <c r="E7595" s="26">
        <v>3958</v>
      </c>
      <c r="F7595" s="24" t="s">
        <v>502</v>
      </c>
    </row>
    <row r="7596" spans="1:6" x14ac:dyDescent="0.25">
      <c r="A7596" s="24" t="s">
        <v>7</v>
      </c>
      <c r="B7596" s="24" t="s">
        <v>18981</v>
      </c>
      <c r="C7596" s="25" t="s">
        <v>18982</v>
      </c>
      <c r="D7596" s="25" t="s">
        <v>18982</v>
      </c>
      <c r="E7596" s="26">
        <v>2857</v>
      </c>
      <c r="F7596" s="24" t="s">
        <v>502</v>
      </c>
    </row>
    <row r="7597" spans="1:6" x14ac:dyDescent="0.25">
      <c r="A7597" s="24" t="s">
        <v>7</v>
      </c>
      <c r="B7597" s="24" t="s">
        <v>18983</v>
      </c>
      <c r="C7597" s="25" t="s">
        <v>18984</v>
      </c>
      <c r="D7597" s="25" t="s">
        <v>18985</v>
      </c>
      <c r="E7597" s="26">
        <v>1328</v>
      </c>
    </row>
    <row r="7598" spans="1:6" x14ac:dyDescent="0.25">
      <c r="A7598" s="24" t="s">
        <v>7</v>
      </c>
      <c r="B7598" s="24" t="s">
        <v>18986</v>
      </c>
      <c r="C7598" s="25" t="s">
        <v>18987</v>
      </c>
      <c r="D7598" s="25" t="s">
        <v>18988</v>
      </c>
      <c r="E7598" s="26">
        <v>1585</v>
      </c>
      <c r="F7598" s="24" t="s">
        <v>502</v>
      </c>
    </row>
    <row r="7599" spans="1:6" x14ac:dyDescent="0.25">
      <c r="A7599" s="24" t="s">
        <v>7</v>
      </c>
      <c r="B7599" s="24" t="s">
        <v>18989</v>
      </c>
      <c r="C7599" s="25" t="s">
        <v>18990</v>
      </c>
      <c r="D7599" s="25" t="s">
        <v>18988</v>
      </c>
      <c r="E7599" s="26">
        <v>1101</v>
      </c>
      <c r="F7599" s="24" t="s">
        <v>502</v>
      </c>
    </row>
    <row r="7600" spans="1:6" x14ac:dyDescent="0.25">
      <c r="A7600" s="24" t="s">
        <v>7</v>
      </c>
      <c r="B7600" s="24" t="s">
        <v>18991</v>
      </c>
      <c r="C7600" s="25" t="s">
        <v>18992</v>
      </c>
      <c r="D7600" s="25" t="s">
        <v>18992</v>
      </c>
      <c r="E7600" s="26">
        <v>60</v>
      </c>
    </row>
    <row r="7601" spans="1:6" x14ac:dyDescent="0.25">
      <c r="A7601" s="24" t="s">
        <v>7</v>
      </c>
      <c r="B7601" s="24" t="s">
        <v>18993</v>
      </c>
      <c r="C7601" s="25" t="s">
        <v>18994</v>
      </c>
      <c r="D7601" s="25" t="s">
        <v>18995</v>
      </c>
      <c r="E7601" s="26">
        <v>2035</v>
      </c>
      <c r="F7601" s="24" t="s">
        <v>502</v>
      </c>
    </row>
    <row r="7602" spans="1:6" x14ac:dyDescent="0.25">
      <c r="A7602" s="24" t="s">
        <v>7</v>
      </c>
      <c r="B7602" s="24" t="s">
        <v>18996</v>
      </c>
      <c r="C7602" s="25" t="s">
        <v>18997</v>
      </c>
      <c r="D7602" s="25" t="s">
        <v>18997</v>
      </c>
      <c r="E7602" s="26">
        <v>78</v>
      </c>
    </row>
    <row r="7603" spans="1:6" x14ac:dyDescent="0.25">
      <c r="A7603" s="24" t="s">
        <v>7</v>
      </c>
      <c r="B7603" s="24" t="s">
        <v>18998</v>
      </c>
      <c r="C7603" s="25" t="s">
        <v>18999</v>
      </c>
      <c r="D7603" s="25" t="s">
        <v>18999</v>
      </c>
      <c r="E7603" s="26">
        <v>465</v>
      </c>
    </row>
    <row r="7604" spans="1:6" x14ac:dyDescent="0.25">
      <c r="A7604" s="24" t="s">
        <v>7</v>
      </c>
      <c r="B7604" s="24" t="s">
        <v>19000</v>
      </c>
      <c r="C7604" s="25" t="s">
        <v>19001</v>
      </c>
      <c r="D7604" s="25" t="s">
        <v>19001</v>
      </c>
      <c r="E7604" s="26">
        <v>1384</v>
      </c>
    </row>
    <row r="7605" spans="1:6" x14ac:dyDescent="0.25">
      <c r="A7605" s="24" t="s">
        <v>7</v>
      </c>
      <c r="B7605" s="24" t="s">
        <v>19002</v>
      </c>
      <c r="C7605" s="25" t="s">
        <v>19003</v>
      </c>
      <c r="D7605" s="25" t="s">
        <v>19003</v>
      </c>
      <c r="E7605" s="26">
        <v>3958</v>
      </c>
      <c r="F7605" s="24" t="s">
        <v>502</v>
      </c>
    </row>
    <row r="7606" spans="1:6" x14ac:dyDescent="0.25">
      <c r="A7606" s="24" t="s">
        <v>7</v>
      </c>
      <c r="B7606" s="24" t="s">
        <v>19004</v>
      </c>
      <c r="C7606" s="25" t="s">
        <v>19005</v>
      </c>
      <c r="D7606" s="25" t="s">
        <v>19006</v>
      </c>
      <c r="E7606" s="26">
        <v>793</v>
      </c>
    </row>
    <row r="7607" spans="1:6" x14ac:dyDescent="0.25">
      <c r="A7607" s="24" t="s">
        <v>7</v>
      </c>
      <c r="B7607" s="24" t="s">
        <v>19007</v>
      </c>
      <c r="C7607" s="25" t="s">
        <v>19008</v>
      </c>
      <c r="D7607" s="25" t="s">
        <v>19009</v>
      </c>
      <c r="E7607" s="26">
        <v>2756</v>
      </c>
    </row>
    <row r="7608" spans="1:6" x14ac:dyDescent="0.25">
      <c r="A7608" s="24" t="s">
        <v>7</v>
      </c>
      <c r="B7608" s="24" t="s">
        <v>19010</v>
      </c>
      <c r="C7608" s="25" t="s">
        <v>19011</v>
      </c>
      <c r="D7608" s="25" t="s">
        <v>19011</v>
      </c>
      <c r="E7608" s="26">
        <v>5356</v>
      </c>
    </row>
    <row r="7609" spans="1:6" x14ac:dyDescent="0.25">
      <c r="A7609" s="24" t="s">
        <v>7</v>
      </c>
      <c r="B7609" s="24" t="s">
        <v>19012</v>
      </c>
      <c r="C7609" s="25" t="s">
        <v>19013</v>
      </c>
      <c r="D7609" s="25" t="s">
        <v>19014</v>
      </c>
      <c r="E7609" s="26">
        <v>35609</v>
      </c>
      <c r="F7609" s="24" t="s">
        <v>502</v>
      </c>
    </row>
    <row r="7610" spans="1:6" x14ac:dyDescent="0.25">
      <c r="A7610" s="24" t="s">
        <v>7</v>
      </c>
      <c r="B7610" s="24" t="s">
        <v>19015</v>
      </c>
      <c r="C7610" s="25" t="s">
        <v>19016</v>
      </c>
      <c r="D7610" s="25" t="s">
        <v>19017</v>
      </c>
      <c r="E7610" s="26">
        <v>3958</v>
      </c>
      <c r="F7610" s="24" t="s">
        <v>502</v>
      </c>
    </row>
    <row r="7611" spans="1:6" x14ac:dyDescent="0.25">
      <c r="A7611" s="24" t="s">
        <v>7</v>
      </c>
      <c r="B7611" s="24" t="s">
        <v>19018</v>
      </c>
      <c r="C7611" s="25" t="s">
        <v>19019</v>
      </c>
      <c r="D7611" s="25" t="s">
        <v>19020</v>
      </c>
      <c r="E7611" s="26">
        <v>4962</v>
      </c>
    </row>
    <row r="7612" spans="1:6" x14ac:dyDescent="0.25">
      <c r="A7612" s="24" t="s">
        <v>7</v>
      </c>
      <c r="B7612" s="24" t="s">
        <v>19021</v>
      </c>
      <c r="C7612" s="25" t="s">
        <v>19022</v>
      </c>
      <c r="D7612" s="25" t="s">
        <v>19023</v>
      </c>
      <c r="E7612" s="26">
        <v>793</v>
      </c>
    </row>
    <row r="7613" spans="1:6" x14ac:dyDescent="0.25">
      <c r="A7613" s="24" t="s">
        <v>7</v>
      </c>
      <c r="B7613" s="24" t="s">
        <v>19024</v>
      </c>
      <c r="C7613" s="25" t="s">
        <v>19025</v>
      </c>
      <c r="D7613" s="25" t="s">
        <v>19025</v>
      </c>
      <c r="E7613" s="26">
        <v>561</v>
      </c>
    </row>
    <row r="7614" spans="1:6" x14ac:dyDescent="0.25">
      <c r="A7614" s="24" t="s">
        <v>7</v>
      </c>
      <c r="B7614" s="24" t="s">
        <v>19026</v>
      </c>
      <c r="C7614" s="25" t="s">
        <v>19025</v>
      </c>
      <c r="D7614" s="25" t="s">
        <v>19025</v>
      </c>
      <c r="E7614" s="26">
        <v>116</v>
      </c>
    </row>
    <row r="7615" spans="1:6" x14ac:dyDescent="0.25">
      <c r="A7615" s="24" t="s">
        <v>7</v>
      </c>
      <c r="B7615" s="24" t="s">
        <v>19027</v>
      </c>
      <c r="C7615" s="25" t="s">
        <v>19028</v>
      </c>
      <c r="D7615" s="25" t="s">
        <v>19029</v>
      </c>
      <c r="E7615" s="26">
        <v>793</v>
      </c>
    </row>
    <row r="7616" spans="1:6" x14ac:dyDescent="0.25">
      <c r="A7616" s="24" t="s">
        <v>7</v>
      </c>
      <c r="B7616" s="24" t="s">
        <v>19030</v>
      </c>
      <c r="C7616" s="25" t="s">
        <v>19031</v>
      </c>
      <c r="D7616" s="25" t="s">
        <v>19032</v>
      </c>
      <c r="E7616" s="26">
        <v>0.01</v>
      </c>
    </row>
    <row r="7617" spans="1:6" x14ac:dyDescent="0.25">
      <c r="A7617" s="24" t="s">
        <v>7</v>
      </c>
      <c r="B7617" s="24" t="s">
        <v>19033</v>
      </c>
      <c r="C7617" s="25" t="s">
        <v>19034</v>
      </c>
      <c r="D7617" s="25" t="s">
        <v>19035</v>
      </c>
      <c r="E7617" s="26">
        <v>11009.17</v>
      </c>
    </row>
    <row r="7618" spans="1:6" x14ac:dyDescent="0.25">
      <c r="A7618" s="24" t="s">
        <v>7</v>
      </c>
      <c r="B7618" s="24" t="s">
        <v>19036</v>
      </c>
      <c r="C7618" s="25" t="s">
        <v>19037</v>
      </c>
      <c r="D7618" s="25" t="s">
        <v>19038</v>
      </c>
      <c r="E7618" s="26">
        <v>783</v>
      </c>
      <c r="F7618" s="24" t="s">
        <v>502</v>
      </c>
    </row>
    <row r="7619" spans="1:6" x14ac:dyDescent="0.25">
      <c r="A7619" s="24" t="s">
        <v>7</v>
      </c>
      <c r="B7619" s="24" t="s">
        <v>19039</v>
      </c>
      <c r="C7619" s="25" t="s">
        <v>19040</v>
      </c>
      <c r="D7619" s="25" t="s">
        <v>3024</v>
      </c>
      <c r="E7619" s="26">
        <v>914</v>
      </c>
    </row>
    <row r="7620" spans="1:6" x14ac:dyDescent="0.25">
      <c r="A7620" s="24" t="s">
        <v>7</v>
      </c>
      <c r="B7620" s="24" t="s">
        <v>19041</v>
      </c>
      <c r="C7620" s="25" t="s">
        <v>19042</v>
      </c>
      <c r="D7620" s="25" t="s">
        <v>3024</v>
      </c>
      <c r="E7620" s="26">
        <v>778</v>
      </c>
    </row>
    <row r="7621" spans="1:6" x14ac:dyDescent="0.25">
      <c r="A7621" s="24" t="s">
        <v>7</v>
      </c>
      <c r="B7621" s="24" t="s">
        <v>19043</v>
      </c>
      <c r="C7621" s="25" t="s">
        <v>19044</v>
      </c>
      <c r="D7621" s="25" t="s">
        <v>19045</v>
      </c>
      <c r="E7621" s="26">
        <v>783</v>
      </c>
    </row>
    <row r="7622" spans="1:6" x14ac:dyDescent="0.25">
      <c r="A7622" s="24" t="s">
        <v>7</v>
      </c>
      <c r="B7622" s="24" t="s">
        <v>19046</v>
      </c>
      <c r="C7622" s="25" t="s">
        <v>19047</v>
      </c>
      <c r="D7622" s="25" t="s">
        <v>19048</v>
      </c>
      <c r="E7622" s="26">
        <v>17642</v>
      </c>
      <c r="F7622" s="24" t="s">
        <v>502</v>
      </c>
    </row>
    <row r="7623" spans="1:6" x14ac:dyDescent="0.25">
      <c r="A7623" s="24" t="s">
        <v>7</v>
      </c>
      <c r="B7623" s="24" t="s">
        <v>19049</v>
      </c>
      <c r="C7623" s="25" t="s">
        <v>19050</v>
      </c>
      <c r="D7623" s="25" t="s">
        <v>19051</v>
      </c>
      <c r="E7623" s="26">
        <v>8935</v>
      </c>
    </row>
    <row r="7624" spans="1:6" x14ac:dyDescent="0.25">
      <c r="A7624" s="24" t="s">
        <v>7</v>
      </c>
      <c r="B7624" s="24" t="s">
        <v>19052</v>
      </c>
      <c r="C7624" s="25" t="s">
        <v>19053</v>
      </c>
      <c r="D7624" s="25" t="s">
        <v>19054</v>
      </c>
      <c r="E7624" s="26">
        <v>3994</v>
      </c>
    </row>
    <row r="7625" spans="1:6" x14ac:dyDescent="0.25">
      <c r="A7625" s="24" t="s">
        <v>7</v>
      </c>
      <c r="B7625" s="24" t="s">
        <v>19055</v>
      </c>
      <c r="C7625" s="25" t="s">
        <v>19056</v>
      </c>
      <c r="D7625" s="25" t="s">
        <v>19057</v>
      </c>
      <c r="E7625" s="26">
        <v>2063</v>
      </c>
    </row>
    <row r="7626" spans="1:6" x14ac:dyDescent="0.25">
      <c r="A7626" s="24" t="s">
        <v>7</v>
      </c>
      <c r="B7626" s="24" t="s">
        <v>19058</v>
      </c>
      <c r="C7626" s="25" t="s">
        <v>19059</v>
      </c>
      <c r="D7626" s="25" t="s">
        <v>19060</v>
      </c>
      <c r="E7626" s="26">
        <v>1777</v>
      </c>
    </row>
    <row r="7627" spans="1:6" x14ac:dyDescent="0.25">
      <c r="A7627" s="24" t="s">
        <v>7</v>
      </c>
      <c r="B7627" s="24" t="s">
        <v>19061</v>
      </c>
      <c r="C7627" s="25" t="s">
        <v>19062</v>
      </c>
      <c r="D7627" s="25" t="s">
        <v>19063</v>
      </c>
      <c r="E7627" s="26">
        <v>0.01</v>
      </c>
    </row>
    <row r="7628" spans="1:6" x14ac:dyDescent="0.25">
      <c r="A7628" s="24" t="s">
        <v>7</v>
      </c>
      <c r="B7628" s="24" t="s">
        <v>19064</v>
      </c>
      <c r="C7628" s="25" t="s">
        <v>19065</v>
      </c>
      <c r="D7628" s="25" t="s">
        <v>19066</v>
      </c>
      <c r="E7628" s="26">
        <v>207</v>
      </c>
    </row>
    <row r="7629" spans="1:6" x14ac:dyDescent="0.25">
      <c r="A7629" s="24" t="s">
        <v>7</v>
      </c>
      <c r="B7629" s="24" t="s">
        <v>19067</v>
      </c>
      <c r="C7629" s="25" t="s">
        <v>19068</v>
      </c>
      <c r="D7629" s="25" t="s">
        <v>19069</v>
      </c>
      <c r="E7629" s="26">
        <v>1077</v>
      </c>
      <c r="F7629" s="24" t="s">
        <v>502</v>
      </c>
    </row>
    <row r="7630" spans="1:6" x14ac:dyDescent="0.25">
      <c r="A7630" s="24" t="s">
        <v>7</v>
      </c>
      <c r="B7630" s="24" t="s">
        <v>19070</v>
      </c>
      <c r="C7630" s="25" t="s">
        <v>19071</v>
      </c>
      <c r="D7630" s="25" t="s">
        <v>19072</v>
      </c>
      <c r="E7630" s="26">
        <v>2282</v>
      </c>
    </row>
    <row r="7631" spans="1:6" x14ac:dyDescent="0.25">
      <c r="A7631" s="24" t="s">
        <v>7</v>
      </c>
      <c r="B7631" s="24" t="s">
        <v>19073</v>
      </c>
      <c r="C7631" s="25" t="s">
        <v>19074</v>
      </c>
      <c r="D7631" s="25" t="s">
        <v>19075</v>
      </c>
      <c r="E7631" s="26">
        <v>914</v>
      </c>
      <c r="F7631" s="24" t="s">
        <v>502</v>
      </c>
    </row>
    <row r="7632" spans="1:6" x14ac:dyDescent="0.25">
      <c r="A7632" s="24" t="s">
        <v>7</v>
      </c>
      <c r="B7632" s="24" t="s">
        <v>19076</v>
      </c>
      <c r="C7632" s="25" t="s">
        <v>19077</v>
      </c>
      <c r="D7632" s="25" t="s">
        <v>19078</v>
      </c>
      <c r="E7632" s="26">
        <v>914</v>
      </c>
    </row>
    <row r="7633" spans="1:6" x14ac:dyDescent="0.25">
      <c r="A7633" s="24" t="s">
        <v>7</v>
      </c>
      <c r="B7633" s="24" t="s">
        <v>19079</v>
      </c>
      <c r="C7633" s="25" t="s">
        <v>19080</v>
      </c>
      <c r="D7633" s="25" t="s">
        <v>19081</v>
      </c>
      <c r="E7633" s="26">
        <v>914</v>
      </c>
    </row>
    <row r="7634" spans="1:6" x14ac:dyDescent="0.25">
      <c r="A7634" s="24" t="s">
        <v>7</v>
      </c>
      <c r="B7634" s="24" t="s">
        <v>19082</v>
      </c>
      <c r="C7634" s="25" t="s">
        <v>19083</v>
      </c>
      <c r="D7634" s="25" t="s">
        <v>19084</v>
      </c>
      <c r="E7634" s="26">
        <v>902</v>
      </c>
    </row>
    <row r="7635" spans="1:6" x14ac:dyDescent="0.25">
      <c r="A7635" s="24" t="s">
        <v>7</v>
      </c>
      <c r="B7635" s="24" t="s">
        <v>19085</v>
      </c>
      <c r="C7635" s="25" t="s">
        <v>19086</v>
      </c>
      <c r="D7635" s="25" t="s">
        <v>19087</v>
      </c>
      <c r="E7635" s="26">
        <v>8526</v>
      </c>
    </row>
    <row r="7636" spans="1:6" x14ac:dyDescent="0.25">
      <c r="A7636" s="24" t="s">
        <v>7</v>
      </c>
      <c r="B7636" s="24" t="s">
        <v>19088</v>
      </c>
      <c r="C7636" s="25" t="s">
        <v>19089</v>
      </c>
      <c r="D7636" s="25" t="s">
        <v>19089</v>
      </c>
      <c r="E7636" s="26">
        <v>199</v>
      </c>
    </row>
    <row r="7637" spans="1:6" x14ac:dyDescent="0.25">
      <c r="A7637" s="24" t="s">
        <v>7</v>
      </c>
      <c r="B7637" s="24" t="s">
        <v>19090</v>
      </c>
      <c r="C7637" s="25" t="s">
        <v>19091</v>
      </c>
      <c r="D7637" s="25" t="s">
        <v>19092</v>
      </c>
      <c r="E7637" s="26">
        <v>6072</v>
      </c>
    </row>
    <row r="7638" spans="1:6" x14ac:dyDescent="0.25">
      <c r="A7638" s="24" t="s">
        <v>7</v>
      </c>
      <c r="B7638" s="24" t="s">
        <v>19093</v>
      </c>
      <c r="C7638" s="25" t="s">
        <v>19094</v>
      </c>
      <c r="D7638" s="25" t="s">
        <v>19095</v>
      </c>
      <c r="E7638" s="26">
        <v>532</v>
      </c>
    </row>
    <row r="7639" spans="1:6" x14ac:dyDescent="0.25">
      <c r="A7639" s="24" t="s">
        <v>7</v>
      </c>
      <c r="B7639" s="24" t="s">
        <v>19096</v>
      </c>
      <c r="C7639" s="25" t="s">
        <v>19097</v>
      </c>
      <c r="D7639" s="25" t="s">
        <v>19098</v>
      </c>
      <c r="E7639" s="26">
        <v>5707</v>
      </c>
    </row>
    <row r="7640" spans="1:6" x14ac:dyDescent="0.25">
      <c r="A7640" s="24" t="s">
        <v>7</v>
      </c>
      <c r="B7640" s="24" t="s">
        <v>19099</v>
      </c>
      <c r="C7640" s="25" t="s">
        <v>19100</v>
      </c>
      <c r="D7640" s="25" t="s">
        <v>19101</v>
      </c>
      <c r="E7640" s="26">
        <v>444</v>
      </c>
      <c r="F7640" s="24" t="s">
        <v>502</v>
      </c>
    </row>
    <row r="7641" spans="1:6" x14ac:dyDescent="0.25">
      <c r="A7641" s="24" t="s">
        <v>7</v>
      </c>
      <c r="B7641" s="24" t="s">
        <v>19102</v>
      </c>
      <c r="C7641" s="25" t="s">
        <v>19103</v>
      </c>
      <c r="D7641" s="25" t="s">
        <v>19104</v>
      </c>
      <c r="E7641" s="26">
        <v>5831</v>
      </c>
    </row>
    <row r="7642" spans="1:6" x14ac:dyDescent="0.25">
      <c r="A7642" s="24" t="s">
        <v>7</v>
      </c>
      <c r="B7642" s="24" t="s">
        <v>19105</v>
      </c>
      <c r="C7642" s="25" t="s">
        <v>19106</v>
      </c>
      <c r="D7642" s="25" t="s">
        <v>19107</v>
      </c>
      <c r="E7642" s="26">
        <v>677</v>
      </c>
    </row>
    <row r="7643" spans="1:6" x14ac:dyDescent="0.25">
      <c r="A7643" s="24" t="s">
        <v>7</v>
      </c>
      <c r="B7643" s="24" t="s">
        <v>19108</v>
      </c>
      <c r="C7643" s="25" t="s">
        <v>19109</v>
      </c>
      <c r="D7643" s="25" t="s">
        <v>19110</v>
      </c>
      <c r="E7643" s="26">
        <v>13200</v>
      </c>
    </row>
    <row r="7644" spans="1:6" x14ac:dyDescent="0.25">
      <c r="A7644" s="24" t="s">
        <v>7</v>
      </c>
      <c r="B7644" s="24" t="s">
        <v>19111</v>
      </c>
      <c r="C7644" s="25" t="s">
        <v>19112</v>
      </c>
      <c r="D7644" s="25" t="s">
        <v>19112</v>
      </c>
      <c r="E7644" s="26">
        <v>2035</v>
      </c>
    </row>
    <row r="7645" spans="1:6" x14ac:dyDescent="0.25">
      <c r="A7645" s="24" t="s">
        <v>7</v>
      </c>
      <c r="B7645" s="24" t="s">
        <v>19113</v>
      </c>
      <c r="C7645" s="25" t="s">
        <v>19114</v>
      </c>
      <c r="D7645" s="25" t="s">
        <v>19115</v>
      </c>
      <c r="E7645" s="26">
        <v>222</v>
      </c>
    </row>
    <row r="7646" spans="1:6" x14ac:dyDescent="0.25">
      <c r="A7646" s="24" t="s">
        <v>7</v>
      </c>
      <c r="B7646" s="24" t="s">
        <v>19116</v>
      </c>
      <c r="C7646" s="25" t="s">
        <v>19117</v>
      </c>
      <c r="D7646" s="25" t="s">
        <v>19118</v>
      </c>
      <c r="E7646" s="26">
        <v>783</v>
      </c>
    </row>
    <row r="7647" spans="1:6" x14ac:dyDescent="0.25">
      <c r="A7647" s="24" t="s">
        <v>7</v>
      </c>
      <c r="B7647" s="24" t="s">
        <v>19119</v>
      </c>
      <c r="C7647" s="25" t="s">
        <v>19120</v>
      </c>
      <c r="D7647" s="25" t="s">
        <v>19121</v>
      </c>
      <c r="E7647" s="26">
        <v>11399</v>
      </c>
    </row>
    <row r="7648" spans="1:6" x14ac:dyDescent="0.25">
      <c r="A7648" s="24" t="s">
        <v>7</v>
      </c>
      <c r="B7648" s="24" t="s">
        <v>19122</v>
      </c>
      <c r="C7648" s="25" t="s">
        <v>19123</v>
      </c>
      <c r="D7648" s="25" t="s">
        <v>19124</v>
      </c>
      <c r="E7648" s="26">
        <v>4932</v>
      </c>
    </row>
    <row r="7649" spans="1:6" x14ac:dyDescent="0.25">
      <c r="A7649" s="24" t="s">
        <v>7</v>
      </c>
      <c r="B7649" s="24" t="s">
        <v>19125</v>
      </c>
      <c r="C7649" s="25" t="s">
        <v>19126</v>
      </c>
      <c r="D7649" s="25" t="s">
        <v>19127</v>
      </c>
      <c r="E7649" s="26">
        <v>2335</v>
      </c>
    </row>
    <row r="7650" spans="1:6" x14ac:dyDescent="0.25">
      <c r="A7650" s="24" t="s">
        <v>7</v>
      </c>
      <c r="B7650" s="24" t="s">
        <v>19128</v>
      </c>
      <c r="C7650" s="25" t="s">
        <v>19129</v>
      </c>
      <c r="D7650" s="25" t="s">
        <v>19130</v>
      </c>
      <c r="E7650" s="26">
        <v>450</v>
      </c>
    </row>
    <row r="7651" spans="1:6" x14ac:dyDescent="0.25">
      <c r="A7651" s="24" t="s">
        <v>7</v>
      </c>
      <c r="B7651" s="24" t="s">
        <v>19131</v>
      </c>
      <c r="C7651" s="25" t="s">
        <v>19132</v>
      </c>
      <c r="D7651" s="25" t="s">
        <v>19133</v>
      </c>
      <c r="E7651" s="26">
        <v>60</v>
      </c>
    </row>
    <row r="7652" spans="1:6" x14ac:dyDescent="0.25">
      <c r="A7652" s="24" t="s">
        <v>7</v>
      </c>
      <c r="B7652" s="24" t="s">
        <v>19134</v>
      </c>
      <c r="C7652" s="25" t="s">
        <v>19135</v>
      </c>
      <c r="D7652" s="25" t="s">
        <v>19136</v>
      </c>
      <c r="E7652" s="26">
        <v>11798</v>
      </c>
    </row>
    <row r="7653" spans="1:6" x14ac:dyDescent="0.25">
      <c r="A7653" s="24" t="s">
        <v>7</v>
      </c>
      <c r="B7653" s="24" t="s">
        <v>19137</v>
      </c>
      <c r="C7653" s="25" t="s">
        <v>19138</v>
      </c>
      <c r="D7653" s="25" t="s">
        <v>19139</v>
      </c>
      <c r="E7653" s="26">
        <v>5956</v>
      </c>
    </row>
    <row r="7654" spans="1:6" x14ac:dyDescent="0.25">
      <c r="A7654" s="24" t="s">
        <v>7</v>
      </c>
      <c r="B7654" s="24" t="s">
        <v>19140</v>
      </c>
      <c r="C7654" s="25" t="s">
        <v>19141</v>
      </c>
      <c r="D7654" s="25" t="s">
        <v>19142</v>
      </c>
      <c r="E7654" s="26">
        <v>914</v>
      </c>
    </row>
    <row r="7655" spans="1:6" x14ac:dyDescent="0.25">
      <c r="A7655" s="24" t="s">
        <v>7</v>
      </c>
      <c r="B7655" s="24" t="s">
        <v>19143</v>
      </c>
      <c r="C7655" s="25" t="s">
        <v>19144</v>
      </c>
      <c r="D7655" s="25" t="s">
        <v>19145</v>
      </c>
      <c r="E7655" s="26">
        <v>3551</v>
      </c>
    </row>
    <row r="7656" spans="1:6" x14ac:dyDescent="0.25">
      <c r="A7656" s="24" t="s">
        <v>7</v>
      </c>
      <c r="B7656" s="24" t="s">
        <v>19146</v>
      </c>
      <c r="C7656" s="25" t="s">
        <v>19147</v>
      </c>
      <c r="D7656" s="25" t="s">
        <v>19147</v>
      </c>
      <c r="E7656" s="26">
        <v>12294</v>
      </c>
    </row>
    <row r="7657" spans="1:6" x14ac:dyDescent="0.25">
      <c r="A7657" s="24" t="s">
        <v>7</v>
      </c>
      <c r="B7657" s="24" t="s">
        <v>19148</v>
      </c>
      <c r="C7657" s="25" t="s">
        <v>19149</v>
      </c>
      <c r="D7657" s="25" t="s">
        <v>19150</v>
      </c>
      <c r="E7657" s="26">
        <v>914</v>
      </c>
      <c r="F7657" s="24" t="s">
        <v>502</v>
      </c>
    </row>
    <row r="7658" spans="1:6" x14ac:dyDescent="0.25">
      <c r="A7658" s="24" t="s">
        <v>7</v>
      </c>
      <c r="B7658" s="24" t="s">
        <v>19151</v>
      </c>
      <c r="C7658" s="25" t="s">
        <v>19152</v>
      </c>
      <c r="D7658" s="25" t="s">
        <v>19153</v>
      </c>
      <c r="E7658" s="26">
        <v>1189</v>
      </c>
      <c r="F7658" s="24" t="s">
        <v>502</v>
      </c>
    </row>
    <row r="7659" spans="1:6" x14ac:dyDescent="0.25">
      <c r="A7659" s="24" t="s">
        <v>7</v>
      </c>
      <c r="B7659" s="24" t="s">
        <v>19154</v>
      </c>
      <c r="C7659" s="25" t="s">
        <v>19155</v>
      </c>
      <c r="D7659" s="25" t="s">
        <v>19156</v>
      </c>
      <c r="E7659" s="26">
        <v>914</v>
      </c>
      <c r="F7659" s="24" t="s">
        <v>502</v>
      </c>
    </row>
    <row r="7660" spans="1:6" x14ac:dyDescent="0.25">
      <c r="A7660" s="24" t="s">
        <v>7</v>
      </c>
      <c r="B7660" s="24" t="s">
        <v>19157</v>
      </c>
      <c r="C7660" s="25" t="s">
        <v>19158</v>
      </c>
      <c r="D7660" s="25" t="s">
        <v>19159</v>
      </c>
      <c r="E7660" s="26">
        <v>12561</v>
      </c>
      <c r="F7660" s="24" t="s">
        <v>502</v>
      </c>
    </row>
    <row r="7661" spans="1:6" x14ac:dyDescent="0.25">
      <c r="A7661" s="24" t="s">
        <v>7</v>
      </c>
      <c r="B7661" s="24" t="s">
        <v>19160</v>
      </c>
      <c r="C7661" s="25" t="s">
        <v>19161</v>
      </c>
      <c r="D7661" s="25" t="s">
        <v>19162</v>
      </c>
      <c r="E7661" s="26">
        <v>13144</v>
      </c>
    </row>
    <row r="7662" spans="1:6" x14ac:dyDescent="0.25">
      <c r="A7662" s="24" t="s">
        <v>7</v>
      </c>
      <c r="B7662" s="24" t="s">
        <v>19163</v>
      </c>
      <c r="C7662" s="25" t="s">
        <v>19164</v>
      </c>
      <c r="D7662" s="25" t="s">
        <v>19165</v>
      </c>
      <c r="E7662" s="26">
        <v>919</v>
      </c>
    </row>
    <row r="7663" spans="1:6" x14ac:dyDescent="0.25">
      <c r="A7663" s="24" t="s">
        <v>7</v>
      </c>
      <c r="B7663" s="24" t="s">
        <v>19166</v>
      </c>
      <c r="C7663" s="25" t="s">
        <v>19167</v>
      </c>
      <c r="D7663" s="25" t="s">
        <v>19168</v>
      </c>
      <c r="E7663" s="26">
        <v>2964</v>
      </c>
    </row>
    <row r="7664" spans="1:6" x14ac:dyDescent="0.25">
      <c r="A7664" s="24" t="s">
        <v>7</v>
      </c>
      <c r="B7664" s="24" t="s">
        <v>19169</v>
      </c>
      <c r="C7664" s="25" t="s">
        <v>19170</v>
      </c>
      <c r="D7664" s="25" t="s">
        <v>19171</v>
      </c>
      <c r="E7664" s="26">
        <v>914</v>
      </c>
    </row>
    <row r="7665" spans="1:6" x14ac:dyDescent="0.25">
      <c r="A7665" s="24" t="s">
        <v>7</v>
      </c>
      <c r="B7665" s="24" t="s">
        <v>19172</v>
      </c>
      <c r="C7665" s="25" t="s">
        <v>19173</v>
      </c>
      <c r="D7665" s="25" t="s">
        <v>19174</v>
      </c>
      <c r="E7665" s="26">
        <v>18311.919999999998</v>
      </c>
    </row>
    <row r="7666" spans="1:6" x14ac:dyDescent="0.25">
      <c r="A7666" s="24" t="s">
        <v>7</v>
      </c>
      <c r="B7666" s="24" t="s">
        <v>19175</v>
      </c>
      <c r="C7666" s="25" t="s">
        <v>19176</v>
      </c>
      <c r="D7666" s="25" t="s">
        <v>19177</v>
      </c>
      <c r="E7666" s="26">
        <v>709</v>
      </c>
      <c r="F7666" s="24" t="s">
        <v>502</v>
      </c>
    </row>
    <row r="7667" spans="1:6" x14ac:dyDescent="0.25">
      <c r="A7667" s="24" t="s">
        <v>7</v>
      </c>
      <c r="B7667" s="24" t="s">
        <v>19178</v>
      </c>
      <c r="C7667" s="25" t="s">
        <v>19179</v>
      </c>
      <c r="D7667" s="25" t="s">
        <v>19179</v>
      </c>
      <c r="E7667" s="26">
        <v>60</v>
      </c>
    </row>
    <row r="7668" spans="1:6" x14ac:dyDescent="0.25">
      <c r="A7668" s="24" t="s">
        <v>7</v>
      </c>
      <c r="B7668" s="24" t="s">
        <v>19180</v>
      </c>
      <c r="C7668" s="25" t="s">
        <v>19181</v>
      </c>
      <c r="D7668" s="25" t="s">
        <v>19179</v>
      </c>
      <c r="E7668" s="26">
        <v>60</v>
      </c>
    </row>
    <row r="7669" spans="1:6" x14ac:dyDescent="0.25">
      <c r="A7669" s="24" t="s">
        <v>7</v>
      </c>
      <c r="B7669" s="24" t="s">
        <v>19182</v>
      </c>
      <c r="C7669" s="25" t="s">
        <v>19183</v>
      </c>
      <c r="D7669" s="25" t="s">
        <v>19184</v>
      </c>
      <c r="E7669" s="26">
        <v>2880</v>
      </c>
    </row>
    <row r="7670" spans="1:6" x14ac:dyDescent="0.25">
      <c r="A7670" s="24" t="s">
        <v>7</v>
      </c>
      <c r="B7670" s="24" t="s">
        <v>19185</v>
      </c>
      <c r="C7670" s="25" t="s">
        <v>19186</v>
      </c>
      <c r="D7670" s="25" t="s">
        <v>19186</v>
      </c>
      <c r="E7670" s="26">
        <v>2035</v>
      </c>
    </row>
    <row r="7671" spans="1:6" x14ac:dyDescent="0.25">
      <c r="A7671" s="24" t="s">
        <v>7</v>
      </c>
      <c r="B7671" s="24" t="s">
        <v>19187</v>
      </c>
      <c r="C7671" s="25" t="s">
        <v>19188</v>
      </c>
      <c r="D7671" s="25" t="s">
        <v>19189</v>
      </c>
      <c r="E7671" s="26">
        <v>2035</v>
      </c>
      <c r="F7671" s="24" t="s">
        <v>502</v>
      </c>
    </row>
    <row r="7672" spans="1:6" x14ac:dyDescent="0.25">
      <c r="A7672" s="24" t="s">
        <v>7</v>
      </c>
      <c r="B7672" s="24" t="s">
        <v>19190</v>
      </c>
      <c r="C7672" s="25" t="s">
        <v>19191</v>
      </c>
      <c r="D7672" s="25" t="s">
        <v>19192</v>
      </c>
      <c r="E7672" s="26">
        <v>10821</v>
      </c>
    </row>
    <row r="7673" spans="1:6" x14ac:dyDescent="0.25">
      <c r="A7673" s="24" t="s">
        <v>7</v>
      </c>
      <c r="B7673" s="24" t="s">
        <v>19193</v>
      </c>
      <c r="C7673" s="25" t="s">
        <v>19194</v>
      </c>
      <c r="D7673" s="25" t="s">
        <v>19195</v>
      </c>
      <c r="E7673" s="26">
        <v>914</v>
      </c>
    </row>
    <row r="7674" spans="1:6" x14ac:dyDescent="0.25">
      <c r="A7674" s="24" t="s">
        <v>7</v>
      </c>
      <c r="B7674" s="24" t="s">
        <v>19196</v>
      </c>
      <c r="C7674" s="25" t="s">
        <v>19197</v>
      </c>
      <c r="D7674" s="25" t="s">
        <v>19198</v>
      </c>
      <c r="E7674" s="26">
        <v>1035</v>
      </c>
    </row>
    <row r="7675" spans="1:6" x14ac:dyDescent="0.25">
      <c r="A7675" s="24" t="s">
        <v>7</v>
      </c>
      <c r="B7675" s="24" t="s">
        <v>19199</v>
      </c>
      <c r="C7675" s="25" t="s">
        <v>19200</v>
      </c>
      <c r="D7675" s="25" t="s">
        <v>19200</v>
      </c>
      <c r="E7675" s="26">
        <v>914</v>
      </c>
    </row>
    <row r="7676" spans="1:6" x14ac:dyDescent="0.25">
      <c r="A7676" s="24" t="s">
        <v>7</v>
      </c>
      <c r="B7676" s="24" t="s">
        <v>19201</v>
      </c>
      <c r="C7676" s="25" t="s">
        <v>19202</v>
      </c>
      <c r="D7676" s="25" t="s">
        <v>19203</v>
      </c>
      <c r="E7676" s="26">
        <v>25397</v>
      </c>
    </row>
    <row r="7677" spans="1:6" x14ac:dyDescent="0.25">
      <c r="A7677" s="24" t="s">
        <v>7</v>
      </c>
      <c r="B7677" s="24" t="s">
        <v>19204</v>
      </c>
      <c r="C7677" s="25" t="s">
        <v>19205</v>
      </c>
      <c r="D7677" s="25" t="s">
        <v>19206</v>
      </c>
      <c r="E7677" s="26">
        <v>118</v>
      </c>
      <c r="F7677" s="24" t="s">
        <v>502</v>
      </c>
    </row>
    <row r="7678" spans="1:6" x14ac:dyDescent="0.25">
      <c r="A7678" s="24" t="s">
        <v>7</v>
      </c>
      <c r="B7678" s="24" t="s">
        <v>19207</v>
      </c>
      <c r="C7678" s="25" t="s">
        <v>19208</v>
      </c>
      <c r="D7678" s="25" t="s">
        <v>19209</v>
      </c>
      <c r="E7678" s="26">
        <v>8526</v>
      </c>
    </row>
    <row r="7679" spans="1:6" x14ac:dyDescent="0.25">
      <c r="A7679" s="24" t="s">
        <v>7</v>
      </c>
      <c r="B7679" s="24" t="s">
        <v>19210</v>
      </c>
      <c r="C7679" s="25" t="s">
        <v>19211</v>
      </c>
      <c r="D7679" s="25" t="s">
        <v>19212</v>
      </c>
      <c r="E7679" s="26">
        <v>25293</v>
      </c>
    </row>
    <row r="7680" spans="1:6" x14ac:dyDescent="0.25">
      <c r="A7680" s="24" t="s">
        <v>7</v>
      </c>
      <c r="B7680" s="24" t="s">
        <v>19213</v>
      </c>
      <c r="C7680" s="25" t="s">
        <v>19214</v>
      </c>
      <c r="D7680" s="25" t="s">
        <v>19092</v>
      </c>
      <c r="E7680" s="26">
        <v>10152</v>
      </c>
    </row>
    <row r="7681" spans="1:6" x14ac:dyDescent="0.25">
      <c r="A7681" s="24" t="s">
        <v>7</v>
      </c>
      <c r="B7681" s="24" t="s">
        <v>19215</v>
      </c>
      <c r="C7681" s="25" t="s">
        <v>19216</v>
      </c>
      <c r="D7681" s="25" t="s">
        <v>19217</v>
      </c>
      <c r="E7681" s="26">
        <v>14106</v>
      </c>
      <c r="F7681" s="24" t="s">
        <v>502</v>
      </c>
    </row>
    <row r="7682" spans="1:6" x14ac:dyDescent="0.25">
      <c r="A7682" s="24" t="s">
        <v>7</v>
      </c>
      <c r="B7682" s="24" t="s">
        <v>19218</v>
      </c>
      <c r="C7682" s="25" t="s">
        <v>19219</v>
      </c>
      <c r="D7682" s="25" t="s">
        <v>19220</v>
      </c>
      <c r="E7682" s="26">
        <v>1833</v>
      </c>
    </row>
    <row r="7683" spans="1:6" x14ac:dyDescent="0.25">
      <c r="A7683" s="24" t="s">
        <v>7</v>
      </c>
      <c r="B7683" s="24" t="s">
        <v>19221</v>
      </c>
      <c r="C7683" s="25" t="s">
        <v>19222</v>
      </c>
      <c r="D7683" s="25" t="s">
        <v>19223</v>
      </c>
      <c r="E7683" s="26">
        <v>12002</v>
      </c>
    </row>
    <row r="7684" spans="1:6" x14ac:dyDescent="0.25">
      <c r="A7684" s="24" t="s">
        <v>7</v>
      </c>
      <c r="B7684" s="24" t="s">
        <v>19224</v>
      </c>
      <c r="C7684" s="25" t="s">
        <v>19225</v>
      </c>
      <c r="D7684" s="25" t="s">
        <v>19226</v>
      </c>
      <c r="E7684" s="26">
        <v>32899</v>
      </c>
    </row>
    <row r="7685" spans="1:6" x14ac:dyDescent="0.25">
      <c r="A7685" s="24" t="s">
        <v>7</v>
      </c>
      <c r="B7685" s="24" t="s">
        <v>19227</v>
      </c>
      <c r="C7685" s="25" t="s">
        <v>19228</v>
      </c>
      <c r="D7685" s="25" t="s">
        <v>19229</v>
      </c>
      <c r="E7685" s="26">
        <v>32899</v>
      </c>
    </row>
    <row r="7686" spans="1:6" x14ac:dyDescent="0.25">
      <c r="A7686" s="24" t="s">
        <v>7</v>
      </c>
      <c r="B7686" s="24" t="s">
        <v>19230</v>
      </c>
      <c r="C7686" s="25" t="s">
        <v>19231</v>
      </c>
      <c r="D7686" s="25" t="s">
        <v>19232</v>
      </c>
      <c r="E7686" s="26">
        <v>25921</v>
      </c>
    </row>
    <row r="7687" spans="1:6" x14ac:dyDescent="0.25">
      <c r="A7687" s="24" t="s">
        <v>7</v>
      </c>
      <c r="B7687" s="24" t="s">
        <v>19233</v>
      </c>
      <c r="C7687" s="25" t="s">
        <v>19234</v>
      </c>
      <c r="D7687" s="25" t="s">
        <v>19235</v>
      </c>
      <c r="E7687" s="26">
        <v>4897</v>
      </c>
      <c r="F7687" s="24" t="s">
        <v>502</v>
      </c>
    </row>
    <row r="7688" spans="1:6" x14ac:dyDescent="0.25">
      <c r="A7688" s="24" t="s">
        <v>7</v>
      </c>
      <c r="B7688" s="24" t="s">
        <v>19236</v>
      </c>
      <c r="C7688" s="25" t="s">
        <v>19237</v>
      </c>
      <c r="D7688" s="25" t="s">
        <v>2808</v>
      </c>
      <c r="E7688" s="26">
        <v>13943</v>
      </c>
      <c r="F7688" s="24" t="s">
        <v>502</v>
      </c>
    </row>
    <row r="7689" spans="1:6" x14ac:dyDescent="0.25">
      <c r="A7689" s="24" t="s">
        <v>7</v>
      </c>
      <c r="B7689" s="24" t="s">
        <v>19238</v>
      </c>
      <c r="C7689" s="25" t="s">
        <v>19239</v>
      </c>
      <c r="D7689" s="25" t="s">
        <v>19240</v>
      </c>
      <c r="E7689" s="26">
        <v>8248</v>
      </c>
      <c r="F7689" s="24" t="s">
        <v>502</v>
      </c>
    </row>
    <row r="7690" spans="1:6" x14ac:dyDescent="0.25">
      <c r="A7690" s="24" t="s">
        <v>7</v>
      </c>
      <c r="B7690" s="24" t="s">
        <v>19241</v>
      </c>
      <c r="C7690" s="25" t="s">
        <v>19242</v>
      </c>
      <c r="D7690" s="25" t="s">
        <v>19243</v>
      </c>
      <c r="E7690" s="26">
        <v>4677</v>
      </c>
      <c r="F7690" s="24" t="s">
        <v>502</v>
      </c>
    </row>
    <row r="7691" spans="1:6" x14ac:dyDescent="0.25">
      <c r="A7691" s="24" t="s">
        <v>7</v>
      </c>
      <c r="B7691" s="24" t="s">
        <v>19244</v>
      </c>
      <c r="C7691" s="25" t="s">
        <v>19245</v>
      </c>
      <c r="D7691" s="25" t="s">
        <v>19240</v>
      </c>
      <c r="E7691" s="26">
        <v>8466</v>
      </c>
      <c r="F7691" s="24" t="s">
        <v>502</v>
      </c>
    </row>
    <row r="7692" spans="1:6" x14ac:dyDescent="0.25">
      <c r="A7692" s="24" t="s">
        <v>7</v>
      </c>
      <c r="B7692" s="24" t="s">
        <v>19246</v>
      </c>
      <c r="C7692" s="25" t="s">
        <v>19247</v>
      </c>
      <c r="D7692" s="25" t="s">
        <v>19247</v>
      </c>
      <c r="E7692" s="26">
        <v>4788</v>
      </c>
      <c r="F7692" s="24" t="s">
        <v>502</v>
      </c>
    </row>
    <row r="7693" spans="1:6" x14ac:dyDescent="0.25">
      <c r="A7693" s="24" t="s">
        <v>7</v>
      </c>
      <c r="B7693" s="24" t="s">
        <v>19248</v>
      </c>
      <c r="C7693" s="25" t="s">
        <v>19249</v>
      </c>
      <c r="D7693" s="25" t="s">
        <v>19250</v>
      </c>
      <c r="E7693" s="26">
        <v>4527</v>
      </c>
    </row>
    <row r="7694" spans="1:6" x14ac:dyDescent="0.25">
      <c r="A7694" s="24" t="s">
        <v>7</v>
      </c>
      <c r="B7694" s="24" t="s">
        <v>19251</v>
      </c>
      <c r="C7694" s="25" t="s">
        <v>19252</v>
      </c>
      <c r="D7694" s="25" t="s">
        <v>19253</v>
      </c>
      <c r="E7694" s="26">
        <v>9310</v>
      </c>
    </row>
    <row r="7695" spans="1:6" x14ac:dyDescent="0.25">
      <c r="A7695" s="24" t="s">
        <v>7</v>
      </c>
      <c r="B7695" s="24" t="s">
        <v>19254</v>
      </c>
      <c r="C7695" s="25" t="s">
        <v>19255</v>
      </c>
      <c r="D7695" s="25" t="s">
        <v>19256</v>
      </c>
      <c r="E7695" s="26">
        <v>8603</v>
      </c>
      <c r="F7695" s="24" t="s">
        <v>502</v>
      </c>
    </row>
    <row r="7696" spans="1:6" x14ac:dyDescent="0.25">
      <c r="A7696" s="24" t="s">
        <v>7</v>
      </c>
      <c r="B7696" s="24" t="s">
        <v>19257</v>
      </c>
      <c r="C7696" s="25" t="s">
        <v>19258</v>
      </c>
      <c r="D7696" s="25" t="s">
        <v>19258</v>
      </c>
      <c r="E7696" s="26">
        <v>674</v>
      </c>
      <c r="F7696" s="24" t="s">
        <v>502</v>
      </c>
    </row>
    <row r="7697" spans="1:6" x14ac:dyDescent="0.25">
      <c r="A7697" s="24" t="s">
        <v>7</v>
      </c>
      <c r="B7697" s="24" t="s">
        <v>19259</v>
      </c>
      <c r="C7697" s="25" t="s">
        <v>19260</v>
      </c>
      <c r="D7697" s="25" t="s">
        <v>19261</v>
      </c>
      <c r="E7697" s="26">
        <v>1736</v>
      </c>
    </row>
    <row r="7698" spans="1:6" x14ac:dyDescent="0.25">
      <c r="A7698" s="24" t="s">
        <v>7</v>
      </c>
      <c r="B7698" s="24" t="s">
        <v>19262</v>
      </c>
      <c r="C7698" s="25" t="s">
        <v>19263</v>
      </c>
      <c r="D7698" s="25" t="s">
        <v>19264</v>
      </c>
      <c r="E7698" s="26">
        <v>18736</v>
      </c>
      <c r="F7698" s="24" t="s">
        <v>502</v>
      </c>
    </row>
    <row r="7699" spans="1:6" x14ac:dyDescent="0.25">
      <c r="A7699" s="24" t="s">
        <v>7</v>
      </c>
      <c r="B7699" s="24" t="s">
        <v>19265</v>
      </c>
      <c r="C7699" s="25" t="s">
        <v>19266</v>
      </c>
      <c r="D7699" s="25" t="s">
        <v>19267</v>
      </c>
      <c r="E7699" s="26">
        <v>730</v>
      </c>
    </row>
    <row r="7700" spans="1:6" x14ac:dyDescent="0.25">
      <c r="A7700" s="24" t="s">
        <v>7</v>
      </c>
      <c r="B7700" s="24" t="s">
        <v>19268</v>
      </c>
      <c r="C7700" s="25" t="s">
        <v>19269</v>
      </c>
      <c r="D7700" s="25" t="s">
        <v>19269</v>
      </c>
      <c r="E7700" s="26">
        <v>4434</v>
      </c>
      <c r="F7700" s="24" t="s">
        <v>502</v>
      </c>
    </row>
    <row r="7701" spans="1:6" x14ac:dyDescent="0.25">
      <c r="A7701" s="24" t="s">
        <v>7</v>
      </c>
      <c r="B7701" s="24" t="s">
        <v>19270</v>
      </c>
      <c r="C7701" s="25" t="s">
        <v>19269</v>
      </c>
      <c r="D7701" s="25" t="s">
        <v>19269</v>
      </c>
      <c r="E7701" s="26">
        <v>1799</v>
      </c>
      <c r="F7701" s="24" t="s">
        <v>502</v>
      </c>
    </row>
    <row r="7702" spans="1:6" x14ac:dyDescent="0.25">
      <c r="A7702" s="24" t="s">
        <v>7</v>
      </c>
      <c r="B7702" s="24" t="s">
        <v>19271</v>
      </c>
      <c r="C7702" s="25" t="s">
        <v>19272</v>
      </c>
      <c r="D7702" s="25" t="s">
        <v>19272</v>
      </c>
      <c r="E7702" s="26">
        <v>3885</v>
      </c>
      <c r="F7702" s="24" t="s">
        <v>502</v>
      </c>
    </row>
    <row r="7703" spans="1:6" x14ac:dyDescent="0.25">
      <c r="A7703" s="24" t="s">
        <v>7</v>
      </c>
      <c r="B7703" s="24" t="s">
        <v>19273</v>
      </c>
      <c r="C7703" s="25" t="s">
        <v>19274</v>
      </c>
      <c r="D7703" s="25" t="s">
        <v>19275</v>
      </c>
      <c r="E7703" s="26">
        <v>4733</v>
      </c>
    </row>
    <row r="7704" spans="1:6" x14ac:dyDescent="0.25">
      <c r="A7704" s="24" t="s">
        <v>7</v>
      </c>
      <c r="B7704" s="24" t="s">
        <v>19276</v>
      </c>
      <c r="C7704" s="25" t="s">
        <v>19277</v>
      </c>
      <c r="D7704" s="25" t="s">
        <v>19278</v>
      </c>
      <c r="E7704" s="26">
        <v>17184</v>
      </c>
    </row>
    <row r="7705" spans="1:6" x14ac:dyDescent="0.25">
      <c r="A7705" s="24" t="s">
        <v>7</v>
      </c>
      <c r="B7705" s="24" t="s">
        <v>19279</v>
      </c>
      <c r="C7705" s="25" t="s">
        <v>19280</v>
      </c>
      <c r="D7705" s="25" t="s">
        <v>19280</v>
      </c>
      <c r="E7705" s="26">
        <v>4849</v>
      </c>
      <c r="F7705" s="24" t="s">
        <v>502</v>
      </c>
    </row>
    <row r="7706" spans="1:6" x14ac:dyDescent="0.25">
      <c r="A7706" s="24" t="s">
        <v>7</v>
      </c>
      <c r="B7706" s="24" t="s">
        <v>19281</v>
      </c>
      <c r="C7706" s="25" t="s">
        <v>19282</v>
      </c>
      <c r="D7706" s="25" t="s">
        <v>19283</v>
      </c>
      <c r="E7706" s="26">
        <v>6954</v>
      </c>
    </row>
    <row r="7707" spans="1:6" x14ac:dyDescent="0.25">
      <c r="A7707" s="24" t="s">
        <v>7</v>
      </c>
      <c r="B7707" s="24" t="s">
        <v>19284</v>
      </c>
      <c r="C7707" s="25" t="s">
        <v>19285</v>
      </c>
      <c r="D7707" s="25" t="s">
        <v>19286</v>
      </c>
      <c r="E7707" s="26">
        <v>4111</v>
      </c>
    </row>
    <row r="7708" spans="1:6" x14ac:dyDescent="0.25">
      <c r="A7708" s="24" t="s">
        <v>7</v>
      </c>
      <c r="B7708" s="24" t="s">
        <v>19287</v>
      </c>
      <c r="C7708" s="25" t="s">
        <v>19288</v>
      </c>
      <c r="D7708" s="25" t="s">
        <v>19240</v>
      </c>
      <c r="E7708" s="26">
        <v>5904</v>
      </c>
    </row>
    <row r="7709" spans="1:6" x14ac:dyDescent="0.25">
      <c r="A7709" s="24" t="s">
        <v>7</v>
      </c>
      <c r="B7709" s="24" t="s">
        <v>19289</v>
      </c>
      <c r="C7709" s="25" t="s">
        <v>19290</v>
      </c>
      <c r="D7709" s="25" t="s">
        <v>19291</v>
      </c>
      <c r="E7709" s="26">
        <v>1745</v>
      </c>
    </row>
    <row r="7710" spans="1:6" x14ac:dyDescent="0.25">
      <c r="A7710" s="24" t="s">
        <v>7</v>
      </c>
      <c r="B7710" s="24" t="s">
        <v>19292</v>
      </c>
      <c r="C7710" s="25" t="s">
        <v>19293</v>
      </c>
      <c r="D7710" s="25" t="s">
        <v>19294</v>
      </c>
      <c r="E7710" s="26">
        <v>45511</v>
      </c>
      <c r="F7710" s="24" t="s">
        <v>502</v>
      </c>
    </row>
    <row r="7711" spans="1:6" x14ac:dyDescent="0.25">
      <c r="A7711" s="24" t="s">
        <v>7</v>
      </c>
      <c r="B7711" s="24" t="s">
        <v>19295</v>
      </c>
      <c r="C7711" s="25" t="s">
        <v>19296</v>
      </c>
      <c r="D7711" s="25" t="s">
        <v>19297</v>
      </c>
      <c r="E7711" s="26">
        <v>12191</v>
      </c>
    </row>
    <row r="7712" spans="1:6" x14ac:dyDescent="0.25">
      <c r="A7712" s="24" t="s">
        <v>7</v>
      </c>
      <c r="B7712" s="24" t="s">
        <v>19298</v>
      </c>
      <c r="C7712" s="25" t="s">
        <v>19299</v>
      </c>
      <c r="D7712" s="25" t="s">
        <v>2824</v>
      </c>
      <c r="E7712" s="26">
        <v>11616</v>
      </c>
      <c r="F7712" s="24" t="s">
        <v>502</v>
      </c>
    </row>
    <row r="7713" spans="1:6" x14ac:dyDescent="0.25">
      <c r="A7713" s="24" t="s">
        <v>7</v>
      </c>
      <c r="B7713" s="24" t="s">
        <v>19300</v>
      </c>
      <c r="C7713" s="25" t="s">
        <v>19301</v>
      </c>
      <c r="D7713" s="25" t="s">
        <v>19302</v>
      </c>
      <c r="E7713" s="26">
        <v>16352</v>
      </c>
      <c r="F7713" s="24" t="s">
        <v>502</v>
      </c>
    </row>
    <row r="7714" spans="1:6" x14ac:dyDescent="0.25">
      <c r="A7714" s="24" t="s">
        <v>7</v>
      </c>
      <c r="B7714" s="24" t="s">
        <v>19303</v>
      </c>
      <c r="C7714" s="25" t="s">
        <v>19304</v>
      </c>
      <c r="D7714" s="25" t="s">
        <v>19305</v>
      </c>
      <c r="E7714" s="26">
        <v>4434</v>
      </c>
      <c r="F7714" s="24" t="s">
        <v>502</v>
      </c>
    </row>
    <row r="7715" spans="1:6" x14ac:dyDescent="0.25">
      <c r="A7715" s="24" t="s">
        <v>7</v>
      </c>
      <c r="B7715" s="24" t="s">
        <v>19306</v>
      </c>
      <c r="C7715" s="25" t="s">
        <v>19307</v>
      </c>
      <c r="D7715" s="25" t="s">
        <v>19308</v>
      </c>
      <c r="E7715" s="26">
        <v>9563</v>
      </c>
      <c r="F7715" s="24" t="s">
        <v>502</v>
      </c>
    </row>
    <row r="7716" spans="1:6" x14ac:dyDescent="0.25">
      <c r="A7716" s="24" t="s">
        <v>7</v>
      </c>
      <c r="B7716" s="24" t="s">
        <v>19309</v>
      </c>
      <c r="C7716" s="25" t="s">
        <v>19310</v>
      </c>
      <c r="D7716" s="25" t="s">
        <v>19311</v>
      </c>
      <c r="E7716" s="26">
        <v>27188</v>
      </c>
    </row>
    <row r="7717" spans="1:6" x14ac:dyDescent="0.25">
      <c r="A7717" s="24" t="s">
        <v>7</v>
      </c>
      <c r="B7717" s="24" t="s">
        <v>19312</v>
      </c>
      <c r="C7717" s="25" t="s">
        <v>19313</v>
      </c>
      <c r="D7717" s="25" t="s">
        <v>19314</v>
      </c>
      <c r="E7717" s="26">
        <v>12831</v>
      </c>
      <c r="F7717" s="24" t="s">
        <v>502</v>
      </c>
    </row>
    <row r="7718" spans="1:6" x14ac:dyDescent="0.25">
      <c r="A7718" s="24" t="s">
        <v>7</v>
      </c>
      <c r="B7718" s="24" t="s">
        <v>19315</v>
      </c>
      <c r="C7718" s="25" t="s">
        <v>19316</v>
      </c>
      <c r="D7718" s="25" t="s">
        <v>19316</v>
      </c>
      <c r="E7718" s="26">
        <v>135</v>
      </c>
      <c r="F7718" s="24" t="s">
        <v>502</v>
      </c>
    </row>
    <row r="7719" spans="1:6" x14ac:dyDescent="0.25">
      <c r="A7719" s="24" t="s">
        <v>7</v>
      </c>
      <c r="B7719" s="24" t="s">
        <v>19317</v>
      </c>
      <c r="C7719" s="25" t="s">
        <v>19316</v>
      </c>
      <c r="D7719" s="25" t="s">
        <v>19316</v>
      </c>
      <c r="E7719" s="26">
        <v>135</v>
      </c>
      <c r="F7719" s="24" t="s">
        <v>502</v>
      </c>
    </row>
    <row r="7720" spans="1:6" x14ac:dyDescent="0.25">
      <c r="A7720" s="24" t="s">
        <v>7</v>
      </c>
      <c r="B7720" s="24" t="s">
        <v>19318</v>
      </c>
      <c r="C7720" s="25" t="s">
        <v>19316</v>
      </c>
      <c r="D7720" s="25" t="s">
        <v>19316</v>
      </c>
      <c r="E7720" s="26">
        <v>135</v>
      </c>
    </row>
    <row r="7721" spans="1:6" x14ac:dyDescent="0.25">
      <c r="A7721" s="24" t="s">
        <v>7</v>
      </c>
      <c r="B7721" s="24" t="s">
        <v>19319</v>
      </c>
      <c r="C7721" s="25" t="s">
        <v>19316</v>
      </c>
      <c r="D7721" s="25" t="s">
        <v>19316</v>
      </c>
      <c r="E7721" s="26">
        <v>135</v>
      </c>
    </row>
    <row r="7722" spans="1:6" x14ac:dyDescent="0.25">
      <c r="A7722" s="24" t="s">
        <v>7</v>
      </c>
      <c r="B7722" s="24" t="s">
        <v>19320</v>
      </c>
      <c r="C7722" s="25" t="s">
        <v>19316</v>
      </c>
      <c r="D7722" s="25" t="s">
        <v>19316</v>
      </c>
      <c r="E7722" s="26">
        <v>135</v>
      </c>
    </row>
    <row r="7723" spans="1:6" x14ac:dyDescent="0.25">
      <c r="A7723" s="24" t="s">
        <v>7</v>
      </c>
      <c r="B7723" s="24" t="s">
        <v>19321</v>
      </c>
      <c r="C7723" s="25" t="s">
        <v>19322</v>
      </c>
      <c r="D7723" s="25" t="s">
        <v>19322</v>
      </c>
      <c r="E7723" s="26">
        <v>177</v>
      </c>
      <c r="F7723" s="24" t="s">
        <v>502</v>
      </c>
    </row>
    <row r="7724" spans="1:6" x14ac:dyDescent="0.25">
      <c r="A7724" s="24" t="s">
        <v>7</v>
      </c>
      <c r="B7724" s="24" t="s">
        <v>19323</v>
      </c>
      <c r="C7724" s="25" t="s">
        <v>19324</v>
      </c>
      <c r="D7724" s="25" t="s">
        <v>19325</v>
      </c>
      <c r="E7724" s="26">
        <v>575</v>
      </c>
    </row>
    <row r="7725" spans="1:6" x14ac:dyDescent="0.25">
      <c r="A7725" s="24" t="s">
        <v>7</v>
      </c>
      <c r="B7725" s="24" t="s">
        <v>19326</v>
      </c>
      <c r="C7725" s="25" t="s">
        <v>19327</v>
      </c>
      <c r="D7725" s="25" t="s">
        <v>19327</v>
      </c>
      <c r="E7725" s="26">
        <v>135</v>
      </c>
    </row>
    <row r="7726" spans="1:6" x14ac:dyDescent="0.25">
      <c r="A7726" s="24" t="s">
        <v>7</v>
      </c>
      <c r="B7726" s="24" t="s">
        <v>19328</v>
      </c>
      <c r="C7726" s="25" t="s">
        <v>19329</v>
      </c>
      <c r="D7726" s="25" t="s">
        <v>19329</v>
      </c>
      <c r="E7726" s="26">
        <v>135</v>
      </c>
      <c r="F7726" s="24" t="s">
        <v>502</v>
      </c>
    </row>
    <row r="7727" spans="1:6" x14ac:dyDescent="0.25">
      <c r="A7727" s="24" t="s">
        <v>7</v>
      </c>
      <c r="B7727" s="24" t="s">
        <v>19330</v>
      </c>
      <c r="C7727" s="25" t="s">
        <v>19331</v>
      </c>
      <c r="D7727" s="25" t="s">
        <v>19331</v>
      </c>
      <c r="E7727" s="26">
        <v>135</v>
      </c>
    </row>
    <row r="7728" spans="1:6" x14ac:dyDescent="0.25">
      <c r="A7728" s="24" t="s">
        <v>7</v>
      </c>
      <c r="B7728" s="24" t="s">
        <v>19332</v>
      </c>
      <c r="C7728" s="25" t="s">
        <v>19333</v>
      </c>
      <c r="D7728" s="25" t="s">
        <v>19333</v>
      </c>
      <c r="E7728" s="26">
        <v>906</v>
      </c>
    </row>
    <row r="7729" spans="1:6" x14ac:dyDescent="0.25">
      <c r="A7729" s="24" t="s">
        <v>7</v>
      </c>
      <c r="B7729" s="24" t="s">
        <v>19334</v>
      </c>
      <c r="C7729" s="25" t="s">
        <v>19335</v>
      </c>
      <c r="D7729" s="25" t="s">
        <v>19336</v>
      </c>
      <c r="E7729" s="26">
        <v>135</v>
      </c>
    </row>
    <row r="7730" spans="1:6" x14ac:dyDescent="0.25">
      <c r="A7730" s="24" t="s">
        <v>7</v>
      </c>
      <c r="B7730" s="24" t="s">
        <v>19337</v>
      </c>
      <c r="C7730" s="25" t="s">
        <v>19338</v>
      </c>
      <c r="D7730" s="25" t="s">
        <v>19339</v>
      </c>
      <c r="E7730" s="26">
        <v>368</v>
      </c>
    </row>
    <row r="7731" spans="1:6" x14ac:dyDescent="0.25">
      <c r="A7731" s="24" t="s">
        <v>7</v>
      </c>
      <c r="B7731" s="24" t="s">
        <v>19340</v>
      </c>
      <c r="C7731" s="25" t="s">
        <v>19341</v>
      </c>
      <c r="D7731" s="25" t="s">
        <v>19342</v>
      </c>
      <c r="E7731" s="26">
        <v>793</v>
      </c>
      <c r="F7731" s="24" t="s">
        <v>502</v>
      </c>
    </row>
    <row r="7732" spans="1:6" x14ac:dyDescent="0.25">
      <c r="A7732" s="24" t="s">
        <v>7</v>
      </c>
      <c r="B7732" s="24" t="s">
        <v>19343</v>
      </c>
      <c r="C7732" s="25" t="s">
        <v>19344</v>
      </c>
      <c r="D7732" s="25" t="s">
        <v>19345</v>
      </c>
      <c r="E7732" s="26">
        <v>2568</v>
      </c>
    </row>
    <row r="7733" spans="1:6" x14ac:dyDescent="0.25">
      <c r="A7733" s="24" t="s">
        <v>7</v>
      </c>
      <c r="B7733" s="24" t="s">
        <v>19346</v>
      </c>
      <c r="C7733" s="25" t="s">
        <v>19347</v>
      </c>
      <c r="D7733" s="25" t="s">
        <v>19347</v>
      </c>
      <c r="E7733" s="26">
        <v>2035</v>
      </c>
    </row>
    <row r="7734" spans="1:6" x14ac:dyDescent="0.25">
      <c r="A7734" s="24" t="s">
        <v>7</v>
      </c>
      <c r="B7734" s="24" t="s">
        <v>19348</v>
      </c>
      <c r="C7734" s="25" t="s">
        <v>19349</v>
      </c>
      <c r="D7734" s="25" t="s">
        <v>19349</v>
      </c>
      <c r="E7734" s="26">
        <v>60</v>
      </c>
    </row>
    <row r="7735" spans="1:6" x14ac:dyDescent="0.25">
      <c r="A7735" s="24" t="s">
        <v>7</v>
      </c>
      <c r="B7735" s="24" t="s">
        <v>19350</v>
      </c>
      <c r="C7735" s="25" t="s">
        <v>19351</v>
      </c>
      <c r="D7735" s="25" t="s">
        <v>19352</v>
      </c>
      <c r="E7735" s="26">
        <v>793</v>
      </c>
    </row>
    <row r="7736" spans="1:6" x14ac:dyDescent="0.25">
      <c r="A7736" s="24" t="s">
        <v>7</v>
      </c>
      <c r="B7736" s="24" t="s">
        <v>19353</v>
      </c>
      <c r="C7736" s="25" t="s">
        <v>19354</v>
      </c>
      <c r="D7736" s="25" t="s">
        <v>19354</v>
      </c>
      <c r="E7736" s="26">
        <v>602</v>
      </c>
    </row>
    <row r="7737" spans="1:6" x14ac:dyDescent="0.25">
      <c r="A7737" s="24" t="s">
        <v>7</v>
      </c>
      <c r="B7737" s="24" t="s">
        <v>19355</v>
      </c>
      <c r="C7737" s="25" t="s">
        <v>19356</v>
      </c>
      <c r="D7737" s="25" t="s">
        <v>19357</v>
      </c>
      <c r="E7737" s="26">
        <v>1134</v>
      </c>
    </row>
    <row r="7738" spans="1:6" x14ac:dyDescent="0.25">
      <c r="A7738" s="24" t="s">
        <v>7</v>
      </c>
      <c r="B7738" s="24" t="s">
        <v>19358</v>
      </c>
      <c r="C7738" s="25" t="s">
        <v>19359</v>
      </c>
      <c r="D7738" s="25" t="s">
        <v>19360</v>
      </c>
      <c r="E7738" s="26">
        <v>3688</v>
      </c>
    </row>
    <row r="7739" spans="1:6" x14ac:dyDescent="0.25">
      <c r="A7739" s="24" t="s">
        <v>7</v>
      </c>
      <c r="B7739" s="24" t="s">
        <v>19361</v>
      </c>
      <c r="C7739" s="25" t="s">
        <v>19362</v>
      </c>
      <c r="D7739" s="25" t="s">
        <v>19363</v>
      </c>
      <c r="E7739" s="26">
        <v>751</v>
      </c>
    </row>
    <row r="7740" spans="1:6" x14ac:dyDescent="0.25">
      <c r="A7740" s="24" t="s">
        <v>7</v>
      </c>
      <c r="B7740" s="24" t="s">
        <v>19364</v>
      </c>
      <c r="C7740" s="25" t="s">
        <v>19365</v>
      </c>
      <c r="D7740" s="25" t="s">
        <v>19366</v>
      </c>
      <c r="E7740" s="26">
        <v>3958</v>
      </c>
      <c r="F7740" s="24" t="s">
        <v>502</v>
      </c>
    </row>
    <row r="7741" spans="1:6" x14ac:dyDescent="0.25">
      <c r="A7741" s="24" t="s">
        <v>7</v>
      </c>
      <c r="B7741" s="24" t="s">
        <v>19367</v>
      </c>
      <c r="C7741" s="25" t="s">
        <v>19368</v>
      </c>
      <c r="D7741" s="25" t="s">
        <v>19369</v>
      </c>
      <c r="E7741" s="26">
        <v>793</v>
      </c>
    </row>
    <row r="7742" spans="1:6" x14ac:dyDescent="0.25">
      <c r="A7742" s="24" t="s">
        <v>7</v>
      </c>
      <c r="B7742" s="24" t="s">
        <v>19370</v>
      </c>
      <c r="C7742" s="25" t="s">
        <v>19371</v>
      </c>
      <c r="D7742" s="25" t="s">
        <v>19372</v>
      </c>
      <c r="E7742" s="26">
        <v>60</v>
      </c>
      <c r="F7742" s="24" t="s">
        <v>502</v>
      </c>
    </row>
    <row r="7743" spans="1:6" x14ac:dyDescent="0.25">
      <c r="A7743" s="24" t="s">
        <v>7</v>
      </c>
      <c r="B7743" s="24" t="s">
        <v>19373</v>
      </c>
      <c r="C7743" s="25" t="s">
        <v>19374</v>
      </c>
      <c r="D7743" s="25" t="s">
        <v>19375</v>
      </c>
      <c r="E7743" s="26">
        <v>135</v>
      </c>
      <c r="F7743" s="24" t="s">
        <v>502</v>
      </c>
    </row>
    <row r="7744" spans="1:6" x14ac:dyDescent="0.25">
      <c r="A7744" s="24" t="s">
        <v>7</v>
      </c>
      <c r="B7744" s="24" t="s">
        <v>19376</v>
      </c>
      <c r="C7744" s="25" t="s">
        <v>19377</v>
      </c>
      <c r="D7744" s="25" t="s">
        <v>19377</v>
      </c>
      <c r="E7744" s="26">
        <v>1490</v>
      </c>
      <c r="F7744" s="24" t="s">
        <v>502</v>
      </c>
    </row>
    <row r="7745" spans="1:6" x14ac:dyDescent="0.25">
      <c r="A7745" s="24" t="s">
        <v>7</v>
      </c>
      <c r="B7745" s="24" t="s">
        <v>19378</v>
      </c>
      <c r="C7745" s="25" t="s">
        <v>19379</v>
      </c>
      <c r="D7745" s="25" t="s">
        <v>19380</v>
      </c>
      <c r="E7745" s="26">
        <v>633</v>
      </c>
      <c r="F7745" s="24" t="s">
        <v>502</v>
      </c>
    </row>
    <row r="7746" spans="1:6" x14ac:dyDescent="0.25">
      <c r="A7746" s="24" t="s">
        <v>7</v>
      </c>
      <c r="B7746" s="24" t="s">
        <v>19381</v>
      </c>
      <c r="C7746" s="25" t="s">
        <v>19382</v>
      </c>
      <c r="D7746" s="25" t="s">
        <v>19382</v>
      </c>
      <c r="E7746" s="26">
        <v>978</v>
      </c>
      <c r="F7746" s="24" t="s">
        <v>502</v>
      </c>
    </row>
    <row r="7747" spans="1:6" x14ac:dyDescent="0.25">
      <c r="A7747" s="24" t="s">
        <v>7</v>
      </c>
      <c r="B7747" s="24" t="s">
        <v>19383</v>
      </c>
      <c r="C7747" s="25" t="s">
        <v>19384</v>
      </c>
      <c r="D7747" s="25" t="s">
        <v>19385</v>
      </c>
      <c r="E7747" s="26">
        <v>4237</v>
      </c>
      <c r="F7747" s="24" t="s">
        <v>502</v>
      </c>
    </row>
    <row r="7748" spans="1:6" x14ac:dyDescent="0.25">
      <c r="A7748" s="24" t="s">
        <v>7</v>
      </c>
      <c r="B7748" s="24" t="s">
        <v>19386</v>
      </c>
      <c r="C7748" s="25" t="s">
        <v>19387</v>
      </c>
      <c r="D7748" s="25" t="s">
        <v>19387</v>
      </c>
      <c r="E7748" s="26">
        <v>1108</v>
      </c>
      <c r="F7748" s="24" t="s">
        <v>502</v>
      </c>
    </row>
    <row r="7749" spans="1:6" x14ac:dyDescent="0.25">
      <c r="A7749" s="24" t="s">
        <v>7</v>
      </c>
      <c r="B7749" s="24" t="s">
        <v>19388</v>
      </c>
      <c r="C7749" s="25" t="s">
        <v>19389</v>
      </c>
      <c r="D7749" s="25" t="s">
        <v>19390</v>
      </c>
      <c r="E7749" s="26">
        <v>4434</v>
      </c>
    </row>
    <row r="7750" spans="1:6" x14ac:dyDescent="0.25">
      <c r="A7750" s="24" t="s">
        <v>7</v>
      </c>
      <c r="B7750" s="24" t="s">
        <v>19391</v>
      </c>
      <c r="C7750" s="25" t="s">
        <v>19392</v>
      </c>
      <c r="D7750" s="25" t="s">
        <v>19392</v>
      </c>
      <c r="E7750" s="26">
        <v>310</v>
      </c>
    </row>
    <row r="7751" spans="1:6" x14ac:dyDescent="0.25">
      <c r="A7751" s="24" t="s">
        <v>7</v>
      </c>
      <c r="B7751" s="24" t="s">
        <v>19393</v>
      </c>
      <c r="C7751" s="25" t="s">
        <v>19394</v>
      </c>
      <c r="D7751" s="25" t="s">
        <v>19394</v>
      </c>
      <c r="E7751" s="26">
        <v>1628</v>
      </c>
    </row>
    <row r="7752" spans="1:6" x14ac:dyDescent="0.25">
      <c r="A7752" s="24" t="s">
        <v>7</v>
      </c>
      <c r="B7752" s="24" t="s">
        <v>19395</v>
      </c>
      <c r="C7752" s="25" t="s">
        <v>19396</v>
      </c>
      <c r="D7752" s="25" t="s">
        <v>19397</v>
      </c>
      <c r="E7752" s="26">
        <v>3684</v>
      </c>
    </row>
    <row r="7753" spans="1:6" x14ac:dyDescent="0.25">
      <c r="A7753" s="24" t="s">
        <v>7</v>
      </c>
      <c r="B7753" s="24" t="s">
        <v>19398</v>
      </c>
      <c r="C7753" s="25" t="s">
        <v>19399</v>
      </c>
      <c r="D7753" s="25" t="s">
        <v>19400</v>
      </c>
      <c r="E7753" s="26">
        <v>100</v>
      </c>
    </row>
    <row r="7754" spans="1:6" x14ac:dyDescent="0.25">
      <c r="A7754" s="24" t="s">
        <v>7</v>
      </c>
      <c r="B7754" s="24" t="s">
        <v>19401</v>
      </c>
      <c r="C7754" s="25" t="s">
        <v>19402</v>
      </c>
      <c r="D7754" s="25" t="s">
        <v>19403</v>
      </c>
      <c r="E7754" s="26">
        <v>818</v>
      </c>
    </row>
    <row r="7755" spans="1:6" x14ac:dyDescent="0.25">
      <c r="A7755" s="24" t="s">
        <v>7</v>
      </c>
      <c r="B7755" s="24" t="s">
        <v>19404</v>
      </c>
      <c r="C7755" s="25" t="s">
        <v>19405</v>
      </c>
      <c r="D7755" s="25" t="s">
        <v>19406</v>
      </c>
      <c r="E7755" s="26">
        <v>818</v>
      </c>
    </row>
    <row r="7756" spans="1:6" x14ac:dyDescent="0.25">
      <c r="A7756" s="24" t="s">
        <v>7</v>
      </c>
      <c r="B7756" s="24" t="s">
        <v>19407</v>
      </c>
      <c r="C7756" s="25" t="s">
        <v>19408</v>
      </c>
      <c r="D7756" s="25" t="s">
        <v>19409</v>
      </c>
      <c r="E7756" s="26">
        <v>524</v>
      </c>
    </row>
    <row r="7757" spans="1:6" x14ac:dyDescent="0.25">
      <c r="A7757" s="24" t="s">
        <v>7</v>
      </c>
      <c r="B7757" s="24" t="s">
        <v>19410</v>
      </c>
      <c r="C7757" s="25" t="s">
        <v>19411</v>
      </c>
      <c r="D7757" s="25" t="s">
        <v>19412</v>
      </c>
      <c r="E7757" s="26">
        <v>3120</v>
      </c>
    </row>
    <row r="7758" spans="1:6" x14ac:dyDescent="0.25">
      <c r="A7758" s="24" t="s">
        <v>7</v>
      </c>
      <c r="B7758" s="24" t="s">
        <v>19413</v>
      </c>
      <c r="C7758" s="25" t="s">
        <v>19414</v>
      </c>
      <c r="D7758" s="25" t="s">
        <v>19415</v>
      </c>
      <c r="E7758" s="26">
        <v>2661</v>
      </c>
    </row>
    <row r="7759" spans="1:6" x14ac:dyDescent="0.25">
      <c r="A7759" s="24" t="s">
        <v>7</v>
      </c>
      <c r="B7759" s="24" t="s">
        <v>19416</v>
      </c>
      <c r="C7759" s="25" t="s">
        <v>19417</v>
      </c>
      <c r="D7759" s="25" t="s">
        <v>19418</v>
      </c>
      <c r="E7759" s="26">
        <v>2983</v>
      </c>
    </row>
    <row r="7760" spans="1:6" x14ac:dyDescent="0.25">
      <c r="A7760" s="24" t="s">
        <v>7</v>
      </c>
      <c r="B7760" s="24" t="s">
        <v>19419</v>
      </c>
      <c r="C7760" s="25" t="s">
        <v>19420</v>
      </c>
      <c r="D7760" s="25" t="s">
        <v>19420</v>
      </c>
      <c r="E7760" s="26">
        <v>869</v>
      </c>
    </row>
    <row r="7761" spans="1:6" x14ac:dyDescent="0.25">
      <c r="A7761" s="24" t="s">
        <v>7</v>
      </c>
      <c r="B7761" s="24" t="s">
        <v>19421</v>
      </c>
      <c r="C7761" s="25" t="s">
        <v>19422</v>
      </c>
      <c r="D7761" s="25" t="s">
        <v>19423</v>
      </c>
      <c r="E7761" s="26">
        <v>186</v>
      </c>
    </row>
    <row r="7762" spans="1:6" x14ac:dyDescent="0.25">
      <c r="A7762" s="24" t="s">
        <v>7</v>
      </c>
      <c r="B7762" s="24" t="s">
        <v>19424</v>
      </c>
      <c r="C7762" s="25" t="s">
        <v>19425</v>
      </c>
      <c r="D7762" s="25" t="s">
        <v>19426</v>
      </c>
      <c r="E7762" s="26">
        <v>2838</v>
      </c>
    </row>
    <row r="7763" spans="1:6" x14ac:dyDescent="0.25">
      <c r="A7763" s="24" t="s">
        <v>7</v>
      </c>
      <c r="B7763" s="24" t="s">
        <v>19427</v>
      </c>
      <c r="C7763" s="25" t="s">
        <v>19428</v>
      </c>
      <c r="D7763" s="25" t="s">
        <v>19429</v>
      </c>
      <c r="E7763" s="26">
        <v>804</v>
      </c>
    </row>
    <row r="7764" spans="1:6" x14ac:dyDescent="0.25">
      <c r="A7764" s="24" t="s">
        <v>7</v>
      </c>
      <c r="B7764" s="24" t="s">
        <v>19430</v>
      </c>
      <c r="C7764" s="25" t="s">
        <v>19431</v>
      </c>
      <c r="D7764" s="25" t="s">
        <v>19432</v>
      </c>
      <c r="E7764" s="26">
        <v>3186</v>
      </c>
    </row>
    <row r="7765" spans="1:6" x14ac:dyDescent="0.25">
      <c r="A7765" s="24" t="s">
        <v>7</v>
      </c>
      <c r="B7765" s="24" t="s">
        <v>19433</v>
      </c>
      <c r="C7765" s="25" t="s">
        <v>19434</v>
      </c>
      <c r="D7765" s="25" t="s">
        <v>19435</v>
      </c>
      <c r="E7765" s="26">
        <v>1273</v>
      </c>
    </row>
    <row r="7766" spans="1:6" x14ac:dyDescent="0.25">
      <c r="A7766" s="24" t="s">
        <v>7</v>
      </c>
      <c r="B7766" s="24" t="s">
        <v>19436</v>
      </c>
      <c r="C7766" s="25" t="s">
        <v>19437</v>
      </c>
      <c r="D7766" s="25" t="s">
        <v>19438</v>
      </c>
      <c r="E7766" s="26">
        <v>503</v>
      </c>
    </row>
    <row r="7767" spans="1:6" x14ac:dyDescent="0.25">
      <c r="A7767" s="24" t="s">
        <v>7</v>
      </c>
      <c r="B7767" s="24" t="s">
        <v>19439</v>
      </c>
      <c r="C7767" s="25" t="s">
        <v>19440</v>
      </c>
      <c r="D7767" s="25" t="s">
        <v>19441</v>
      </c>
      <c r="E7767" s="26">
        <v>460</v>
      </c>
    </row>
    <row r="7768" spans="1:6" x14ac:dyDescent="0.25">
      <c r="A7768" s="24" t="s">
        <v>7</v>
      </c>
      <c r="B7768" s="24" t="s">
        <v>19442</v>
      </c>
      <c r="C7768" s="25" t="s">
        <v>19443</v>
      </c>
      <c r="D7768" s="25" t="s">
        <v>19444</v>
      </c>
      <c r="E7768" s="26">
        <v>1999</v>
      </c>
    </row>
    <row r="7769" spans="1:6" x14ac:dyDescent="0.25">
      <c r="A7769" s="24" t="s">
        <v>7</v>
      </c>
      <c r="B7769" s="24" t="s">
        <v>19445</v>
      </c>
      <c r="C7769" s="25" t="s">
        <v>19446</v>
      </c>
      <c r="D7769" s="25" t="s">
        <v>19447</v>
      </c>
      <c r="E7769" s="26">
        <v>7190</v>
      </c>
    </row>
    <row r="7770" spans="1:6" x14ac:dyDescent="0.25">
      <c r="A7770" s="24" t="s">
        <v>7</v>
      </c>
      <c r="B7770" s="24" t="s">
        <v>19448</v>
      </c>
      <c r="C7770" s="25" t="s">
        <v>19449</v>
      </c>
      <c r="D7770" s="25" t="s">
        <v>19450</v>
      </c>
      <c r="E7770" s="26">
        <v>9791</v>
      </c>
    </row>
    <row r="7771" spans="1:6" x14ac:dyDescent="0.25">
      <c r="A7771" s="24" t="s">
        <v>7</v>
      </c>
      <c r="B7771" s="24" t="s">
        <v>19451</v>
      </c>
      <c r="C7771" s="25" t="s">
        <v>19452</v>
      </c>
      <c r="D7771" s="25" t="s">
        <v>19453</v>
      </c>
      <c r="E7771" s="26">
        <v>6432</v>
      </c>
    </row>
    <row r="7772" spans="1:6" x14ac:dyDescent="0.25">
      <c r="A7772" s="24" t="s">
        <v>7</v>
      </c>
      <c r="B7772" s="24" t="s">
        <v>19454</v>
      </c>
      <c r="C7772" s="25" t="s">
        <v>19455</v>
      </c>
      <c r="D7772" s="25" t="s">
        <v>19456</v>
      </c>
      <c r="E7772" s="26">
        <v>4778</v>
      </c>
      <c r="F7772" s="24" t="s">
        <v>502</v>
      </c>
    </row>
    <row r="7773" spans="1:6" x14ac:dyDescent="0.25">
      <c r="A7773" s="24" t="s">
        <v>7</v>
      </c>
      <c r="B7773" s="24" t="s">
        <v>19457</v>
      </c>
      <c r="C7773" s="25" t="s">
        <v>19458</v>
      </c>
      <c r="D7773" s="25" t="s">
        <v>19458</v>
      </c>
      <c r="E7773" s="26">
        <v>5450</v>
      </c>
      <c r="F7773" s="24" t="s">
        <v>502</v>
      </c>
    </row>
    <row r="7774" spans="1:6" x14ac:dyDescent="0.25">
      <c r="A7774" s="24" t="s">
        <v>7</v>
      </c>
      <c r="B7774" s="24" t="s">
        <v>19459</v>
      </c>
      <c r="C7774" s="25" t="s">
        <v>19460</v>
      </c>
      <c r="D7774" s="25" t="s">
        <v>19460</v>
      </c>
      <c r="E7774" s="26">
        <v>526</v>
      </c>
    </row>
    <row r="7775" spans="1:6" x14ac:dyDescent="0.25">
      <c r="A7775" s="24" t="s">
        <v>7</v>
      </c>
      <c r="B7775" s="24" t="s">
        <v>19461</v>
      </c>
      <c r="C7775" s="25" t="s">
        <v>19462</v>
      </c>
      <c r="D7775" s="25" t="s">
        <v>19463</v>
      </c>
      <c r="E7775" s="26">
        <v>5881</v>
      </c>
      <c r="F7775" s="24" t="s">
        <v>502</v>
      </c>
    </row>
    <row r="7776" spans="1:6" x14ac:dyDescent="0.25">
      <c r="A7776" s="24" t="s">
        <v>7</v>
      </c>
      <c r="B7776" s="24" t="s">
        <v>19464</v>
      </c>
      <c r="C7776" s="25" t="s">
        <v>19465</v>
      </c>
      <c r="D7776" s="25" t="s">
        <v>19466</v>
      </c>
      <c r="E7776" s="26">
        <v>30350</v>
      </c>
      <c r="F7776" s="24" t="s">
        <v>502</v>
      </c>
    </row>
    <row r="7777" spans="1:6" x14ac:dyDescent="0.25">
      <c r="A7777" s="24" t="s">
        <v>7</v>
      </c>
      <c r="B7777" s="24" t="s">
        <v>19467</v>
      </c>
      <c r="C7777" s="25" t="s">
        <v>19468</v>
      </c>
      <c r="D7777" s="25" t="s">
        <v>19469</v>
      </c>
      <c r="E7777" s="26">
        <v>3958</v>
      </c>
      <c r="F7777" s="24" t="s">
        <v>502</v>
      </c>
    </row>
    <row r="7778" spans="1:6" x14ac:dyDescent="0.25">
      <c r="A7778" s="24" t="s">
        <v>7</v>
      </c>
      <c r="B7778" s="24" t="s">
        <v>19470</v>
      </c>
      <c r="C7778" s="25" t="s">
        <v>19471</v>
      </c>
      <c r="D7778" s="25" t="s">
        <v>19472</v>
      </c>
      <c r="E7778" s="26">
        <v>27910</v>
      </c>
      <c r="F7778" s="24" t="s">
        <v>502</v>
      </c>
    </row>
    <row r="7779" spans="1:6" x14ac:dyDescent="0.25">
      <c r="A7779" s="24" t="s">
        <v>7</v>
      </c>
      <c r="B7779" s="24" t="s">
        <v>19473</v>
      </c>
      <c r="C7779" s="25" t="s">
        <v>19474</v>
      </c>
      <c r="D7779" s="25" t="s">
        <v>19475</v>
      </c>
      <c r="E7779" s="26">
        <v>3958</v>
      </c>
      <c r="F7779" s="24" t="s">
        <v>502</v>
      </c>
    </row>
    <row r="7780" spans="1:6" x14ac:dyDescent="0.25">
      <c r="A7780" s="24" t="s">
        <v>7</v>
      </c>
      <c r="B7780" s="24" t="s">
        <v>19476</v>
      </c>
      <c r="C7780" s="25" t="s">
        <v>19477</v>
      </c>
      <c r="D7780" s="25" t="s">
        <v>19478</v>
      </c>
      <c r="E7780" s="26">
        <v>3958</v>
      </c>
      <c r="F7780" s="24" t="s">
        <v>502</v>
      </c>
    </row>
    <row r="7781" spans="1:6" x14ac:dyDescent="0.25">
      <c r="A7781" s="24" t="s">
        <v>7</v>
      </c>
      <c r="B7781" s="24" t="s">
        <v>19479</v>
      </c>
      <c r="C7781" s="25" t="s">
        <v>19480</v>
      </c>
      <c r="D7781" s="25" t="s">
        <v>19481</v>
      </c>
      <c r="E7781" s="26">
        <v>2172</v>
      </c>
    </row>
    <row r="7782" spans="1:6" x14ac:dyDescent="0.25">
      <c r="A7782" s="24" t="s">
        <v>7</v>
      </c>
      <c r="B7782" s="24" t="s">
        <v>19482</v>
      </c>
      <c r="C7782" s="25" t="s">
        <v>19483</v>
      </c>
      <c r="D7782" s="25" t="s">
        <v>1487</v>
      </c>
      <c r="E7782" s="26">
        <v>1756</v>
      </c>
      <c r="F7782" s="24" t="s">
        <v>502</v>
      </c>
    </row>
    <row r="7783" spans="1:6" x14ac:dyDescent="0.25">
      <c r="A7783" s="24" t="s">
        <v>7</v>
      </c>
      <c r="B7783" s="24" t="s">
        <v>19484</v>
      </c>
      <c r="C7783" s="25" t="s">
        <v>19485</v>
      </c>
      <c r="D7783" s="25" t="s">
        <v>19485</v>
      </c>
      <c r="E7783" s="26">
        <v>2888</v>
      </c>
      <c r="F7783" s="24" t="s">
        <v>502</v>
      </c>
    </row>
    <row r="7784" spans="1:6" x14ac:dyDescent="0.25">
      <c r="A7784" s="24" t="s">
        <v>7</v>
      </c>
      <c r="B7784" s="24" t="s">
        <v>19486</v>
      </c>
      <c r="C7784" s="25" t="s">
        <v>19487</v>
      </c>
      <c r="D7784" s="25" t="s">
        <v>19487</v>
      </c>
      <c r="E7784" s="26">
        <v>3958</v>
      </c>
      <c r="F7784" s="24" t="s">
        <v>502</v>
      </c>
    </row>
    <row r="7785" spans="1:6" x14ac:dyDescent="0.25">
      <c r="A7785" s="24" t="s">
        <v>7</v>
      </c>
      <c r="B7785" s="24" t="s">
        <v>19488</v>
      </c>
      <c r="C7785" s="25" t="s">
        <v>19489</v>
      </c>
      <c r="D7785" s="25" t="s">
        <v>19489</v>
      </c>
      <c r="E7785" s="26">
        <v>3958</v>
      </c>
      <c r="F7785" s="24" t="s">
        <v>502</v>
      </c>
    </row>
    <row r="7786" spans="1:6" x14ac:dyDescent="0.25">
      <c r="A7786" s="24" t="s">
        <v>7</v>
      </c>
      <c r="B7786" s="24" t="s">
        <v>19490</v>
      </c>
      <c r="C7786" s="25" t="s">
        <v>19491</v>
      </c>
      <c r="D7786" s="25" t="s">
        <v>19491</v>
      </c>
      <c r="E7786" s="26">
        <v>3958</v>
      </c>
    </row>
    <row r="7787" spans="1:6" x14ac:dyDescent="0.25">
      <c r="A7787" s="24" t="s">
        <v>7</v>
      </c>
      <c r="B7787" s="24" t="s">
        <v>19492</v>
      </c>
      <c r="C7787" s="25" t="s">
        <v>19493</v>
      </c>
      <c r="D7787" s="25" t="s">
        <v>19494</v>
      </c>
      <c r="E7787" s="26">
        <v>3958</v>
      </c>
      <c r="F7787" s="24" t="s">
        <v>502</v>
      </c>
    </row>
    <row r="7788" spans="1:6" x14ac:dyDescent="0.25">
      <c r="A7788" s="24" t="s">
        <v>7</v>
      </c>
      <c r="B7788" s="24" t="s">
        <v>19495</v>
      </c>
      <c r="C7788" s="25" t="s">
        <v>19496</v>
      </c>
      <c r="D7788" s="25" t="s">
        <v>19497</v>
      </c>
      <c r="E7788" s="26">
        <v>1653</v>
      </c>
      <c r="F7788" s="24" t="s">
        <v>502</v>
      </c>
    </row>
    <row r="7789" spans="1:6" x14ac:dyDescent="0.25">
      <c r="A7789" s="24" t="s">
        <v>7</v>
      </c>
      <c r="B7789" s="24" t="s">
        <v>19498</v>
      </c>
      <c r="C7789" s="25" t="s">
        <v>19499</v>
      </c>
      <c r="D7789" s="25" t="s">
        <v>19500</v>
      </c>
      <c r="E7789" s="26">
        <v>2719</v>
      </c>
      <c r="F7789" s="24" t="s">
        <v>502</v>
      </c>
    </row>
    <row r="7790" spans="1:6" x14ac:dyDescent="0.25">
      <c r="A7790" s="24" t="s">
        <v>7</v>
      </c>
      <c r="B7790" s="24" t="s">
        <v>19501</v>
      </c>
      <c r="C7790" s="25" t="s">
        <v>19502</v>
      </c>
      <c r="D7790" s="25" t="s">
        <v>19502</v>
      </c>
      <c r="E7790" s="26">
        <v>4723</v>
      </c>
      <c r="F7790" s="24" t="s">
        <v>502</v>
      </c>
    </row>
    <row r="7791" spans="1:6" x14ac:dyDescent="0.25">
      <c r="A7791" s="24" t="s">
        <v>7</v>
      </c>
      <c r="B7791" s="24" t="s">
        <v>19503</v>
      </c>
      <c r="C7791" s="25" t="s">
        <v>19504</v>
      </c>
      <c r="D7791" s="25" t="s">
        <v>19504</v>
      </c>
      <c r="E7791" s="26">
        <v>3958</v>
      </c>
      <c r="F7791" s="24" t="s">
        <v>502</v>
      </c>
    </row>
    <row r="7792" spans="1:6" x14ac:dyDescent="0.25">
      <c r="A7792" s="24" t="s">
        <v>7</v>
      </c>
      <c r="B7792" s="24" t="s">
        <v>19505</v>
      </c>
      <c r="C7792" s="25" t="s">
        <v>19506</v>
      </c>
      <c r="D7792" s="25" t="s">
        <v>19506</v>
      </c>
      <c r="E7792" s="26">
        <v>3958</v>
      </c>
      <c r="F7792" s="24" t="s">
        <v>502</v>
      </c>
    </row>
    <row r="7793" spans="1:6" x14ac:dyDescent="0.25">
      <c r="A7793" s="24" t="s">
        <v>7</v>
      </c>
      <c r="B7793" s="24" t="s">
        <v>19507</v>
      </c>
      <c r="C7793" s="25" t="s">
        <v>19508</v>
      </c>
      <c r="D7793" s="25" t="s">
        <v>19508</v>
      </c>
      <c r="E7793" s="26">
        <v>3958</v>
      </c>
      <c r="F7793" s="24" t="s">
        <v>502</v>
      </c>
    </row>
    <row r="7794" spans="1:6" x14ac:dyDescent="0.25">
      <c r="A7794" s="24" t="s">
        <v>7</v>
      </c>
      <c r="B7794" s="24" t="s">
        <v>19509</v>
      </c>
      <c r="C7794" s="25" t="s">
        <v>19510</v>
      </c>
      <c r="D7794" s="25" t="s">
        <v>19511</v>
      </c>
      <c r="E7794" s="26">
        <v>3958</v>
      </c>
      <c r="F7794" s="24" t="s">
        <v>502</v>
      </c>
    </row>
    <row r="7795" spans="1:6" x14ac:dyDescent="0.25">
      <c r="A7795" s="24" t="s">
        <v>7</v>
      </c>
      <c r="B7795" s="24" t="s">
        <v>19512</v>
      </c>
      <c r="C7795" s="25" t="s">
        <v>19513</v>
      </c>
      <c r="D7795" s="25" t="s">
        <v>19513</v>
      </c>
      <c r="E7795" s="26">
        <v>3199</v>
      </c>
    </row>
    <row r="7796" spans="1:6" x14ac:dyDescent="0.25">
      <c r="A7796" s="24" t="s">
        <v>7</v>
      </c>
      <c r="B7796" s="24" t="s">
        <v>19514</v>
      </c>
      <c r="C7796" s="25" t="s">
        <v>19515</v>
      </c>
      <c r="D7796" s="25" t="s">
        <v>19515</v>
      </c>
      <c r="E7796" s="26">
        <v>1474</v>
      </c>
      <c r="F7796" s="24" t="s">
        <v>502</v>
      </c>
    </row>
    <row r="7797" spans="1:6" x14ac:dyDescent="0.25">
      <c r="A7797" s="24" t="s">
        <v>7</v>
      </c>
      <c r="B7797" s="24" t="s">
        <v>19516</v>
      </c>
      <c r="C7797" s="25" t="s">
        <v>19517</v>
      </c>
      <c r="D7797" s="25" t="s">
        <v>19518</v>
      </c>
      <c r="E7797" s="26">
        <v>644</v>
      </c>
    </row>
    <row r="7798" spans="1:6" x14ac:dyDescent="0.25">
      <c r="A7798" s="24" t="s">
        <v>7</v>
      </c>
      <c r="B7798" s="24" t="s">
        <v>19519</v>
      </c>
      <c r="C7798" s="25" t="s">
        <v>19520</v>
      </c>
      <c r="D7798" s="25" t="s">
        <v>19521</v>
      </c>
      <c r="E7798" s="26">
        <v>1077</v>
      </c>
      <c r="F7798" s="24" t="s">
        <v>502</v>
      </c>
    </row>
    <row r="7799" spans="1:6" x14ac:dyDescent="0.25">
      <c r="A7799" s="24" t="s">
        <v>7</v>
      </c>
      <c r="B7799" s="24" t="s">
        <v>19522</v>
      </c>
      <c r="C7799" s="25" t="s">
        <v>19523</v>
      </c>
      <c r="D7799" s="25" t="s">
        <v>19524</v>
      </c>
      <c r="E7799" s="26">
        <v>3958</v>
      </c>
    </row>
    <row r="7800" spans="1:6" x14ac:dyDescent="0.25">
      <c r="A7800" s="24" t="s">
        <v>7</v>
      </c>
      <c r="B7800" s="24" t="s">
        <v>19525</v>
      </c>
      <c r="C7800" s="25" t="s">
        <v>19526</v>
      </c>
      <c r="D7800" s="25" t="s">
        <v>19527</v>
      </c>
      <c r="E7800" s="26">
        <v>1417</v>
      </c>
      <c r="F7800" s="24" t="s">
        <v>502</v>
      </c>
    </row>
    <row r="7801" spans="1:6" x14ac:dyDescent="0.25">
      <c r="A7801" s="24" t="s">
        <v>7</v>
      </c>
      <c r="B7801" s="24" t="s">
        <v>19528</v>
      </c>
      <c r="C7801" s="25" t="s">
        <v>19529</v>
      </c>
      <c r="D7801" s="25" t="s">
        <v>19529</v>
      </c>
      <c r="E7801" s="26">
        <v>3958</v>
      </c>
      <c r="F7801" s="24" t="s">
        <v>502</v>
      </c>
    </row>
    <row r="7802" spans="1:6" x14ac:dyDescent="0.25">
      <c r="A7802" s="24" t="s">
        <v>7</v>
      </c>
      <c r="B7802" s="24" t="s">
        <v>19530</v>
      </c>
      <c r="C7802" s="25" t="s">
        <v>19531</v>
      </c>
      <c r="D7802" s="25" t="s">
        <v>19532</v>
      </c>
      <c r="E7802" s="26">
        <v>2976</v>
      </c>
    </row>
    <row r="7803" spans="1:6" x14ac:dyDescent="0.25">
      <c r="A7803" s="24" t="s">
        <v>7</v>
      </c>
      <c r="B7803" s="24" t="s">
        <v>19533</v>
      </c>
      <c r="C7803" s="25" t="s">
        <v>19534</v>
      </c>
      <c r="D7803" s="25" t="s">
        <v>19535</v>
      </c>
      <c r="E7803" s="26">
        <v>3958</v>
      </c>
      <c r="F7803" s="24" t="s">
        <v>502</v>
      </c>
    </row>
    <row r="7804" spans="1:6" x14ac:dyDescent="0.25">
      <c r="A7804" s="24" t="s">
        <v>7</v>
      </c>
      <c r="B7804" s="24" t="s">
        <v>19536</v>
      </c>
      <c r="C7804" s="25" t="s">
        <v>19537</v>
      </c>
      <c r="D7804" s="25" t="s">
        <v>19537</v>
      </c>
      <c r="E7804" s="26">
        <v>3958</v>
      </c>
      <c r="F7804" s="24" t="s">
        <v>502</v>
      </c>
    </row>
    <row r="7805" spans="1:6" x14ac:dyDescent="0.25">
      <c r="A7805" s="24" t="s">
        <v>7</v>
      </c>
      <c r="B7805" s="24" t="s">
        <v>19538</v>
      </c>
      <c r="C7805" s="25" t="s">
        <v>19539</v>
      </c>
      <c r="D7805" s="25" t="s">
        <v>19539</v>
      </c>
      <c r="E7805" s="26">
        <v>1320</v>
      </c>
    </row>
    <row r="7806" spans="1:6" x14ac:dyDescent="0.25">
      <c r="A7806" s="24" t="s">
        <v>7</v>
      </c>
      <c r="B7806" s="24" t="s">
        <v>19540</v>
      </c>
      <c r="C7806" s="25" t="s">
        <v>19541</v>
      </c>
      <c r="D7806" s="25" t="s">
        <v>19542</v>
      </c>
      <c r="E7806" s="26">
        <v>3958</v>
      </c>
      <c r="F7806" s="24" t="s">
        <v>502</v>
      </c>
    </row>
    <row r="7807" spans="1:6" x14ac:dyDescent="0.25">
      <c r="A7807" s="24" t="s">
        <v>7</v>
      </c>
      <c r="B7807" s="24" t="s">
        <v>19543</v>
      </c>
      <c r="C7807" s="25" t="s">
        <v>19544</v>
      </c>
      <c r="D7807" s="25" t="s">
        <v>19544</v>
      </c>
      <c r="E7807" s="26">
        <v>1381</v>
      </c>
      <c r="F7807" s="24" t="s">
        <v>502</v>
      </c>
    </row>
    <row r="7808" spans="1:6" x14ac:dyDescent="0.25">
      <c r="A7808" s="24" t="s">
        <v>7</v>
      </c>
      <c r="B7808" s="24" t="s">
        <v>19545</v>
      </c>
      <c r="C7808" s="25" t="s">
        <v>19546</v>
      </c>
      <c r="D7808" s="25" t="s">
        <v>19547</v>
      </c>
      <c r="E7808" s="26">
        <v>4798</v>
      </c>
    </row>
    <row r="7809" spans="1:6" x14ac:dyDescent="0.25">
      <c r="A7809" s="24" t="s">
        <v>7</v>
      </c>
      <c r="B7809" s="24" t="s">
        <v>19548</v>
      </c>
      <c r="C7809" s="25" t="s">
        <v>19549</v>
      </c>
      <c r="D7809" s="25" t="s">
        <v>19550</v>
      </c>
      <c r="E7809" s="26">
        <v>2665</v>
      </c>
    </row>
    <row r="7810" spans="1:6" x14ac:dyDescent="0.25">
      <c r="A7810" s="24" t="s">
        <v>7</v>
      </c>
      <c r="B7810" s="24" t="s">
        <v>19551</v>
      </c>
      <c r="C7810" s="25" t="s">
        <v>19552</v>
      </c>
      <c r="D7810" s="25" t="s">
        <v>19553</v>
      </c>
      <c r="E7810" s="26">
        <v>5297</v>
      </c>
    </row>
    <row r="7811" spans="1:6" x14ac:dyDescent="0.25">
      <c r="A7811" s="24" t="s">
        <v>7</v>
      </c>
      <c r="B7811" s="24" t="s">
        <v>19554</v>
      </c>
      <c r="C7811" s="25" t="s">
        <v>19555</v>
      </c>
      <c r="D7811" s="25" t="s">
        <v>19556</v>
      </c>
      <c r="E7811" s="26">
        <v>18251</v>
      </c>
      <c r="F7811" s="24" t="s">
        <v>502</v>
      </c>
    </row>
    <row r="7812" spans="1:6" x14ac:dyDescent="0.25">
      <c r="A7812" s="24" t="s">
        <v>7</v>
      </c>
      <c r="B7812" s="24" t="s">
        <v>19557</v>
      </c>
      <c r="C7812" s="25" t="s">
        <v>19558</v>
      </c>
      <c r="D7812" s="25" t="s">
        <v>19559</v>
      </c>
      <c r="E7812" s="26">
        <v>7442</v>
      </c>
    </row>
    <row r="7813" spans="1:6" x14ac:dyDescent="0.25">
      <c r="A7813" s="24" t="s">
        <v>7</v>
      </c>
      <c r="B7813" s="24" t="s">
        <v>19560</v>
      </c>
      <c r="C7813" s="25" t="s">
        <v>19561</v>
      </c>
      <c r="D7813" s="25" t="s">
        <v>19562</v>
      </c>
      <c r="E7813" s="26">
        <v>3958</v>
      </c>
      <c r="F7813" s="24" t="s">
        <v>502</v>
      </c>
    </row>
    <row r="7814" spans="1:6" x14ac:dyDescent="0.25">
      <c r="A7814" s="24" t="s">
        <v>7</v>
      </c>
      <c r="B7814" s="24" t="s">
        <v>19563</v>
      </c>
      <c r="C7814" s="25" t="s">
        <v>19564</v>
      </c>
      <c r="D7814" s="25" t="s">
        <v>19565</v>
      </c>
      <c r="E7814" s="26">
        <v>3958</v>
      </c>
    </row>
    <row r="7815" spans="1:6" x14ac:dyDescent="0.25">
      <c r="A7815" s="24" t="s">
        <v>7</v>
      </c>
      <c r="B7815" s="24" t="s">
        <v>19566</v>
      </c>
      <c r="C7815" s="25" t="s">
        <v>19567</v>
      </c>
      <c r="D7815" s="25" t="s">
        <v>19568</v>
      </c>
      <c r="E7815" s="26">
        <v>1367</v>
      </c>
    </row>
    <row r="7816" spans="1:6" x14ac:dyDescent="0.25">
      <c r="A7816" s="24" t="s">
        <v>7</v>
      </c>
      <c r="B7816" s="24" t="s">
        <v>19569</v>
      </c>
      <c r="C7816" s="25" t="s">
        <v>19570</v>
      </c>
      <c r="D7816" s="25" t="s">
        <v>19570</v>
      </c>
      <c r="E7816" s="26">
        <v>3958</v>
      </c>
      <c r="F7816" s="24" t="s">
        <v>502</v>
      </c>
    </row>
    <row r="7817" spans="1:6" x14ac:dyDescent="0.25">
      <c r="A7817" s="24" t="s">
        <v>7</v>
      </c>
      <c r="B7817" s="24" t="s">
        <v>19571</v>
      </c>
      <c r="C7817" s="25" t="s">
        <v>19572</v>
      </c>
      <c r="D7817" s="25" t="s">
        <v>19573</v>
      </c>
      <c r="E7817" s="26">
        <v>1996</v>
      </c>
      <c r="F7817" s="24" t="s">
        <v>502</v>
      </c>
    </row>
    <row r="7818" spans="1:6" x14ac:dyDescent="0.25">
      <c r="A7818" s="24" t="s">
        <v>7</v>
      </c>
      <c r="B7818" s="24" t="s">
        <v>19574</v>
      </c>
      <c r="C7818" s="25" t="s">
        <v>19575</v>
      </c>
      <c r="D7818" s="25" t="s">
        <v>19576</v>
      </c>
      <c r="E7818" s="26">
        <v>11759</v>
      </c>
      <c r="F7818" s="24" t="s">
        <v>502</v>
      </c>
    </row>
    <row r="7819" spans="1:6" x14ac:dyDescent="0.25">
      <c r="A7819" s="24" t="s">
        <v>7</v>
      </c>
      <c r="B7819" s="24" t="s">
        <v>19577</v>
      </c>
      <c r="C7819" s="25" t="s">
        <v>19578</v>
      </c>
      <c r="D7819" s="25" t="s">
        <v>19576</v>
      </c>
      <c r="E7819" s="26">
        <v>18969</v>
      </c>
      <c r="F7819" s="24" t="s">
        <v>502</v>
      </c>
    </row>
    <row r="7820" spans="1:6" x14ac:dyDescent="0.25">
      <c r="A7820" s="24" t="s">
        <v>7</v>
      </c>
      <c r="B7820" s="24" t="s">
        <v>19579</v>
      </c>
      <c r="C7820" s="25" t="s">
        <v>19580</v>
      </c>
      <c r="D7820" s="25" t="s">
        <v>19580</v>
      </c>
      <c r="E7820" s="26">
        <v>4741</v>
      </c>
    </row>
    <row r="7821" spans="1:6" x14ac:dyDescent="0.25">
      <c r="A7821" s="24" t="s">
        <v>7</v>
      </c>
      <c r="B7821" s="24" t="s">
        <v>19581</v>
      </c>
      <c r="C7821" s="25" t="s">
        <v>19582</v>
      </c>
      <c r="D7821" s="25" t="s">
        <v>19582</v>
      </c>
      <c r="E7821" s="26">
        <v>7457</v>
      </c>
      <c r="F7821" s="24" t="s">
        <v>502</v>
      </c>
    </row>
    <row r="7822" spans="1:6" x14ac:dyDescent="0.25">
      <c r="A7822" s="24" t="s">
        <v>7</v>
      </c>
      <c r="B7822" s="24" t="s">
        <v>19583</v>
      </c>
      <c r="C7822" s="25" t="s">
        <v>19584</v>
      </c>
      <c r="D7822" s="25" t="s">
        <v>19585</v>
      </c>
      <c r="E7822" s="26">
        <v>7212</v>
      </c>
    </row>
    <row r="7823" spans="1:6" x14ac:dyDescent="0.25">
      <c r="A7823" s="24" t="s">
        <v>7</v>
      </c>
      <c r="B7823" s="24" t="s">
        <v>19586</v>
      </c>
      <c r="C7823" s="25" t="s">
        <v>19587</v>
      </c>
      <c r="D7823" s="25" t="s">
        <v>19588</v>
      </c>
      <c r="E7823" s="26">
        <v>18850</v>
      </c>
      <c r="F7823" s="24" t="s">
        <v>502</v>
      </c>
    </row>
    <row r="7824" spans="1:6" x14ac:dyDescent="0.25">
      <c r="A7824" s="24" t="s">
        <v>7</v>
      </c>
      <c r="B7824" s="24" t="s">
        <v>19589</v>
      </c>
      <c r="C7824" s="25" t="s">
        <v>19590</v>
      </c>
      <c r="D7824" s="25" t="s">
        <v>19590</v>
      </c>
      <c r="E7824" s="26">
        <v>4741</v>
      </c>
    </row>
    <row r="7825" spans="1:6" x14ac:dyDescent="0.25">
      <c r="A7825" s="24" t="s">
        <v>7</v>
      </c>
      <c r="B7825" s="24" t="s">
        <v>19591</v>
      </c>
      <c r="C7825" s="25" t="s">
        <v>19592</v>
      </c>
      <c r="D7825" s="25" t="s">
        <v>19592</v>
      </c>
      <c r="E7825" s="26">
        <v>5856</v>
      </c>
      <c r="F7825" s="24" t="s">
        <v>502</v>
      </c>
    </row>
    <row r="7826" spans="1:6" x14ac:dyDescent="0.25">
      <c r="A7826" s="24" t="s">
        <v>7</v>
      </c>
      <c r="B7826" s="24" t="s">
        <v>19593</v>
      </c>
      <c r="C7826" s="25" t="s">
        <v>19594</v>
      </c>
      <c r="D7826" s="25" t="s">
        <v>19595</v>
      </c>
      <c r="E7826" s="26">
        <v>2978</v>
      </c>
    </row>
    <row r="7827" spans="1:6" x14ac:dyDescent="0.25">
      <c r="A7827" s="24" t="s">
        <v>7</v>
      </c>
      <c r="B7827" s="24" t="s">
        <v>19596</v>
      </c>
      <c r="C7827" s="25" t="s">
        <v>19597</v>
      </c>
      <c r="D7827" s="25" t="s">
        <v>19598</v>
      </c>
      <c r="E7827" s="26">
        <v>3958</v>
      </c>
      <c r="F7827" s="24" t="s">
        <v>502</v>
      </c>
    </row>
    <row r="7828" spans="1:6" x14ac:dyDescent="0.25">
      <c r="A7828" s="24" t="s">
        <v>7</v>
      </c>
      <c r="B7828" s="24" t="s">
        <v>19599</v>
      </c>
      <c r="C7828" s="25" t="s">
        <v>19600</v>
      </c>
      <c r="D7828" s="25" t="s">
        <v>19601</v>
      </c>
      <c r="E7828" s="26">
        <v>3958</v>
      </c>
      <c r="F7828" s="24" t="s">
        <v>502</v>
      </c>
    </row>
    <row r="7829" spans="1:6" x14ac:dyDescent="0.25">
      <c r="A7829" s="24" t="s">
        <v>7</v>
      </c>
      <c r="B7829" s="24" t="s">
        <v>19602</v>
      </c>
      <c r="C7829" s="25" t="s">
        <v>19603</v>
      </c>
      <c r="D7829" s="25" t="s">
        <v>19604</v>
      </c>
      <c r="E7829" s="26">
        <v>1726</v>
      </c>
      <c r="F7829" s="24" t="s">
        <v>502</v>
      </c>
    </row>
    <row r="7830" spans="1:6" x14ac:dyDescent="0.25">
      <c r="A7830" s="24" t="s">
        <v>7</v>
      </c>
      <c r="B7830" s="24" t="s">
        <v>19605</v>
      </c>
      <c r="C7830" s="25" t="s">
        <v>19606</v>
      </c>
      <c r="D7830" s="25" t="s">
        <v>19607</v>
      </c>
      <c r="E7830" s="26">
        <v>3958</v>
      </c>
      <c r="F7830" s="24" t="s">
        <v>502</v>
      </c>
    </row>
    <row r="7831" spans="1:6" x14ac:dyDescent="0.25">
      <c r="A7831" s="24" t="s">
        <v>7</v>
      </c>
      <c r="B7831" s="24" t="s">
        <v>19608</v>
      </c>
      <c r="C7831" s="25" t="s">
        <v>19609</v>
      </c>
      <c r="D7831" s="25" t="s">
        <v>19610</v>
      </c>
      <c r="E7831" s="26">
        <v>7191</v>
      </c>
    </row>
    <row r="7832" spans="1:6" x14ac:dyDescent="0.25">
      <c r="A7832" s="24" t="s">
        <v>7</v>
      </c>
      <c r="B7832" s="24" t="s">
        <v>19611</v>
      </c>
      <c r="C7832" s="25" t="s">
        <v>19612</v>
      </c>
      <c r="D7832" s="25" t="s">
        <v>19613</v>
      </c>
      <c r="E7832" s="26">
        <v>13203</v>
      </c>
    </row>
    <row r="7833" spans="1:6" x14ac:dyDescent="0.25">
      <c r="A7833" s="24" t="s">
        <v>7</v>
      </c>
      <c r="B7833" s="24" t="s">
        <v>19614</v>
      </c>
      <c r="C7833" s="25" t="s">
        <v>19615</v>
      </c>
      <c r="D7833" s="25" t="s">
        <v>19616</v>
      </c>
      <c r="E7833" s="26">
        <v>12627</v>
      </c>
      <c r="F7833" s="24" t="s">
        <v>502</v>
      </c>
    </row>
    <row r="7834" spans="1:6" x14ac:dyDescent="0.25">
      <c r="A7834" s="24" t="s">
        <v>7</v>
      </c>
      <c r="B7834" s="24" t="s">
        <v>19617</v>
      </c>
      <c r="C7834" s="25" t="s">
        <v>19618</v>
      </c>
      <c r="D7834" s="25" t="s">
        <v>19619</v>
      </c>
      <c r="E7834" s="26">
        <v>9419</v>
      </c>
      <c r="F7834" s="24" t="s">
        <v>502</v>
      </c>
    </row>
    <row r="7835" spans="1:6" x14ac:dyDescent="0.25">
      <c r="A7835" s="24" t="s">
        <v>7</v>
      </c>
      <c r="B7835" s="24" t="s">
        <v>19620</v>
      </c>
      <c r="C7835" s="25" t="s">
        <v>19621</v>
      </c>
      <c r="D7835" s="25" t="s">
        <v>19621</v>
      </c>
      <c r="E7835" s="26">
        <v>22663</v>
      </c>
      <c r="F7835" s="24" t="s">
        <v>502</v>
      </c>
    </row>
    <row r="7836" spans="1:6" x14ac:dyDescent="0.25">
      <c r="A7836" s="24" t="s">
        <v>7</v>
      </c>
      <c r="B7836" s="24" t="s">
        <v>19622</v>
      </c>
      <c r="C7836" s="25" t="s">
        <v>19623</v>
      </c>
      <c r="D7836" s="25" t="s">
        <v>19623</v>
      </c>
      <c r="E7836" s="26">
        <v>1500</v>
      </c>
      <c r="F7836" s="24" t="s">
        <v>502</v>
      </c>
    </row>
    <row r="7837" spans="1:6" x14ac:dyDescent="0.25">
      <c r="A7837" s="24" t="s">
        <v>7</v>
      </c>
      <c r="B7837" s="24" t="s">
        <v>19624</v>
      </c>
      <c r="C7837" s="25" t="s">
        <v>19625</v>
      </c>
      <c r="D7837" s="25" t="s">
        <v>19626</v>
      </c>
      <c r="E7837" s="26">
        <v>9419</v>
      </c>
      <c r="F7837" s="24" t="s">
        <v>502</v>
      </c>
    </row>
    <row r="7838" spans="1:6" x14ac:dyDescent="0.25">
      <c r="A7838" s="24" t="s">
        <v>7</v>
      </c>
      <c r="B7838" s="24" t="s">
        <v>19627</v>
      </c>
      <c r="C7838" s="25" t="s">
        <v>19628</v>
      </c>
      <c r="D7838" s="25" t="s">
        <v>19629</v>
      </c>
      <c r="E7838" s="26">
        <v>12315</v>
      </c>
      <c r="F7838" s="24" t="s">
        <v>502</v>
      </c>
    </row>
    <row r="7839" spans="1:6" x14ac:dyDescent="0.25">
      <c r="A7839" s="24" t="s">
        <v>7</v>
      </c>
      <c r="B7839" s="24" t="s">
        <v>19630</v>
      </c>
      <c r="C7839" s="25" t="s">
        <v>19631</v>
      </c>
      <c r="D7839" s="25" t="s">
        <v>19631</v>
      </c>
      <c r="E7839" s="26">
        <v>3958</v>
      </c>
      <c r="F7839" s="24" t="s">
        <v>502</v>
      </c>
    </row>
    <row r="7840" spans="1:6" x14ac:dyDescent="0.25">
      <c r="A7840" s="24" t="s">
        <v>7</v>
      </c>
      <c r="B7840" s="24" t="s">
        <v>19632</v>
      </c>
      <c r="C7840" s="25" t="s">
        <v>19631</v>
      </c>
      <c r="D7840" s="25" t="s">
        <v>19631</v>
      </c>
      <c r="E7840" s="26">
        <v>3958</v>
      </c>
      <c r="F7840" s="24" t="s">
        <v>502</v>
      </c>
    </row>
    <row r="7841" spans="1:6" x14ac:dyDescent="0.25">
      <c r="A7841" s="24" t="s">
        <v>7</v>
      </c>
      <c r="B7841" s="24" t="s">
        <v>19633</v>
      </c>
      <c r="C7841" s="25" t="s">
        <v>19634</v>
      </c>
      <c r="D7841" s="25" t="s">
        <v>19635</v>
      </c>
      <c r="E7841" s="26">
        <v>3958</v>
      </c>
      <c r="F7841" s="24" t="s">
        <v>502</v>
      </c>
    </row>
    <row r="7842" spans="1:6" x14ac:dyDescent="0.25">
      <c r="A7842" s="24" t="s">
        <v>7</v>
      </c>
      <c r="B7842" s="24" t="s">
        <v>19636</v>
      </c>
      <c r="C7842" s="25" t="s">
        <v>19637</v>
      </c>
      <c r="D7842" s="25" t="s">
        <v>19638</v>
      </c>
      <c r="E7842" s="26">
        <v>19793</v>
      </c>
      <c r="F7842" s="24" t="s">
        <v>502</v>
      </c>
    </row>
    <row r="7843" spans="1:6" x14ac:dyDescent="0.25">
      <c r="A7843" s="24" t="s">
        <v>7</v>
      </c>
      <c r="B7843" s="24" t="s">
        <v>19639</v>
      </c>
      <c r="C7843" s="25" t="s">
        <v>19640</v>
      </c>
      <c r="D7843" s="25" t="s">
        <v>19641</v>
      </c>
      <c r="E7843" s="26">
        <v>3958</v>
      </c>
      <c r="F7843" s="24" t="s">
        <v>502</v>
      </c>
    </row>
    <row r="7844" spans="1:6" x14ac:dyDescent="0.25">
      <c r="A7844" s="24" t="s">
        <v>7</v>
      </c>
      <c r="B7844" s="24" t="s">
        <v>19642</v>
      </c>
      <c r="C7844" s="25" t="s">
        <v>19643</v>
      </c>
      <c r="D7844" s="25" t="s">
        <v>19641</v>
      </c>
      <c r="E7844" s="26">
        <v>3958</v>
      </c>
      <c r="F7844" s="24" t="s">
        <v>502</v>
      </c>
    </row>
    <row r="7845" spans="1:6" x14ac:dyDescent="0.25">
      <c r="A7845" s="24" t="s">
        <v>7</v>
      </c>
      <c r="B7845" s="24" t="s">
        <v>19644</v>
      </c>
      <c r="C7845" s="25" t="s">
        <v>19645</v>
      </c>
      <c r="D7845" s="25" t="s">
        <v>19646</v>
      </c>
      <c r="E7845" s="26">
        <v>8601</v>
      </c>
    </row>
    <row r="7846" spans="1:6" x14ac:dyDescent="0.25">
      <c r="A7846" s="24" t="s">
        <v>7</v>
      </c>
      <c r="B7846" s="24" t="s">
        <v>19647</v>
      </c>
      <c r="C7846" s="25" t="s">
        <v>19648</v>
      </c>
      <c r="D7846" s="25" t="s">
        <v>19649</v>
      </c>
      <c r="E7846" s="26">
        <v>1062</v>
      </c>
    </row>
    <row r="7847" spans="1:6" x14ac:dyDescent="0.25">
      <c r="A7847" s="24" t="s">
        <v>7</v>
      </c>
      <c r="B7847" s="24" t="s">
        <v>19650</v>
      </c>
      <c r="C7847" s="25" t="s">
        <v>19651</v>
      </c>
      <c r="D7847" s="25" t="s">
        <v>19652</v>
      </c>
      <c r="E7847" s="26">
        <v>3958</v>
      </c>
      <c r="F7847" s="24" t="s">
        <v>502</v>
      </c>
    </row>
    <row r="7848" spans="1:6" x14ac:dyDescent="0.25">
      <c r="A7848" s="24" t="s">
        <v>7</v>
      </c>
      <c r="B7848" s="24" t="s">
        <v>19653</v>
      </c>
      <c r="C7848" s="25" t="s">
        <v>19654</v>
      </c>
      <c r="D7848" s="25" t="s">
        <v>19655</v>
      </c>
      <c r="E7848" s="26">
        <v>3958</v>
      </c>
      <c r="F7848" s="24" t="s">
        <v>502</v>
      </c>
    </row>
    <row r="7849" spans="1:6" x14ac:dyDescent="0.25">
      <c r="A7849" s="24" t="s">
        <v>7</v>
      </c>
      <c r="B7849" s="24" t="s">
        <v>19656</v>
      </c>
      <c r="C7849" s="25" t="s">
        <v>19657</v>
      </c>
      <c r="D7849" s="25" t="s">
        <v>19655</v>
      </c>
      <c r="E7849" s="26">
        <v>3958</v>
      </c>
      <c r="F7849" s="24" t="s">
        <v>502</v>
      </c>
    </row>
    <row r="7850" spans="1:6" x14ac:dyDescent="0.25">
      <c r="A7850" s="24" t="s">
        <v>7</v>
      </c>
      <c r="B7850" s="24" t="s">
        <v>19658</v>
      </c>
      <c r="C7850" s="25" t="s">
        <v>19659</v>
      </c>
      <c r="D7850" s="25" t="s">
        <v>19655</v>
      </c>
      <c r="E7850" s="26">
        <v>13813</v>
      </c>
    </row>
    <row r="7851" spans="1:6" x14ac:dyDescent="0.25">
      <c r="A7851" s="24" t="s">
        <v>7</v>
      </c>
      <c r="B7851" s="24" t="s">
        <v>19660</v>
      </c>
      <c r="C7851" s="25" t="s">
        <v>19661</v>
      </c>
      <c r="D7851" s="25" t="s">
        <v>19661</v>
      </c>
      <c r="E7851" s="26">
        <v>3958</v>
      </c>
      <c r="F7851" s="24" t="s">
        <v>502</v>
      </c>
    </row>
    <row r="7852" spans="1:6" x14ac:dyDescent="0.25">
      <c r="A7852" s="24" t="s">
        <v>7</v>
      </c>
      <c r="B7852" s="24" t="s">
        <v>19662</v>
      </c>
      <c r="C7852" s="25" t="s">
        <v>19663</v>
      </c>
      <c r="D7852" s="25" t="s">
        <v>19663</v>
      </c>
      <c r="E7852" s="26">
        <v>3958</v>
      </c>
      <c r="F7852" s="24" t="s">
        <v>502</v>
      </c>
    </row>
    <row r="7853" spans="1:6" x14ac:dyDescent="0.25">
      <c r="A7853" s="24" t="s">
        <v>7</v>
      </c>
      <c r="B7853" s="24" t="s">
        <v>19664</v>
      </c>
      <c r="C7853" s="25" t="s">
        <v>19665</v>
      </c>
      <c r="D7853" s="25" t="s">
        <v>19665</v>
      </c>
      <c r="E7853" s="26">
        <v>3958</v>
      </c>
    </row>
    <row r="7854" spans="1:6" x14ac:dyDescent="0.25">
      <c r="A7854" s="24" t="s">
        <v>7</v>
      </c>
      <c r="B7854" s="24" t="s">
        <v>19666</v>
      </c>
      <c r="C7854" s="25" t="s">
        <v>19667</v>
      </c>
      <c r="D7854" s="25" t="s">
        <v>19668</v>
      </c>
      <c r="E7854" s="26">
        <v>3680</v>
      </c>
      <c r="F7854" s="24" t="s">
        <v>502</v>
      </c>
    </row>
    <row r="7855" spans="1:6" x14ac:dyDescent="0.25">
      <c r="A7855" s="24" t="s">
        <v>7</v>
      </c>
      <c r="B7855" s="24" t="s">
        <v>19669</v>
      </c>
      <c r="C7855" s="25" t="s">
        <v>19670</v>
      </c>
      <c r="D7855" s="25" t="s">
        <v>19671</v>
      </c>
      <c r="E7855" s="26">
        <v>1919</v>
      </c>
    </row>
    <row r="7856" spans="1:6" x14ac:dyDescent="0.25">
      <c r="A7856" s="24" t="s">
        <v>7</v>
      </c>
      <c r="B7856" s="24" t="s">
        <v>19672</v>
      </c>
      <c r="C7856" s="25" t="s">
        <v>19673</v>
      </c>
      <c r="D7856" s="25" t="s">
        <v>19674</v>
      </c>
      <c r="E7856" s="26">
        <v>2317</v>
      </c>
    </row>
    <row r="7857" spans="1:6" x14ac:dyDescent="0.25">
      <c r="A7857" s="24" t="s">
        <v>7</v>
      </c>
      <c r="B7857" s="24" t="s">
        <v>19675</v>
      </c>
      <c r="C7857" s="25" t="s">
        <v>19676</v>
      </c>
      <c r="D7857" s="25" t="s">
        <v>19677</v>
      </c>
      <c r="E7857" s="26">
        <v>1109</v>
      </c>
    </row>
    <row r="7858" spans="1:6" x14ac:dyDescent="0.25">
      <c r="A7858" s="24" t="s">
        <v>7</v>
      </c>
      <c r="B7858" s="24" t="s">
        <v>19678</v>
      </c>
      <c r="C7858" s="25" t="s">
        <v>19679</v>
      </c>
      <c r="D7858" s="25" t="s">
        <v>19680</v>
      </c>
      <c r="E7858" s="26">
        <v>1226</v>
      </c>
    </row>
    <row r="7859" spans="1:6" x14ac:dyDescent="0.25">
      <c r="A7859" s="24" t="s">
        <v>7</v>
      </c>
      <c r="B7859" s="24" t="s">
        <v>19681</v>
      </c>
      <c r="C7859" s="25" t="s">
        <v>19682</v>
      </c>
      <c r="D7859" s="25" t="s">
        <v>19683</v>
      </c>
      <c r="E7859" s="26">
        <v>753</v>
      </c>
    </row>
    <row r="7860" spans="1:6" x14ac:dyDescent="0.25">
      <c r="A7860" s="24" t="s">
        <v>7</v>
      </c>
      <c r="B7860" s="24" t="s">
        <v>19684</v>
      </c>
      <c r="C7860" s="25" t="s">
        <v>19685</v>
      </c>
      <c r="D7860" s="25" t="s">
        <v>19686</v>
      </c>
      <c r="E7860" s="26">
        <v>637</v>
      </c>
    </row>
    <row r="7861" spans="1:6" x14ac:dyDescent="0.25">
      <c r="A7861" s="24" t="s">
        <v>7</v>
      </c>
      <c r="B7861" s="24" t="s">
        <v>19687</v>
      </c>
      <c r="C7861" s="25" t="s">
        <v>19688</v>
      </c>
      <c r="D7861" s="25" t="s">
        <v>19689</v>
      </c>
      <c r="E7861" s="26">
        <v>80</v>
      </c>
    </row>
    <row r="7862" spans="1:6" x14ac:dyDescent="0.25">
      <c r="A7862" s="24" t="s">
        <v>7</v>
      </c>
      <c r="B7862" s="24" t="s">
        <v>19690</v>
      </c>
      <c r="C7862" s="25" t="s">
        <v>19691</v>
      </c>
      <c r="D7862" s="25" t="s">
        <v>19692</v>
      </c>
      <c r="E7862" s="26">
        <v>4699</v>
      </c>
    </row>
    <row r="7863" spans="1:6" x14ac:dyDescent="0.25">
      <c r="A7863" s="24" t="s">
        <v>7</v>
      </c>
      <c r="B7863" s="24" t="s">
        <v>19693</v>
      </c>
      <c r="C7863" s="25" t="s">
        <v>19694</v>
      </c>
      <c r="D7863" s="25" t="s">
        <v>19694</v>
      </c>
      <c r="E7863" s="26">
        <v>838</v>
      </c>
      <c r="F7863" s="24" t="s">
        <v>502</v>
      </c>
    </row>
    <row r="7864" spans="1:6" x14ac:dyDescent="0.25">
      <c r="A7864" s="24" t="s">
        <v>7</v>
      </c>
      <c r="B7864" s="24" t="s">
        <v>19695</v>
      </c>
      <c r="C7864" s="25" t="s">
        <v>19696</v>
      </c>
      <c r="D7864" s="25" t="s">
        <v>19697</v>
      </c>
      <c r="E7864" s="26">
        <v>15084</v>
      </c>
    </row>
    <row r="7865" spans="1:6" x14ac:dyDescent="0.25">
      <c r="A7865" s="24" t="s">
        <v>7</v>
      </c>
      <c r="B7865" s="24" t="s">
        <v>19698</v>
      </c>
      <c r="C7865" s="25" t="s">
        <v>19699</v>
      </c>
      <c r="D7865" s="25" t="s">
        <v>19700</v>
      </c>
      <c r="E7865" s="26">
        <v>1102</v>
      </c>
    </row>
    <row r="7866" spans="1:6" x14ac:dyDescent="0.25">
      <c r="A7866" s="24" t="s">
        <v>7</v>
      </c>
      <c r="B7866" s="24" t="s">
        <v>19701</v>
      </c>
      <c r="C7866" s="25" t="s">
        <v>19702</v>
      </c>
      <c r="D7866" s="25" t="s">
        <v>19703</v>
      </c>
      <c r="E7866" s="26">
        <v>789</v>
      </c>
    </row>
    <row r="7867" spans="1:6" x14ac:dyDescent="0.25">
      <c r="A7867" s="24" t="s">
        <v>7</v>
      </c>
      <c r="B7867" s="24" t="s">
        <v>19704</v>
      </c>
      <c r="C7867" s="25" t="s">
        <v>19705</v>
      </c>
      <c r="D7867" s="25" t="s">
        <v>19706</v>
      </c>
      <c r="E7867" s="26">
        <v>2962</v>
      </c>
    </row>
    <row r="7868" spans="1:6" x14ac:dyDescent="0.25">
      <c r="A7868" s="24" t="s">
        <v>7</v>
      </c>
      <c r="B7868" s="24" t="s">
        <v>19707</v>
      </c>
      <c r="C7868" s="25" t="s">
        <v>19708</v>
      </c>
      <c r="D7868" s="25" t="s">
        <v>19709</v>
      </c>
      <c r="E7868" s="26">
        <v>915</v>
      </c>
    </row>
    <row r="7869" spans="1:6" x14ac:dyDescent="0.25">
      <c r="A7869" s="24" t="s">
        <v>7</v>
      </c>
      <c r="B7869" s="24" t="s">
        <v>19710</v>
      </c>
      <c r="C7869" s="25" t="s">
        <v>19711</v>
      </c>
      <c r="D7869" s="25" t="s">
        <v>19712</v>
      </c>
      <c r="E7869" s="26">
        <v>27893</v>
      </c>
    </row>
    <row r="7870" spans="1:6" x14ac:dyDescent="0.25">
      <c r="A7870" s="24" t="s">
        <v>7</v>
      </c>
      <c r="B7870" s="24" t="s">
        <v>19713</v>
      </c>
      <c r="C7870" s="25" t="s">
        <v>19714</v>
      </c>
      <c r="D7870" s="25" t="s">
        <v>19714</v>
      </c>
      <c r="E7870" s="26">
        <v>3958</v>
      </c>
      <c r="F7870" s="24" t="s">
        <v>502</v>
      </c>
    </row>
    <row r="7871" spans="1:6" x14ac:dyDescent="0.25">
      <c r="A7871" s="24" t="s">
        <v>7</v>
      </c>
      <c r="B7871" s="24" t="s">
        <v>19715</v>
      </c>
      <c r="C7871" s="25" t="s">
        <v>19716</v>
      </c>
      <c r="D7871" s="25" t="s">
        <v>19717</v>
      </c>
      <c r="E7871" s="26">
        <v>1258</v>
      </c>
      <c r="F7871" s="24" t="s">
        <v>502</v>
      </c>
    </row>
    <row r="7872" spans="1:6" x14ac:dyDescent="0.25">
      <c r="A7872" s="24" t="s">
        <v>7</v>
      </c>
      <c r="B7872" s="24" t="s">
        <v>19718</v>
      </c>
      <c r="C7872" s="25" t="s">
        <v>19719</v>
      </c>
      <c r="D7872" s="25" t="s">
        <v>19720</v>
      </c>
      <c r="E7872" s="26">
        <v>1062</v>
      </c>
      <c r="F7872" s="24" t="s">
        <v>502</v>
      </c>
    </row>
    <row r="7873" spans="1:6" x14ac:dyDescent="0.25">
      <c r="A7873" s="24" t="s">
        <v>7</v>
      </c>
      <c r="B7873" s="24" t="s">
        <v>19721</v>
      </c>
      <c r="C7873" s="25" t="s">
        <v>19722</v>
      </c>
      <c r="D7873" s="25" t="s">
        <v>19722</v>
      </c>
      <c r="E7873" s="26">
        <v>1062</v>
      </c>
      <c r="F7873" s="24" t="s">
        <v>502</v>
      </c>
    </row>
    <row r="7874" spans="1:6" x14ac:dyDescent="0.25">
      <c r="A7874" s="24" t="s">
        <v>7</v>
      </c>
      <c r="B7874" s="24" t="s">
        <v>19723</v>
      </c>
      <c r="C7874" s="25" t="s">
        <v>19724</v>
      </c>
      <c r="D7874" s="25" t="s">
        <v>19724</v>
      </c>
      <c r="E7874" s="26">
        <v>1703</v>
      </c>
    </row>
    <row r="7875" spans="1:6" x14ac:dyDescent="0.25">
      <c r="A7875" s="24" t="s">
        <v>7</v>
      </c>
      <c r="B7875" s="24" t="s">
        <v>19725</v>
      </c>
      <c r="C7875" s="25" t="s">
        <v>19726</v>
      </c>
      <c r="D7875" s="25" t="s">
        <v>19727</v>
      </c>
      <c r="E7875" s="26">
        <v>985</v>
      </c>
    </row>
    <row r="7876" spans="1:6" x14ac:dyDescent="0.25">
      <c r="A7876" s="24" t="s">
        <v>7</v>
      </c>
      <c r="B7876" s="24" t="s">
        <v>19728</v>
      </c>
      <c r="C7876" s="25" t="s">
        <v>19729</v>
      </c>
      <c r="D7876" s="25" t="s">
        <v>19729</v>
      </c>
      <c r="E7876" s="26">
        <v>3958</v>
      </c>
      <c r="F7876" s="24" t="s">
        <v>502</v>
      </c>
    </row>
    <row r="7877" spans="1:6" x14ac:dyDescent="0.25">
      <c r="A7877" s="24" t="s">
        <v>7</v>
      </c>
      <c r="B7877" s="24" t="s">
        <v>19730</v>
      </c>
      <c r="C7877" s="25" t="s">
        <v>19731</v>
      </c>
      <c r="D7877" s="25" t="s">
        <v>19732</v>
      </c>
      <c r="E7877" s="26">
        <v>1477</v>
      </c>
      <c r="F7877" s="24" t="s">
        <v>502</v>
      </c>
    </row>
    <row r="7878" spans="1:6" x14ac:dyDescent="0.25">
      <c r="A7878" s="24" t="s">
        <v>7</v>
      </c>
      <c r="B7878" s="24" t="s">
        <v>19733</v>
      </c>
      <c r="C7878" s="25" t="s">
        <v>19734</v>
      </c>
      <c r="D7878" s="25" t="s">
        <v>19734</v>
      </c>
      <c r="E7878" s="26">
        <v>3958</v>
      </c>
      <c r="F7878" s="24" t="s">
        <v>502</v>
      </c>
    </row>
    <row r="7879" spans="1:6" x14ac:dyDescent="0.25">
      <c r="A7879" s="24" t="s">
        <v>7</v>
      </c>
      <c r="B7879" s="24" t="s">
        <v>19735</v>
      </c>
      <c r="C7879" s="25" t="s">
        <v>19736</v>
      </c>
      <c r="D7879" s="25" t="s">
        <v>19737</v>
      </c>
      <c r="E7879" s="26">
        <v>189</v>
      </c>
      <c r="F7879" s="24" t="s">
        <v>502</v>
      </c>
    </row>
    <row r="7880" spans="1:6" x14ac:dyDescent="0.25">
      <c r="A7880" s="24" t="s">
        <v>7</v>
      </c>
      <c r="B7880" s="24" t="s">
        <v>19738</v>
      </c>
      <c r="C7880" s="25" t="s">
        <v>19739</v>
      </c>
      <c r="D7880" s="25" t="s">
        <v>19739</v>
      </c>
      <c r="E7880" s="26">
        <v>3958</v>
      </c>
      <c r="F7880" s="24" t="s">
        <v>502</v>
      </c>
    </row>
    <row r="7881" spans="1:6" x14ac:dyDescent="0.25">
      <c r="A7881" s="24" t="s">
        <v>7</v>
      </c>
      <c r="B7881" s="24" t="s">
        <v>19740</v>
      </c>
      <c r="C7881" s="25" t="s">
        <v>19741</v>
      </c>
      <c r="D7881" s="25" t="s">
        <v>19742</v>
      </c>
      <c r="E7881" s="26">
        <v>3958</v>
      </c>
      <c r="F7881" s="24" t="s">
        <v>502</v>
      </c>
    </row>
    <row r="7882" spans="1:6" x14ac:dyDescent="0.25">
      <c r="A7882" s="24" t="s">
        <v>7</v>
      </c>
      <c r="B7882" s="24" t="s">
        <v>19743</v>
      </c>
      <c r="C7882" s="25" t="s">
        <v>19744</v>
      </c>
      <c r="D7882" s="25" t="s">
        <v>19744</v>
      </c>
      <c r="E7882" s="26">
        <v>9691</v>
      </c>
      <c r="F7882" s="24" t="s">
        <v>502</v>
      </c>
    </row>
    <row r="7883" spans="1:6" x14ac:dyDescent="0.25">
      <c r="A7883" s="24" t="s">
        <v>7</v>
      </c>
      <c r="B7883" s="24" t="s">
        <v>19745</v>
      </c>
      <c r="C7883" s="25" t="s">
        <v>19746</v>
      </c>
      <c r="D7883" s="25" t="s">
        <v>19746</v>
      </c>
      <c r="E7883" s="26">
        <v>3958</v>
      </c>
      <c r="F7883" s="24" t="s">
        <v>502</v>
      </c>
    </row>
    <row r="7884" spans="1:6" x14ac:dyDescent="0.25">
      <c r="A7884" s="24" t="s">
        <v>7</v>
      </c>
      <c r="B7884" s="24" t="s">
        <v>19747</v>
      </c>
      <c r="C7884" s="25" t="s">
        <v>19748</v>
      </c>
      <c r="D7884" s="25" t="s">
        <v>19749</v>
      </c>
      <c r="E7884" s="26">
        <v>4997</v>
      </c>
      <c r="F7884" s="24" t="s">
        <v>502</v>
      </c>
    </row>
    <row r="7885" spans="1:6" x14ac:dyDescent="0.25">
      <c r="A7885" s="24" t="s">
        <v>7</v>
      </c>
      <c r="B7885" s="24" t="s">
        <v>19750</v>
      </c>
      <c r="C7885" s="25" t="s">
        <v>19751</v>
      </c>
      <c r="D7885" s="25" t="s">
        <v>19751</v>
      </c>
      <c r="E7885" s="26">
        <v>3958</v>
      </c>
      <c r="F7885" s="24" t="s">
        <v>502</v>
      </c>
    </row>
    <row r="7886" spans="1:6" x14ac:dyDescent="0.25">
      <c r="A7886" s="24" t="s">
        <v>7</v>
      </c>
      <c r="B7886" s="24" t="s">
        <v>19752</v>
      </c>
      <c r="C7886" s="25" t="s">
        <v>19753</v>
      </c>
      <c r="D7886" s="25" t="s">
        <v>19753</v>
      </c>
      <c r="E7886" s="26">
        <v>7102</v>
      </c>
      <c r="F7886" s="24" t="s">
        <v>502</v>
      </c>
    </row>
    <row r="7887" spans="1:6" x14ac:dyDescent="0.25">
      <c r="A7887" s="24" t="s">
        <v>7</v>
      </c>
      <c r="B7887" s="24" t="s">
        <v>19754</v>
      </c>
      <c r="C7887" s="25" t="s">
        <v>19755</v>
      </c>
      <c r="D7887" s="25" t="s">
        <v>19756</v>
      </c>
      <c r="E7887" s="26">
        <v>3958</v>
      </c>
      <c r="F7887" s="24" t="s">
        <v>502</v>
      </c>
    </row>
    <row r="7888" spans="1:6" x14ac:dyDescent="0.25">
      <c r="A7888" s="24" t="s">
        <v>7</v>
      </c>
      <c r="B7888" s="24" t="s">
        <v>19757</v>
      </c>
      <c r="C7888" s="25" t="s">
        <v>19758</v>
      </c>
      <c r="D7888" s="25" t="s">
        <v>19758</v>
      </c>
      <c r="E7888" s="26">
        <v>3958</v>
      </c>
      <c r="F7888" s="24" t="s">
        <v>502</v>
      </c>
    </row>
    <row r="7889" spans="1:6" x14ac:dyDescent="0.25">
      <c r="A7889" s="24" t="s">
        <v>7</v>
      </c>
      <c r="B7889" s="24" t="s">
        <v>19759</v>
      </c>
      <c r="C7889" s="25" t="s">
        <v>19760</v>
      </c>
      <c r="D7889" s="25" t="s">
        <v>19761</v>
      </c>
      <c r="E7889" s="26">
        <v>3958</v>
      </c>
      <c r="F7889" s="24" t="s">
        <v>502</v>
      </c>
    </row>
    <row r="7890" spans="1:6" x14ac:dyDescent="0.25">
      <c r="A7890" s="24" t="s">
        <v>7</v>
      </c>
      <c r="B7890" s="24" t="s">
        <v>19762</v>
      </c>
      <c r="C7890" s="25" t="s">
        <v>19763</v>
      </c>
      <c r="D7890" s="25" t="s">
        <v>19764</v>
      </c>
      <c r="E7890" s="26">
        <v>10097</v>
      </c>
    </row>
    <row r="7891" spans="1:6" x14ac:dyDescent="0.25">
      <c r="A7891" s="24" t="s">
        <v>7</v>
      </c>
      <c r="B7891" s="24" t="s">
        <v>19765</v>
      </c>
      <c r="C7891" s="25" t="s">
        <v>19766</v>
      </c>
      <c r="D7891" s="25" t="s">
        <v>19767</v>
      </c>
      <c r="E7891" s="26">
        <v>22527</v>
      </c>
      <c r="F7891" s="24" t="s">
        <v>502</v>
      </c>
    </row>
    <row r="7892" spans="1:6" x14ac:dyDescent="0.25">
      <c r="A7892" s="24" t="s">
        <v>7</v>
      </c>
      <c r="B7892" s="24" t="s">
        <v>19768</v>
      </c>
      <c r="C7892" s="25" t="s">
        <v>19769</v>
      </c>
      <c r="D7892" s="25" t="s">
        <v>19769</v>
      </c>
      <c r="E7892" s="26">
        <v>2344</v>
      </c>
      <c r="F7892" s="24" t="s">
        <v>502</v>
      </c>
    </row>
    <row r="7893" spans="1:6" x14ac:dyDescent="0.25">
      <c r="A7893" s="24" t="s">
        <v>7</v>
      </c>
      <c r="B7893" s="24" t="s">
        <v>19770</v>
      </c>
      <c r="C7893" s="25" t="s">
        <v>19771</v>
      </c>
      <c r="D7893" s="25" t="s">
        <v>19771</v>
      </c>
      <c r="E7893" s="26">
        <v>2511</v>
      </c>
      <c r="F7893" s="24" t="s">
        <v>502</v>
      </c>
    </row>
    <row r="7894" spans="1:6" x14ac:dyDescent="0.25">
      <c r="A7894" s="24" t="s">
        <v>7</v>
      </c>
      <c r="B7894" s="24" t="s">
        <v>19772</v>
      </c>
      <c r="C7894" s="25" t="s">
        <v>19773</v>
      </c>
      <c r="D7894" s="25" t="s">
        <v>19771</v>
      </c>
      <c r="E7894" s="26">
        <v>2426</v>
      </c>
      <c r="F7894" s="24" t="s">
        <v>502</v>
      </c>
    </row>
    <row r="7895" spans="1:6" x14ac:dyDescent="0.25">
      <c r="A7895" s="24" t="s">
        <v>7</v>
      </c>
      <c r="B7895" s="24" t="s">
        <v>19774</v>
      </c>
      <c r="C7895" s="25" t="s">
        <v>19775</v>
      </c>
      <c r="D7895" s="25" t="s">
        <v>19775</v>
      </c>
      <c r="E7895" s="26">
        <v>4287</v>
      </c>
      <c r="F7895" s="24" t="s">
        <v>502</v>
      </c>
    </row>
    <row r="7896" spans="1:6" x14ac:dyDescent="0.25">
      <c r="A7896" s="24" t="s">
        <v>7</v>
      </c>
      <c r="B7896" s="24" t="s">
        <v>19776</v>
      </c>
      <c r="C7896" s="25" t="s">
        <v>19777</v>
      </c>
      <c r="D7896" s="25" t="s">
        <v>19777</v>
      </c>
      <c r="E7896" s="26">
        <v>3104</v>
      </c>
      <c r="F7896" s="24" t="s">
        <v>502</v>
      </c>
    </row>
    <row r="7897" spans="1:6" x14ac:dyDescent="0.25">
      <c r="A7897" s="24" t="s">
        <v>7</v>
      </c>
      <c r="B7897" s="24" t="s">
        <v>19778</v>
      </c>
      <c r="C7897" s="25" t="s">
        <v>19779</v>
      </c>
      <c r="D7897" s="25" t="s">
        <v>19779</v>
      </c>
      <c r="E7897" s="26">
        <v>3958</v>
      </c>
      <c r="F7897" s="24" t="s">
        <v>502</v>
      </c>
    </row>
    <row r="7898" spans="1:6" x14ac:dyDescent="0.25">
      <c r="A7898" s="24" t="s">
        <v>7</v>
      </c>
      <c r="B7898" s="24" t="s">
        <v>19780</v>
      </c>
      <c r="C7898" s="25" t="s">
        <v>19781</v>
      </c>
      <c r="D7898" s="25" t="s">
        <v>19781</v>
      </c>
      <c r="E7898" s="26">
        <v>3958</v>
      </c>
      <c r="F7898" s="24" t="s">
        <v>502</v>
      </c>
    </row>
    <row r="7899" spans="1:6" x14ac:dyDescent="0.25">
      <c r="A7899" s="24" t="s">
        <v>7</v>
      </c>
      <c r="B7899" s="24" t="s">
        <v>19782</v>
      </c>
      <c r="C7899" s="25" t="s">
        <v>19783</v>
      </c>
      <c r="D7899" s="25" t="s">
        <v>19783</v>
      </c>
      <c r="E7899" s="26">
        <v>3958</v>
      </c>
      <c r="F7899" s="24" t="s">
        <v>502</v>
      </c>
    </row>
    <row r="7900" spans="1:6" x14ac:dyDescent="0.25">
      <c r="A7900" s="24" t="s">
        <v>7</v>
      </c>
      <c r="B7900" s="24" t="s">
        <v>19784</v>
      </c>
      <c r="C7900" s="25" t="s">
        <v>19785</v>
      </c>
      <c r="D7900" s="25" t="s">
        <v>19785</v>
      </c>
      <c r="E7900" s="26">
        <v>1202</v>
      </c>
      <c r="F7900" s="24" t="s">
        <v>502</v>
      </c>
    </row>
    <row r="7901" spans="1:6" x14ac:dyDescent="0.25">
      <c r="A7901" s="24" t="s">
        <v>7</v>
      </c>
      <c r="B7901" s="24" t="s">
        <v>19786</v>
      </c>
      <c r="C7901" s="25" t="s">
        <v>19787</v>
      </c>
      <c r="D7901" s="25" t="s">
        <v>19787</v>
      </c>
      <c r="E7901" s="26">
        <v>3958</v>
      </c>
      <c r="F7901" s="24" t="s">
        <v>502</v>
      </c>
    </row>
    <row r="7902" spans="1:6" x14ac:dyDescent="0.25">
      <c r="A7902" s="24" t="s">
        <v>7</v>
      </c>
      <c r="B7902" s="24" t="s">
        <v>19788</v>
      </c>
      <c r="C7902" s="25" t="s">
        <v>19789</v>
      </c>
      <c r="D7902" s="25" t="s">
        <v>19789</v>
      </c>
      <c r="E7902" s="26">
        <v>1413</v>
      </c>
      <c r="F7902" s="24" t="s">
        <v>502</v>
      </c>
    </row>
    <row r="7903" spans="1:6" x14ac:dyDescent="0.25">
      <c r="A7903" s="24" t="s">
        <v>7</v>
      </c>
      <c r="B7903" s="24" t="s">
        <v>19790</v>
      </c>
      <c r="C7903" s="25" t="s">
        <v>19791</v>
      </c>
      <c r="D7903" s="25" t="s">
        <v>19791</v>
      </c>
      <c r="E7903" s="26">
        <v>1867</v>
      </c>
      <c r="F7903" s="24" t="s">
        <v>502</v>
      </c>
    </row>
    <row r="7904" spans="1:6" x14ac:dyDescent="0.25">
      <c r="A7904" s="24" t="s">
        <v>7</v>
      </c>
      <c r="B7904" s="24" t="s">
        <v>19792</v>
      </c>
      <c r="C7904" s="25" t="s">
        <v>19793</v>
      </c>
      <c r="D7904" s="25" t="s">
        <v>19793</v>
      </c>
      <c r="E7904" s="26">
        <v>3958</v>
      </c>
      <c r="F7904" s="24" t="s">
        <v>502</v>
      </c>
    </row>
    <row r="7905" spans="1:6" x14ac:dyDescent="0.25">
      <c r="A7905" s="24" t="s">
        <v>7</v>
      </c>
      <c r="B7905" s="24" t="s">
        <v>19794</v>
      </c>
      <c r="C7905" s="25" t="s">
        <v>19795</v>
      </c>
      <c r="D7905" s="25" t="s">
        <v>19795</v>
      </c>
      <c r="E7905" s="26">
        <v>3958</v>
      </c>
      <c r="F7905" s="24" t="s">
        <v>502</v>
      </c>
    </row>
    <row r="7906" spans="1:6" x14ac:dyDescent="0.25">
      <c r="A7906" s="24" t="s">
        <v>7</v>
      </c>
      <c r="B7906" s="24" t="s">
        <v>19796</v>
      </c>
      <c r="C7906" s="25" t="s">
        <v>19797</v>
      </c>
      <c r="D7906" s="25" t="s">
        <v>19798</v>
      </c>
      <c r="E7906" s="26">
        <v>9624</v>
      </c>
      <c r="F7906" s="24" t="s">
        <v>502</v>
      </c>
    </row>
    <row r="7907" spans="1:6" x14ac:dyDescent="0.25">
      <c r="A7907" s="24" t="s">
        <v>7</v>
      </c>
      <c r="B7907" s="24" t="s">
        <v>19799</v>
      </c>
      <c r="C7907" s="25" t="s">
        <v>19800</v>
      </c>
      <c r="D7907" s="25" t="s">
        <v>19801</v>
      </c>
      <c r="E7907" s="26">
        <v>3958</v>
      </c>
      <c r="F7907" s="24" t="s">
        <v>502</v>
      </c>
    </row>
    <row r="7908" spans="1:6" x14ac:dyDescent="0.25">
      <c r="A7908" s="24" t="s">
        <v>7</v>
      </c>
      <c r="B7908" s="24" t="s">
        <v>19802</v>
      </c>
      <c r="C7908" s="25" t="s">
        <v>19803</v>
      </c>
      <c r="D7908" s="25" t="s">
        <v>19804</v>
      </c>
      <c r="E7908" s="26">
        <v>3958</v>
      </c>
      <c r="F7908" s="24" t="s">
        <v>502</v>
      </c>
    </row>
    <row r="7909" spans="1:6" x14ac:dyDescent="0.25">
      <c r="A7909" s="24" t="s">
        <v>7</v>
      </c>
      <c r="B7909" s="24" t="s">
        <v>19805</v>
      </c>
      <c r="C7909" s="25" t="s">
        <v>19806</v>
      </c>
      <c r="D7909" s="25" t="s">
        <v>19806</v>
      </c>
      <c r="E7909" s="26">
        <v>3958</v>
      </c>
      <c r="F7909" s="24" t="s">
        <v>502</v>
      </c>
    </row>
    <row r="7910" spans="1:6" x14ac:dyDescent="0.25">
      <c r="A7910" s="24" t="s">
        <v>7</v>
      </c>
      <c r="B7910" s="24" t="s">
        <v>19807</v>
      </c>
      <c r="C7910" s="25" t="s">
        <v>19808</v>
      </c>
      <c r="D7910" s="25" t="s">
        <v>19808</v>
      </c>
      <c r="E7910" s="26">
        <v>1552</v>
      </c>
      <c r="F7910" s="24" t="s">
        <v>502</v>
      </c>
    </row>
    <row r="7911" spans="1:6" x14ac:dyDescent="0.25">
      <c r="A7911" s="24" t="s">
        <v>7</v>
      </c>
      <c r="B7911" s="24" t="s">
        <v>19809</v>
      </c>
      <c r="C7911" s="25" t="s">
        <v>19810</v>
      </c>
      <c r="D7911" s="25" t="s">
        <v>19810</v>
      </c>
      <c r="E7911" s="26">
        <v>6044</v>
      </c>
      <c r="F7911" s="24" t="s">
        <v>502</v>
      </c>
    </row>
    <row r="7912" spans="1:6" x14ac:dyDescent="0.25">
      <c r="A7912" s="24" t="s">
        <v>7</v>
      </c>
      <c r="B7912" s="24" t="s">
        <v>19811</v>
      </c>
      <c r="C7912" s="25" t="s">
        <v>19812</v>
      </c>
      <c r="D7912" s="25" t="s">
        <v>19812</v>
      </c>
      <c r="E7912" s="26">
        <v>3958</v>
      </c>
      <c r="F7912" s="24" t="s">
        <v>502</v>
      </c>
    </row>
    <row r="7913" spans="1:6" x14ac:dyDescent="0.25">
      <c r="A7913" s="24" t="s">
        <v>7</v>
      </c>
      <c r="B7913" s="24" t="s">
        <v>19813</v>
      </c>
      <c r="C7913" s="25" t="s">
        <v>19814</v>
      </c>
      <c r="D7913" s="25" t="s">
        <v>19814</v>
      </c>
      <c r="E7913" s="26">
        <v>3958</v>
      </c>
      <c r="F7913" s="24" t="s">
        <v>502</v>
      </c>
    </row>
    <row r="7914" spans="1:6" x14ac:dyDescent="0.25">
      <c r="A7914" s="24" t="s">
        <v>7</v>
      </c>
      <c r="B7914" s="24" t="s">
        <v>19815</v>
      </c>
      <c r="C7914" s="25" t="s">
        <v>19816</v>
      </c>
      <c r="D7914" s="25" t="s">
        <v>19816</v>
      </c>
      <c r="E7914" s="26">
        <v>4041</v>
      </c>
      <c r="F7914" s="24" t="s">
        <v>502</v>
      </c>
    </row>
    <row r="7915" spans="1:6" x14ac:dyDescent="0.25">
      <c r="A7915" s="24" t="s">
        <v>7</v>
      </c>
      <c r="B7915" s="24" t="s">
        <v>19817</v>
      </c>
      <c r="C7915" s="25" t="s">
        <v>19818</v>
      </c>
      <c r="D7915" s="25" t="s">
        <v>19818</v>
      </c>
      <c r="E7915" s="26">
        <v>4204</v>
      </c>
      <c r="F7915" s="24" t="s">
        <v>502</v>
      </c>
    </row>
    <row r="7916" spans="1:6" x14ac:dyDescent="0.25">
      <c r="A7916" s="24" t="s">
        <v>7</v>
      </c>
      <c r="B7916" s="24" t="s">
        <v>19819</v>
      </c>
      <c r="C7916" s="25" t="s">
        <v>19820</v>
      </c>
      <c r="D7916" s="25" t="s">
        <v>19820</v>
      </c>
      <c r="E7916" s="26">
        <v>3526</v>
      </c>
      <c r="F7916" s="24" t="s">
        <v>502</v>
      </c>
    </row>
    <row r="7917" spans="1:6" x14ac:dyDescent="0.25">
      <c r="A7917" s="24" t="s">
        <v>7</v>
      </c>
      <c r="B7917" s="24" t="s">
        <v>19821</v>
      </c>
      <c r="C7917" s="25" t="s">
        <v>19822</v>
      </c>
      <c r="D7917" s="25" t="s">
        <v>19822</v>
      </c>
      <c r="E7917" s="26">
        <v>3958</v>
      </c>
      <c r="F7917" s="24" t="s">
        <v>502</v>
      </c>
    </row>
    <row r="7918" spans="1:6" x14ac:dyDescent="0.25">
      <c r="A7918" s="24" t="s">
        <v>7</v>
      </c>
      <c r="B7918" s="24" t="s">
        <v>19823</v>
      </c>
      <c r="C7918" s="25" t="s">
        <v>19824</v>
      </c>
      <c r="D7918" s="25" t="s">
        <v>19824</v>
      </c>
      <c r="E7918" s="26">
        <v>3958</v>
      </c>
      <c r="F7918" s="24" t="s">
        <v>502</v>
      </c>
    </row>
    <row r="7919" spans="1:6" x14ac:dyDescent="0.25">
      <c r="A7919" s="24" t="s">
        <v>7</v>
      </c>
      <c r="B7919" s="24" t="s">
        <v>19825</v>
      </c>
      <c r="C7919" s="25" t="s">
        <v>19826</v>
      </c>
      <c r="D7919" s="25" t="s">
        <v>19827</v>
      </c>
      <c r="E7919" s="26">
        <v>3958</v>
      </c>
      <c r="F7919" s="24" t="s">
        <v>502</v>
      </c>
    </row>
    <row r="7920" spans="1:6" x14ac:dyDescent="0.25">
      <c r="A7920" s="24" t="s">
        <v>7</v>
      </c>
      <c r="B7920" s="24" t="s">
        <v>19828</v>
      </c>
      <c r="C7920" s="25" t="s">
        <v>19829</v>
      </c>
      <c r="D7920" s="25" t="s">
        <v>19829</v>
      </c>
      <c r="E7920" s="26">
        <v>3958</v>
      </c>
      <c r="F7920" s="24" t="s">
        <v>502</v>
      </c>
    </row>
    <row r="7921" spans="1:6" x14ac:dyDescent="0.25">
      <c r="A7921" s="24" t="s">
        <v>7</v>
      </c>
      <c r="B7921" s="24" t="s">
        <v>19830</v>
      </c>
      <c r="C7921" s="25" t="s">
        <v>19831</v>
      </c>
      <c r="D7921" s="25" t="s">
        <v>19832</v>
      </c>
      <c r="E7921" s="26">
        <v>3958</v>
      </c>
      <c r="F7921" s="24" t="s">
        <v>502</v>
      </c>
    </row>
    <row r="7922" spans="1:6" x14ac:dyDescent="0.25">
      <c r="A7922" s="24" t="s">
        <v>7</v>
      </c>
      <c r="B7922" s="24" t="s">
        <v>19833</v>
      </c>
      <c r="C7922" s="25" t="s">
        <v>19834</v>
      </c>
      <c r="D7922" s="25" t="s">
        <v>19835</v>
      </c>
      <c r="E7922" s="26">
        <v>3958</v>
      </c>
      <c r="F7922" s="24" t="s">
        <v>502</v>
      </c>
    </row>
    <row r="7923" spans="1:6" x14ac:dyDescent="0.25">
      <c r="A7923" s="24" t="s">
        <v>7</v>
      </c>
      <c r="B7923" s="24" t="s">
        <v>19836</v>
      </c>
      <c r="C7923" s="25" t="s">
        <v>19837</v>
      </c>
      <c r="D7923" s="25" t="s">
        <v>19838</v>
      </c>
      <c r="E7923" s="26">
        <v>3958</v>
      </c>
      <c r="F7923" s="24" t="s">
        <v>502</v>
      </c>
    </row>
    <row r="7924" spans="1:6" x14ac:dyDescent="0.25">
      <c r="A7924" s="24" t="s">
        <v>7</v>
      </c>
      <c r="B7924" s="24" t="s">
        <v>19839</v>
      </c>
      <c r="C7924" s="25" t="s">
        <v>19840</v>
      </c>
      <c r="D7924" s="25" t="s">
        <v>19827</v>
      </c>
      <c r="E7924" s="26">
        <v>3958</v>
      </c>
      <c r="F7924" s="24" t="s">
        <v>502</v>
      </c>
    </row>
    <row r="7925" spans="1:6" x14ac:dyDescent="0.25">
      <c r="A7925" s="24" t="s">
        <v>7</v>
      </c>
      <c r="B7925" s="24" t="s">
        <v>19841</v>
      </c>
      <c r="C7925" s="25" t="s">
        <v>19842</v>
      </c>
      <c r="D7925" s="25" t="s">
        <v>19842</v>
      </c>
      <c r="E7925" s="26">
        <v>3958</v>
      </c>
      <c r="F7925" s="24" t="s">
        <v>502</v>
      </c>
    </row>
    <row r="7926" spans="1:6" x14ac:dyDescent="0.25">
      <c r="A7926" s="24" t="s">
        <v>7</v>
      </c>
      <c r="B7926" s="24" t="s">
        <v>19843</v>
      </c>
      <c r="C7926" s="25" t="s">
        <v>19844</v>
      </c>
      <c r="D7926" s="25" t="s">
        <v>19845</v>
      </c>
      <c r="E7926" s="26">
        <v>36905</v>
      </c>
    </row>
    <row r="7927" spans="1:6" x14ac:dyDescent="0.25">
      <c r="A7927" s="24" t="s">
        <v>7</v>
      </c>
      <c r="B7927" s="24" t="s">
        <v>19846</v>
      </c>
      <c r="C7927" s="25" t="s">
        <v>19847</v>
      </c>
      <c r="D7927" s="25" t="s">
        <v>19848</v>
      </c>
      <c r="E7927" s="26">
        <v>9945</v>
      </c>
      <c r="F7927" s="24" t="s">
        <v>502</v>
      </c>
    </row>
    <row r="7928" spans="1:6" x14ac:dyDescent="0.25">
      <c r="A7928" s="24" t="s">
        <v>7</v>
      </c>
      <c r="B7928" s="24" t="s">
        <v>19849</v>
      </c>
      <c r="C7928" s="25" t="s">
        <v>19850</v>
      </c>
      <c r="D7928" s="25" t="s">
        <v>19850</v>
      </c>
      <c r="E7928" s="26">
        <v>665</v>
      </c>
    </row>
    <row r="7929" spans="1:6" x14ac:dyDescent="0.25">
      <c r="A7929" s="24" t="s">
        <v>7</v>
      </c>
      <c r="B7929" s="24" t="s">
        <v>19851</v>
      </c>
      <c r="C7929" s="25" t="s">
        <v>19852</v>
      </c>
      <c r="D7929" s="25" t="s">
        <v>19853</v>
      </c>
      <c r="E7929" s="26">
        <v>9384</v>
      </c>
      <c r="F7929" s="24" t="s">
        <v>502</v>
      </c>
    </row>
    <row r="7930" spans="1:6" x14ac:dyDescent="0.25">
      <c r="A7930" s="24" t="s">
        <v>7</v>
      </c>
      <c r="B7930" s="24" t="s">
        <v>19854</v>
      </c>
      <c r="C7930" s="25" t="s">
        <v>19855</v>
      </c>
      <c r="D7930" s="25" t="s">
        <v>19856</v>
      </c>
      <c r="E7930" s="26">
        <v>5322</v>
      </c>
      <c r="F7930" s="24" t="s">
        <v>502</v>
      </c>
    </row>
    <row r="7931" spans="1:6" x14ac:dyDescent="0.25">
      <c r="A7931" s="24" t="s">
        <v>7</v>
      </c>
      <c r="B7931" s="24" t="s">
        <v>19857</v>
      </c>
      <c r="C7931" s="25" t="s">
        <v>19858</v>
      </c>
      <c r="D7931" s="25" t="s">
        <v>19858</v>
      </c>
      <c r="E7931" s="26">
        <v>8812</v>
      </c>
      <c r="F7931" s="24" t="s">
        <v>502</v>
      </c>
    </row>
    <row r="7932" spans="1:6" x14ac:dyDescent="0.25">
      <c r="A7932" s="24" t="s">
        <v>7</v>
      </c>
      <c r="B7932" s="24" t="s">
        <v>19859</v>
      </c>
      <c r="C7932" s="25" t="s">
        <v>19860</v>
      </c>
      <c r="D7932" s="25" t="s">
        <v>19860</v>
      </c>
      <c r="E7932" s="26">
        <v>4220</v>
      </c>
      <c r="F7932" s="24" t="s">
        <v>502</v>
      </c>
    </row>
    <row r="7933" spans="1:6" x14ac:dyDescent="0.25">
      <c r="A7933" s="24" t="s">
        <v>7</v>
      </c>
      <c r="B7933" s="24" t="s">
        <v>19861</v>
      </c>
      <c r="C7933" s="25" t="s">
        <v>19862</v>
      </c>
      <c r="D7933" s="25" t="s">
        <v>19863</v>
      </c>
      <c r="E7933" s="26">
        <v>27910</v>
      </c>
      <c r="F7933" s="24" t="s">
        <v>502</v>
      </c>
    </row>
    <row r="7934" spans="1:6" x14ac:dyDescent="0.25">
      <c r="A7934" s="24" t="s">
        <v>7</v>
      </c>
      <c r="B7934" s="24" t="s">
        <v>19864</v>
      </c>
      <c r="C7934" s="25" t="s">
        <v>19865</v>
      </c>
      <c r="D7934" s="25" t="s">
        <v>19865</v>
      </c>
      <c r="E7934" s="26">
        <v>27910</v>
      </c>
      <c r="F7934" s="24" t="s">
        <v>502</v>
      </c>
    </row>
    <row r="7935" spans="1:6" x14ac:dyDescent="0.25">
      <c r="A7935" s="24" t="s">
        <v>7</v>
      </c>
      <c r="B7935" s="24" t="s">
        <v>19866</v>
      </c>
      <c r="C7935" s="25" t="s">
        <v>19867</v>
      </c>
      <c r="D7935" s="25" t="s">
        <v>19867</v>
      </c>
      <c r="E7935" s="26">
        <v>29831</v>
      </c>
      <c r="F7935" s="24" t="s">
        <v>502</v>
      </c>
    </row>
    <row r="7936" spans="1:6" x14ac:dyDescent="0.25">
      <c r="A7936" s="24" t="s">
        <v>7</v>
      </c>
      <c r="B7936" s="24" t="s">
        <v>19868</v>
      </c>
      <c r="C7936" s="25" t="s">
        <v>19869</v>
      </c>
      <c r="D7936" s="25" t="s">
        <v>19870</v>
      </c>
      <c r="E7936" s="26">
        <v>6532</v>
      </c>
      <c r="F7936" s="24" t="s">
        <v>502</v>
      </c>
    </row>
    <row r="7937" spans="1:6" x14ac:dyDescent="0.25">
      <c r="A7937" s="24" t="s">
        <v>7</v>
      </c>
      <c r="B7937" s="24" t="s">
        <v>19871</v>
      </c>
      <c r="C7937" s="25" t="s">
        <v>19872</v>
      </c>
      <c r="D7937" s="25" t="s">
        <v>19873</v>
      </c>
      <c r="E7937" s="26">
        <v>11341</v>
      </c>
    </row>
    <row r="7938" spans="1:6" x14ac:dyDescent="0.25">
      <c r="A7938" s="24" t="s">
        <v>7</v>
      </c>
      <c r="B7938" s="24" t="s">
        <v>19874</v>
      </c>
      <c r="C7938" s="25" t="s">
        <v>19875</v>
      </c>
      <c r="D7938" s="25" t="s">
        <v>19876</v>
      </c>
      <c r="E7938" s="26">
        <v>27910</v>
      </c>
      <c r="F7938" s="24" t="s">
        <v>502</v>
      </c>
    </row>
    <row r="7939" spans="1:6" x14ac:dyDescent="0.25">
      <c r="A7939" s="24" t="s">
        <v>7</v>
      </c>
      <c r="B7939" s="24" t="s">
        <v>19877</v>
      </c>
      <c r="C7939" s="25" t="s">
        <v>19878</v>
      </c>
      <c r="D7939" s="25" t="s">
        <v>19878</v>
      </c>
      <c r="E7939" s="26">
        <v>6723</v>
      </c>
      <c r="F7939" s="24" t="s">
        <v>502</v>
      </c>
    </row>
    <row r="7940" spans="1:6" x14ac:dyDescent="0.25">
      <c r="A7940" s="24" t="s">
        <v>7</v>
      </c>
      <c r="B7940" s="24" t="s">
        <v>19879</v>
      </c>
      <c r="C7940" s="25" t="s">
        <v>19880</v>
      </c>
      <c r="D7940" s="25" t="s">
        <v>19880</v>
      </c>
      <c r="E7940" s="26">
        <v>4985</v>
      </c>
      <c r="F7940" s="24" t="s">
        <v>502</v>
      </c>
    </row>
    <row r="7941" spans="1:6" x14ac:dyDescent="0.25">
      <c r="A7941" s="24" t="s">
        <v>7</v>
      </c>
      <c r="B7941" s="24" t="s">
        <v>19881</v>
      </c>
      <c r="C7941" s="25" t="s">
        <v>19882</v>
      </c>
      <c r="D7941" s="25" t="s">
        <v>19882</v>
      </c>
      <c r="E7941" s="26">
        <v>4985</v>
      </c>
      <c r="F7941" s="24" t="s">
        <v>502</v>
      </c>
    </row>
    <row r="7942" spans="1:6" x14ac:dyDescent="0.25">
      <c r="A7942" s="24" t="s">
        <v>7</v>
      </c>
      <c r="B7942" s="24" t="s">
        <v>19883</v>
      </c>
      <c r="C7942" s="25" t="s">
        <v>19884</v>
      </c>
      <c r="D7942" s="25" t="s">
        <v>19885</v>
      </c>
      <c r="E7942" s="26">
        <v>27910</v>
      </c>
      <c r="F7942" s="24" t="s">
        <v>502</v>
      </c>
    </row>
    <row r="7943" spans="1:6" x14ac:dyDescent="0.25">
      <c r="A7943" s="24" t="s">
        <v>7</v>
      </c>
      <c r="B7943" s="24" t="s">
        <v>19886</v>
      </c>
      <c r="C7943" s="25" t="s">
        <v>19887</v>
      </c>
      <c r="D7943" s="25" t="s">
        <v>19888</v>
      </c>
      <c r="E7943" s="26">
        <v>2958</v>
      </c>
      <c r="F7943" s="24" t="s">
        <v>502</v>
      </c>
    </row>
    <row r="7944" spans="1:6" x14ac:dyDescent="0.25">
      <c r="A7944" s="24" t="s">
        <v>7</v>
      </c>
      <c r="B7944" s="24" t="s">
        <v>19889</v>
      </c>
      <c r="C7944" s="25" t="s">
        <v>19890</v>
      </c>
      <c r="D7944" s="25" t="s">
        <v>19890</v>
      </c>
      <c r="E7944" s="26">
        <v>945</v>
      </c>
      <c r="F7944" s="24" t="s">
        <v>502</v>
      </c>
    </row>
    <row r="7945" spans="1:6" x14ac:dyDescent="0.25">
      <c r="A7945" s="24" t="s">
        <v>7</v>
      </c>
      <c r="B7945" s="24" t="s">
        <v>19891</v>
      </c>
      <c r="C7945" s="25" t="s">
        <v>19890</v>
      </c>
      <c r="D7945" s="25" t="s">
        <v>19890</v>
      </c>
      <c r="E7945" s="26">
        <v>3958</v>
      </c>
    </row>
    <row r="7946" spans="1:6" x14ac:dyDescent="0.25">
      <c r="A7946" s="24" t="s">
        <v>7</v>
      </c>
      <c r="B7946" s="24" t="s">
        <v>19892</v>
      </c>
      <c r="C7946" s="25" t="s">
        <v>19893</v>
      </c>
      <c r="D7946" s="25" t="s">
        <v>19893</v>
      </c>
      <c r="E7946" s="26">
        <v>1469</v>
      </c>
      <c r="F7946" s="24" t="s">
        <v>502</v>
      </c>
    </row>
    <row r="7947" spans="1:6" x14ac:dyDescent="0.25">
      <c r="A7947" s="24" t="s">
        <v>7</v>
      </c>
      <c r="B7947" s="24" t="s">
        <v>19894</v>
      </c>
      <c r="C7947" s="25" t="s">
        <v>19895</v>
      </c>
      <c r="D7947" s="25" t="s">
        <v>19896</v>
      </c>
      <c r="E7947" s="26">
        <v>1851</v>
      </c>
      <c r="F7947" s="24" t="s">
        <v>502</v>
      </c>
    </row>
    <row r="7948" spans="1:6" x14ac:dyDescent="0.25">
      <c r="A7948" s="24" t="s">
        <v>7</v>
      </c>
      <c r="B7948" s="24" t="s">
        <v>19897</v>
      </c>
      <c r="C7948" s="25" t="s">
        <v>19898</v>
      </c>
      <c r="D7948" s="25" t="s">
        <v>19898</v>
      </c>
      <c r="E7948" s="26">
        <v>3958</v>
      </c>
      <c r="F7948" s="24" t="s">
        <v>502</v>
      </c>
    </row>
    <row r="7949" spans="1:6" x14ac:dyDescent="0.25">
      <c r="A7949" s="24" t="s">
        <v>7</v>
      </c>
      <c r="B7949" s="24" t="s">
        <v>19899</v>
      </c>
      <c r="C7949" s="25" t="s">
        <v>19898</v>
      </c>
      <c r="D7949" s="25" t="s">
        <v>19898</v>
      </c>
      <c r="E7949" s="26">
        <v>3958</v>
      </c>
      <c r="F7949" s="24" t="s">
        <v>502</v>
      </c>
    </row>
    <row r="7950" spans="1:6" x14ac:dyDescent="0.25">
      <c r="A7950" s="24" t="s">
        <v>7</v>
      </c>
      <c r="B7950" s="24" t="s">
        <v>19900</v>
      </c>
      <c r="C7950" s="25" t="s">
        <v>19898</v>
      </c>
      <c r="D7950" s="25" t="s">
        <v>19898</v>
      </c>
      <c r="E7950" s="26">
        <v>3958</v>
      </c>
      <c r="F7950" s="24" t="s">
        <v>502</v>
      </c>
    </row>
    <row r="7951" spans="1:6" x14ac:dyDescent="0.25">
      <c r="A7951" s="24" t="s">
        <v>7</v>
      </c>
      <c r="B7951" s="24" t="s">
        <v>19901</v>
      </c>
      <c r="C7951" s="25" t="s">
        <v>19902</v>
      </c>
      <c r="D7951" s="25" t="s">
        <v>19902</v>
      </c>
      <c r="E7951" s="26">
        <v>3958</v>
      </c>
      <c r="F7951" s="24" t="s">
        <v>502</v>
      </c>
    </row>
    <row r="7952" spans="1:6" x14ac:dyDescent="0.25">
      <c r="A7952" s="24" t="s">
        <v>7</v>
      </c>
      <c r="B7952" s="24" t="s">
        <v>19903</v>
      </c>
      <c r="C7952" s="25" t="s">
        <v>19902</v>
      </c>
      <c r="D7952" s="25" t="s">
        <v>19902</v>
      </c>
      <c r="E7952" s="26">
        <v>3958</v>
      </c>
      <c r="F7952" s="24" t="s">
        <v>502</v>
      </c>
    </row>
    <row r="7953" spans="1:6" x14ac:dyDescent="0.25">
      <c r="A7953" s="24" t="s">
        <v>7</v>
      </c>
      <c r="B7953" s="24" t="s">
        <v>19904</v>
      </c>
      <c r="C7953" s="25" t="s">
        <v>19905</v>
      </c>
      <c r="D7953" s="25" t="s">
        <v>19905</v>
      </c>
      <c r="E7953" s="26">
        <v>3958</v>
      </c>
      <c r="F7953" s="24" t="s">
        <v>502</v>
      </c>
    </row>
    <row r="7954" spans="1:6" x14ac:dyDescent="0.25">
      <c r="A7954" s="24" t="s">
        <v>7</v>
      </c>
      <c r="B7954" s="24" t="s">
        <v>19906</v>
      </c>
      <c r="C7954" s="25" t="s">
        <v>19907</v>
      </c>
      <c r="D7954" s="25" t="s">
        <v>19907</v>
      </c>
      <c r="E7954" s="26">
        <v>213</v>
      </c>
      <c r="F7954" s="24" t="s">
        <v>502</v>
      </c>
    </row>
    <row r="7955" spans="1:6" x14ac:dyDescent="0.25">
      <c r="A7955" s="24" t="s">
        <v>7</v>
      </c>
      <c r="B7955" s="24" t="s">
        <v>19908</v>
      </c>
      <c r="C7955" s="25" t="s">
        <v>19909</v>
      </c>
      <c r="D7955" s="25" t="s">
        <v>19905</v>
      </c>
      <c r="E7955" s="26">
        <v>1690</v>
      </c>
      <c r="F7955" s="24" t="s">
        <v>502</v>
      </c>
    </row>
    <row r="7956" spans="1:6" x14ac:dyDescent="0.25">
      <c r="A7956" s="24" t="s">
        <v>7</v>
      </c>
      <c r="B7956" s="24" t="s">
        <v>19910</v>
      </c>
      <c r="C7956" s="25" t="s">
        <v>19911</v>
      </c>
      <c r="D7956" s="25" t="s">
        <v>19911</v>
      </c>
      <c r="E7956" s="26">
        <v>3958</v>
      </c>
      <c r="F7956" s="24" t="s">
        <v>502</v>
      </c>
    </row>
    <row r="7957" spans="1:6" x14ac:dyDescent="0.25">
      <c r="A7957" s="24" t="s">
        <v>7</v>
      </c>
      <c r="B7957" s="24" t="s">
        <v>19912</v>
      </c>
      <c r="C7957" s="25" t="s">
        <v>19911</v>
      </c>
      <c r="D7957" s="25" t="s">
        <v>19911</v>
      </c>
      <c r="E7957" s="26">
        <v>3958</v>
      </c>
      <c r="F7957" s="24" t="s">
        <v>502</v>
      </c>
    </row>
    <row r="7958" spans="1:6" x14ac:dyDescent="0.25">
      <c r="A7958" s="24" t="s">
        <v>7</v>
      </c>
      <c r="B7958" s="24" t="s">
        <v>19913</v>
      </c>
      <c r="C7958" s="25" t="s">
        <v>19914</v>
      </c>
      <c r="D7958" s="25" t="s">
        <v>19914</v>
      </c>
      <c r="E7958" s="26">
        <v>3958</v>
      </c>
      <c r="F7958" s="24" t="s">
        <v>502</v>
      </c>
    </row>
    <row r="7959" spans="1:6" x14ac:dyDescent="0.25">
      <c r="A7959" s="24" t="s">
        <v>7</v>
      </c>
      <c r="B7959" s="24" t="s">
        <v>19915</v>
      </c>
      <c r="C7959" s="25" t="s">
        <v>19916</v>
      </c>
      <c r="D7959" s="25" t="s">
        <v>19916</v>
      </c>
      <c r="E7959" s="26">
        <v>3958</v>
      </c>
      <c r="F7959" s="24" t="s">
        <v>502</v>
      </c>
    </row>
    <row r="7960" spans="1:6" x14ac:dyDescent="0.25">
      <c r="A7960" s="24" t="s">
        <v>7</v>
      </c>
      <c r="B7960" s="24" t="s">
        <v>19917</v>
      </c>
      <c r="C7960" s="25" t="s">
        <v>19916</v>
      </c>
      <c r="D7960" s="25" t="s">
        <v>19916</v>
      </c>
      <c r="E7960" s="26">
        <v>3958</v>
      </c>
    </row>
    <row r="7961" spans="1:6" x14ac:dyDescent="0.25">
      <c r="A7961" s="24" t="s">
        <v>7</v>
      </c>
      <c r="B7961" s="24" t="s">
        <v>19918</v>
      </c>
      <c r="C7961" s="25" t="s">
        <v>19919</v>
      </c>
      <c r="D7961" s="25" t="s">
        <v>19919</v>
      </c>
      <c r="E7961" s="26">
        <v>3958</v>
      </c>
    </row>
    <row r="7962" spans="1:6" x14ac:dyDescent="0.25">
      <c r="A7962" s="24" t="s">
        <v>7</v>
      </c>
      <c r="B7962" s="24" t="s">
        <v>19920</v>
      </c>
      <c r="C7962" s="25" t="s">
        <v>19921</v>
      </c>
      <c r="D7962" s="25" t="s">
        <v>19921</v>
      </c>
      <c r="E7962" s="26">
        <v>3958</v>
      </c>
      <c r="F7962" s="24" t="s">
        <v>502</v>
      </c>
    </row>
    <row r="7963" spans="1:6" x14ac:dyDescent="0.25">
      <c r="A7963" s="24" t="s">
        <v>7</v>
      </c>
      <c r="B7963" s="24" t="s">
        <v>19922</v>
      </c>
      <c r="C7963" s="25" t="s">
        <v>19923</v>
      </c>
      <c r="D7963" s="25" t="s">
        <v>19924</v>
      </c>
      <c r="E7963" s="26">
        <v>3958</v>
      </c>
    </row>
    <row r="7964" spans="1:6" x14ac:dyDescent="0.25">
      <c r="A7964" s="24" t="s">
        <v>7</v>
      </c>
      <c r="B7964" s="24" t="s">
        <v>19925</v>
      </c>
      <c r="C7964" s="25" t="s">
        <v>19926</v>
      </c>
      <c r="D7964" s="25" t="s">
        <v>19926</v>
      </c>
      <c r="E7964" s="26">
        <v>1009</v>
      </c>
      <c r="F7964" s="24" t="s">
        <v>502</v>
      </c>
    </row>
    <row r="7965" spans="1:6" x14ac:dyDescent="0.25">
      <c r="A7965" s="24" t="s">
        <v>7</v>
      </c>
      <c r="B7965" s="24" t="s">
        <v>19927</v>
      </c>
      <c r="C7965" s="25" t="s">
        <v>19928</v>
      </c>
      <c r="D7965" s="25" t="s">
        <v>19928</v>
      </c>
      <c r="E7965" s="26">
        <v>3958</v>
      </c>
      <c r="F7965" s="24" t="s">
        <v>502</v>
      </c>
    </row>
    <row r="7966" spans="1:6" x14ac:dyDescent="0.25">
      <c r="A7966" s="24" t="s">
        <v>7</v>
      </c>
      <c r="B7966" s="24" t="s">
        <v>19929</v>
      </c>
      <c r="C7966" s="25" t="s">
        <v>19930</v>
      </c>
      <c r="D7966" s="25" t="s">
        <v>19930</v>
      </c>
      <c r="E7966" s="26">
        <v>3958</v>
      </c>
      <c r="F7966" s="24" t="s">
        <v>502</v>
      </c>
    </row>
    <row r="7967" spans="1:6" x14ac:dyDescent="0.25">
      <c r="A7967" s="24" t="s">
        <v>7</v>
      </c>
      <c r="B7967" s="24" t="s">
        <v>19931</v>
      </c>
      <c r="C7967" s="25" t="s">
        <v>19932</v>
      </c>
      <c r="D7967" s="25" t="s">
        <v>19932</v>
      </c>
      <c r="E7967" s="26">
        <v>359</v>
      </c>
      <c r="F7967" s="24" t="s">
        <v>502</v>
      </c>
    </row>
    <row r="7968" spans="1:6" x14ac:dyDescent="0.25">
      <c r="A7968" s="24" t="s">
        <v>7</v>
      </c>
      <c r="B7968" s="24" t="s">
        <v>19933</v>
      </c>
      <c r="C7968" s="25" t="s">
        <v>19934</v>
      </c>
      <c r="D7968" s="25" t="s">
        <v>19934</v>
      </c>
      <c r="E7968" s="26">
        <v>3958</v>
      </c>
      <c r="F7968" s="24" t="s">
        <v>502</v>
      </c>
    </row>
    <row r="7969" spans="1:6" x14ac:dyDescent="0.25">
      <c r="A7969" s="24" t="s">
        <v>7</v>
      </c>
      <c r="B7969" s="24" t="s">
        <v>19935</v>
      </c>
      <c r="C7969" s="25" t="s">
        <v>19936</v>
      </c>
      <c r="D7969" s="25" t="s">
        <v>19936</v>
      </c>
      <c r="E7969" s="26">
        <v>2020</v>
      </c>
      <c r="F7969" s="24" t="s">
        <v>502</v>
      </c>
    </row>
    <row r="7970" spans="1:6" x14ac:dyDescent="0.25">
      <c r="A7970" s="24" t="s">
        <v>7</v>
      </c>
      <c r="B7970" s="24" t="s">
        <v>19937</v>
      </c>
      <c r="C7970" s="25" t="s">
        <v>19938</v>
      </c>
      <c r="D7970" s="25" t="s">
        <v>19938</v>
      </c>
      <c r="E7970" s="26">
        <v>3958</v>
      </c>
      <c r="F7970" s="24" t="s">
        <v>502</v>
      </c>
    </row>
    <row r="7971" spans="1:6" x14ac:dyDescent="0.25">
      <c r="A7971" s="24" t="s">
        <v>7</v>
      </c>
      <c r="B7971" s="24" t="s">
        <v>19939</v>
      </c>
      <c r="C7971" s="25" t="s">
        <v>19940</v>
      </c>
      <c r="D7971" s="25" t="s">
        <v>19940</v>
      </c>
      <c r="E7971" s="26">
        <v>3958</v>
      </c>
      <c r="F7971" s="24" t="s">
        <v>502</v>
      </c>
    </row>
    <row r="7972" spans="1:6" x14ac:dyDescent="0.25">
      <c r="A7972" s="24" t="s">
        <v>7</v>
      </c>
      <c r="B7972" s="24" t="s">
        <v>19941</v>
      </c>
      <c r="C7972" s="25" t="s">
        <v>19942</v>
      </c>
      <c r="D7972" s="25" t="s">
        <v>19943</v>
      </c>
      <c r="E7972" s="26">
        <v>3958</v>
      </c>
      <c r="F7972" s="24" t="s">
        <v>502</v>
      </c>
    </row>
    <row r="7973" spans="1:6" x14ac:dyDescent="0.25">
      <c r="A7973" s="24" t="s">
        <v>7</v>
      </c>
      <c r="B7973" s="24" t="s">
        <v>19944</v>
      </c>
      <c r="C7973" s="25" t="s">
        <v>19945</v>
      </c>
      <c r="D7973" s="25" t="s">
        <v>19945</v>
      </c>
      <c r="E7973" s="26">
        <v>3958</v>
      </c>
      <c r="F7973" s="24" t="s">
        <v>502</v>
      </c>
    </row>
    <row r="7974" spans="1:6" x14ac:dyDescent="0.25">
      <c r="A7974" s="24" t="s">
        <v>7</v>
      </c>
      <c r="B7974" s="24" t="s">
        <v>19946</v>
      </c>
      <c r="C7974" s="25" t="s">
        <v>19947</v>
      </c>
      <c r="D7974" s="25" t="s">
        <v>19947</v>
      </c>
      <c r="E7974" s="26">
        <v>2091</v>
      </c>
      <c r="F7974" s="24" t="s">
        <v>502</v>
      </c>
    </row>
    <row r="7975" spans="1:6" x14ac:dyDescent="0.25">
      <c r="A7975" s="24" t="s">
        <v>7</v>
      </c>
      <c r="B7975" s="24" t="s">
        <v>19948</v>
      </c>
      <c r="C7975" s="25" t="s">
        <v>19949</v>
      </c>
      <c r="D7975" s="25" t="s">
        <v>19949</v>
      </c>
      <c r="E7975" s="26">
        <v>3958</v>
      </c>
      <c r="F7975" s="24" t="s">
        <v>502</v>
      </c>
    </row>
    <row r="7976" spans="1:6" x14ac:dyDescent="0.25">
      <c r="A7976" s="24" t="s">
        <v>7</v>
      </c>
      <c r="B7976" s="24" t="s">
        <v>19950</v>
      </c>
      <c r="C7976" s="25" t="s">
        <v>19951</v>
      </c>
      <c r="D7976" s="25" t="s">
        <v>19951</v>
      </c>
      <c r="E7976" s="26">
        <v>3958</v>
      </c>
      <c r="F7976" s="24" t="s">
        <v>502</v>
      </c>
    </row>
    <row r="7977" spans="1:6" x14ac:dyDescent="0.25">
      <c r="A7977" s="24" t="s">
        <v>7</v>
      </c>
      <c r="B7977" s="24" t="s">
        <v>19952</v>
      </c>
      <c r="C7977" s="25" t="s">
        <v>19953</v>
      </c>
      <c r="D7977" s="25" t="s">
        <v>19954</v>
      </c>
      <c r="E7977" s="26">
        <v>3958</v>
      </c>
      <c r="F7977" s="24" t="s">
        <v>502</v>
      </c>
    </row>
    <row r="7978" spans="1:6" x14ac:dyDescent="0.25">
      <c r="A7978" s="24" t="s">
        <v>7</v>
      </c>
      <c r="B7978" s="24" t="s">
        <v>19955</v>
      </c>
      <c r="C7978" s="25" t="s">
        <v>19956</v>
      </c>
      <c r="D7978" s="25" t="s">
        <v>19957</v>
      </c>
      <c r="E7978" s="26">
        <v>3958</v>
      </c>
      <c r="F7978" s="24" t="s">
        <v>502</v>
      </c>
    </row>
    <row r="7979" spans="1:6" x14ac:dyDescent="0.25">
      <c r="A7979" s="24" t="s">
        <v>7</v>
      </c>
      <c r="B7979" s="24" t="s">
        <v>19958</v>
      </c>
      <c r="C7979" s="25" t="s">
        <v>19959</v>
      </c>
      <c r="D7979" s="25" t="s">
        <v>19960</v>
      </c>
      <c r="E7979" s="26">
        <v>3958</v>
      </c>
      <c r="F7979" s="24" t="s">
        <v>502</v>
      </c>
    </row>
    <row r="7980" spans="1:6" x14ac:dyDescent="0.25">
      <c r="A7980" s="24" t="s">
        <v>7</v>
      </c>
      <c r="B7980" s="24" t="s">
        <v>19961</v>
      </c>
      <c r="C7980" s="25" t="s">
        <v>19962</v>
      </c>
      <c r="D7980" s="25" t="s">
        <v>19963</v>
      </c>
      <c r="E7980" s="26">
        <v>3958</v>
      </c>
      <c r="F7980" s="24" t="s">
        <v>502</v>
      </c>
    </row>
    <row r="7981" spans="1:6" x14ac:dyDescent="0.25">
      <c r="A7981" s="24" t="s">
        <v>7</v>
      </c>
      <c r="B7981" s="24" t="s">
        <v>19964</v>
      </c>
      <c r="C7981" s="25" t="s">
        <v>19965</v>
      </c>
      <c r="D7981" s="25" t="s">
        <v>19965</v>
      </c>
      <c r="E7981" s="26">
        <v>3958</v>
      </c>
      <c r="F7981" s="24" t="s">
        <v>502</v>
      </c>
    </row>
    <row r="7982" spans="1:6" x14ac:dyDescent="0.25">
      <c r="A7982" s="24" t="s">
        <v>7</v>
      </c>
      <c r="B7982" s="24" t="s">
        <v>19966</v>
      </c>
      <c r="C7982" s="25" t="s">
        <v>19967</v>
      </c>
      <c r="D7982" s="25" t="s">
        <v>19968</v>
      </c>
      <c r="E7982" s="26">
        <v>570</v>
      </c>
      <c r="F7982" s="24" t="s">
        <v>502</v>
      </c>
    </row>
    <row r="7983" spans="1:6" x14ac:dyDescent="0.25">
      <c r="A7983" s="24" t="s">
        <v>7</v>
      </c>
      <c r="B7983" s="24" t="s">
        <v>19969</v>
      </c>
      <c r="C7983" s="25" t="s">
        <v>19970</v>
      </c>
      <c r="D7983" s="25" t="s">
        <v>19971</v>
      </c>
      <c r="E7983" s="26">
        <v>3958</v>
      </c>
      <c r="F7983" s="24" t="s">
        <v>502</v>
      </c>
    </row>
    <row r="7984" spans="1:6" x14ac:dyDescent="0.25">
      <c r="A7984" s="24" t="s">
        <v>7</v>
      </c>
      <c r="B7984" s="24" t="s">
        <v>19972</v>
      </c>
      <c r="C7984" s="25" t="s">
        <v>19973</v>
      </c>
      <c r="D7984" s="25" t="s">
        <v>19973</v>
      </c>
      <c r="E7984" s="26">
        <v>1301</v>
      </c>
      <c r="F7984" s="24" t="s">
        <v>502</v>
      </c>
    </row>
    <row r="7985" spans="1:6" x14ac:dyDescent="0.25">
      <c r="A7985" s="24" t="s">
        <v>7</v>
      </c>
      <c r="B7985" s="24" t="s">
        <v>19974</v>
      </c>
      <c r="C7985" s="25" t="s">
        <v>19975</v>
      </c>
      <c r="D7985" s="25" t="s">
        <v>19975</v>
      </c>
      <c r="E7985" s="26">
        <v>3958</v>
      </c>
      <c r="F7985" s="24" t="s">
        <v>502</v>
      </c>
    </row>
    <row r="7986" spans="1:6" x14ac:dyDescent="0.25">
      <c r="A7986" s="24" t="s">
        <v>7</v>
      </c>
      <c r="B7986" s="24" t="s">
        <v>19976</v>
      </c>
      <c r="C7986" s="25" t="s">
        <v>19977</v>
      </c>
      <c r="D7986" s="25" t="s">
        <v>19978</v>
      </c>
      <c r="E7986" s="26">
        <v>3958</v>
      </c>
      <c r="F7986" s="24" t="s">
        <v>502</v>
      </c>
    </row>
    <row r="7987" spans="1:6" x14ac:dyDescent="0.25">
      <c r="A7987" s="24" t="s">
        <v>7</v>
      </c>
      <c r="B7987" s="24" t="s">
        <v>19979</v>
      </c>
      <c r="C7987" s="25" t="s">
        <v>19980</v>
      </c>
      <c r="D7987" s="25" t="s">
        <v>19980</v>
      </c>
      <c r="E7987" s="26">
        <v>2435</v>
      </c>
    </row>
    <row r="7988" spans="1:6" x14ac:dyDescent="0.25">
      <c r="A7988" s="24" t="s">
        <v>7</v>
      </c>
      <c r="B7988" s="24" t="s">
        <v>19981</v>
      </c>
      <c r="C7988" s="25" t="s">
        <v>19982</v>
      </c>
      <c r="D7988" s="25" t="s">
        <v>19983</v>
      </c>
      <c r="E7988" s="26">
        <v>843</v>
      </c>
    </row>
    <row r="7989" spans="1:6" x14ac:dyDescent="0.25">
      <c r="A7989" s="24" t="s">
        <v>7</v>
      </c>
      <c r="B7989" s="24" t="s">
        <v>19984</v>
      </c>
      <c r="C7989" s="25" t="s">
        <v>19985</v>
      </c>
      <c r="D7989" s="25" t="s">
        <v>19985</v>
      </c>
      <c r="E7989" s="26">
        <v>3367</v>
      </c>
      <c r="F7989" s="24" t="s">
        <v>502</v>
      </c>
    </row>
    <row r="7990" spans="1:6" x14ac:dyDescent="0.25">
      <c r="A7990" s="24" t="s">
        <v>7</v>
      </c>
      <c r="B7990" s="24" t="s">
        <v>19986</v>
      </c>
      <c r="C7990" s="25" t="s">
        <v>19987</v>
      </c>
      <c r="D7990" s="25" t="s">
        <v>19988</v>
      </c>
      <c r="E7990" s="26">
        <v>4463</v>
      </c>
      <c r="F7990" s="24" t="s">
        <v>502</v>
      </c>
    </row>
    <row r="7991" spans="1:6" x14ac:dyDescent="0.25">
      <c r="A7991" s="24" t="s">
        <v>7</v>
      </c>
      <c r="B7991" s="24" t="s">
        <v>19989</v>
      </c>
      <c r="C7991" s="25" t="s">
        <v>19990</v>
      </c>
      <c r="D7991" s="25" t="s">
        <v>19991</v>
      </c>
      <c r="E7991" s="26">
        <v>3958</v>
      </c>
      <c r="F7991" s="24" t="s">
        <v>502</v>
      </c>
    </row>
    <row r="7992" spans="1:6" x14ac:dyDescent="0.25">
      <c r="A7992" s="24" t="s">
        <v>7</v>
      </c>
      <c r="B7992" s="24" t="s">
        <v>19992</v>
      </c>
      <c r="C7992" s="25" t="s">
        <v>19993</v>
      </c>
      <c r="D7992" s="25" t="s">
        <v>19994</v>
      </c>
      <c r="E7992" s="26">
        <v>3958</v>
      </c>
    </row>
    <row r="7993" spans="1:6" x14ac:dyDescent="0.25">
      <c r="A7993" s="24" t="s">
        <v>7</v>
      </c>
      <c r="B7993" s="24" t="s">
        <v>19995</v>
      </c>
      <c r="C7993" s="25" t="s">
        <v>19996</v>
      </c>
      <c r="D7993" s="25" t="s">
        <v>19996</v>
      </c>
      <c r="E7993" s="26">
        <v>3958</v>
      </c>
      <c r="F7993" s="24" t="s">
        <v>502</v>
      </c>
    </row>
    <row r="7994" spans="1:6" x14ac:dyDescent="0.25">
      <c r="A7994" s="24" t="s">
        <v>7</v>
      </c>
      <c r="B7994" s="24" t="s">
        <v>19997</v>
      </c>
      <c r="C7994" s="25" t="s">
        <v>19998</v>
      </c>
      <c r="D7994" s="25" t="s">
        <v>19999</v>
      </c>
      <c r="E7994" s="26">
        <v>3958</v>
      </c>
      <c r="F7994" s="24" t="s">
        <v>502</v>
      </c>
    </row>
    <row r="7995" spans="1:6" x14ac:dyDescent="0.25">
      <c r="A7995" s="24" t="s">
        <v>7</v>
      </c>
      <c r="B7995" s="24" t="s">
        <v>20000</v>
      </c>
      <c r="C7995" s="25" t="s">
        <v>20001</v>
      </c>
      <c r="D7995" s="25" t="s">
        <v>20002</v>
      </c>
      <c r="E7995" s="26">
        <v>57293</v>
      </c>
    </row>
    <row r="7996" spans="1:6" x14ac:dyDescent="0.25">
      <c r="A7996" s="24" t="s">
        <v>7</v>
      </c>
      <c r="B7996" s="24" t="s">
        <v>20003</v>
      </c>
      <c r="C7996" s="25" t="s">
        <v>20004</v>
      </c>
      <c r="D7996" s="25" t="s">
        <v>20005</v>
      </c>
      <c r="E7996" s="26">
        <v>3958</v>
      </c>
      <c r="F7996" s="24" t="s">
        <v>502</v>
      </c>
    </row>
    <row r="7997" spans="1:6" x14ac:dyDescent="0.25">
      <c r="A7997" s="24" t="s">
        <v>7</v>
      </c>
      <c r="B7997" s="24" t="s">
        <v>20006</v>
      </c>
      <c r="C7997" s="25" t="s">
        <v>20007</v>
      </c>
      <c r="D7997" s="25" t="s">
        <v>2388</v>
      </c>
      <c r="E7997" s="26">
        <v>1061</v>
      </c>
    </row>
    <row r="7998" spans="1:6" x14ac:dyDescent="0.25">
      <c r="A7998" s="24" t="s">
        <v>7</v>
      </c>
      <c r="B7998" s="24" t="s">
        <v>20008</v>
      </c>
      <c r="C7998" s="25" t="s">
        <v>20009</v>
      </c>
      <c r="D7998" s="25" t="s">
        <v>20009</v>
      </c>
      <c r="E7998" s="26">
        <v>338</v>
      </c>
    </row>
    <row r="7999" spans="1:6" x14ac:dyDescent="0.25">
      <c r="A7999" s="24" t="s">
        <v>7</v>
      </c>
      <c r="B7999" s="24" t="s">
        <v>20010</v>
      </c>
      <c r="C7999" s="25" t="s">
        <v>20011</v>
      </c>
      <c r="D7999" s="25" t="s">
        <v>20011</v>
      </c>
      <c r="E7999" s="26">
        <v>3958</v>
      </c>
      <c r="F7999" s="24" t="s">
        <v>502</v>
      </c>
    </row>
    <row r="8000" spans="1:6" x14ac:dyDescent="0.25">
      <c r="A8000" s="24" t="s">
        <v>7</v>
      </c>
      <c r="B8000" s="24" t="s">
        <v>20012</v>
      </c>
      <c r="C8000" s="25" t="s">
        <v>20013</v>
      </c>
      <c r="D8000" s="25" t="s">
        <v>20013</v>
      </c>
      <c r="E8000" s="26">
        <v>718</v>
      </c>
      <c r="F8000" s="24" t="s">
        <v>502</v>
      </c>
    </row>
    <row r="8001" spans="1:6" x14ac:dyDescent="0.25">
      <c r="A8001" s="24" t="s">
        <v>7</v>
      </c>
      <c r="B8001" s="24" t="s">
        <v>20014</v>
      </c>
      <c r="C8001" s="25" t="s">
        <v>20015</v>
      </c>
      <c r="D8001" s="25" t="s">
        <v>20016</v>
      </c>
      <c r="E8001" s="26">
        <v>38655</v>
      </c>
      <c r="F8001" s="24" t="s">
        <v>502</v>
      </c>
    </row>
    <row r="8002" spans="1:6" x14ac:dyDescent="0.25">
      <c r="A8002" s="24" t="s">
        <v>7</v>
      </c>
      <c r="B8002" s="24" t="s">
        <v>20017</v>
      </c>
      <c r="C8002" s="25" t="s">
        <v>20018</v>
      </c>
      <c r="D8002" s="25" t="s">
        <v>20019</v>
      </c>
      <c r="E8002" s="26">
        <v>3958</v>
      </c>
      <c r="F8002" s="24" t="s">
        <v>502</v>
      </c>
    </row>
    <row r="8003" spans="1:6" x14ac:dyDescent="0.25">
      <c r="A8003" s="24" t="s">
        <v>7</v>
      </c>
      <c r="B8003" s="24" t="s">
        <v>20020</v>
      </c>
      <c r="C8003" s="25" t="s">
        <v>20021</v>
      </c>
      <c r="D8003" s="25" t="s">
        <v>20022</v>
      </c>
      <c r="E8003" s="26">
        <v>1237</v>
      </c>
    </row>
    <row r="8004" spans="1:6" x14ac:dyDescent="0.25">
      <c r="A8004" s="24" t="s">
        <v>7</v>
      </c>
      <c r="B8004" s="24" t="s">
        <v>20023</v>
      </c>
      <c r="C8004" s="25" t="s">
        <v>20024</v>
      </c>
      <c r="D8004" s="25" t="s">
        <v>20024</v>
      </c>
      <c r="E8004" s="26">
        <v>8247</v>
      </c>
      <c r="F8004" s="24" t="s">
        <v>502</v>
      </c>
    </row>
    <row r="8005" spans="1:6" x14ac:dyDescent="0.25">
      <c r="A8005" s="24" t="s">
        <v>7</v>
      </c>
      <c r="B8005" s="24" t="s">
        <v>20025</v>
      </c>
      <c r="C8005" s="25" t="s">
        <v>20026</v>
      </c>
      <c r="D8005" s="25" t="s">
        <v>20027</v>
      </c>
      <c r="E8005" s="26">
        <v>3160</v>
      </c>
      <c r="F8005" s="24" t="s">
        <v>502</v>
      </c>
    </row>
    <row r="8006" spans="1:6" x14ac:dyDescent="0.25">
      <c r="A8006" s="24" t="s">
        <v>7</v>
      </c>
      <c r="B8006" s="24" t="s">
        <v>20028</v>
      </c>
      <c r="C8006" s="25" t="s">
        <v>20029</v>
      </c>
      <c r="D8006" s="25" t="s">
        <v>20029</v>
      </c>
      <c r="E8006" s="26">
        <v>8208</v>
      </c>
      <c r="F8006" s="24" t="s">
        <v>502</v>
      </c>
    </row>
    <row r="8007" spans="1:6" x14ac:dyDescent="0.25">
      <c r="A8007" s="24" t="s">
        <v>7</v>
      </c>
      <c r="B8007" s="24" t="s">
        <v>20030</v>
      </c>
      <c r="C8007" s="25" t="s">
        <v>20031</v>
      </c>
      <c r="D8007" s="25" t="s">
        <v>20031</v>
      </c>
      <c r="E8007" s="26">
        <v>9163</v>
      </c>
      <c r="F8007" s="24" t="s">
        <v>502</v>
      </c>
    </row>
    <row r="8008" spans="1:6" x14ac:dyDescent="0.25">
      <c r="A8008" s="24" t="s">
        <v>7</v>
      </c>
      <c r="B8008" s="24" t="s">
        <v>20032</v>
      </c>
      <c r="C8008" s="25" t="s">
        <v>20033</v>
      </c>
      <c r="D8008" s="25" t="s">
        <v>2571</v>
      </c>
      <c r="E8008" s="26">
        <v>8052</v>
      </c>
      <c r="F8008" s="24" t="s">
        <v>502</v>
      </c>
    </row>
    <row r="8009" spans="1:6" x14ac:dyDescent="0.25">
      <c r="A8009" s="24" t="s">
        <v>7</v>
      </c>
      <c r="B8009" s="24" t="s">
        <v>20034</v>
      </c>
      <c r="C8009" s="25" t="s">
        <v>20035</v>
      </c>
      <c r="D8009" s="25" t="s">
        <v>20036</v>
      </c>
      <c r="E8009" s="26">
        <v>8051</v>
      </c>
      <c r="F8009" s="24" t="s">
        <v>502</v>
      </c>
    </row>
    <row r="8010" spans="1:6" x14ac:dyDescent="0.25">
      <c r="A8010" s="24" t="s">
        <v>7</v>
      </c>
      <c r="B8010" s="24" t="s">
        <v>20037</v>
      </c>
      <c r="C8010" s="25" t="s">
        <v>20038</v>
      </c>
      <c r="D8010" s="25" t="s">
        <v>20039</v>
      </c>
      <c r="E8010" s="26">
        <v>16522</v>
      </c>
      <c r="F8010" s="24" t="s">
        <v>502</v>
      </c>
    </row>
    <row r="8011" spans="1:6" x14ac:dyDescent="0.25">
      <c r="A8011" s="24" t="s">
        <v>7</v>
      </c>
      <c r="B8011" s="24" t="s">
        <v>20040</v>
      </c>
      <c r="C8011" s="25" t="s">
        <v>20041</v>
      </c>
      <c r="D8011" s="25" t="s">
        <v>20042</v>
      </c>
      <c r="E8011" s="26">
        <v>12485</v>
      </c>
      <c r="F8011" s="24" t="s">
        <v>502</v>
      </c>
    </row>
    <row r="8012" spans="1:6" x14ac:dyDescent="0.25">
      <c r="A8012" s="24" t="s">
        <v>7</v>
      </c>
      <c r="B8012" s="24" t="s">
        <v>20043</v>
      </c>
      <c r="C8012" s="25" t="s">
        <v>20044</v>
      </c>
      <c r="D8012" s="25" t="s">
        <v>20045</v>
      </c>
      <c r="E8012" s="26">
        <v>527</v>
      </c>
    </row>
    <row r="8013" spans="1:6" x14ac:dyDescent="0.25">
      <c r="A8013" s="24" t="s">
        <v>7</v>
      </c>
      <c r="B8013" s="24" t="s">
        <v>20046</v>
      </c>
      <c r="C8013" s="25" t="s">
        <v>20047</v>
      </c>
      <c r="D8013" s="25" t="s">
        <v>20048</v>
      </c>
      <c r="E8013" s="26">
        <v>12783</v>
      </c>
    </row>
    <row r="8014" spans="1:6" x14ac:dyDescent="0.25">
      <c r="A8014" s="24" t="s">
        <v>7</v>
      </c>
      <c r="B8014" s="24" t="s">
        <v>20049</v>
      </c>
      <c r="C8014" s="25" t="s">
        <v>20050</v>
      </c>
      <c r="D8014" s="25" t="s">
        <v>20051</v>
      </c>
      <c r="E8014" s="26">
        <v>2624</v>
      </c>
    </row>
    <row r="8015" spans="1:6" x14ac:dyDescent="0.25">
      <c r="A8015" s="24" t="s">
        <v>7</v>
      </c>
      <c r="B8015" s="24" t="s">
        <v>20052</v>
      </c>
      <c r="C8015" s="25" t="s">
        <v>20053</v>
      </c>
      <c r="D8015" s="25" t="s">
        <v>20053</v>
      </c>
      <c r="E8015" s="26">
        <v>1013</v>
      </c>
    </row>
    <row r="8016" spans="1:6" x14ac:dyDescent="0.25">
      <c r="A8016" s="24" t="s">
        <v>7</v>
      </c>
      <c r="B8016" s="24" t="s">
        <v>20054</v>
      </c>
      <c r="C8016" s="25" t="s">
        <v>20055</v>
      </c>
      <c r="D8016" s="25" t="s">
        <v>20056</v>
      </c>
      <c r="E8016" s="26">
        <v>3958</v>
      </c>
      <c r="F8016" s="24" t="s">
        <v>502</v>
      </c>
    </row>
    <row r="8017" spans="1:6" x14ac:dyDescent="0.25">
      <c r="A8017" s="24" t="s">
        <v>7</v>
      </c>
      <c r="B8017" s="24" t="s">
        <v>20057</v>
      </c>
      <c r="C8017" s="25" t="s">
        <v>20058</v>
      </c>
      <c r="D8017" s="25" t="s">
        <v>20059</v>
      </c>
      <c r="E8017" s="26">
        <v>8029</v>
      </c>
    </row>
    <row r="8018" spans="1:6" x14ac:dyDescent="0.25">
      <c r="A8018" s="24" t="s">
        <v>7</v>
      </c>
      <c r="B8018" s="24" t="s">
        <v>20060</v>
      </c>
      <c r="C8018" s="25" t="s">
        <v>20061</v>
      </c>
      <c r="D8018" s="25" t="s">
        <v>20061</v>
      </c>
      <c r="E8018" s="26">
        <v>3958</v>
      </c>
      <c r="F8018" s="24" t="s">
        <v>502</v>
      </c>
    </row>
    <row r="8019" spans="1:6" x14ac:dyDescent="0.25">
      <c r="A8019" s="24" t="s">
        <v>7</v>
      </c>
      <c r="B8019" s="24" t="s">
        <v>20062</v>
      </c>
      <c r="C8019" s="25" t="s">
        <v>20063</v>
      </c>
      <c r="D8019" s="25" t="s">
        <v>20064</v>
      </c>
      <c r="E8019" s="26">
        <v>3958</v>
      </c>
    </row>
    <row r="8020" spans="1:6" x14ac:dyDescent="0.25">
      <c r="A8020" s="24" t="s">
        <v>7</v>
      </c>
      <c r="B8020" s="24" t="s">
        <v>20065</v>
      </c>
      <c r="C8020" s="25" t="s">
        <v>20066</v>
      </c>
      <c r="D8020" s="25" t="s">
        <v>20067</v>
      </c>
      <c r="E8020" s="26">
        <v>3958</v>
      </c>
      <c r="F8020" s="24" t="s">
        <v>502</v>
      </c>
    </row>
    <row r="8021" spans="1:6" x14ac:dyDescent="0.25">
      <c r="A8021" s="24" t="s">
        <v>7</v>
      </c>
      <c r="B8021" s="24" t="s">
        <v>20068</v>
      </c>
      <c r="C8021" s="25" t="s">
        <v>20069</v>
      </c>
      <c r="D8021" s="25" t="s">
        <v>20070</v>
      </c>
      <c r="E8021" s="26">
        <v>3958</v>
      </c>
    </row>
    <row r="8022" spans="1:6" x14ac:dyDescent="0.25">
      <c r="A8022" s="24" t="s">
        <v>7</v>
      </c>
      <c r="B8022" s="24" t="s">
        <v>20071</v>
      </c>
      <c r="C8022" s="25" t="s">
        <v>20072</v>
      </c>
      <c r="D8022" s="25" t="s">
        <v>20072</v>
      </c>
      <c r="E8022" s="26">
        <v>7740</v>
      </c>
      <c r="F8022" s="24" t="s">
        <v>502</v>
      </c>
    </row>
    <row r="8023" spans="1:6" x14ac:dyDescent="0.25">
      <c r="A8023" s="24" t="s">
        <v>7</v>
      </c>
      <c r="B8023" s="24" t="s">
        <v>20073</v>
      </c>
      <c r="C8023" s="25" t="s">
        <v>20074</v>
      </c>
      <c r="D8023" s="25" t="s">
        <v>20074</v>
      </c>
      <c r="E8023" s="26">
        <v>25968</v>
      </c>
      <c r="F8023" s="24" t="s">
        <v>502</v>
      </c>
    </row>
    <row r="8024" spans="1:6" x14ac:dyDescent="0.25">
      <c r="A8024" s="24" t="s">
        <v>7</v>
      </c>
      <c r="B8024" s="24" t="s">
        <v>20075</v>
      </c>
      <c r="C8024" s="25" t="s">
        <v>20076</v>
      </c>
      <c r="D8024" s="25" t="s">
        <v>20076</v>
      </c>
      <c r="E8024" s="26">
        <v>6980</v>
      </c>
      <c r="F8024" s="24" t="s">
        <v>502</v>
      </c>
    </row>
    <row r="8025" spans="1:6" x14ac:dyDescent="0.25">
      <c r="A8025" s="24" t="s">
        <v>7</v>
      </c>
      <c r="B8025" s="24" t="s">
        <v>20077</v>
      </c>
      <c r="C8025" s="25" t="s">
        <v>20078</v>
      </c>
      <c r="D8025" s="25" t="s">
        <v>20079</v>
      </c>
      <c r="E8025" s="26">
        <v>20901</v>
      </c>
    </row>
    <row r="8026" spans="1:6" x14ac:dyDescent="0.25">
      <c r="A8026" s="24" t="s">
        <v>7</v>
      </c>
      <c r="B8026" s="24" t="s">
        <v>20080</v>
      </c>
      <c r="C8026" s="25" t="s">
        <v>20081</v>
      </c>
      <c r="D8026" s="25" t="s">
        <v>20079</v>
      </c>
      <c r="E8026" s="26">
        <v>18328</v>
      </c>
      <c r="F8026" s="24" t="s">
        <v>502</v>
      </c>
    </row>
    <row r="8027" spans="1:6" x14ac:dyDescent="0.25">
      <c r="A8027" s="24" t="s">
        <v>7</v>
      </c>
      <c r="B8027" s="24" t="s">
        <v>20082</v>
      </c>
      <c r="C8027" s="25" t="s">
        <v>20083</v>
      </c>
      <c r="D8027" s="25" t="s">
        <v>20083</v>
      </c>
      <c r="E8027" s="26">
        <v>7424</v>
      </c>
      <c r="F8027" s="24" t="s">
        <v>502</v>
      </c>
    </row>
    <row r="8028" spans="1:6" x14ac:dyDescent="0.25">
      <c r="A8028" s="24" t="s">
        <v>7</v>
      </c>
      <c r="B8028" s="24" t="s">
        <v>20084</v>
      </c>
      <c r="C8028" s="25" t="s">
        <v>19112</v>
      </c>
      <c r="D8028" s="25" t="s">
        <v>19112</v>
      </c>
      <c r="E8028" s="26">
        <v>1473</v>
      </c>
      <c r="F8028" s="24" t="s">
        <v>502</v>
      </c>
    </row>
    <row r="8029" spans="1:6" x14ac:dyDescent="0.25">
      <c r="A8029" s="24" t="s">
        <v>7</v>
      </c>
      <c r="B8029" s="24" t="s">
        <v>20085</v>
      </c>
      <c r="C8029" s="25" t="s">
        <v>19112</v>
      </c>
      <c r="D8029" s="25" t="s">
        <v>19112</v>
      </c>
      <c r="E8029" s="26">
        <v>1255</v>
      </c>
      <c r="F8029" s="24" t="s">
        <v>502</v>
      </c>
    </row>
    <row r="8030" spans="1:6" x14ac:dyDescent="0.25">
      <c r="A8030" s="24" t="s">
        <v>7</v>
      </c>
      <c r="B8030" s="24" t="s">
        <v>20086</v>
      </c>
      <c r="C8030" s="25" t="s">
        <v>20087</v>
      </c>
      <c r="D8030" s="25" t="s">
        <v>20088</v>
      </c>
      <c r="E8030" s="26">
        <v>60</v>
      </c>
      <c r="F8030" s="24" t="s">
        <v>502</v>
      </c>
    </row>
    <row r="8031" spans="1:6" x14ac:dyDescent="0.25">
      <c r="A8031" s="24" t="s">
        <v>7</v>
      </c>
      <c r="B8031" s="24" t="s">
        <v>20089</v>
      </c>
      <c r="C8031" s="25" t="s">
        <v>20090</v>
      </c>
      <c r="D8031" s="25" t="s">
        <v>20090</v>
      </c>
      <c r="E8031" s="26">
        <v>60</v>
      </c>
      <c r="F8031" s="24" t="s">
        <v>502</v>
      </c>
    </row>
    <row r="8032" spans="1:6" x14ac:dyDescent="0.25">
      <c r="A8032" s="24" t="s">
        <v>7</v>
      </c>
      <c r="B8032" s="24" t="s">
        <v>20091</v>
      </c>
      <c r="C8032" s="25" t="s">
        <v>20092</v>
      </c>
      <c r="D8032" s="25" t="s">
        <v>20092</v>
      </c>
      <c r="E8032" s="26">
        <v>2511</v>
      </c>
      <c r="F8032" s="24" t="s">
        <v>502</v>
      </c>
    </row>
    <row r="8033" spans="1:6" x14ac:dyDescent="0.25">
      <c r="A8033" s="24" t="s">
        <v>7</v>
      </c>
      <c r="B8033" s="24" t="s">
        <v>20093</v>
      </c>
      <c r="C8033" s="25" t="s">
        <v>20094</v>
      </c>
      <c r="D8033" s="25" t="s">
        <v>20094</v>
      </c>
      <c r="E8033" s="26">
        <v>25</v>
      </c>
      <c r="F8033" s="24" t="s">
        <v>502</v>
      </c>
    </row>
    <row r="8034" spans="1:6" x14ac:dyDescent="0.25">
      <c r="A8034" s="24" t="s">
        <v>7</v>
      </c>
      <c r="B8034" s="24" t="s">
        <v>20095</v>
      </c>
      <c r="C8034" s="25" t="s">
        <v>20096</v>
      </c>
      <c r="D8034" s="25" t="s">
        <v>20097</v>
      </c>
      <c r="E8034" s="26">
        <v>37857</v>
      </c>
      <c r="F8034" s="24" t="s">
        <v>502</v>
      </c>
    </row>
    <row r="8035" spans="1:6" x14ac:dyDescent="0.25">
      <c r="A8035" s="24" t="s">
        <v>7</v>
      </c>
      <c r="B8035" s="24" t="s">
        <v>20098</v>
      </c>
      <c r="C8035" s="25" t="s">
        <v>20099</v>
      </c>
      <c r="D8035" s="25" t="s">
        <v>20100</v>
      </c>
      <c r="E8035" s="26">
        <v>1062</v>
      </c>
      <c r="F8035" s="24" t="s">
        <v>502</v>
      </c>
    </row>
    <row r="8036" spans="1:6" x14ac:dyDescent="0.25">
      <c r="A8036" s="24" t="s">
        <v>7</v>
      </c>
      <c r="B8036" s="24" t="s">
        <v>20101</v>
      </c>
      <c r="C8036" s="25" t="s">
        <v>20102</v>
      </c>
      <c r="D8036" s="25" t="s">
        <v>20102</v>
      </c>
      <c r="E8036" s="26">
        <v>12902</v>
      </c>
      <c r="F8036" s="24" t="s">
        <v>502</v>
      </c>
    </row>
    <row r="8037" spans="1:6" x14ac:dyDescent="0.25">
      <c r="A8037" s="24" t="s">
        <v>7</v>
      </c>
      <c r="B8037" s="24" t="s">
        <v>20103</v>
      </c>
      <c r="C8037" s="25" t="s">
        <v>20104</v>
      </c>
      <c r="D8037" s="25" t="s">
        <v>20105</v>
      </c>
      <c r="E8037" s="26">
        <v>2488</v>
      </c>
    </row>
    <row r="8038" spans="1:6" x14ac:dyDescent="0.25">
      <c r="A8038" s="24" t="s">
        <v>7</v>
      </c>
      <c r="B8038" s="24" t="s">
        <v>20106</v>
      </c>
      <c r="C8038" s="25" t="s">
        <v>20107</v>
      </c>
      <c r="D8038" s="25" t="s">
        <v>20107</v>
      </c>
      <c r="E8038" s="26">
        <v>5715</v>
      </c>
      <c r="F8038" s="24" t="s">
        <v>502</v>
      </c>
    </row>
    <row r="8039" spans="1:6" x14ac:dyDescent="0.25">
      <c r="A8039" s="24" t="s">
        <v>7</v>
      </c>
      <c r="B8039" s="24" t="s">
        <v>20108</v>
      </c>
      <c r="C8039" s="25" t="s">
        <v>20109</v>
      </c>
      <c r="D8039" s="25" t="s">
        <v>20109</v>
      </c>
      <c r="E8039" s="26">
        <v>3655</v>
      </c>
      <c r="F8039" s="24" t="s">
        <v>502</v>
      </c>
    </row>
    <row r="8040" spans="1:6" x14ac:dyDescent="0.25">
      <c r="A8040" s="24" t="s">
        <v>7</v>
      </c>
      <c r="B8040" s="24" t="s">
        <v>20110</v>
      </c>
      <c r="C8040" s="25" t="s">
        <v>20111</v>
      </c>
      <c r="D8040" s="25" t="s">
        <v>20112</v>
      </c>
      <c r="E8040" s="26">
        <v>4241</v>
      </c>
      <c r="F8040" s="24" t="s">
        <v>502</v>
      </c>
    </row>
    <row r="8041" spans="1:6" x14ac:dyDescent="0.25">
      <c r="A8041" s="24" t="s">
        <v>7</v>
      </c>
      <c r="B8041" s="24" t="s">
        <v>20113</v>
      </c>
      <c r="C8041" s="25" t="s">
        <v>20114</v>
      </c>
      <c r="D8041" s="25" t="s">
        <v>20114</v>
      </c>
      <c r="E8041" s="26">
        <v>6659</v>
      </c>
      <c r="F8041" s="24" t="s">
        <v>502</v>
      </c>
    </row>
    <row r="8042" spans="1:6" x14ac:dyDescent="0.25">
      <c r="A8042" s="24" t="s">
        <v>7</v>
      </c>
      <c r="B8042" s="24" t="s">
        <v>20115</v>
      </c>
      <c r="C8042" s="25" t="s">
        <v>20116</v>
      </c>
      <c r="D8042" s="25" t="s">
        <v>20117</v>
      </c>
      <c r="E8042" s="26">
        <v>1666</v>
      </c>
      <c r="F8042" s="24" t="s">
        <v>502</v>
      </c>
    </row>
    <row r="8043" spans="1:6" x14ac:dyDescent="0.25">
      <c r="A8043" s="24" t="s">
        <v>7</v>
      </c>
      <c r="B8043" s="24" t="s">
        <v>20118</v>
      </c>
      <c r="C8043" s="25" t="s">
        <v>20119</v>
      </c>
      <c r="D8043" s="25" t="s">
        <v>20119</v>
      </c>
      <c r="E8043" s="26">
        <v>10247</v>
      </c>
      <c r="F8043" s="24" t="s">
        <v>502</v>
      </c>
    </row>
    <row r="8044" spans="1:6" x14ac:dyDescent="0.25">
      <c r="A8044" s="24" t="s">
        <v>7</v>
      </c>
      <c r="B8044" s="24" t="s">
        <v>20120</v>
      </c>
      <c r="C8044" s="25" t="s">
        <v>20121</v>
      </c>
      <c r="D8044" s="25" t="s">
        <v>20076</v>
      </c>
      <c r="E8044" s="26">
        <v>6859</v>
      </c>
      <c r="F8044" s="24" t="s">
        <v>502</v>
      </c>
    </row>
    <row r="8045" spans="1:6" x14ac:dyDescent="0.25">
      <c r="A8045" s="24" t="s">
        <v>7</v>
      </c>
      <c r="B8045" s="24" t="s">
        <v>20122</v>
      </c>
      <c r="C8045" s="25" t="s">
        <v>20123</v>
      </c>
      <c r="D8045" s="25" t="s">
        <v>20123</v>
      </c>
      <c r="E8045" s="26">
        <v>2338</v>
      </c>
      <c r="F8045" s="24" t="s">
        <v>502</v>
      </c>
    </row>
    <row r="8046" spans="1:6" x14ac:dyDescent="0.25">
      <c r="A8046" s="24" t="s">
        <v>7</v>
      </c>
      <c r="B8046" s="24" t="s">
        <v>20124</v>
      </c>
      <c r="C8046" s="25" t="s">
        <v>20125</v>
      </c>
      <c r="D8046" s="25" t="s">
        <v>20125</v>
      </c>
      <c r="E8046" s="26">
        <v>5633</v>
      </c>
      <c r="F8046" s="24" t="s">
        <v>502</v>
      </c>
    </row>
    <row r="8047" spans="1:6" x14ac:dyDescent="0.25">
      <c r="A8047" s="24" t="s">
        <v>7</v>
      </c>
      <c r="B8047" s="24" t="s">
        <v>20126</v>
      </c>
      <c r="C8047" s="25" t="s">
        <v>20127</v>
      </c>
      <c r="D8047" s="25" t="s">
        <v>20127</v>
      </c>
      <c r="E8047" s="26">
        <v>1830</v>
      </c>
      <c r="F8047" s="24" t="s">
        <v>502</v>
      </c>
    </row>
    <row r="8048" spans="1:6" x14ac:dyDescent="0.25">
      <c r="A8048" s="24" t="s">
        <v>7</v>
      </c>
      <c r="B8048" s="24" t="s">
        <v>20128</v>
      </c>
      <c r="C8048" s="25" t="s">
        <v>20127</v>
      </c>
      <c r="D8048" s="25" t="s">
        <v>20127</v>
      </c>
      <c r="E8048" s="26">
        <v>1421</v>
      </c>
      <c r="F8048" s="24" t="s">
        <v>502</v>
      </c>
    </row>
    <row r="8049" spans="1:6" x14ac:dyDescent="0.25">
      <c r="A8049" s="24" t="s">
        <v>7</v>
      </c>
      <c r="B8049" s="24" t="s">
        <v>20129</v>
      </c>
      <c r="C8049" s="25" t="s">
        <v>20130</v>
      </c>
      <c r="D8049" s="25" t="s">
        <v>20131</v>
      </c>
      <c r="E8049" s="26">
        <v>21686</v>
      </c>
      <c r="F8049" s="24" t="s">
        <v>502</v>
      </c>
    </row>
    <row r="8050" spans="1:6" x14ac:dyDescent="0.25">
      <c r="A8050" s="24" t="s">
        <v>7</v>
      </c>
      <c r="B8050" s="24" t="s">
        <v>20132</v>
      </c>
      <c r="C8050" s="25" t="s">
        <v>20133</v>
      </c>
      <c r="D8050" s="25" t="s">
        <v>20133</v>
      </c>
      <c r="E8050" s="26">
        <v>61211</v>
      </c>
      <c r="F8050" s="24" t="s">
        <v>502</v>
      </c>
    </row>
    <row r="8051" spans="1:6" x14ac:dyDescent="0.25">
      <c r="A8051" s="24" t="s">
        <v>7</v>
      </c>
      <c r="B8051" s="24" t="s">
        <v>20134</v>
      </c>
      <c r="C8051" s="25" t="s">
        <v>20135</v>
      </c>
      <c r="D8051" s="25" t="s">
        <v>20136</v>
      </c>
      <c r="E8051" s="26">
        <v>22764</v>
      </c>
    </row>
    <row r="8052" spans="1:6" x14ac:dyDescent="0.25">
      <c r="A8052" s="24" t="s">
        <v>7</v>
      </c>
      <c r="B8052" s="24" t="s">
        <v>20137</v>
      </c>
      <c r="C8052" s="25" t="s">
        <v>20138</v>
      </c>
      <c r="D8052" s="25" t="s">
        <v>20139</v>
      </c>
      <c r="E8052" s="26">
        <v>35798</v>
      </c>
      <c r="F8052" s="24" t="s">
        <v>502</v>
      </c>
    </row>
    <row r="8053" spans="1:6" x14ac:dyDescent="0.25">
      <c r="A8053" s="24" t="s">
        <v>7</v>
      </c>
      <c r="B8053" s="24" t="s">
        <v>20140</v>
      </c>
      <c r="C8053" s="25" t="s">
        <v>20141</v>
      </c>
      <c r="D8053" s="25" t="s">
        <v>20141</v>
      </c>
      <c r="E8053" s="26">
        <v>45294</v>
      </c>
      <c r="F8053" s="24" t="s">
        <v>502</v>
      </c>
    </row>
    <row r="8054" spans="1:6" x14ac:dyDescent="0.25">
      <c r="A8054" s="24" t="s">
        <v>7</v>
      </c>
      <c r="B8054" s="24" t="s">
        <v>20142</v>
      </c>
      <c r="C8054" s="25" t="s">
        <v>20143</v>
      </c>
      <c r="D8054" s="25" t="s">
        <v>20143</v>
      </c>
      <c r="E8054" s="26">
        <v>18327</v>
      </c>
      <c r="F8054" s="24" t="s">
        <v>502</v>
      </c>
    </row>
    <row r="8055" spans="1:6" x14ac:dyDescent="0.25">
      <c r="A8055" s="24" t="s">
        <v>7</v>
      </c>
      <c r="B8055" s="24" t="s">
        <v>20144</v>
      </c>
      <c r="C8055" s="25" t="s">
        <v>20145</v>
      </c>
      <c r="D8055" s="25" t="s">
        <v>20146</v>
      </c>
      <c r="E8055" s="26">
        <v>30142</v>
      </c>
      <c r="F8055" s="24" t="s">
        <v>502</v>
      </c>
    </row>
    <row r="8056" spans="1:6" x14ac:dyDescent="0.25">
      <c r="A8056" s="24" t="s">
        <v>7</v>
      </c>
      <c r="B8056" s="24" t="s">
        <v>20147</v>
      </c>
      <c r="C8056" s="25" t="s">
        <v>20148</v>
      </c>
      <c r="D8056" s="25" t="s">
        <v>20149</v>
      </c>
      <c r="E8056" s="26">
        <v>44702</v>
      </c>
      <c r="F8056" s="24" t="s">
        <v>502</v>
      </c>
    </row>
    <row r="8057" spans="1:6" x14ac:dyDescent="0.25">
      <c r="A8057" s="24" t="s">
        <v>7</v>
      </c>
      <c r="B8057" s="24" t="s">
        <v>20150</v>
      </c>
      <c r="C8057" s="25" t="s">
        <v>20151</v>
      </c>
      <c r="D8057" s="25" t="s">
        <v>20152</v>
      </c>
      <c r="E8057" s="26">
        <v>2698</v>
      </c>
    </row>
    <row r="8058" spans="1:6" x14ac:dyDescent="0.25">
      <c r="A8058" s="24" t="s">
        <v>7</v>
      </c>
      <c r="B8058" s="24" t="s">
        <v>20153</v>
      </c>
      <c r="C8058" s="25" t="s">
        <v>20154</v>
      </c>
      <c r="D8058" s="25" t="s">
        <v>20154</v>
      </c>
      <c r="E8058" s="26">
        <v>2925</v>
      </c>
      <c r="F8058" s="24" t="s">
        <v>502</v>
      </c>
    </row>
    <row r="8059" spans="1:6" x14ac:dyDescent="0.25">
      <c r="A8059" s="24" t="s">
        <v>7</v>
      </c>
      <c r="B8059" s="24" t="s">
        <v>20155</v>
      </c>
      <c r="C8059" s="25" t="s">
        <v>20156</v>
      </c>
      <c r="D8059" s="25" t="s">
        <v>20156</v>
      </c>
      <c r="E8059" s="26">
        <v>1796</v>
      </c>
      <c r="F8059" s="24" t="s">
        <v>502</v>
      </c>
    </row>
    <row r="8060" spans="1:6" x14ac:dyDescent="0.25">
      <c r="A8060" s="24" t="s">
        <v>7</v>
      </c>
      <c r="B8060" s="24" t="s">
        <v>20157</v>
      </c>
      <c r="C8060" s="25" t="s">
        <v>20158</v>
      </c>
      <c r="D8060" s="25" t="s">
        <v>20158</v>
      </c>
      <c r="E8060" s="26">
        <v>6859</v>
      </c>
      <c r="F8060" s="24" t="s">
        <v>502</v>
      </c>
    </row>
    <row r="8061" spans="1:6" x14ac:dyDescent="0.25">
      <c r="A8061" s="24" t="s">
        <v>7</v>
      </c>
      <c r="B8061" s="24" t="s">
        <v>20159</v>
      </c>
      <c r="C8061" s="25" t="s">
        <v>20160</v>
      </c>
      <c r="D8061" s="25" t="s">
        <v>20160</v>
      </c>
      <c r="E8061" s="26">
        <v>5468</v>
      </c>
      <c r="F8061" s="24" t="s">
        <v>502</v>
      </c>
    </row>
    <row r="8062" spans="1:6" x14ac:dyDescent="0.25">
      <c r="A8062" s="24" t="s">
        <v>7</v>
      </c>
      <c r="B8062" s="24" t="s">
        <v>20161</v>
      </c>
      <c r="C8062" s="25" t="s">
        <v>20162</v>
      </c>
      <c r="D8062" s="25" t="s">
        <v>20162</v>
      </c>
      <c r="E8062" s="26">
        <v>756</v>
      </c>
      <c r="F8062" s="24" t="s">
        <v>502</v>
      </c>
    </row>
    <row r="8063" spans="1:6" x14ac:dyDescent="0.25">
      <c r="A8063" s="24" t="s">
        <v>7</v>
      </c>
      <c r="B8063" s="24" t="s">
        <v>20163</v>
      </c>
      <c r="C8063" s="25" t="s">
        <v>20164</v>
      </c>
      <c r="D8063" s="25" t="s">
        <v>20164</v>
      </c>
      <c r="E8063" s="26">
        <v>5533</v>
      </c>
      <c r="F8063" s="24" t="s">
        <v>502</v>
      </c>
    </row>
    <row r="8064" spans="1:6" x14ac:dyDescent="0.25">
      <c r="A8064" s="24" t="s">
        <v>7</v>
      </c>
      <c r="B8064" s="24" t="s">
        <v>20165</v>
      </c>
      <c r="C8064" s="25" t="s">
        <v>20166</v>
      </c>
      <c r="D8064" s="25" t="s">
        <v>20166</v>
      </c>
      <c r="E8064" s="26">
        <v>2492</v>
      </c>
      <c r="F8064" s="24" t="s">
        <v>502</v>
      </c>
    </row>
    <row r="8065" spans="1:6" x14ac:dyDescent="0.25">
      <c r="A8065" s="24" t="s">
        <v>7</v>
      </c>
      <c r="B8065" s="24" t="s">
        <v>20167</v>
      </c>
      <c r="C8065" s="25" t="s">
        <v>20168</v>
      </c>
      <c r="D8065" s="25" t="s">
        <v>20168</v>
      </c>
      <c r="E8065" s="26">
        <v>16915</v>
      </c>
      <c r="F8065" s="24" t="s">
        <v>502</v>
      </c>
    </row>
    <row r="8066" spans="1:6" x14ac:dyDescent="0.25">
      <c r="A8066" s="24" t="s">
        <v>7</v>
      </c>
      <c r="B8066" s="24" t="s">
        <v>20169</v>
      </c>
      <c r="C8066" s="25" t="s">
        <v>20170</v>
      </c>
      <c r="D8066" s="25" t="s">
        <v>20171</v>
      </c>
      <c r="E8066" s="26">
        <v>266930</v>
      </c>
    </row>
    <row r="8067" spans="1:6" x14ac:dyDescent="0.25">
      <c r="A8067" s="24" t="s">
        <v>7</v>
      </c>
      <c r="B8067" s="24" t="s">
        <v>20172</v>
      </c>
      <c r="C8067" s="25" t="s">
        <v>20173</v>
      </c>
      <c r="D8067" s="25" t="s">
        <v>20174</v>
      </c>
      <c r="E8067" s="26">
        <v>162379</v>
      </c>
    </row>
    <row r="8068" spans="1:6" x14ac:dyDescent="0.25">
      <c r="A8068" s="24" t="s">
        <v>7</v>
      </c>
      <c r="B8068" s="24" t="s">
        <v>20175</v>
      </c>
      <c r="C8068" s="25" t="s">
        <v>20176</v>
      </c>
      <c r="D8068" s="25" t="s">
        <v>20177</v>
      </c>
      <c r="E8068" s="26">
        <v>8812</v>
      </c>
      <c r="F8068" s="24" t="s">
        <v>502</v>
      </c>
    </row>
    <row r="8069" spans="1:6" x14ac:dyDescent="0.25">
      <c r="A8069" s="24" t="s">
        <v>7</v>
      </c>
      <c r="B8069" s="24" t="s">
        <v>20178</v>
      </c>
      <c r="C8069" s="25" t="s">
        <v>20179</v>
      </c>
      <c r="D8069" s="25" t="s">
        <v>20180</v>
      </c>
      <c r="E8069" s="26">
        <v>3912</v>
      </c>
      <c r="F8069" s="24" t="s">
        <v>502</v>
      </c>
    </row>
    <row r="8070" spans="1:6" x14ac:dyDescent="0.25">
      <c r="A8070" s="24" t="s">
        <v>7</v>
      </c>
      <c r="B8070" s="24" t="s">
        <v>20181</v>
      </c>
      <c r="C8070" s="25" t="s">
        <v>20182</v>
      </c>
      <c r="D8070" s="25" t="s">
        <v>20183</v>
      </c>
      <c r="E8070" s="26">
        <v>25680</v>
      </c>
    </row>
    <row r="8071" spans="1:6" x14ac:dyDescent="0.25">
      <c r="A8071" s="24" t="s">
        <v>7</v>
      </c>
      <c r="B8071" s="24" t="s">
        <v>20184</v>
      </c>
      <c r="C8071" s="25" t="s">
        <v>20185</v>
      </c>
      <c r="D8071" s="25" t="s">
        <v>20185</v>
      </c>
      <c r="E8071" s="26">
        <v>6283</v>
      </c>
      <c r="F8071" s="24" t="s">
        <v>502</v>
      </c>
    </row>
    <row r="8072" spans="1:6" x14ac:dyDescent="0.25">
      <c r="A8072" s="24" t="s">
        <v>7</v>
      </c>
      <c r="B8072" s="24" t="s">
        <v>20186</v>
      </c>
      <c r="C8072" s="25" t="s">
        <v>20187</v>
      </c>
      <c r="D8072" s="25" t="s">
        <v>20187</v>
      </c>
      <c r="E8072" s="26">
        <v>5696</v>
      </c>
      <c r="F8072" s="24" t="s">
        <v>502</v>
      </c>
    </row>
    <row r="8073" spans="1:6" x14ac:dyDescent="0.25">
      <c r="A8073" s="24" t="s">
        <v>7</v>
      </c>
      <c r="B8073" s="24" t="s">
        <v>20188</v>
      </c>
      <c r="C8073" s="25" t="s">
        <v>20189</v>
      </c>
      <c r="D8073" s="25" t="s">
        <v>20189</v>
      </c>
      <c r="E8073" s="26">
        <v>1635</v>
      </c>
      <c r="F8073" s="24" t="s">
        <v>502</v>
      </c>
    </row>
    <row r="8074" spans="1:6" x14ac:dyDescent="0.25">
      <c r="A8074" s="24" t="s">
        <v>7</v>
      </c>
      <c r="B8074" s="24" t="s">
        <v>20190</v>
      </c>
      <c r="C8074" s="25" t="s">
        <v>20191</v>
      </c>
      <c r="D8074" s="25" t="s">
        <v>20191</v>
      </c>
      <c r="E8074" s="26">
        <v>9558</v>
      </c>
      <c r="F8074" s="24" t="s">
        <v>502</v>
      </c>
    </row>
    <row r="8075" spans="1:6" x14ac:dyDescent="0.25">
      <c r="A8075" s="24" t="s">
        <v>7</v>
      </c>
      <c r="B8075" s="24" t="s">
        <v>20192</v>
      </c>
      <c r="C8075" s="25" t="s">
        <v>20193</v>
      </c>
      <c r="D8075" s="25" t="s">
        <v>20194</v>
      </c>
      <c r="E8075" s="26">
        <v>715</v>
      </c>
      <c r="F8075" s="24" t="s">
        <v>502</v>
      </c>
    </row>
    <row r="8076" spans="1:6" x14ac:dyDescent="0.25">
      <c r="A8076" s="24" t="s">
        <v>7</v>
      </c>
      <c r="B8076" s="24" t="s">
        <v>20195</v>
      </c>
      <c r="C8076" s="25" t="s">
        <v>20196</v>
      </c>
      <c r="D8076" s="25" t="s">
        <v>20197</v>
      </c>
      <c r="E8076" s="26">
        <v>1936</v>
      </c>
    </row>
    <row r="8077" spans="1:6" x14ac:dyDescent="0.25">
      <c r="A8077" s="24" t="s">
        <v>7</v>
      </c>
      <c r="B8077" s="24" t="s">
        <v>20198</v>
      </c>
      <c r="C8077" s="25" t="s">
        <v>20199</v>
      </c>
      <c r="D8077" s="25" t="s">
        <v>20200</v>
      </c>
      <c r="E8077" s="26">
        <v>1774</v>
      </c>
    </row>
    <row r="8078" spans="1:6" x14ac:dyDescent="0.25">
      <c r="A8078" s="24" t="s">
        <v>7</v>
      </c>
      <c r="B8078" s="24" t="s">
        <v>20201</v>
      </c>
      <c r="C8078" s="25" t="s">
        <v>20202</v>
      </c>
      <c r="D8078" s="25" t="s">
        <v>20203</v>
      </c>
      <c r="E8078" s="26">
        <v>45889</v>
      </c>
      <c r="F8078" s="24" t="s">
        <v>502</v>
      </c>
    </row>
    <row r="8079" spans="1:6" x14ac:dyDescent="0.25">
      <c r="A8079" s="24" t="s">
        <v>7</v>
      </c>
      <c r="B8079" s="24" t="s">
        <v>20204</v>
      </c>
      <c r="C8079" s="25" t="s">
        <v>20205</v>
      </c>
      <c r="D8079" s="25" t="s">
        <v>20206</v>
      </c>
      <c r="E8079" s="26">
        <v>3300</v>
      </c>
    </row>
    <row r="8080" spans="1:6" x14ac:dyDescent="0.25">
      <c r="A8080" s="24" t="s">
        <v>7</v>
      </c>
      <c r="B8080" s="24" t="s">
        <v>20207</v>
      </c>
      <c r="C8080" s="25" t="s">
        <v>20208</v>
      </c>
      <c r="D8080" s="25" t="s">
        <v>20208</v>
      </c>
      <c r="E8080" s="26">
        <v>2433</v>
      </c>
      <c r="F8080" s="24" t="s">
        <v>502</v>
      </c>
    </row>
    <row r="8081" spans="1:6" x14ac:dyDescent="0.25">
      <c r="A8081" s="24" t="s">
        <v>7</v>
      </c>
      <c r="B8081" s="24" t="s">
        <v>20209</v>
      </c>
      <c r="C8081" s="25" t="s">
        <v>20210</v>
      </c>
      <c r="D8081" s="25" t="s">
        <v>20211</v>
      </c>
      <c r="E8081" s="26">
        <v>15089</v>
      </c>
    </row>
    <row r="8082" spans="1:6" x14ac:dyDescent="0.25">
      <c r="A8082" s="24" t="s">
        <v>7</v>
      </c>
      <c r="B8082" s="24" t="s">
        <v>20212</v>
      </c>
      <c r="C8082" s="25" t="s">
        <v>20213</v>
      </c>
      <c r="D8082" s="25" t="s">
        <v>20213</v>
      </c>
      <c r="E8082" s="26">
        <v>45024</v>
      </c>
      <c r="F8082" s="24" t="s">
        <v>502</v>
      </c>
    </row>
    <row r="8083" spans="1:6" x14ac:dyDescent="0.25">
      <c r="A8083" s="24" t="s">
        <v>7</v>
      </c>
      <c r="B8083" s="24" t="s">
        <v>20214</v>
      </c>
      <c r="C8083" s="25" t="s">
        <v>20215</v>
      </c>
      <c r="D8083" s="25" t="s">
        <v>20216</v>
      </c>
      <c r="E8083" s="26">
        <v>16471</v>
      </c>
    </row>
    <row r="8084" spans="1:6" x14ac:dyDescent="0.25">
      <c r="A8084" s="24" t="s">
        <v>7</v>
      </c>
      <c r="B8084" s="24" t="s">
        <v>20217</v>
      </c>
      <c r="C8084" s="25" t="s">
        <v>20218</v>
      </c>
      <c r="D8084" s="25" t="s">
        <v>20219</v>
      </c>
      <c r="E8084" s="26">
        <v>3958</v>
      </c>
      <c r="F8084" s="24" t="s">
        <v>502</v>
      </c>
    </row>
    <row r="8085" spans="1:6" x14ac:dyDescent="0.25">
      <c r="A8085" s="24" t="s">
        <v>7</v>
      </c>
      <c r="B8085" s="24" t="s">
        <v>20220</v>
      </c>
      <c r="C8085" s="25" t="s">
        <v>20221</v>
      </c>
      <c r="D8085" s="25" t="s">
        <v>20221</v>
      </c>
      <c r="E8085" s="26">
        <v>10796</v>
      </c>
      <c r="F8085" s="24" t="s">
        <v>502</v>
      </c>
    </row>
    <row r="8086" spans="1:6" x14ac:dyDescent="0.25">
      <c r="A8086" s="24" t="s">
        <v>7</v>
      </c>
      <c r="B8086" s="24" t="s">
        <v>20222</v>
      </c>
      <c r="C8086" s="25" t="s">
        <v>20223</v>
      </c>
      <c r="D8086" s="25" t="s">
        <v>20223</v>
      </c>
      <c r="E8086" s="26">
        <v>11893</v>
      </c>
      <c r="F8086" s="24" t="s">
        <v>502</v>
      </c>
    </row>
    <row r="8087" spans="1:6" x14ac:dyDescent="0.25">
      <c r="A8087" s="24" t="s">
        <v>7</v>
      </c>
      <c r="B8087" s="24" t="s">
        <v>20224</v>
      </c>
      <c r="C8087" s="25" t="s">
        <v>20225</v>
      </c>
      <c r="D8087" s="25" t="s">
        <v>20226</v>
      </c>
      <c r="E8087" s="26">
        <v>2698</v>
      </c>
      <c r="F8087" s="24" t="s">
        <v>502</v>
      </c>
    </row>
    <row r="8088" spans="1:6" x14ac:dyDescent="0.25">
      <c r="A8088" s="24" t="s">
        <v>7</v>
      </c>
      <c r="B8088" s="24" t="s">
        <v>20227</v>
      </c>
      <c r="C8088" s="25" t="s">
        <v>20228</v>
      </c>
      <c r="D8088" s="25" t="s">
        <v>20228</v>
      </c>
      <c r="E8088" s="26">
        <v>3958</v>
      </c>
      <c r="F8088" s="24" t="s">
        <v>502</v>
      </c>
    </row>
    <row r="8089" spans="1:6" x14ac:dyDescent="0.25">
      <c r="A8089" s="24" t="s">
        <v>7</v>
      </c>
      <c r="B8089" s="24" t="s">
        <v>20229</v>
      </c>
      <c r="C8089" s="25" t="s">
        <v>20230</v>
      </c>
      <c r="D8089" s="25" t="s">
        <v>20230</v>
      </c>
      <c r="E8089" s="26">
        <v>8675</v>
      </c>
      <c r="F8089" s="24" t="s">
        <v>502</v>
      </c>
    </row>
    <row r="8090" spans="1:6" x14ac:dyDescent="0.25">
      <c r="A8090" s="24" t="s">
        <v>7</v>
      </c>
      <c r="B8090" s="24" t="s">
        <v>20231</v>
      </c>
      <c r="C8090" s="25" t="s">
        <v>20232</v>
      </c>
      <c r="D8090" s="25" t="s">
        <v>20230</v>
      </c>
      <c r="E8090" s="26">
        <v>3938</v>
      </c>
      <c r="F8090" s="24" t="s">
        <v>502</v>
      </c>
    </row>
    <row r="8091" spans="1:6" x14ac:dyDescent="0.25">
      <c r="A8091" s="24" t="s">
        <v>7</v>
      </c>
      <c r="B8091" s="24" t="s">
        <v>20233</v>
      </c>
      <c r="C8091" s="25" t="s">
        <v>20234</v>
      </c>
      <c r="D8091" s="25" t="s">
        <v>20234</v>
      </c>
      <c r="E8091" s="26">
        <v>35798</v>
      </c>
      <c r="F8091" s="24" t="s">
        <v>502</v>
      </c>
    </row>
    <row r="8092" spans="1:6" x14ac:dyDescent="0.25">
      <c r="A8092" s="24" t="s">
        <v>7</v>
      </c>
      <c r="B8092" s="24" t="s">
        <v>20235</v>
      </c>
      <c r="C8092" s="25" t="s">
        <v>20236</v>
      </c>
      <c r="D8092" s="25" t="s">
        <v>20236</v>
      </c>
      <c r="E8092" s="26">
        <v>9972</v>
      </c>
      <c r="F8092" s="24" t="s">
        <v>502</v>
      </c>
    </row>
    <row r="8093" spans="1:6" x14ac:dyDescent="0.25">
      <c r="A8093" s="24" t="s">
        <v>7</v>
      </c>
      <c r="B8093" s="24" t="s">
        <v>20237</v>
      </c>
      <c r="C8093" s="25" t="s">
        <v>20238</v>
      </c>
      <c r="D8093" s="25" t="s">
        <v>20238</v>
      </c>
      <c r="E8093" s="26">
        <v>10175</v>
      </c>
    </row>
    <row r="8094" spans="1:6" x14ac:dyDescent="0.25">
      <c r="A8094" s="24" t="s">
        <v>7</v>
      </c>
      <c r="B8094" s="24" t="s">
        <v>20239</v>
      </c>
      <c r="C8094" s="25" t="s">
        <v>20240</v>
      </c>
      <c r="D8094" s="25" t="s">
        <v>20240</v>
      </c>
      <c r="E8094" s="26">
        <v>23388</v>
      </c>
      <c r="F8094" s="24" t="s">
        <v>502</v>
      </c>
    </row>
    <row r="8095" spans="1:6" x14ac:dyDescent="0.25">
      <c r="A8095" s="24" t="s">
        <v>7</v>
      </c>
      <c r="B8095" s="24" t="s">
        <v>20241</v>
      </c>
      <c r="C8095" s="25" t="s">
        <v>19025</v>
      </c>
      <c r="D8095" s="25" t="s">
        <v>19025</v>
      </c>
      <c r="E8095" s="26">
        <v>116</v>
      </c>
    </row>
    <row r="8096" spans="1:6" x14ac:dyDescent="0.25">
      <c r="A8096" s="24" t="s">
        <v>7</v>
      </c>
      <c r="B8096" s="24" t="s">
        <v>20242</v>
      </c>
      <c r="C8096" s="25" t="s">
        <v>20243</v>
      </c>
      <c r="D8096" s="25" t="s">
        <v>20243</v>
      </c>
      <c r="E8096" s="26">
        <v>3958</v>
      </c>
      <c r="F8096" s="24" t="s">
        <v>502</v>
      </c>
    </row>
    <row r="8097" spans="1:6" x14ac:dyDescent="0.25">
      <c r="A8097" s="24" t="s">
        <v>7</v>
      </c>
      <c r="B8097" s="24" t="s">
        <v>20244</v>
      </c>
      <c r="C8097" s="25" t="s">
        <v>20245</v>
      </c>
      <c r="D8097" s="25" t="s">
        <v>20246</v>
      </c>
      <c r="E8097" s="26">
        <v>1651</v>
      </c>
      <c r="F8097" s="24" t="s">
        <v>502</v>
      </c>
    </row>
    <row r="8098" spans="1:6" x14ac:dyDescent="0.25">
      <c r="A8098" s="24" t="s">
        <v>7</v>
      </c>
      <c r="B8098" s="24" t="s">
        <v>20247</v>
      </c>
      <c r="C8098" s="25" t="s">
        <v>20248</v>
      </c>
      <c r="D8098" s="25" t="s">
        <v>20248</v>
      </c>
      <c r="E8098" s="26">
        <v>3958</v>
      </c>
      <c r="F8098" s="24" t="s">
        <v>502</v>
      </c>
    </row>
    <row r="8099" spans="1:6" x14ac:dyDescent="0.25">
      <c r="A8099" s="24" t="s">
        <v>7</v>
      </c>
      <c r="B8099" s="24" t="s">
        <v>20249</v>
      </c>
      <c r="C8099" s="25" t="s">
        <v>20250</v>
      </c>
      <c r="D8099" s="25" t="s">
        <v>20251</v>
      </c>
      <c r="E8099" s="26">
        <v>17728</v>
      </c>
      <c r="F8099" s="24" t="s">
        <v>502</v>
      </c>
    </row>
    <row r="8100" spans="1:6" x14ac:dyDescent="0.25">
      <c r="A8100" s="24" t="s">
        <v>7</v>
      </c>
      <c r="B8100" s="24" t="s">
        <v>20252</v>
      </c>
      <c r="C8100" s="25" t="s">
        <v>20253</v>
      </c>
      <c r="D8100" s="25" t="s">
        <v>20254</v>
      </c>
      <c r="E8100" s="26">
        <v>3958</v>
      </c>
      <c r="F8100" s="24" t="s">
        <v>502</v>
      </c>
    </row>
    <row r="8101" spans="1:6" x14ac:dyDescent="0.25">
      <c r="A8101" s="24" t="s">
        <v>7</v>
      </c>
      <c r="B8101" s="24" t="s">
        <v>20255</v>
      </c>
      <c r="C8101" s="25" t="s">
        <v>20256</v>
      </c>
      <c r="D8101" s="25" t="s">
        <v>20256</v>
      </c>
      <c r="E8101" s="26">
        <v>3958</v>
      </c>
      <c r="F8101" s="24" t="s">
        <v>502</v>
      </c>
    </row>
    <row r="8102" spans="1:6" x14ac:dyDescent="0.25">
      <c r="A8102" s="24" t="s">
        <v>7</v>
      </c>
      <c r="B8102" s="24" t="s">
        <v>20257</v>
      </c>
      <c r="C8102" s="25" t="s">
        <v>20258</v>
      </c>
      <c r="D8102" s="25" t="s">
        <v>20258</v>
      </c>
      <c r="E8102" s="26">
        <v>2657</v>
      </c>
      <c r="F8102" s="24" t="s">
        <v>502</v>
      </c>
    </row>
    <row r="8103" spans="1:6" x14ac:dyDescent="0.25">
      <c r="A8103" s="24" t="s">
        <v>7</v>
      </c>
      <c r="B8103" s="24" t="s">
        <v>20259</v>
      </c>
      <c r="C8103" s="25" t="s">
        <v>20260</v>
      </c>
      <c r="D8103" s="25" t="s">
        <v>20261</v>
      </c>
      <c r="E8103" s="26">
        <v>5416</v>
      </c>
    </row>
    <row r="8104" spans="1:6" x14ac:dyDescent="0.25">
      <c r="A8104" s="24" t="s">
        <v>7</v>
      </c>
      <c r="B8104" s="24" t="s">
        <v>20262</v>
      </c>
      <c r="C8104" s="25" t="s">
        <v>20263</v>
      </c>
      <c r="D8104" s="25" t="s">
        <v>20263</v>
      </c>
      <c r="E8104" s="26">
        <v>1094</v>
      </c>
    </row>
    <row r="8105" spans="1:6" x14ac:dyDescent="0.25">
      <c r="A8105" s="24" t="s">
        <v>7</v>
      </c>
      <c r="B8105" s="24" t="s">
        <v>20264</v>
      </c>
      <c r="C8105" s="25" t="s">
        <v>20265</v>
      </c>
      <c r="D8105" s="25" t="s">
        <v>20265</v>
      </c>
      <c r="E8105" s="26">
        <v>3145</v>
      </c>
      <c r="F8105" s="24" t="s">
        <v>502</v>
      </c>
    </row>
    <row r="8106" spans="1:6" x14ac:dyDescent="0.25">
      <c r="A8106" s="24" t="s">
        <v>7</v>
      </c>
      <c r="B8106" s="24" t="s">
        <v>20266</v>
      </c>
      <c r="C8106" s="25" t="s">
        <v>20267</v>
      </c>
      <c r="D8106" s="25" t="s">
        <v>20268</v>
      </c>
      <c r="E8106" s="26">
        <v>16947</v>
      </c>
      <c r="F8106" s="24" t="s">
        <v>502</v>
      </c>
    </row>
    <row r="8107" spans="1:6" x14ac:dyDescent="0.25">
      <c r="A8107" s="24" t="s">
        <v>7</v>
      </c>
      <c r="B8107" s="24" t="s">
        <v>20269</v>
      </c>
      <c r="C8107" s="25" t="s">
        <v>20270</v>
      </c>
      <c r="D8107" s="25" t="s">
        <v>20271</v>
      </c>
      <c r="E8107" s="26">
        <v>12075</v>
      </c>
    </row>
    <row r="8108" spans="1:6" x14ac:dyDescent="0.25">
      <c r="A8108" s="24" t="s">
        <v>7</v>
      </c>
      <c r="B8108" s="24" t="s">
        <v>20272</v>
      </c>
      <c r="C8108" s="25" t="s">
        <v>20273</v>
      </c>
      <c r="D8108" s="25" t="s">
        <v>20274</v>
      </c>
      <c r="E8108" s="26">
        <v>2132</v>
      </c>
      <c r="F8108" s="24" t="s">
        <v>502</v>
      </c>
    </row>
    <row r="8109" spans="1:6" x14ac:dyDescent="0.25">
      <c r="A8109" s="24" t="s">
        <v>7</v>
      </c>
      <c r="B8109" s="24" t="s">
        <v>20275</v>
      </c>
      <c r="C8109" s="25" t="s">
        <v>20276</v>
      </c>
      <c r="D8109" s="25" t="s">
        <v>20277</v>
      </c>
      <c r="E8109" s="26">
        <v>5393</v>
      </c>
    </row>
    <row r="8110" spans="1:6" x14ac:dyDescent="0.25">
      <c r="A8110" s="24" t="s">
        <v>7</v>
      </c>
      <c r="B8110" s="24" t="s">
        <v>20278</v>
      </c>
      <c r="C8110" s="25" t="s">
        <v>20279</v>
      </c>
      <c r="D8110" s="25" t="s">
        <v>20280</v>
      </c>
      <c r="E8110" s="26">
        <v>4434</v>
      </c>
      <c r="F8110" s="24" t="s">
        <v>502</v>
      </c>
    </row>
    <row r="8111" spans="1:6" x14ac:dyDescent="0.25">
      <c r="A8111" s="24" t="s">
        <v>7</v>
      </c>
      <c r="B8111" s="24" t="s">
        <v>20281</v>
      </c>
      <c r="C8111" s="25" t="s">
        <v>20282</v>
      </c>
      <c r="D8111" s="25" t="s">
        <v>20283</v>
      </c>
      <c r="E8111" s="26">
        <v>33859</v>
      </c>
    </row>
    <row r="8112" spans="1:6" x14ac:dyDescent="0.25">
      <c r="A8112" s="24" t="s">
        <v>7</v>
      </c>
      <c r="B8112" s="24" t="s">
        <v>20284</v>
      </c>
      <c r="C8112" s="25" t="s">
        <v>20285</v>
      </c>
      <c r="D8112" s="25" t="s">
        <v>20286</v>
      </c>
      <c r="E8112" s="26">
        <v>11501</v>
      </c>
    </row>
    <row r="8113" spans="1:6" x14ac:dyDescent="0.25">
      <c r="A8113" s="24" t="s">
        <v>7</v>
      </c>
      <c r="B8113" s="24" t="s">
        <v>20287</v>
      </c>
      <c r="C8113" s="25" t="s">
        <v>20288</v>
      </c>
      <c r="D8113" s="25" t="s">
        <v>20289</v>
      </c>
      <c r="E8113" s="26">
        <v>2699</v>
      </c>
      <c r="F8113" s="24" t="s">
        <v>502</v>
      </c>
    </row>
    <row r="8114" spans="1:6" x14ac:dyDescent="0.25">
      <c r="A8114" s="24" t="s">
        <v>7</v>
      </c>
      <c r="B8114" s="24" t="s">
        <v>20290</v>
      </c>
      <c r="C8114" s="25" t="s">
        <v>20291</v>
      </c>
      <c r="D8114" s="25" t="s">
        <v>20292</v>
      </c>
      <c r="E8114" s="26">
        <v>5275</v>
      </c>
      <c r="F8114" s="24" t="s">
        <v>502</v>
      </c>
    </row>
    <row r="8115" spans="1:6" x14ac:dyDescent="0.25">
      <c r="A8115" s="24" t="s">
        <v>7</v>
      </c>
      <c r="B8115" s="24" t="s">
        <v>20293</v>
      </c>
      <c r="C8115" s="25" t="s">
        <v>20294</v>
      </c>
      <c r="D8115" s="25" t="s">
        <v>20295</v>
      </c>
      <c r="E8115" s="26">
        <v>2881</v>
      </c>
      <c r="F8115" s="24" t="s">
        <v>502</v>
      </c>
    </row>
    <row r="8116" spans="1:6" x14ac:dyDescent="0.25">
      <c r="A8116" s="24" t="s">
        <v>7</v>
      </c>
      <c r="B8116" s="24" t="s">
        <v>20296</v>
      </c>
      <c r="C8116" s="25" t="s">
        <v>20297</v>
      </c>
      <c r="D8116" s="25" t="s">
        <v>2542</v>
      </c>
      <c r="E8116" s="26">
        <v>87251</v>
      </c>
    </row>
    <row r="8117" spans="1:6" x14ac:dyDescent="0.25">
      <c r="A8117" s="24" t="s">
        <v>7</v>
      </c>
      <c r="B8117" s="24" t="s">
        <v>20298</v>
      </c>
      <c r="C8117" s="25" t="s">
        <v>20299</v>
      </c>
      <c r="D8117" s="25" t="s">
        <v>20300</v>
      </c>
      <c r="E8117" s="26">
        <v>793</v>
      </c>
      <c r="F8117" s="24" t="s">
        <v>502</v>
      </c>
    </row>
    <row r="8118" spans="1:6" x14ac:dyDescent="0.25">
      <c r="A8118" s="24" t="s">
        <v>7</v>
      </c>
      <c r="B8118" s="24" t="s">
        <v>20301</v>
      </c>
      <c r="C8118" s="25" t="s">
        <v>20302</v>
      </c>
      <c r="D8118" s="25" t="s">
        <v>20302</v>
      </c>
      <c r="E8118" s="26">
        <v>404</v>
      </c>
      <c r="F8118" s="24" t="s">
        <v>502</v>
      </c>
    </row>
    <row r="8119" spans="1:6" x14ac:dyDescent="0.25">
      <c r="A8119" s="24" t="s">
        <v>7</v>
      </c>
      <c r="B8119" s="24" t="s">
        <v>20303</v>
      </c>
      <c r="C8119" s="25" t="s">
        <v>20304</v>
      </c>
      <c r="D8119" s="25" t="s">
        <v>20305</v>
      </c>
      <c r="E8119" s="26">
        <v>411</v>
      </c>
      <c r="F8119" s="24" t="s">
        <v>502</v>
      </c>
    </row>
    <row r="8120" spans="1:6" x14ac:dyDescent="0.25">
      <c r="A8120" s="24" t="s">
        <v>7</v>
      </c>
      <c r="B8120" s="24" t="s">
        <v>20306</v>
      </c>
      <c r="C8120" s="25" t="s">
        <v>20307</v>
      </c>
      <c r="D8120" s="25" t="s">
        <v>20308</v>
      </c>
      <c r="E8120" s="26">
        <v>793</v>
      </c>
      <c r="F8120" s="24" t="s">
        <v>502</v>
      </c>
    </row>
    <row r="8121" spans="1:6" x14ac:dyDescent="0.25">
      <c r="A8121" s="24" t="s">
        <v>7</v>
      </c>
      <c r="B8121" s="24" t="s">
        <v>20309</v>
      </c>
      <c r="C8121" s="25" t="s">
        <v>20310</v>
      </c>
      <c r="D8121" s="25" t="s">
        <v>3061</v>
      </c>
      <c r="E8121" s="26">
        <v>175</v>
      </c>
      <c r="F8121" s="24" t="s">
        <v>502</v>
      </c>
    </row>
    <row r="8122" spans="1:6" x14ac:dyDescent="0.25">
      <c r="A8122" s="24" t="s">
        <v>7</v>
      </c>
      <c r="B8122" s="24" t="s">
        <v>20311</v>
      </c>
      <c r="C8122" s="25" t="s">
        <v>20312</v>
      </c>
      <c r="D8122" s="25" t="s">
        <v>20313</v>
      </c>
      <c r="E8122" s="26">
        <v>25651.37</v>
      </c>
      <c r="F8122" s="24" t="s">
        <v>502</v>
      </c>
    </row>
    <row r="8123" spans="1:6" x14ac:dyDescent="0.25">
      <c r="A8123" s="24" t="s">
        <v>7</v>
      </c>
      <c r="B8123" s="24" t="s">
        <v>20314</v>
      </c>
      <c r="C8123" s="25" t="s">
        <v>20315</v>
      </c>
      <c r="D8123" s="25" t="s">
        <v>20315</v>
      </c>
      <c r="E8123" s="26">
        <v>937</v>
      </c>
    </row>
    <row r="8124" spans="1:6" x14ac:dyDescent="0.25">
      <c r="A8124" s="24" t="s">
        <v>7</v>
      </c>
      <c r="B8124" s="24" t="s">
        <v>20316</v>
      </c>
      <c r="C8124" s="25" t="s">
        <v>20317</v>
      </c>
      <c r="D8124" s="25" t="s">
        <v>20318</v>
      </c>
      <c r="E8124" s="26">
        <v>1109</v>
      </c>
    </row>
    <row r="8125" spans="1:6" x14ac:dyDescent="0.25">
      <c r="A8125" s="24" t="s">
        <v>7</v>
      </c>
      <c r="B8125" s="24" t="s">
        <v>20319</v>
      </c>
      <c r="C8125" s="25" t="s">
        <v>20320</v>
      </c>
      <c r="D8125" s="25" t="s">
        <v>20321</v>
      </c>
      <c r="E8125" s="26">
        <v>996</v>
      </c>
      <c r="F8125" s="24" t="s">
        <v>502</v>
      </c>
    </row>
    <row r="8126" spans="1:6" x14ac:dyDescent="0.25">
      <c r="A8126" s="24" t="s">
        <v>7</v>
      </c>
      <c r="B8126" s="24" t="s">
        <v>20322</v>
      </c>
      <c r="C8126" s="25" t="s">
        <v>20323</v>
      </c>
      <c r="D8126" s="25" t="s">
        <v>20324</v>
      </c>
      <c r="E8126" s="26">
        <v>2196</v>
      </c>
      <c r="F8126" s="24" t="s">
        <v>502</v>
      </c>
    </row>
    <row r="8127" spans="1:6" x14ac:dyDescent="0.25">
      <c r="A8127" s="24" t="s">
        <v>7</v>
      </c>
      <c r="B8127" s="24" t="s">
        <v>20325</v>
      </c>
      <c r="C8127" s="25" t="s">
        <v>20326</v>
      </c>
      <c r="D8127" s="25" t="s">
        <v>20326</v>
      </c>
      <c r="E8127" s="26">
        <v>2900</v>
      </c>
      <c r="F8127" s="24" t="s">
        <v>502</v>
      </c>
    </row>
    <row r="8128" spans="1:6" x14ac:dyDescent="0.25">
      <c r="A8128" s="24" t="s">
        <v>7</v>
      </c>
      <c r="B8128" s="24" t="s">
        <v>20327</v>
      </c>
      <c r="C8128" s="25" t="s">
        <v>20328</v>
      </c>
      <c r="D8128" s="25" t="s">
        <v>20329</v>
      </c>
      <c r="E8128" s="26">
        <v>1366</v>
      </c>
      <c r="F8128" s="24" t="s">
        <v>502</v>
      </c>
    </row>
    <row r="8129" spans="1:6" x14ac:dyDescent="0.25">
      <c r="A8129" s="24" t="s">
        <v>7</v>
      </c>
      <c r="B8129" s="24" t="s">
        <v>20330</v>
      </c>
      <c r="C8129" s="25" t="s">
        <v>20331</v>
      </c>
      <c r="D8129" s="25" t="s">
        <v>20332</v>
      </c>
      <c r="E8129" s="26">
        <v>3309</v>
      </c>
      <c r="F8129" s="24" t="s">
        <v>502</v>
      </c>
    </row>
    <row r="8130" spans="1:6" x14ac:dyDescent="0.25">
      <c r="A8130" s="24" t="s">
        <v>7</v>
      </c>
      <c r="B8130" s="24" t="s">
        <v>20333</v>
      </c>
      <c r="C8130" s="25" t="s">
        <v>20334</v>
      </c>
      <c r="D8130" s="25" t="s">
        <v>20334</v>
      </c>
      <c r="E8130" s="26">
        <v>11744</v>
      </c>
      <c r="F8130" s="24" t="s">
        <v>502</v>
      </c>
    </row>
    <row r="8131" spans="1:6" x14ac:dyDescent="0.25">
      <c r="A8131" s="24" t="s">
        <v>7</v>
      </c>
      <c r="B8131" s="24" t="s">
        <v>20335</v>
      </c>
      <c r="C8131" s="25" t="s">
        <v>20336</v>
      </c>
      <c r="D8131" s="25" t="s">
        <v>20337</v>
      </c>
      <c r="E8131" s="26">
        <v>2569</v>
      </c>
    </row>
    <row r="8132" spans="1:6" x14ac:dyDescent="0.25">
      <c r="A8132" s="24" t="s">
        <v>7</v>
      </c>
      <c r="B8132" s="24" t="s">
        <v>20340</v>
      </c>
      <c r="C8132" s="25" t="s">
        <v>20341</v>
      </c>
      <c r="D8132" s="25" t="s">
        <v>20342</v>
      </c>
      <c r="E8132" s="26">
        <v>7414</v>
      </c>
      <c r="F8132" s="24" t="s">
        <v>502</v>
      </c>
    </row>
    <row r="8133" spans="1:6" x14ac:dyDescent="0.25">
      <c r="A8133" s="24" t="s">
        <v>7</v>
      </c>
      <c r="B8133" s="24" t="s">
        <v>20343</v>
      </c>
      <c r="C8133" s="25" t="s">
        <v>20344</v>
      </c>
      <c r="D8133" s="25" t="s">
        <v>20345</v>
      </c>
      <c r="E8133" s="26">
        <v>793</v>
      </c>
    </row>
    <row r="8134" spans="1:6" x14ac:dyDescent="0.25">
      <c r="A8134" s="24" t="s">
        <v>7</v>
      </c>
      <c r="B8134" s="24" t="s">
        <v>20346</v>
      </c>
      <c r="C8134" s="25" t="s">
        <v>20347</v>
      </c>
      <c r="D8134" s="25" t="s">
        <v>20348</v>
      </c>
      <c r="E8134" s="26">
        <v>793</v>
      </c>
    </row>
    <row r="8135" spans="1:6" x14ac:dyDescent="0.25">
      <c r="A8135" s="24" t="s">
        <v>7</v>
      </c>
      <c r="B8135" s="24" t="s">
        <v>20349</v>
      </c>
      <c r="C8135" s="25" t="s">
        <v>20350</v>
      </c>
      <c r="D8135" s="25" t="s">
        <v>20351</v>
      </c>
      <c r="E8135" s="26">
        <v>793</v>
      </c>
    </row>
    <row r="8136" spans="1:6" x14ac:dyDescent="0.25">
      <c r="A8136" s="24" t="s">
        <v>7</v>
      </c>
      <c r="B8136" s="24" t="s">
        <v>20352</v>
      </c>
      <c r="C8136" s="25" t="s">
        <v>20353</v>
      </c>
      <c r="D8136" s="25" t="s">
        <v>20354</v>
      </c>
      <c r="E8136" s="26">
        <v>1597</v>
      </c>
    </row>
    <row r="8137" spans="1:6" x14ac:dyDescent="0.25">
      <c r="A8137" s="24" t="s">
        <v>7</v>
      </c>
      <c r="B8137" s="24" t="s">
        <v>20355</v>
      </c>
      <c r="C8137" s="25" t="s">
        <v>20356</v>
      </c>
      <c r="D8137" s="25" t="s">
        <v>20357</v>
      </c>
      <c r="E8137" s="26">
        <v>242</v>
      </c>
      <c r="F8137" s="24" t="s">
        <v>502</v>
      </c>
    </row>
    <row r="8138" spans="1:6" x14ac:dyDescent="0.25">
      <c r="A8138" s="24" t="s">
        <v>7</v>
      </c>
      <c r="B8138" s="24" t="s">
        <v>20358</v>
      </c>
      <c r="C8138" s="25" t="s">
        <v>20359</v>
      </c>
      <c r="D8138" s="25" t="s">
        <v>20360</v>
      </c>
      <c r="E8138" s="26">
        <v>7939</v>
      </c>
    </row>
    <row r="8139" spans="1:6" x14ac:dyDescent="0.25">
      <c r="A8139" s="24" t="s">
        <v>7</v>
      </c>
      <c r="B8139" s="24" t="s">
        <v>20361</v>
      </c>
      <c r="C8139" s="25" t="s">
        <v>20362</v>
      </c>
      <c r="D8139" s="25" t="s">
        <v>20363</v>
      </c>
      <c r="E8139" s="26">
        <v>1077</v>
      </c>
    </row>
    <row r="8140" spans="1:6" x14ac:dyDescent="0.25">
      <c r="A8140" s="24" t="s">
        <v>7</v>
      </c>
      <c r="B8140" s="24" t="s">
        <v>20364</v>
      </c>
      <c r="C8140" s="25" t="s">
        <v>20365</v>
      </c>
      <c r="D8140" s="25" t="s">
        <v>20366</v>
      </c>
      <c r="E8140" s="26">
        <v>4236</v>
      </c>
    </row>
    <row r="8141" spans="1:6" x14ac:dyDescent="0.25">
      <c r="A8141" s="24" t="s">
        <v>7</v>
      </c>
      <c r="B8141" s="24" t="s">
        <v>20367</v>
      </c>
      <c r="C8141" s="25" t="s">
        <v>20368</v>
      </c>
      <c r="D8141" s="25" t="s">
        <v>20369</v>
      </c>
      <c r="E8141" s="26">
        <v>8697</v>
      </c>
    </row>
    <row r="8142" spans="1:6" x14ac:dyDescent="0.25">
      <c r="A8142" s="24" t="s">
        <v>7</v>
      </c>
      <c r="B8142" s="24" t="s">
        <v>20370</v>
      </c>
      <c r="C8142" s="25" t="s">
        <v>20371</v>
      </c>
      <c r="D8142" s="25" t="s">
        <v>20372</v>
      </c>
      <c r="E8142" s="26">
        <v>8526</v>
      </c>
      <c r="F8142" s="24" t="s">
        <v>502</v>
      </c>
    </row>
    <row r="8143" spans="1:6" x14ac:dyDescent="0.25">
      <c r="A8143" s="24" t="s">
        <v>7</v>
      </c>
      <c r="B8143" s="24" t="s">
        <v>20373</v>
      </c>
      <c r="C8143" s="25" t="s">
        <v>20374</v>
      </c>
      <c r="D8143" s="25" t="s">
        <v>20375</v>
      </c>
      <c r="E8143" s="26">
        <v>3958</v>
      </c>
      <c r="F8143" s="24" t="s">
        <v>502</v>
      </c>
    </row>
    <row r="8144" spans="1:6" x14ac:dyDescent="0.25">
      <c r="A8144" s="24" t="s">
        <v>7</v>
      </c>
      <c r="B8144" s="24" t="s">
        <v>20376</v>
      </c>
      <c r="C8144" s="25" t="s">
        <v>20377</v>
      </c>
      <c r="D8144" s="25" t="s">
        <v>20377</v>
      </c>
      <c r="E8144" s="26">
        <v>6335</v>
      </c>
      <c r="F8144" s="24" t="s">
        <v>502</v>
      </c>
    </row>
    <row r="8145" spans="1:6" x14ac:dyDescent="0.25">
      <c r="A8145" s="24" t="s">
        <v>7</v>
      </c>
      <c r="B8145" s="24" t="s">
        <v>20378</v>
      </c>
      <c r="C8145" s="25" t="s">
        <v>20379</v>
      </c>
      <c r="D8145" s="25" t="s">
        <v>20380</v>
      </c>
      <c r="E8145" s="26">
        <v>9435</v>
      </c>
      <c r="F8145" s="24" t="s">
        <v>502</v>
      </c>
    </row>
    <row r="8146" spans="1:6" x14ac:dyDescent="0.25">
      <c r="A8146" s="24" t="s">
        <v>7</v>
      </c>
      <c r="B8146" s="24" t="s">
        <v>20381</v>
      </c>
      <c r="C8146" s="25" t="s">
        <v>20382</v>
      </c>
      <c r="D8146" s="25" t="s">
        <v>20382</v>
      </c>
      <c r="E8146" s="26">
        <v>7638</v>
      </c>
    </row>
    <row r="8147" spans="1:6" x14ac:dyDescent="0.25">
      <c r="A8147" s="24" t="s">
        <v>7</v>
      </c>
      <c r="B8147" s="24" t="s">
        <v>20383</v>
      </c>
      <c r="C8147" s="25" t="s">
        <v>20384</v>
      </c>
      <c r="D8147" s="25" t="s">
        <v>20384</v>
      </c>
      <c r="E8147" s="26">
        <v>17880</v>
      </c>
      <c r="F8147" s="24" t="s">
        <v>502</v>
      </c>
    </row>
    <row r="8148" spans="1:6" x14ac:dyDescent="0.25">
      <c r="A8148" s="24" t="s">
        <v>7</v>
      </c>
      <c r="B8148" s="24" t="s">
        <v>20385</v>
      </c>
      <c r="C8148" s="25" t="s">
        <v>20386</v>
      </c>
      <c r="D8148" s="25" t="s">
        <v>20386</v>
      </c>
      <c r="E8148" s="26">
        <v>658</v>
      </c>
      <c r="F8148" s="24" t="s">
        <v>502</v>
      </c>
    </row>
    <row r="8149" spans="1:6" x14ac:dyDescent="0.25">
      <c r="A8149" s="24" t="s">
        <v>7</v>
      </c>
      <c r="B8149" s="24" t="s">
        <v>20387</v>
      </c>
      <c r="C8149" s="25" t="s">
        <v>20388</v>
      </c>
      <c r="D8149" s="25" t="s">
        <v>20388</v>
      </c>
      <c r="E8149" s="26">
        <v>135</v>
      </c>
    </row>
    <row r="8150" spans="1:6" x14ac:dyDescent="0.25">
      <c r="A8150" s="24" t="s">
        <v>7</v>
      </c>
      <c r="B8150" s="24" t="s">
        <v>20389</v>
      </c>
      <c r="C8150" s="25" t="s">
        <v>20390</v>
      </c>
      <c r="D8150" s="25" t="s">
        <v>20391</v>
      </c>
      <c r="E8150" s="26">
        <v>3568</v>
      </c>
    </row>
    <row r="8151" spans="1:6" x14ac:dyDescent="0.25">
      <c r="A8151" s="24" t="s">
        <v>7</v>
      </c>
      <c r="B8151" s="24" t="s">
        <v>20392</v>
      </c>
      <c r="C8151" s="25" t="s">
        <v>20393</v>
      </c>
      <c r="D8151" s="25" t="s">
        <v>20394</v>
      </c>
      <c r="E8151" s="26">
        <v>8373</v>
      </c>
    </row>
    <row r="8152" spans="1:6" x14ac:dyDescent="0.25">
      <c r="A8152" s="24" t="s">
        <v>7</v>
      </c>
      <c r="B8152" s="24" t="s">
        <v>20395</v>
      </c>
      <c r="C8152" s="25" t="s">
        <v>20396</v>
      </c>
      <c r="D8152" s="25" t="s">
        <v>20397</v>
      </c>
      <c r="E8152" s="26">
        <v>2497</v>
      </c>
    </row>
    <row r="8153" spans="1:6" x14ac:dyDescent="0.25">
      <c r="A8153" s="24" t="s">
        <v>7</v>
      </c>
      <c r="B8153" s="24" t="s">
        <v>20398</v>
      </c>
      <c r="C8153" s="25" t="s">
        <v>20399</v>
      </c>
      <c r="D8153" s="25" t="s">
        <v>20400</v>
      </c>
      <c r="E8153" s="26">
        <v>60</v>
      </c>
      <c r="F8153" s="24" t="s">
        <v>502</v>
      </c>
    </row>
    <row r="8154" spans="1:6" x14ac:dyDescent="0.25">
      <c r="A8154" s="24" t="s">
        <v>7</v>
      </c>
      <c r="B8154" s="24" t="s">
        <v>20401</v>
      </c>
      <c r="C8154" s="25" t="s">
        <v>20402</v>
      </c>
      <c r="D8154" s="25" t="s">
        <v>20403</v>
      </c>
      <c r="E8154" s="26">
        <v>27207</v>
      </c>
    </row>
    <row r="8155" spans="1:6" x14ac:dyDescent="0.25">
      <c r="A8155" s="24" t="s">
        <v>7</v>
      </c>
      <c r="B8155" s="24" t="s">
        <v>20404</v>
      </c>
      <c r="C8155" s="25" t="s">
        <v>20405</v>
      </c>
      <c r="D8155" s="25" t="s">
        <v>20406</v>
      </c>
      <c r="E8155" s="26">
        <v>8526</v>
      </c>
      <c r="F8155" s="24" t="s">
        <v>502</v>
      </c>
    </row>
    <row r="8156" spans="1:6" x14ac:dyDescent="0.25">
      <c r="A8156" s="24" t="s">
        <v>7</v>
      </c>
      <c r="B8156" s="24" t="s">
        <v>20407</v>
      </c>
      <c r="C8156" s="25" t="s">
        <v>20408</v>
      </c>
      <c r="D8156" s="25" t="s">
        <v>20409</v>
      </c>
      <c r="E8156" s="26">
        <v>2698</v>
      </c>
      <c r="F8156" s="24" t="s">
        <v>502</v>
      </c>
    </row>
    <row r="8157" spans="1:6" x14ac:dyDescent="0.25">
      <c r="A8157" s="24" t="s">
        <v>7</v>
      </c>
      <c r="B8157" s="24" t="s">
        <v>20410</v>
      </c>
      <c r="C8157" s="25" t="s">
        <v>20411</v>
      </c>
      <c r="D8157" s="25" t="s">
        <v>20412</v>
      </c>
      <c r="E8157" s="26">
        <v>2017</v>
      </c>
      <c r="F8157" s="24" t="s">
        <v>502</v>
      </c>
    </row>
    <row r="8158" spans="1:6" x14ac:dyDescent="0.25">
      <c r="A8158" s="24" t="s">
        <v>7</v>
      </c>
      <c r="B8158" s="24" t="s">
        <v>20413</v>
      </c>
      <c r="C8158" s="25" t="s">
        <v>20414</v>
      </c>
      <c r="D8158" s="25" t="s">
        <v>20414</v>
      </c>
      <c r="E8158" s="26">
        <v>5149</v>
      </c>
      <c r="F8158" s="24" t="s">
        <v>502</v>
      </c>
    </row>
    <row r="8159" spans="1:6" x14ac:dyDescent="0.25">
      <c r="A8159" s="24" t="s">
        <v>7</v>
      </c>
      <c r="B8159" s="24" t="s">
        <v>20415</v>
      </c>
      <c r="C8159" s="25" t="s">
        <v>20416</v>
      </c>
      <c r="D8159" s="25" t="s">
        <v>20417</v>
      </c>
      <c r="E8159" s="26">
        <v>1497</v>
      </c>
    </row>
    <row r="8160" spans="1:6" x14ac:dyDescent="0.25">
      <c r="A8160" s="24" t="s">
        <v>7</v>
      </c>
      <c r="B8160" s="24" t="s">
        <v>20418</v>
      </c>
      <c r="C8160" s="25" t="s">
        <v>20419</v>
      </c>
      <c r="D8160" s="25" t="s">
        <v>20420</v>
      </c>
      <c r="E8160" s="26">
        <v>2698</v>
      </c>
    </row>
    <row r="8161" spans="1:6" x14ac:dyDescent="0.25">
      <c r="A8161" s="24" t="s">
        <v>7</v>
      </c>
      <c r="B8161" s="24" t="s">
        <v>20421</v>
      </c>
      <c r="C8161" s="25" t="s">
        <v>20422</v>
      </c>
      <c r="D8161" s="25" t="s">
        <v>20423</v>
      </c>
      <c r="E8161" s="26">
        <v>32367</v>
      </c>
      <c r="F8161" s="24" t="s">
        <v>502</v>
      </c>
    </row>
    <row r="8162" spans="1:6" x14ac:dyDescent="0.25">
      <c r="A8162" s="24" t="s">
        <v>7</v>
      </c>
      <c r="B8162" s="24" t="s">
        <v>20424</v>
      </c>
      <c r="C8162" s="25" t="s">
        <v>20425</v>
      </c>
      <c r="D8162" s="25" t="s">
        <v>20409</v>
      </c>
      <c r="E8162" s="26">
        <v>2698</v>
      </c>
      <c r="F8162" s="24" t="s">
        <v>502</v>
      </c>
    </row>
    <row r="8163" spans="1:6" x14ac:dyDescent="0.25">
      <c r="A8163" s="24" t="s">
        <v>7</v>
      </c>
      <c r="B8163" s="24" t="s">
        <v>20426</v>
      </c>
      <c r="C8163" s="25" t="s">
        <v>20427</v>
      </c>
      <c r="D8163" s="25" t="s">
        <v>20428</v>
      </c>
      <c r="E8163" s="26">
        <v>6600</v>
      </c>
      <c r="F8163" s="24" t="s">
        <v>502</v>
      </c>
    </row>
    <row r="8164" spans="1:6" x14ac:dyDescent="0.25">
      <c r="A8164" s="24" t="s">
        <v>7</v>
      </c>
      <c r="B8164" s="24" t="s">
        <v>20429</v>
      </c>
      <c r="C8164" s="25" t="s">
        <v>20430</v>
      </c>
      <c r="D8164" s="25" t="s">
        <v>20431</v>
      </c>
      <c r="E8164" s="26">
        <v>4029</v>
      </c>
      <c r="F8164" s="24" t="s">
        <v>502</v>
      </c>
    </row>
    <row r="8165" spans="1:6" x14ac:dyDescent="0.25">
      <c r="A8165" s="24" t="s">
        <v>7</v>
      </c>
      <c r="B8165" s="24" t="s">
        <v>20432</v>
      </c>
      <c r="C8165" s="25" t="s">
        <v>20433</v>
      </c>
      <c r="D8165" s="25" t="s">
        <v>20434</v>
      </c>
      <c r="E8165" s="26">
        <v>8302</v>
      </c>
      <c r="F8165" s="24" t="s">
        <v>502</v>
      </c>
    </row>
    <row r="8166" spans="1:6" x14ac:dyDescent="0.25">
      <c r="A8166" s="24" t="s">
        <v>7</v>
      </c>
      <c r="B8166" s="24" t="s">
        <v>20435</v>
      </c>
      <c r="C8166" s="25" t="s">
        <v>20436</v>
      </c>
      <c r="D8166" s="25" t="s">
        <v>20437</v>
      </c>
      <c r="E8166" s="26">
        <v>2836</v>
      </c>
    </row>
    <row r="8167" spans="1:6" x14ac:dyDescent="0.25">
      <c r="A8167" s="24" t="s">
        <v>7</v>
      </c>
      <c r="B8167" s="24" t="s">
        <v>20438</v>
      </c>
      <c r="C8167" s="25" t="s">
        <v>20439</v>
      </c>
      <c r="D8167" s="25" t="s">
        <v>20440</v>
      </c>
      <c r="E8167" s="26">
        <v>2094</v>
      </c>
    </row>
    <row r="8168" spans="1:6" x14ac:dyDescent="0.25">
      <c r="A8168" s="24" t="s">
        <v>7</v>
      </c>
      <c r="B8168" s="24" t="s">
        <v>20441</v>
      </c>
      <c r="C8168" s="25" t="s">
        <v>20442</v>
      </c>
      <c r="D8168" s="25" t="s">
        <v>20442</v>
      </c>
      <c r="E8168" s="26">
        <v>54</v>
      </c>
    </row>
    <row r="8169" spans="1:6" x14ac:dyDescent="0.25">
      <c r="A8169" s="24" t="s">
        <v>7</v>
      </c>
      <c r="B8169" s="24" t="s">
        <v>20443</v>
      </c>
      <c r="C8169" s="25" t="s">
        <v>20444</v>
      </c>
      <c r="D8169" s="25" t="s">
        <v>20445</v>
      </c>
      <c r="E8169" s="26">
        <v>684</v>
      </c>
      <c r="F8169" s="24" t="s">
        <v>502</v>
      </c>
    </row>
    <row r="8170" spans="1:6" x14ac:dyDescent="0.25">
      <c r="A8170" s="24" t="s">
        <v>7</v>
      </c>
      <c r="B8170" s="24" t="s">
        <v>20446</v>
      </c>
      <c r="C8170" s="25" t="s">
        <v>20447</v>
      </c>
      <c r="D8170" s="25" t="s">
        <v>20448</v>
      </c>
      <c r="E8170" s="26">
        <v>3958</v>
      </c>
      <c r="F8170" s="24" t="s">
        <v>502</v>
      </c>
    </row>
    <row r="8171" spans="1:6" x14ac:dyDescent="0.25">
      <c r="A8171" s="24" t="s">
        <v>7</v>
      </c>
      <c r="B8171" s="24" t="s">
        <v>20449</v>
      </c>
      <c r="C8171" s="25" t="s">
        <v>20450</v>
      </c>
      <c r="D8171" s="25" t="s">
        <v>20451</v>
      </c>
      <c r="E8171" s="26">
        <v>502</v>
      </c>
      <c r="F8171" s="24" t="s">
        <v>502</v>
      </c>
    </row>
    <row r="8172" spans="1:6" x14ac:dyDescent="0.25">
      <c r="A8172" s="24" t="s">
        <v>7</v>
      </c>
      <c r="B8172" s="24" t="s">
        <v>20452</v>
      </c>
      <c r="C8172" s="25" t="s">
        <v>20453</v>
      </c>
      <c r="D8172" s="25" t="s">
        <v>20454</v>
      </c>
      <c r="E8172" s="26">
        <v>3398</v>
      </c>
      <c r="F8172" s="24" t="s">
        <v>502</v>
      </c>
    </row>
    <row r="8173" spans="1:6" x14ac:dyDescent="0.25">
      <c r="A8173" s="24" t="s">
        <v>7</v>
      </c>
      <c r="B8173" s="24" t="s">
        <v>20455</v>
      </c>
      <c r="C8173" s="25" t="s">
        <v>20456</v>
      </c>
      <c r="D8173" s="25" t="s">
        <v>20457</v>
      </c>
      <c r="E8173" s="26">
        <v>12508</v>
      </c>
      <c r="F8173" s="24" t="s">
        <v>502</v>
      </c>
    </row>
    <row r="8174" spans="1:6" x14ac:dyDescent="0.25">
      <c r="A8174" s="24" t="s">
        <v>7</v>
      </c>
      <c r="B8174" s="24" t="s">
        <v>20458</v>
      </c>
      <c r="C8174" s="25" t="s">
        <v>20459</v>
      </c>
      <c r="D8174" s="25" t="s">
        <v>20460</v>
      </c>
      <c r="E8174" s="26">
        <v>9814</v>
      </c>
      <c r="F8174" s="24" t="s">
        <v>502</v>
      </c>
    </row>
    <row r="8175" spans="1:6" x14ac:dyDescent="0.25">
      <c r="A8175" s="24" t="s">
        <v>7</v>
      </c>
      <c r="B8175" s="24" t="s">
        <v>20461</v>
      </c>
      <c r="C8175" s="25" t="s">
        <v>20462</v>
      </c>
      <c r="D8175" s="25" t="s">
        <v>20463</v>
      </c>
      <c r="E8175" s="26">
        <v>1404</v>
      </c>
      <c r="F8175" s="24" t="s">
        <v>502</v>
      </c>
    </row>
    <row r="8176" spans="1:6" x14ac:dyDescent="0.25">
      <c r="A8176" s="24" t="s">
        <v>7</v>
      </c>
      <c r="B8176" s="24" t="s">
        <v>20464</v>
      </c>
      <c r="C8176" s="25" t="s">
        <v>20465</v>
      </c>
      <c r="D8176" s="25" t="s">
        <v>20466</v>
      </c>
      <c r="E8176" s="26">
        <v>3846</v>
      </c>
      <c r="F8176" s="24" t="s">
        <v>502</v>
      </c>
    </row>
    <row r="8177" spans="1:6" x14ac:dyDescent="0.25">
      <c r="A8177" s="24" t="s">
        <v>7</v>
      </c>
      <c r="B8177" s="24" t="s">
        <v>20467</v>
      </c>
      <c r="C8177" s="25" t="s">
        <v>20468</v>
      </c>
      <c r="D8177" s="25" t="s">
        <v>20469</v>
      </c>
      <c r="E8177" s="26">
        <v>3486</v>
      </c>
      <c r="F8177" s="24" t="s">
        <v>502</v>
      </c>
    </row>
    <row r="8178" spans="1:6" x14ac:dyDescent="0.25">
      <c r="A8178" s="24" t="s">
        <v>7</v>
      </c>
      <c r="B8178" s="24" t="s">
        <v>20470</v>
      </c>
      <c r="C8178" s="25" t="s">
        <v>20471</v>
      </c>
      <c r="D8178" s="25" t="s">
        <v>20472</v>
      </c>
      <c r="E8178" s="26">
        <v>1544</v>
      </c>
      <c r="F8178" s="24" t="s">
        <v>502</v>
      </c>
    </row>
    <row r="8179" spans="1:6" x14ac:dyDescent="0.25">
      <c r="A8179" s="24" t="s">
        <v>7</v>
      </c>
      <c r="B8179" s="24" t="s">
        <v>20473</v>
      </c>
      <c r="C8179" s="25" t="s">
        <v>20474</v>
      </c>
      <c r="D8179" s="25" t="s">
        <v>19220</v>
      </c>
      <c r="E8179" s="26">
        <v>914</v>
      </c>
    </row>
    <row r="8180" spans="1:6" x14ac:dyDescent="0.25">
      <c r="A8180" s="24" t="s">
        <v>7</v>
      </c>
      <c r="B8180" s="24" t="s">
        <v>20475</v>
      </c>
      <c r="C8180" s="25" t="s">
        <v>20476</v>
      </c>
      <c r="D8180" s="25" t="s">
        <v>20477</v>
      </c>
      <c r="E8180" s="26">
        <v>24336</v>
      </c>
      <c r="F8180" s="24" t="s">
        <v>502</v>
      </c>
    </row>
    <row r="8181" spans="1:6" x14ac:dyDescent="0.25">
      <c r="A8181" s="24" t="s">
        <v>7</v>
      </c>
      <c r="B8181" s="24" t="s">
        <v>20478</v>
      </c>
      <c r="C8181" s="25" t="s">
        <v>20479</v>
      </c>
      <c r="D8181" s="25" t="s">
        <v>19063</v>
      </c>
      <c r="E8181" s="26">
        <v>19466</v>
      </c>
      <c r="F8181" s="24" t="s">
        <v>502</v>
      </c>
    </row>
    <row r="8182" spans="1:6" x14ac:dyDescent="0.25">
      <c r="A8182" s="24" t="s">
        <v>7</v>
      </c>
      <c r="B8182" s="24" t="s">
        <v>20480</v>
      </c>
      <c r="C8182" s="25" t="s">
        <v>20481</v>
      </c>
      <c r="D8182" s="25" t="s">
        <v>20482</v>
      </c>
      <c r="E8182" s="26">
        <v>8071</v>
      </c>
      <c r="F8182" s="24" t="s">
        <v>502</v>
      </c>
    </row>
    <row r="8183" spans="1:6" x14ac:dyDescent="0.25">
      <c r="A8183" s="24" t="s">
        <v>7</v>
      </c>
      <c r="B8183" s="24" t="s">
        <v>20483</v>
      </c>
      <c r="C8183" s="25" t="s">
        <v>20484</v>
      </c>
      <c r="D8183" s="25" t="s">
        <v>20485</v>
      </c>
      <c r="E8183" s="26">
        <v>3156</v>
      </c>
      <c r="F8183" s="24" t="s">
        <v>502</v>
      </c>
    </row>
    <row r="8184" spans="1:6" x14ac:dyDescent="0.25">
      <c r="A8184" s="24" t="s">
        <v>7</v>
      </c>
      <c r="B8184" s="24" t="s">
        <v>20486</v>
      </c>
      <c r="C8184" s="25" t="s">
        <v>20487</v>
      </c>
      <c r="D8184" s="25" t="s">
        <v>20488</v>
      </c>
      <c r="E8184" s="26">
        <v>290</v>
      </c>
      <c r="F8184" s="24" t="s">
        <v>502</v>
      </c>
    </row>
    <row r="8185" spans="1:6" x14ac:dyDescent="0.25">
      <c r="A8185" s="24" t="s">
        <v>7</v>
      </c>
      <c r="B8185" s="24" t="s">
        <v>20489</v>
      </c>
      <c r="C8185" s="25" t="s">
        <v>20490</v>
      </c>
      <c r="D8185" s="25" t="s">
        <v>20491</v>
      </c>
      <c r="E8185" s="26">
        <v>2717</v>
      </c>
      <c r="F8185" s="24" t="s">
        <v>502</v>
      </c>
    </row>
    <row r="8186" spans="1:6" x14ac:dyDescent="0.25">
      <c r="A8186" s="24" t="s">
        <v>7</v>
      </c>
      <c r="B8186" s="24" t="s">
        <v>20492</v>
      </c>
      <c r="C8186" s="25" t="s">
        <v>20493</v>
      </c>
      <c r="D8186" s="25" t="s">
        <v>20494</v>
      </c>
      <c r="E8186" s="26">
        <v>3479</v>
      </c>
    </row>
    <row r="8187" spans="1:6" x14ac:dyDescent="0.25">
      <c r="A8187" s="24" t="s">
        <v>7</v>
      </c>
      <c r="B8187" s="24" t="s">
        <v>20495</v>
      </c>
      <c r="C8187" s="25" t="s">
        <v>20496</v>
      </c>
      <c r="D8187" s="25" t="s">
        <v>20496</v>
      </c>
      <c r="E8187" s="26">
        <v>52</v>
      </c>
      <c r="F8187" s="24" t="s">
        <v>502</v>
      </c>
    </row>
    <row r="8188" spans="1:6" x14ac:dyDescent="0.25">
      <c r="A8188" s="24" t="s">
        <v>7</v>
      </c>
      <c r="B8188" s="24" t="s">
        <v>20497</v>
      </c>
      <c r="C8188" s="25" t="s">
        <v>20498</v>
      </c>
      <c r="D8188" s="25" t="s">
        <v>20494</v>
      </c>
      <c r="E8188" s="26">
        <v>1636</v>
      </c>
      <c r="F8188" s="24" t="s">
        <v>502</v>
      </c>
    </row>
    <row r="8189" spans="1:6" x14ac:dyDescent="0.25">
      <c r="A8189" s="24" t="s">
        <v>7</v>
      </c>
      <c r="B8189" s="24" t="s">
        <v>20499</v>
      </c>
      <c r="C8189" s="25" t="s">
        <v>20500</v>
      </c>
      <c r="D8189" s="25" t="s">
        <v>20494</v>
      </c>
      <c r="E8189" s="26">
        <v>1150</v>
      </c>
      <c r="F8189" s="24" t="s">
        <v>502</v>
      </c>
    </row>
    <row r="8190" spans="1:6" x14ac:dyDescent="0.25">
      <c r="A8190" s="24" t="s">
        <v>7</v>
      </c>
      <c r="B8190" s="24" t="s">
        <v>20501</v>
      </c>
      <c r="C8190" s="25" t="s">
        <v>20502</v>
      </c>
      <c r="D8190" s="25" t="s">
        <v>20502</v>
      </c>
      <c r="E8190" s="26">
        <v>8025</v>
      </c>
      <c r="F8190" s="24" t="s">
        <v>502</v>
      </c>
    </row>
    <row r="8191" spans="1:6" x14ac:dyDescent="0.25">
      <c r="A8191" s="24" t="s">
        <v>7</v>
      </c>
      <c r="B8191" s="24" t="s">
        <v>20503</v>
      </c>
      <c r="C8191" s="25" t="s">
        <v>20504</v>
      </c>
      <c r="D8191" s="25" t="s">
        <v>20505</v>
      </c>
      <c r="E8191" s="26">
        <v>12543</v>
      </c>
    </row>
    <row r="8192" spans="1:6" x14ac:dyDescent="0.25">
      <c r="A8192" s="24" t="s">
        <v>7</v>
      </c>
      <c r="B8192" s="24" t="s">
        <v>20506</v>
      </c>
      <c r="C8192" s="25" t="s">
        <v>20507</v>
      </c>
      <c r="D8192" s="25" t="s">
        <v>20508</v>
      </c>
      <c r="E8192" s="26">
        <v>771</v>
      </c>
      <c r="F8192" s="24" t="s">
        <v>502</v>
      </c>
    </row>
    <row r="8193" spans="1:6" x14ac:dyDescent="0.25">
      <c r="A8193" s="24" t="s">
        <v>7</v>
      </c>
      <c r="B8193" s="24" t="s">
        <v>20509</v>
      </c>
      <c r="C8193" s="25" t="s">
        <v>20510</v>
      </c>
      <c r="D8193" s="25" t="s">
        <v>20511</v>
      </c>
      <c r="E8193" s="26">
        <v>3306</v>
      </c>
      <c r="F8193" s="24" t="s">
        <v>502</v>
      </c>
    </row>
    <row r="8194" spans="1:6" x14ac:dyDescent="0.25">
      <c r="A8194" s="24" t="s">
        <v>7</v>
      </c>
      <c r="B8194" s="24" t="s">
        <v>20512</v>
      </c>
      <c r="C8194" s="25" t="s">
        <v>20513</v>
      </c>
      <c r="D8194" s="25" t="s">
        <v>20514</v>
      </c>
      <c r="E8194" s="26">
        <v>254</v>
      </c>
      <c r="F8194" s="24" t="s">
        <v>502</v>
      </c>
    </row>
    <row r="8195" spans="1:6" x14ac:dyDescent="0.25">
      <c r="A8195" s="24" t="s">
        <v>7</v>
      </c>
      <c r="B8195" s="24" t="s">
        <v>20515</v>
      </c>
      <c r="C8195" s="25" t="s">
        <v>20516</v>
      </c>
      <c r="D8195" s="25" t="s">
        <v>20517</v>
      </c>
      <c r="E8195" s="26">
        <v>3264</v>
      </c>
      <c r="F8195" s="24" t="s">
        <v>502</v>
      </c>
    </row>
    <row r="8196" spans="1:6" x14ac:dyDescent="0.25">
      <c r="A8196" s="24" t="s">
        <v>7</v>
      </c>
      <c r="B8196" s="24" t="s">
        <v>20518</v>
      </c>
      <c r="C8196" s="25" t="s">
        <v>20519</v>
      </c>
      <c r="D8196" s="25" t="s">
        <v>20520</v>
      </c>
      <c r="E8196" s="26">
        <v>10785</v>
      </c>
      <c r="F8196" s="24" t="s">
        <v>502</v>
      </c>
    </row>
    <row r="8197" spans="1:6" x14ac:dyDescent="0.25">
      <c r="A8197" s="24" t="s">
        <v>7</v>
      </c>
      <c r="B8197" s="24" t="s">
        <v>20521</v>
      </c>
      <c r="C8197" s="25" t="s">
        <v>20522</v>
      </c>
      <c r="D8197" s="25" t="s">
        <v>20520</v>
      </c>
      <c r="E8197" s="26">
        <v>3302</v>
      </c>
      <c r="F8197" s="24" t="s">
        <v>502</v>
      </c>
    </row>
    <row r="8198" spans="1:6" x14ac:dyDescent="0.25">
      <c r="A8198" s="24" t="s">
        <v>7</v>
      </c>
      <c r="B8198" s="24" t="s">
        <v>20523</v>
      </c>
      <c r="C8198" s="25" t="s">
        <v>20524</v>
      </c>
      <c r="D8198" s="25" t="s">
        <v>20525</v>
      </c>
      <c r="E8198" s="26">
        <v>1536</v>
      </c>
      <c r="F8198" s="24" t="s">
        <v>502</v>
      </c>
    </row>
    <row r="8199" spans="1:6" x14ac:dyDescent="0.25">
      <c r="A8199" s="24" t="s">
        <v>7</v>
      </c>
      <c r="B8199" s="24" t="s">
        <v>20526</v>
      </c>
      <c r="C8199" s="25" t="s">
        <v>20527</v>
      </c>
      <c r="D8199" s="25" t="s">
        <v>20528</v>
      </c>
      <c r="E8199" s="26">
        <v>32899</v>
      </c>
      <c r="F8199" s="24" t="s">
        <v>502</v>
      </c>
    </row>
    <row r="8200" spans="1:6" x14ac:dyDescent="0.25">
      <c r="A8200" s="24" t="s">
        <v>7</v>
      </c>
      <c r="B8200" s="24" t="s">
        <v>20529</v>
      </c>
      <c r="C8200" s="25" t="s">
        <v>20530</v>
      </c>
      <c r="D8200" s="25" t="s">
        <v>20531</v>
      </c>
      <c r="E8200" s="26">
        <v>6275</v>
      </c>
      <c r="F8200" s="24" t="s">
        <v>502</v>
      </c>
    </row>
    <row r="8201" spans="1:6" x14ac:dyDescent="0.25">
      <c r="A8201" s="24" t="s">
        <v>7</v>
      </c>
      <c r="B8201" s="24" t="s">
        <v>20532</v>
      </c>
      <c r="C8201" s="25" t="s">
        <v>19025</v>
      </c>
      <c r="D8201" s="25" t="s">
        <v>19025</v>
      </c>
      <c r="E8201" s="26">
        <v>116</v>
      </c>
      <c r="F8201" s="24" t="s">
        <v>502</v>
      </c>
    </row>
    <row r="8202" spans="1:6" x14ac:dyDescent="0.25">
      <c r="A8202" s="24" t="s">
        <v>7</v>
      </c>
      <c r="B8202" s="24" t="s">
        <v>20533</v>
      </c>
      <c r="C8202" s="25" t="s">
        <v>20534</v>
      </c>
      <c r="D8202" s="25" t="s">
        <v>20535</v>
      </c>
      <c r="E8202" s="26">
        <v>7714</v>
      </c>
      <c r="F8202" s="24" t="s">
        <v>502</v>
      </c>
    </row>
    <row r="8203" spans="1:6" x14ac:dyDescent="0.25">
      <c r="A8203" s="24" t="s">
        <v>7</v>
      </c>
      <c r="B8203" s="24" t="s">
        <v>20536</v>
      </c>
      <c r="C8203" s="25" t="s">
        <v>20537</v>
      </c>
      <c r="D8203" s="25" t="s">
        <v>20538</v>
      </c>
      <c r="E8203" s="26">
        <v>13410</v>
      </c>
      <c r="F8203" s="24" t="s">
        <v>502</v>
      </c>
    </row>
    <row r="8204" spans="1:6" x14ac:dyDescent="0.25">
      <c r="A8204" s="24" t="s">
        <v>7</v>
      </c>
      <c r="B8204" s="24" t="s">
        <v>20539</v>
      </c>
      <c r="C8204" s="25" t="s">
        <v>20540</v>
      </c>
      <c r="D8204" s="25" t="s">
        <v>20540</v>
      </c>
      <c r="E8204" s="26">
        <v>783</v>
      </c>
      <c r="F8204" s="24" t="s">
        <v>502</v>
      </c>
    </row>
    <row r="8205" spans="1:6" x14ac:dyDescent="0.25">
      <c r="A8205" s="24" t="s">
        <v>7</v>
      </c>
      <c r="B8205" s="24" t="s">
        <v>20541</v>
      </c>
      <c r="C8205" s="25" t="s">
        <v>20542</v>
      </c>
      <c r="D8205" s="25" t="s">
        <v>20542</v>
      </c>
      <c r="E8205" s="26">
        <v>8142</v>
      </c>
      <c r="F8205" s="24" t="s">
        <v>502</v>
      </c>
    </row>
    <row r="8206" spans="1:6" x14ac:dyDescent="0.25">
      <c r="A8206" s="24" t="s">
        <v>7</v>
      </c>
      <c r="B8206" s="24" t="s">
        <v>20543</v>
      </c>
      <c r="C8206" s="25" t="s">
        <v>20544</v>
      </c>
      <c r="D8206" s="25" t="s">
        <v>20544</v>
      </c>
      <c r="E8206" s="26">
        <v>12856</v>
      </c>
      <c r="F8206" s="24" t="s">
        <v>502</v>
      </c>
    </row>
    <row r="8207" spans="1:6" x14ac:dyDescent="0.25">
      <c r="A8207" s="24" t="s">
        <v>7</v>
      </c>
      <c r="B8207" s="24" t="s">
        <v>20545</v>
      </c>
      <c r="C8207" s="25" t="s">
        <v>20546</v>
      </c>
      <c r="D8207" s="25" t="s">
        <v>20546</v>
      </c>
      <c r="E8207" s="26">
        <v>5368</v>
      </c>
      <c r="F8207" s="24" t="s">
        <v>502</v>
      </c>
    </row>
    <row r="8208" spans="1:6" x14ac:dyDescent="0.25">
      <c r="A8208" s="24" t="s">
        <v>7</v>
      </c>
      <c r="B8208" s="24" t="s">
        <v>20547</v>
      </c>
      <c r="C8208" s="25" t="s">
        <v>20548</v>
      </c>
      <c r="D8208" s="25" t="s">
        <v>20548</v>
      </c>
      <c r="E8208" s="26">
        <v>135</v>
      </c>
      <c r="F8208" s="24" t="s">
        <v>502</v>
      </c>
    </row>
    <row r="8209" spans="1:6" x14ac:dyDescent="0.25">
      <c r="A8209" s="24" t="s">
        <v>7</v>
      </c>
      <c r="B8209" s="24" t="s">
        <v>20549</v>
      </c>
      <c r="C8209" s="25" t="s">
        <v>20550</v>
      </c>
      <c r="D8209" s="25" t="s">
        <v>20550</v>
      </c>
      <c r="E8209" s="26">
        <v>135</v>
      </c>
      <c r="F8209" s="24" t="s">
        <v>502</v>
      </c>
    </row>
    <row r="8210" spans="1:6" x14ac:dyDescent="0.25">
      <c r="A8210" s="24" t="s">
        <v>7</v>
      </c>
      <c r="B8210" s="24" t="s">
        <v>20551</v>
      </c>
      <c r="C8210" s="25" t="s">
        <v>20552</v>
      </c>
      <c r="D8210" s="25" t="s">
        <v>20553</v>
      </c>
      <c r="E8210" s="26">
        <v>17255</v>
      </c>
      <c r="F8210" s="24" t="s">
        <v>502</v>
      </c>
    </row>
    <row r="8211" spans="1:6" x14ac:dyDescent="0.25">
      <c r="A8211" s="24" t="s">
        <v>7</v>
      </c>
      <c r="B8211" s="24" t="s">
        <v>20554</v>
      </c>
      <c r="C8211" s="25" t="s">
        <v>20555</v>
      </c>
      <c r="D8211" s="25" t="s">
        <v>20556</v>
      </c>
      <c r="E8211" s="26">
        <v>11561</v>
      </c>
      <c r="F8211" s="24" t="s">
        <v>502</v>
      </c>
    </row>
    <row r="8212" spans="1:6" x14ac:dyDescent="0.25">
      <c r="A8212" s="24" t="s">
        <v>7</v>
      </c>
      <c r="B8212" s="24" t="s">
        <v>20557</v>
      </c>
      <c r="C8212" s="25" t="s">
        <v>20558</v>
      </c>
      <c r="D8212" s="25" t="s">
        <v>20558</v>
      </c>
      <c r="E8212" s="26">
        <v>135</v>
      </c>
      <c r="F8212" s="24" t="s">
        <v>502</v>
      </c>
    </row>
    <row r="8213" spans="1:6" x14ac:dyDescent="0.25">
      <c r="A8213" s="24" t="s">
        <v>7</v>
      </c>
      <c r="B8213" s="24" t="s">
        <v>20559</v>
      </c>
      <c r="C8213" s="25" t="s">
        <v>20560</v>
      </c>
      <c r="D8213" s="25" t="s">
        <v>20560</v>
      </c>
      <c r="E8213" s="26">
        <v>3200</v>
      </c>
      <c r="F8213" s="24" t="s">
        <v>502</v>
      </c>
    </row>
    <row r="8214" spans="1:6" x14ac:dyDescent="0.25">
      <c r="A8214" s="24" t="s">
        <v>7</v>
      </c>
      <c r="B8214" s="24" t="s">
        <v>20561</v>
      </c>
      <c r="C8214" s="25" t="s">
        <v>20562</v>
      </c>
      <c r="D8214" s="25" t="s">
        <v>20562</v>
      </c>
      <c r="E8214" s="26">
        <v>135</v>
      </c>
      <c r="F8214" s="24" t="s">
        <v>502</v>
      </c>
    </row>
    <row r="8215" spans="1:6" x14ac:dyDescent="0.25">
      <c r="A8215" s="24" t="s">
        <v>7</v>
      </c>
      <c r="B8215" s="24" t="s">
        <v>20563</v>
      </c>
      <c r="C8215" s="25" t="s">
        <v>20564</v>
      </c>
      <c r="D8215" s="25" t="s">
        <v>20565</v>
      </c>
      <c r="E8215" s="26">
        <v>2852</v>
      </c>
      <c r="F8215" s="24" t="s">
        <v>502</v>
      </c>
    </row>
    <row r="8216" spans="1:6" x14ac:dyDescent="0.25">
      <c r="A8216" s="24" t="s">
        <v>7</v>
      </c>
      <c r="B8216" s="24" t="s">
        <v>20566</v>
      </c>
      <c r="C8216" s="25" t="s">
        <v>20567</v>
      </c>
      <c r="D8216" s="25" t="s">
        <v>20568</v>
      </c>
      <c r="E8216" s="26">
        <v>46166</v>
      </c>
      <c r="F8216" s="24" t="s">
        <v>502</v>
      </c>
    </row>
    <row r="8217" spans="1:6" x14ac:dyDescent="0.25">
      <c r="A8217" s="24" t="s">
        <v>7</v>
      </c>
      <c r="B8217" s="24" t="s">
        <v>20569</v>
      </c>
      <c r="C8217" s="25" t="s">
        <v>20570</v>
      </c>
      <c r="D8217" s="25" t="s">
        <v>20568</v>
      </c>
      <c r="E8217" s="26">
        <v>1898</v>
      </c>
      <c r="F8217" s="24" t="s">
        <v>502</v>
      </c>
    </row>
    <row r="8218" spans="1:6" x14ac:dyDescent="0.25">
      <c r="A8218" s="24" t="s">
        <v>7</v>
      </c>
      <c r="B8218" s="24" t="s">
        <v>20571</v>
      </c>
      <c r="C8218" s="25" t="s">
        <v>20572</v>
      </c>
      <c r="D8218" s="25" t="s">
        <v>20573</v>
      </c>
      <c r="E8218" s="26">
        <v>11180</v>
      </c>
      <c r="F8218" s="24" t="s">
        <v>502</v>
      </c>
    </row>
    <row r="8219" spans="1:6" x14ac:dyDescent="0.25">
      <c r="A8219" s="24" t="s">
        <v>7</v>
      </c>
      <c r="B8219" s="24" t="s">
        <v>20574</v>
      </c>
      <c r="C8219" s="25" t="s">
        <v>20575</v>
      </c>
      <c r="D8219" s="25" t="s">
        <v>20568</v>
      </c>
      <c r="E8219" s="26">
        <v>83456</v>
      </c>
      <c r="F8219" s="24" t="s">
        <v>502</v>
      </c>
    </row>
    <row r="8220" spans="1:6" x14ac:dyDescent="0.25">
      <c r="A8220" s="24" t="s">
        <v>7</v>
      </c>
      <c r="B8220" s="24" t="s">
        <v>20576</v>
      </c>
      <c r="C8220" s="25" t="s">
        <v>20577</v>
      </c>
      <c r="D8220" s="25" t="s">
        <v>2542</v>
      </c>
      <c r="E8220" s="26">
        <v>58376</v>
      </c>
      <c r="F8220" s="24" t="s">
        <v>502</v>
      </c>
    </row>
    <row r="8221" spans="1:6" x14ac:dyDescent="0.25">
      <c r="A8221" s="24" t="s">
        <v>7</v>
      </c>
      <c r="B8221" s="24" t="s">
        <v>20578</v>
      </c>
      <c r="C8221" s="25" t="s">
        <v>20579</v>
      </c>
      <c r="D8221" s="25" t="s">
        <v>20579</v>
      </c>
      <c r="E8221" s="26">
        <v>11683</v>
      </c>
      <c r="F8221" s="24" t="s">
        <v>502</v>
      </c>
    </row>
    <row r="8222" spans="1:6" x14ac:dyDescent="0.25">
      <c r="A8222" s="24" t="s">
        <v>7</v>
      </c>
      <c r="B8222" s="24" t="s">
        <v>20580</v>
      </c>
      <c r="C8222" s="25" t="s">
        <v>20581</v>
      </c>
      <c r="D8222" s="25" t="s">
        <v>20582</v>
      </c>
      <c r="E8222" s="26">
        <v>31788</v>
      </c>
      <c r="F8222" s="24" t="s">
        <v>502</v>
      </c>
    </row>
    <row r="8223" spans="1:6" x14ac:dyDescent="0.25">
      <c r="A8223" s="24" t="s">
        <v>7</v>
      </c>
      <c r="B8223" s="24" t="s">
        <v>20583</v>
      </c>
      <c r="C8223" s="25" t="s">
        <v>20584</v>
      </c>
      <c r="D8223" s="25" t="s">
        <v>20584</v>
      </c>
      <c r="E8223" s="26">
        <v>22825</v>
      </c>
      <c r="F8223" s="24" t="s">
        <v>502</v>
      </c>
    </row>
    <row r="8224" spans="1:6" x14ac:dyDescent="0.25">
      <c r="A8224" s="24" t="s">
        <v>7</v>
      </c>
      <c r="B8224" s="24" t="s">
        <v>20585</v>
      </c>
      <c r="C8224" s="25" t="s">
        <v>20586</v>
      </c>
      <c r="D8224" s="25" t="s">
        <v>20587</v>
      </c>
      <c r="E8224" s="26">
        <v>2660</v>
      </c>
      <c r="F8224" s="24" t="s">
        <v>502</v>
      </c>
    </row>
    <row r="8225" spans="1:6" x14ac:dyDescent="0.25">
      <c r="A8225" s="24" t="s">
        <v>7</v>
      </c>
      <c r="B8225" s="24" t="s">
        <v>20588</v>
      </c>
      <c r="C8225" s="25" t="s">
        <v>20589</v>
      </c>
      <c r="D8225" s="25" t="s">
        <v>20589</v>
      </c>
      <c r="E8225" s="26">
        <v>2698</v>
      </c>
      <c r="F8225" s="24" t="s">
        <v>502</v>
      </c>
    </row>
    <row r="8226" spans="1:6" x14ac:dyDescent="0.25">
      <c r="A8226" s="24" t="s">
        <v>7</v>
      </c>
      <c r="B8226" s="24" t="s">
        <v>20590</v>
      </c>
      <c r="C8226" s="25" t="s">
        <v>20591</v>
      </c>
      <c r="D8226" s="25" t="s">
        <v>20592</v>
      </c>
      <c r="E8226" s="26">
        <v>882</v>
      </c>
      <c r="F8226" s="24" t="s">
        <v>502</v>
      </c>
    </row>
    <row r="8227" spans="1:6" x14ac:dyDescent="0.25">
      <c r="A8227" s="24" t="s">
        <v>7</v>
      </c>
      <c r="B8227" s="24" t="s">
        <v>20593</v>
      </c>
      <c r="C8227" s="25" t="s">
        <v>20594</v>
      </c>
      <c r="D8227" s="25" t="s">
        <v>20595</v>
      </c>
      <c r="E8227" s="26">
        <v>6335</v>
      </c>
      <c r="F8227" s="24" t="s">
        <v>502</v>
      </c>
    </row>
    <row r="8228" spans="1:6" x14ac:dyDescent="0.25">
      <c r="A8228" s="24" t="s">
        <v>7</v>
      </c>
      <c r="B8228" s="24" t="s">
        <v>20596</v>
      </c>
      <c r="C8228" s="25" t="s">
        <v>20597</v>
      </c>
      <c r="D8228" s="25" t="s">
        <v>20598</v>
      </c>
      <c r="E8228" s="26">
        <v>5244</v>
      </c>
      <c r="F8228" s="24" t="s">
        <v>502</v>
      </c>
    </row>
    <row r="8229" spans="1:6" x14ac:dyDescent="0.25">
      <c r="A8229" s="24" t="s">
        <v>7</v>
      </c>
      <c r="B8229" s="24" t="s">
        <v>20599</v>
      </c>
      <c r="C8229" s="25" t="s">
        <v>20600</v>
      </c>
      <c r="D8229" s="25" t="s">
        <v>20601</v>
      </c>
      <c r="E8229" s="26">
        <v>332</v>
      </c>
      <c r="F8229" s="24" t="s">
        <v>502</v>
      </c>
    </row>
    <row r="8230" spans="1:6" x14ac:dyDescent="0.25">
      <c r="A8230" s="24" t="s">
        <v>7</v>
      </c>
      <c r="B8230" s="24" t="s">
        <v>20602</v>
      </c>
      <c r="C8230" s="25" t="s">
        <v>20603</v>
      </c>
      <c r="D8230" s="25" t="s">
        <v>20604</v>
      </c>
      <c r="E8230" s="26">
        <v>1966</v>
      </c>
      <c r="F8230" s="24" t="s">
        <v>502</v>
      </c>
    </row>
    <row r="8231" spans="1:6" x14ac:dyDescent="0.25">
      <c r="A8231" s="24" t="s">
        <v>7</v>
      </c>
      <c r="B8231" s="24" t="s">
        <v>20605</v>
      </c>
      <c r="C8231" s="25" t="s">
        <v>20606</v>
      </c>
      <c r="D8231" s="25" t="s">
        <v>20607</v>
      </c>
      <c r="E8231" s="26">
        <v>31518</v>
      </c>
      <c r="F8231" s="24" t="s">
        <v>502</v>
      </c>
    </row>
    <row r="8232" spans="1:6" x14ac:dyDescent="0.25">
      <c r="A8232" s="24" t="s">
        <v>7</v>
      </c>
      <c r="B8232" s="24" t="s">
        <v>20608</v>
      </c>
      <c r="C8232" s="25" t="s">
        <v>20609</v>
      </c>
      <c r="D8232" s="25" t="s">
        <v>20610</v>
      </c>
      <c r="E8232" s="26">
        <v>4036</v>
      </c>
      <c r="F8232" s="24" t="s">
        <v>502</v>
      </c>
    </row>
    <row r="8233" spans="1:6" x14ac:dyDescent="0.25">
      <c r="A8233" s="24" t="s">
        <v>7</v>
      </c>
      <c r="B8233" s="24" t="s">
        <v>20611</v>
      </c>
      <c r="C8233" s="25" t="s">
        <v>20612</v>
      </c>
      <c r="D8233" s="25" t="s">
        <v>20612</v>
      </c>
      <c r="E8233" s="26">
        <v>3958</v>
      </c>
      <c r="F8233" s="24" t="s">
        <v>502</v>
      </c>
    </row>
    <row r="8234" spans="1:6" x14ac:dyDescent="0.25">
      <c r="A8234" s="24" t="s">
        <v>7</v>
      </c>
      <c r="B8234" s="24" t="s">
        <v>20613</v>
      </c>
      <c r="C8234" s="25" t="s">
        <v>20614</v>
      </c>
      <c r="D8234" s="25" t="s">
        <v>20614</v>
      </c>
      <c r="E8234" s="26">
        <v>282</v>
      </c>
      <c r="F8234" s="24" t="s">
        <v>502</v>
      </c>
    </row>
    <row r="8235" spans="1:6" x14ac:dyDescent="0.25">
      <c r="A8235" s="24" t="s">
        <v>7</v>
      </c>
      <c r="B8235" s="24" t="s">
        <v>20615</v>
      </c>
      <c r="C8235" s="25" t="s">
        <v>20616</v>
      </c>
      <c r="D8235" s="25" t="s">
        <v>20617</v>
      </c>
      <c r="E8235" s="26">
        <v>3322</v>
      </c>
      <c r="F8235" s="24" t="s">
        <v>502</v>
      </c>
    </row>
    <row r="8236" spans="1:6" x14ac:dyDescent="0.25">
      <c r="A8236" s="24" t="s">
        <v>7</v>
      </c>
      <c r="B8236" s="24" t="s">
        <v>20618</v>
      </c>
      <c r="C8236" s="25" t="s">
        <v>20619</v>
      </c>
      <c r="D8236" s="25" t="s">
        <v>20620</v>
      </c>
      <c r="E8236" s="26">
        <v>717</v>
      </c>
      <c r="F8236" s="24" t="s">
        <v>502</v>
      </c>
    </row>
    <row r="8237" spans="1:6" x14ac:dyDescent="0.25">
      <c r="A8237" s="24" t="s">
        <v>7</v>
      </c>
      <c r="B8237" s="24" t="s">
        <v>20621</v>
      </c>
      <c r="C8237" s="25" t="s">
        <v>20622</v>
      </c>
      <c r="D8237" s="25" t="s">
        <v>20622</v>
      </c>
      <c r="E8237" s="26">
        <v>3351</v>
      </c>
      <c r="F8237" s="24" t="s">
        <v>502</v>
      </c>
    </row>
    <row r="8238" spans="1:6" x14ac:dyDescent="0.25">
      <c r="A8238" s="24" t="s">
        <v>7</v>
      </c>
      <c r="B8238" s="24" t="s">
        <v>20623</v>
      </c>
      <c r="C8238" s="25" t="s">
        <v>20624</v>
      </c>
      <c r="D8238" s="25" t="s">
        <v>20625</v>
      </c>
      <c r="E8238" s="26">
        <v>5255</v>
      </c>
      <c r="F8238" s="24" t="s">
        <v>502</v>
      </c>
    </row>
    <row r="8239" spans="1:6" x14ac:dyDescent="0.25">
      <c r="A8239" s="24" t="s">
        <v>7</v>
      </c>
      <c r="B8239" s="24" t="s">
        <v>20626</v>
      </c>
      <c r="C8239" s="25" t="s">
        <v>20627</v>
      </c>
      <c r="D8239" s="25" t="s">
        <v>20628</v>
      </c>
      <c r="E8239" s="26">
        <v>48812</v>
      </c>
      <c r="F8239" s="24" t="s">
        <v>502</v>
      </c>
    </row>
    <row r="8240" spans="1:6" x14ac:dyDescent="0.25">
      <c r="A8240" s="24" t="s">
        <v>7</v>
      </c>
      <c r="B8240" s="24" t="s">
        <v>20629</v>
      </c>
      <c r="C8240" s="25" t="s">
        <v>20630</v>
      </c>
      <c r="D8240" s="25" t="s">
        <v>1332</v>
      </c>
      <c r="E8240" s="26">
        <v>25147</v>
      </c>
      <c r="F8240" s="24" t="s">
        <v>502</v>
      </c>
    </row>
    <row r="8241" spans="1:6" x14ac:dyDescent="0.25">
      <c r="A8241" s="24" t="s">
        <v>7</v>
      </c>
      <c r="B8241" s="24" t="s">
        <v>20631</v>
      </c>
      <c r="C8241" s="25" t="s">
        <v>20632</v>
      </c>
      <c r="D8241" s="25" t="s">
        <v>20632</v>
      </c>
      <c r="E8241" s="26">
        <v>4460</v>
      </c>
      <c r="F8241" s="24" t="s">
        <v>502</v>
      </c>
    </row>
    <row r="8242" spans="1:6" x14ac:dyDescent="0.25">
      <c r="A8242" s="24" t="s">
        <v>7</v>
      </c>
      <c r="B8242" s="24" t="s">
        <v>20633</v>
      </c>
      <c r="C8242" s="25" t="s">
        <v>20634</v>
      </c>
      <c r="D8242" s="25" t="s">
        <v>20635</v>
      </c>
      <c r="E8242" s="26">
        <v>2400</v>
      </c>
      <c r="F8242" s="24" t="s">
        <v>502</v>
      </c>
    </row>
    <row r="8243" spans="1:6" x14ac:dyDescent="0.25">
      <c r="A8243" s="24" t="s">
        <v>7</v>
      </c>
      <c r="B8243" s="24" t="s">
        <v>20636</v>
      </c>
      <c r="C8243" s="25" t="s">
        <v>20637</v>
      </c>
      <c r="D8243" s="25" t="s">
        <v>20635</v>
      </c>
      <c r="E8243" s="26">
        <v>2400</v>
      </c>
      <c r="F8243" s="24" t="s">
        <v>502</v>
      </c>
    </row>
    <row r="8244" spans="1:6" x14ac:dyDescent="0.25">
      <c r="A8244" s="24" t="s">
        <v>7</v>
      </c>
      <c r="B8244" s="24" t="s">
        <v>20638</v>
      </c>
      <c r="C8244" s="25" t="s">
        <v>20639</v>
      </c>
      <c r="D8244" s="25" t="s">
        <v>20640</v>
      </c>
      <c r="E8244" s="26">
        <v>6336</v>
      </c>
      <c r="F8244" s="24" t="s">
        <v>502</v>
      </c>
    </row>
    <row r="8245" spans="1:6" x14ac:dyDescent="0.25">
      <c r="A8245" s="24" t="s">
        <v>7</v>
      </c>
      <c r="B8245" s="24" t="s">
        <v>20641</v>
      </c>
      <c r="C8245" s="25" t="s">
        <v>20642</v>
      </c>
      <c r="D8245" s="25" t="s">
        <v>20643</v>
      </c>
      <c r="E8245" s="26">
        <v>4525</v>
      </c>
      <c r="F8245" s="24" t="s">
        <v>502</v>
      </c>
    </row>
    <row r="8246" spans="1:6" x14ac:dyDescent="0.25">
      <c r="A8246" s="24" t="s">
        <v>7</v>
      </c>
      <c r="B8246" s="24" t="s">
        <v>20644</v>
      </c>
      <c r="C8246" s="25" t="s">
        <v>20645</v>
      </c>
      <c r="D8246" s="25" t="s">
        <v>20646</v>
      </c>
      <c r="E8246" s="26">
        <v>4952</v>
      </c>
      <c r="F8246" s="24" t="s">
        <v>502</v>
      </c>
    </row>
    <row r="8247" spans="1:6" x14ac:dyDescent="0.25">
      <c r="A8247" s="24" t="s">
        <v>7</v>
      </c>
      <c r="B8247" s="24" t="s">
        <v>20647</v>
      </c>
      <c r="C8247" s="25" t="s">
        <v>20648</v>
      </c>
      <c r="D8247" s="25" t="s">
        <v>20649</v>
      </c>
      <c r="E8247" s="26">
        <v>2699</v>
      </c>
      <c r="F8247" s="24" t="s">
        <v>502</v>
      </c>
    </row>
    <row r="8248" spans="1:6" x14ac:dyDescent="0.25">
      <c r="A8248" s="24" t="s">
        <v>7</v>
      </c>
      <c r="B8248" s="24" t="s">
        <v>20650</v>
      </c>
      <c r="C8248" s="25" t="s">
        <v>20651</v>
      </c>
      <c r="D8248" s="25" t="s">
        <v>20652</v>
      </c>
      <c r="E8248" s="26">
        <v>32611</v>
      </c>
      <c r="F8248" s="24" t="s">
        <v>502</v>
      </c>
    </row>
    <row r="8249" spans="1:6" x14ac:dyDescent="0.25">
      <c r="A8249" s="24" t="s">
        <v>7</v>
      </c>
      <c r="B8249" s="24" t="s">
        <v>20653</v>
      </c>
      <c r="C8249" s="25" t="s">
        <v>20654</v>
      </c>
      <c r="D8249" s="25" t="s">
        <v>20655</v>
      </c>
      <c r="E8249" s="26">
        <v>15055</v>
      </c>
      <c r="F8249" s="24" t="s">
        <v>502</v>
      </c>
    </row>
    <row r="8250" spans="1:6" x14ac:dyDescent="0.25">
      <c r="A8250" s="24" t="s">
        <v>7</v>
      </c>
      <c r="B8250" s="24" t="s">
        <v>20656</v>
      </c>
      <c r="C8250" s="25" t="s">
        <v>20657</v>
      </c>
      <c r="D8250" s="25" t="s">
        <v>20658</v>
      </c>
      <c r="E8250" s="26">
        <v>377</v>
      </c>
      <c r="F8250" s="24" t="s">
        <v>502</v>
      </c>
    </row>
    <row r="8251" spans="1:6" x14ac:dyDescent="0.25">
      <c r="A8251" s="24" t="s">
        <v>7</v>
      </c>
      <c r="B8251" s="24" t="s">
        <v>20659</v>
      </c>
      <c r="C8251" s="25" t="s">
        <v>20660</v>
      </c>
      <c r="D8251" s="25" t="s">
        <v>20661</v>
      </c>
      <c r="E8251" s="26">
        <v>1907</v>
      </c>
      <c r="F8251" s="24" t="s">
        <v>502</v>
      </c>
    </row>
    <row r="8252" spans="1:6" x14ac:dyDescent="0.25">
      <c r="A8252" s="24" t="s">
        <v>7</v>
      </c>
      <c r="B8252" s="24" t="s">
        <v>20662</v>
      </c>
      <c r="C8252" s="25" t="s">
        <v>20663</v>
      </c>
      <c r="D8252" s="25" t="s">
        <v>20664</v>
      </c>
      <c r="E8252" s="26">
        <v>2176</v>
      </c>
      <c r="F8252" s="24" t="s">
        <v>502</v>
      </c>
    </row>
    <row r="8253" spans="1:6" x14ac:dyDescent="0.25">
      <c r="A8253" s="24" t="s">
        <v>7</v>
      </c>
      <c r="B8253" s="24" t="s">
        <v>20665</v>
      </c>
      <c r="C8253" s="25" t="s">
        <v>20666</v>
      </c>
      <c r="D8253" s="25" t="s">
        <v>20667</v>
      </c>
      <c r="E8253" s="26">
        <v>3958</v>
      </c>
      <c r="F8253" s="24" t="s">
        <v>502</v>
      </c>
    </row>
    <row r="8254" spans="1:6" x14ac:dyDescent="0.25">
      <c r="A8254" s="24" t="s">
        <v>7</v>
      </c>
      <c r="B8254" s="24" t="s">
        <v>20668</v>
      </c>
      <c r="C8254" s="25" t="s">
        <v>20669</v>
      </c>
      <c r="D8254" s="25" t="s">
        <v>20670</v>
      </c>
      <c r="E8254" s="26">
        <v>5695</v>
      </c>
      <c r="F8254" s="24" t="s">
        <v>502</v>
      </c>
    </row>
    <row r="8255" spans="1:6" x14ac:dyDescent="0.25">
      <c r="A8255" s="24" t="s">
        <v>7</v>
      </c>
      <c r="B8255" s="24" t="s">
        <v>20671</v>
      </c>
      <c r="C8255" s="25" t="s">
        <v>20672</v>
      </c>
      <c r="D8255" s="25" t="s">
        <v>20673</v>
      </c>
      <c r="E8255" s="26">
        <v>3642</v>
      </c>
      <c r="F8255" s="24" t="s">
        <v>502</v>
      </c>
    </row>
    <row r="8256" spans="1:6" x14ac:dyDescent="0.25">
      <c r="A8256" s="24" t="s">
        <v>7</v>
      </c>
      <c r="B8256" s="24" t="s">
        <v>20674</v>
      </c>
      <c r="C8256" s="25" t="s">
        <v>20675</v>
      </c>
      <c r="D8256" s="25" t="s">
        <v>20676</v>
      </c>
      <c r="E8256" s="26">
        <v>4843</v>
      </c>
      <c r="F8256" s="24" t="s">
        <v>502</v>
      </c>
    </row>
    <row r="8257" spans="1:6" x14ac:dyDescent="0.25">
      <c r="A8257" s="24" t="s">
        <v>7</v>
      </c>
      <c r="B8257" s="24" t="s">
        <v>20677</v>
      </c>
      <c r="C8257" s="25" t="s">
        <v>20678</v>
      </c>
      <c r="D8257" s="25" t="s">
        <v>20679</v>
      </c>
      <c r="E8257" s="26">
        <v>2569</v>
      </c>
      <c r="F8257" s="24" t="s">
        <v>502</v>
      </c>
    </row>
    <row r="8258" spans="1:6" x14ac:dyDescent="0.25">
      <c r="A8258" s="24" t="s">
        <v>7</v>
      </c>
      <c r="B8258" s="24" t="s">
        <v>20680</v>
      </c>
      <c r="C8258" s="25" t="s">
        <v>20681</v>
      </c>
      <c r="D8258" s="25" t="s">
        <v>20682</v>
      </c>
      <c r="E8258" s="26">
        <v>2569</v>
      </c>
      <c r="F8258" s="24" t="s">
        <v>502</v>
      </c>
    </row>
    <row r="8259" spans="1:6" x14ac:dyDescent="0.25">
      <c r="A8259" s="24" t="s">
        <v>7</v>
      </c>
      <c r="B8259" s="24" t="s">
        <v>20683</v>
      </c>
      <c r="C8259" s="25" t="s">
        <v>20684</v>
      </c>
      <c r="D8259" s="25" t="s">
        <v>20685</v>
      </c>
      <c r="E8259" s="26">
        <v>32899</v>
      </c>
      <c r="F8259" s="24" t="s">
        <v>502</v>
      </c>
    </row>
    <row r="8260" spans="1:6" x14ac:dyDescent="0.25">
      <c r="A8260" s="24" t="s">
        <v>7</v>
      </c>
      <c r="B8260" s="24" t="s">
        <v>20686</v>
      </c>
      <c r="C8260" s="25" t="s">
        <v>20687</v>
      </c>
      <c r="D8260" s="25" t="s">
        <v>20688</v>
      </c>
      <c r="E8260" s="26">
        <v>60</v>
      </c>
      <c r="F8260" s="24" t="s">
        <v>502</v>
      </c>
    </row>
    <row r="8261" spans="1:6" x14ac:dyDescent="0.25">
      <c r="A8261" s="24" t="s">
        <v>7</v>
      </c>
      <c r="B8261" s="24" t="s">
        <v>20689</v>
      </c>
      <c r="C8261" s="25" t="s">
        <v>20690</v>
      </c>
      <c r="D8261" s="25" t="s">
        <v>20691</v>
      </c>
      <c r="E8261" s="26">
        <v>1077</v>
      </c>
      <c r="F8261" s="24" t="s">
        <v>502</v>
      </c>
    </row>
    <row r="8262" spans="1:6" x14ac:dyDescent="0.25">
      <c r="A8262" s="24" t="s">
        <v>7</v>
      </c>
      <c r="B8262" s="24" t="s">
        <v>20692</v>
      </c>
      <c r="C8262" s="25" t="s">
        <v>20693</v>
      </c>
      <c r="D8262" s="25" t="s">
        <v>20694</v>
      </c>
      <c r="E8262" s="26">
        <v>914</v>
      </c>
      <c r="F8262" s="24" t="s">
        <v>502</v>
      </c>
    </row>
    <row r="8263" spans="1:6" x14ac:dyDescent="0.25">
      <c r="A8263" s="24" t="s">
        <v>7</v>
      </c>
      <c r="B8263" s="24" t="s">
        <v>20695</v>
      </c>
      <c r="C8263" s="25" t="s">
        <v>20696</v>
      </c>
      <c r="D8263" s="25" t="s">
        <v>20697</v>
      </c>
      <c r="E8263" s="26">
        <v>6006</v>
      </c>
      <c r="F8263" s="24" t="s">
        <v>502</v>
      </c>
    </row>
    <row r="8264" spans="1:6" x14ac:dyDescent="0.25">
      <c r="A8264" s="24" t="s">
        <v>7</v>
      </c>
      <c r="B8264" s="24" t="s">
        <v>20698</v>
      </c>
      <c r="C8264" s="25" t="s">
        <v>20699</v>
      </c>
      <c r="D8264" s="25" t="s">
        <v>20700</v>
      </c>
      <c r="E8264" s="26">
        <v>4668</v>
      </c>
      <c r="F8264" s="24" t="s">
        <v>502</v>
      </c>
    </row>
    <row r="8265" spans="1:6" x14ac:dyDescent="0.25">
      <c r="A8265" s="24" t="s">
        <v>7</v>
      </c>
      <c r="B8265" s="24" t="s">
        <v>20701</v>
      </c>
      <c r="C8265" s="25" t="s">
        <v>20702</v>
      </c>
      <c r="D8265" s="25" t="s">
        <v>20703</v>
      </c>
      <c r="E8265" s="26">
        <v>902</v>
      </c>
      <c r="F8265" s="24" t="s">
        <v>502</v>
      </c>
    </row>
    <row r="8266" spans="1:6" x14ac:dyDescent="0.25">
      <c r="A8266" s="24" t="s">
        <v>7</v>
      </c>
      <c r="B8266" s="24" t="s">
        <v>20704</v>
      </c>
      <c r="C8266" s="25" t="s">
        <v>20705</v>
      </c>
      <c r="D8266" s="25" t="s">
        <v>20706</v>
      </c>
      <c r="E8266" s="26">
        <v>618</v>
      </c>
      <c r="F8266" s="24" t="s">
        <v>502</v>
      </c>
    </row>
    <row r="8267" spans="1:6" x14ac:dyDescent="0.25">
      <c r="A8267" s="24" t="s">
        <v>7</v>
      </c>
      <c r="B8267" s="24" t="s">
        <v>20707</v>
      </c>
      <c r="C8267" s="25" t="s">
        <v>20708</v>
      </c>
      <c r="D8267" s="25" t="s">
        <v>20709</v>
      </c>
      <c r="E8267" s="26">
        <v>2913</v>
      </c>
      <c r="F8267" s="24" t="s">
        <v>502</v>
      </c>
    </row>
    <row r="8268" spans="1:6" x14ac:dyDescent="0.25">
      <c r="A8268" s="24" t="s">
        <v>7</v>
      </c>
      <c r="B8268" s="24" t="s">
        <v>20710</v>
      </c>
      <c r="C8268" s="25" t="s">
        <v>20711</v>
      </c>
      <c r="D8268" s="25" t="s">
        <v>20709</v>
      </c>
      <c r="E8268" s="26">
        <v>2913</v>
      </c>
      <c r="F8268" s="24" t="s">
        <v>502</v>
      </c>
    </row>
    <row r="8269" spans="1:6" x14ac:dyDescent="0.25">
      <c r="A8269" s="24" t="s">
        <v>7</v>
      </c>
      <c r="B8269" s="24" t="s">
        <v>20712</v>
      </c>
      <c r="C8269" s="25" t="s">
        <v>20713</v>
      </c>
      <c r="D8269" s="25" t="s">
        <v>20714</v>
      </c>
      <c r="E8269" s="26">
        <v>1636</v>
      </c>
      <c r="F8269" s="24" t="s">
        <v>502</v>
      </c>
    </row>
    <row r="8270" spans="1:6" x14ac:dyDescent="0.25">
      <c r="A8270" s="24" t="s">
        <v>7</v>
      </c>
      <c r="B8270" s="24" t="s">
        <v>20715</v>
      </c>
      <c r="C8270" s="25" t="s">
        <v>20716</v>
      </c>
      <c r="D8270" s="25" t="s">
        <v>20714</v>
      </c>
      <c r="E8270" s="26">
        <v>1636</v>
      </c>
      <c r="F8270" s="24" t="s">
        <v>502</v>
      </c>
    </row>
    <row r="8271" spans="1:6" x14ac:dyDescent="0.25">
      <c r="A8271" s="24" t="s">
        <v>7</v>
      </c>
      <c r="B8271" s="24" t="s">
        <v>20717</v>
      </c>
      <c r="C8271" s="25" t="s">
        <v>20718</v>
      </c>
      <c r="D8271" s="25" t="s">
        <v>20718</v>
      </c>
      <c r="E8271" s="26">
        <v>0.01</v>
      </c>
    </row>
    <row r="8272" spans="1:6" x14ac:dyDescent="0.25">
      <c r="A8272" s="24" t="s">
        <v>7</v>
      </c>
      <c r="B8272" s="24" t="s">
        <v>20719</v>
      </c>
      <c r="C8272" s="25" t="s">
        <v>20720</v>
      </c>
      <c r="D8272" s="25" t="s">
        <v>20721</v>
      </c>
      <c r="E8272" s="26">
        <v>2273</v>
      </c>
      <c r="F8272" s="24" t="s">
        <v>502</v>
      </c>
    </row>
    <row r="8273" spans="1:6" x14ac:dyDescent="0.25">
      <c r="A8273" s="24" t="s">
        <v>7</v>
      </c>
      <c r="B8273" s="24" t="s">
        <v>20722</v>
      </c>
      <c r="C8273" s="25" t="s">
        <v>20723</v>
      </c>
      <c r="D8273" s="25" t="s">
        <v>20724</v>
      </c>
      <c r="E8273" s="26">
        <v>6915</v>
      </c>
      <c r="F8273" s="24" t="s">
        <v>502</v>
      </c>
    </row>
    <row r="8274" spans="1:6" x14ac:dyDescent="0.25">
      <c r="A8274" s="24" t="s">
        <v>7</v>
      </c>
      <c r="B8274" s="24" t="s">
        <v>20725</v>
      </c>
      <c r="C8274" s="25" t="s">
        <v>20726</v>
      </c>
      <c r="D8274" s="25" t="s">
        <v>20727</v>
      </c>
      <c r="E8274" s="26">
        <v>1228</v>
      </c>
      <c r="F8274" s="24" t="s">
        <v>502</v>
      </c>
    </row>
    <row r="8275" spans="1:6" x14ac:dyDescent="0.25">
      <c r="A8275" s="24" t="s">
        <v>7</v>
      </c>
      <c r="B8275" s="24" t="s">
        <v>20728</v>
      </c>
      <c r="C8275" s="25" t="s">
        <v>20729</v>
      </c>
      <c r="D8275" s="25" t="s">
        <v>20730</v>
      </c>
      <c r="E8275" s="26">
        <v>3003</v>
      </c>
      <c r="F8275" s="24" t="s">
        <v>502</v>
      </c>
    </row>
    <row r="8276" spans="1:6" x14ac:dyDescent="0.25">
      <c r="A8276" s="24" t="s">
        <v>7</v>
      </c>
      <c r="B8276" s="24" t="s">
        <v>20731</v>
      </c>
      <c r="C8276" s="25" t="s">
        <v>20732</v>
      </c>
      <c r="D8276" s="25" t="s">
        <v>20733</v>
      </c>
      <c r="E8276" s="26">
        <v>2035</v>
      </c>
      <c r="F8276" s="24" t="s">
        <v>502</v>
      </c>
    </row>
    <row r="8277" spans="1:6" x14ac:dyDescent="0.25">
      <c r="A8277" s="24" t="s">
        <v>7</v>
      </c>
      <c r="B8277" s="24" t="s">
        <v>20734</v>
      </c>
      <c r="C8277" s="25" t="s">
        <v>20735</v>
      </c>
      <c r="D8277" s="25" t="s">
        <v>20736</v>
      </c>
      <c r="E8277" s="26">
        <v>540</v>
      </c>
      <c r="F8277" s="24" t="s">
        <v>502</v>
      </c>
    </row>
    <row r="8278" spans="1:6" x14ac:dyDescent="0.25">
      <c r="A8278" s="24" t="s">
        <v>7</v>
      </c>
      <c r="B8278" s="24" t="s">
        <v>20737</v>
      </c>
      <c r="C8278" s="25" t="s">
        <v>20738</v>
      </c>
      <c r="D8278" s="25" t="s">
        <v>20739</v>
      </c>
      <c r="E8278" s="26">
        <v>939</v>
      </c>
      <c r="F8278" s="24" t="s">
        <v>502</v>
      </c>
    </row>
    <row r="8279" spans="1:6" x14ac:dyDescent="0.25">
      <c r="A8279" s="24" t="s">
        <v>7</v>
      </c>
      <c r="B8279" s="24" t="s">
        <v>20740</v>
      </c>
      <c r="C8279" s="25" t="s">
        <v>20741</v>
      </c>
      <c r="D8279" s="25" t="s">
        <v>20496</v>
      </c>
      <c r="E8279" s="26">
        <v>239</v>
      </c>
      <c r="F8279" s="24" t="s">
        <v>502</v>
      </c>
    </row>
    <row r="8280" spans="1:6" x14ac:dyDescent="0.25">
      <c r="A8280" s="24" t="s">
        <v>7</v>
      </c>
      <c r="B8280" s="24" t="s">
        <v>20742</v>
      </c>
      <c r="C8280" s="25" t="s">
        <v>20743</v>
      </c>
      <c r="D8280" s="25" t="s">
        <v>20743</v>
      </c>
      <c r="E8280" s="26">
        <v>1059</v>
      </c>
      <c r="F8280" s="24" t="s">
        <v>502</v>
      </c>
    </row>
    <row r="8281" spans="1:6" x14ac:dyDescent="0.25">
      <c r="A8281" s="24" t="s">
        <v>7</v>
      </c>
      <c r="B8281" s="24" t="s">
        <v>20744</v>
      </c>
      <c r="C8281" s="25" t="s">
        <v>20745</v>
      </c>
      <c r="D8281" s="25" t="s">
        <v>20746</v>
      </c>
      <c r="E8281" s="26">
        <v>5416</v>
      </c>
      <c r="F8281" s="24" t="s">
        <v>502</v>
      </c>
    </row>
    <row r="8282" spans="1:6" x14ac:dyDescent="0.25">
      <c r="A8282" s="24" t="s">
        <v>7</v>
      </c>
      <c r="B8282" s="24" t="s">
        <v>20747</v>
      </c>
      <c r="C8282" s="25" t="s">
        <v>20748</v>
      </c>
      <c r="D8282" s="25" t="s">
        <v>20749</v>
      </c>
      <c r="E8282" s="26">
        <v>5416</v>
      </c>
      <c r="F8282" s="24" t="s">
        <v>502</v>
      </c>
    </row>
    <row r="8283" spans="1:6" x14ac:dyDescent="0.25">
      <c r="A8283" s="24" t="s">
        <v>7</v>
      </c>
      <c r="B8283" s="24" t="s">
        <v>20750</v>
      </c>
      <c r="C8283" s="25" t="s">
        <v>20751</v>
      </c>
      <c r="D8283" s="25" t="s">
        <v>20749</v>
      </c>
      <c r="E8283" s="26">
        <v>5416</v>
      </c>
      <c r="F8283" s="24" t="s">
        <v>502</v>
      </c>
    </row>
    <row r="8284" spans="1:6" x14ac:dyDescent="0.25">
      <c r="A8284" s="24" t="s">
        <v>7</v>
      </c>
      <c r="B8284" s="24" t="s">
        <v>20752</v>
      </c>
      <c r="C8284" s="25" t="s">
        <v>20753</v>
      </c>
      <c r="D8284" s="25" t="s">
        <v>20749</v>
      </c>
      <c r="E8284" s="26">
        <v>4827</v>
      </c>
      <c r="F8284" s="24" t="s">
        <v>502</v>
      </c>
    </row>
    <row r="8285" spans="1:6" x14ac:dyDescent="0.25">
      <c r="A8285" s="24" t="s">
        <v>7</v>
      </c>
      <c r="B8285" s="24" t="s">
        <v>20754</v>
      </c>
      <c r="C8285" s="25" t="s">
        <v>20755</v>
      </c>
      <c r="D8285" s="25" t="s">
        <v>20756</v>
      </c>
      <c r="E8285" s="26">
        <v>386</v>
      </c>
    </row>
    <row r="8286" spans="1:6" x14ac:dyDescent="0.25">
      <c r="A8286" s="24" t="s">
        <v>7</v>
      </c>
      <c r="B8286" s="24" t="s">
        <v>20757</v>
      </c>
      <c r="C8286" s="25" t="s">
        <v>20758</v>
      </c>
      <c r="D8286" s="25" t="s">
        <v>20759</v>
      </c>
      <c r="E8286" s="26">
        <v>135</v>
      </c>
      <c r="F8286" s="24" t="s">
        <v>502</v>
      </c>
    </row>
    <row r="8287" spans="1:6" x14ac:dyDescent="0.25">
      <c r="A8287" s="24" t="s">
        <v>7</v>
      </c>
      <c r="B8287" s="24" t="s">
        <v>20760</v>
      </c>
      <c r="C8287" s="25" t="s">
        <v>20761</v>
      </c>
      <c r="D8287" s="25" t="s">
        <v>20762</v>
      </c>
      <c r="E8287" s="26">
        <v>1232</v>
      </c>
      <c r="F8287" s="24" t="s">
        <v>502</v>
      </c>
    </row>
    <row r="8288" spans="1:6" x14ac:dyDescent="0.25">
      <c r="A8288" s="24" t="s">
        <v>7</v>
      </c>
      <c r="B8288" s="24" t="s">
        <v>20763</v>
      </c>
      <c r="C8288" s="25" t="s">
        <v>20764</v>
      </c>
      <c r="D8288" s="25" t="s">
        <v>20765</v>
      </c>
      <c r="E8288" s="26">
        <v>135</v>
      </c>
      <c r="F8288" s="24" t="s">
        <v>502</v>
      </c>
    </row>
    <row r="8289" spans="1:6" x14ac:dyDescent="0.25">
      <c r="A8289" s="24" t="s">
        <v>7</v>
      </c>
      <c r="B8289" s="24" t="s">
        <v>20766</v>
      </c>
      <c r="C8289" s="25" t="s">
        <v>20767</v>
      </c>
      <c r="D8289" s="25" t="s">
        <v>20768</v>
      </c>
      <c r="E8289" s="26">
        <v>135</v>
      </c>
      <c r="F8289" s="24" t="s">
        <v>502</v>
      </c>
    </row>
    <row r="8290" spans="1:6" x14ac:dyDescent="0.25">
      <c r="A8290" s="24" t="s">
        <v>7</v>
      </c>
      <c r="B8290" s="24" t="s">
        <v>20769</v>
      </c>
      <c r="C8290" s="25" t="s">
        <v>20770</v>
      </c>
      <c r="D8290" s="25" t="s">
        <v>20771</v>
      </c>
      <c r="E8290" s="26">
        <v>135</v>
      </c>
      <c r="F8290" s="24" t="s">
        <v>502</v>
      </c>
    </row>
    <row r="8291" spans="1:6" x14ac:dyDescent="0.25">
      <c r="A8291" s="24" t="s">
        <v>7</v>
      </c>
      <c r="B8291" s="24" t="s">
        <v>20772</v>
      </c>
      <c r="C8291" s="25" t="s">
        <v>20773</v>
      </c>
      <c r="D8291" s="25" t="s">
        <v>20774</v>
      </c>
      <c r="E8291" s="26">
        <v>3958</v>
      </c>
      <c r="F8291" s="24" t="s">
        <v>502</v>
      </c>
    </row>
    <row r="8292" spans="1:6" x14ac:dyDescent="0.25">
      <c r="A8292" s="24" t="s">
        <v>7</v>
      </c>
      <c r="B8292" s="24" t="s">
        <v>20775</v>
      </c>
      <c r="C8292" s="25" t="s">
        <v>20776</v>
      </c>
      <c r="D8292" s="25" t="s">
        <v>20777</v>
      </c>
      <c r="E8292" s="26">
        <v>2802</v>
      </c>
      <c r="F8292" s="24" t="s">
        <v>502</v>
      </c>
    </row>
    <row r="8293" spans="1:6" x14ac:dyDescent="0.25">
      <c r="A8293" s="24" t="s">
        <v>7</v>
      </c>
      <c r="B8293" s="24" t="s">
        <v>20778</v>
      </c>
      <c r="C8293" s="25" t="s">
        <v>20779</v>
      </c>
      <c r="D8293" s="25" t="s">
        <v>2542</v>
      </c>
      <c r="E8293" s="26">
        <v>142010</v>
      </c>
      <c r="F8293" s="24" t="s">
        <v>502</v>
      </c>
    </row>
    <row r="8294" spans="1:6" x14ac:dyDescent="0.25">
      <c r="A8294" s="24" t="s">
        <v>7</v>
      </c>
      <c r="B8294" s="24" t="s">
        <v>20780</v>
      </c>
      <c r="C8294" s="25" t="s">
        <v>20781</v>
      </c>
      <c r="D8294" s="25" t="s">
        <v>20782</v>
      </c>
      <c r="E8294" s="26">
        <v>104238</v>
      </c>
      <c r="F8294" s="24" t="s">
        <v>502</v>
      </c>
    </row>
    <row r="8295" spans="1:6" x14ac:dyDescent="0.25">
      <c r="A8295" s="24" t="s">
        <v>7</v>
      </c>
      <c r="B8295" s="24" t="s">
        <v>20783</v>
      </c>
      <c r="C8295" s="25" t="s">
        <v>20784</v>
      </c>
      <c r="D8295" s="25" t="s">
        <v>20584</v>
      </c>
      <c r="E8295" s="26">
        <v>32247</v>
      </c>
      <c r="F8295" s="24" t="s">
        <v>502</v>
      </c>
    </row>
    <row r="8296" spans="1:6" x14ac:dyDescent="0.25">
      <c r="A8296" s="24" t="s">
        <v>7</v>
      </c>
      <c r="B8296" s="24" t="s">
        <v>20785</v>
      </c>
      <c r="C8296" s="25" t="s">
        <v>20786</v>
      </c>
      <c r="D8296" s="25" t="s">
        <v>20786</v>
      </c>
      <c r="E8296" s="26">
        <v>819</v>
      </c>
      <c r="F8296" s="24" t="s">
        <v>502</v>
      </c>
    </row>
    <row r="8297" spans="1:6" x14ac:dyDescent="0.25">
      <c r="A8297" s="24" t="s">
        <v>7</v>
      </c>
      <c r="B8297" s="24" t="s">
        <v>20787</v>
      </c>
      <c r="C8297" s="25" t="s">
        <v>20788</v>
      </c>
      <c r="D8297" s="25" t="s">
        <v>20789</v>
      </c>
      <c r="E8297" s="26">
        <v>82830</v>
      </c>
      <c r="F8297" s="24" t="s">
        <v>502</v>
      </c>
    </row>
    <row r="8298" spans="1:6" x14ac:dyDescent="0.25">
      <c r="A8298" s="24" t="s">
        <v>7</v>
      </c>
      <c r="B8298" s="24" t="s">
        <v>20790</v>
      </c>
      <c r="C8298" s="25" t="s">
        <v>20791</v>
      </c>
      <c r="D8298" s="25" t="s">
        <v>20789</v>
      </c>
      <c r="E8298" s="26">
        <v>57108</v>
      </c>
      <c r="F8298" s="24" t="s">
        <v>502</v>
      </c>
    </row>
    <row r="8299" spans="1:6" x14ac:dyDescent="0.25">
      <c r="A8299" s="24" t="s">
        <v>7</v>
      </c>
      <c r="B8299" s="24" t="s">
        <v>20792</v>
      </c>
      <c r="C8299" s="25" t="s">
        <v>20793</v>
      </c>
      <c r="D8299" s="25" t="s">
        <v>20794</v>
      </c>
      <c r="E8299" s="26">
        <v>1701</v>
      </c>
      <c r="F8299" s="24" t="s">
        <v>502</v>
      </c>
    </row>
    <row r="8300" spans="1:6" x14ac:dyDescent="0.25">
      <c r="A8300" s="24" t="s">
        <v>7</v>
      </c>
      <c r="B8300" s="24" t="s">
        <v>20795</v>
      </c>
      <c r="C8300" s="25" t="s">
        <v>20796</v>
      </c>
      <c r="D8300" s="25" t="s">
        <v>20797</v>
      </c>
      <c r="E8300" s="26">
        <v>2017</v>
      </c>
      <c r="F8300" s="24" t="s">
        <v>502</v>
      </c>
    </row>
    <row r="8301" spans="1:6" x14ac:dyDescent="0.25">
      <c r="A8301" s="24" t="s">
        <v>7</v>
      </c>
      <c r="B8301" s="24" t="s">
        <v>20798</v>
      </c>
      <c r="C8301" s="25" t="s">
        <v>20799</v>
      </c>
      <c r="D8301" s="25" t="s">
        <v>2580</v>
      </c>
      <c r="E8301" s="26">
        <v>2881</v>
      </c>
      <c r="F8301" s="24" t="s">
        <v>502</v>
      </c>
    </row>
    <row r="8302" spans="1:6" x14ac:dyDescent="0.25">
      <c r="A8302" s="24" t="s">
        <v>7</v>
      </c>
      <c r="B8302" s="24" t="s">
        <v>20800</v>
      </c>
      <c r="C8302" s="25" t="s">
        <v>20801</v>
      </c>
      <c r="D8302" s="25" t="s">
        <v>2580</v>
      </c>
      <c r="E8302" s="26">
        <v>819</v>
      </c>
    </row>
    <row r="8303" spans="1:6" x14ac:dyDescent="0.25">
      <c r="A8303" s="24" t="s">
        <v>7</v>
      </c>
      <c r="B8303" s="24" t="s">
        <v>20802</v>
      </c>
      <c r="C8303" s="25" t="s">
        <v>20803</v>
      </c>
      <c r="D8303" s="25" t="s">
        <v>2580</v>
      </c>
      <c r="E8303" s="26">
        <v>786</v>
      </c>
    </row>
    <row r="8304" spans="1:6" x14ac:dyDescent="0.25">
      <c r="A8304" s="24" t="s">
        <v>7</v>
      </c>
      <c r="B8304" s="24" t="s">
        <v>20804</v>
      </c>
      <c r="C8304" s="25" t="s">
        <v>20805</v>
      </c>
      <c r="D8304" s="25" t="s">
        <v>20806</v>
      </c>
      <c r="E8304" s="26">
        <v>793</v>
      </c>
      <c r="F8304" s="24" t="s">
        <v>502</v>
      </c>
    </row>
    <row r="8305" spans="1:6" x14ac:dyDescent="0.25">
      <c r="A8305" s="24" t="s">
        <v>7</v>
      </c>
      <c r="B8305" s="24" t="s">
        <v>20807</v>
      </c>
      <c r="C8305" s="25" t="s">
        <v>20808</v>
      </c>
      <c r="D8305" s="25" t="s">
        <v>20809</v>
      </c>
      <c r="E8305" s="26">
        <v>3770</v>
      </c>
      <c r="F8305" s="24" t="s">
        <v>502</v>
      </c>
    </row>
    <row r="8306" spans="1:6" x14ac:dyDescent="0.25">
      <c r="A8306" s="24" t="s">
        <v>7</v>
      </c>
      <c r="B8306" s="24" t="s">
        <v>20810</v>
      </c>
      <c r="C8306" s="25" t="s">
        <v>20811</v>
      </c>
      <c r="D8306" s="25" t="s">
        <v>20812</v>
      </c>
      <c r="E8306" s="26">
        <v>27910</v>
      </c>
      <c r="F8306" s="24" t="s">
        <v>502</v>
      </c>
    </row>
    <row r="8307" spans="1:6" x14ac:dyDescent="0.25">
      <c r="A8307" s="24" t="s">
        <v>7</v>
      </c>
      <c r="B8307" s="24" t="s">
        <v>20813</v>
      </c>
      <c r="C8307" s="25" t="s">
        <v>20814</v>
      </c>
      <c r="D8307" s="25" t="s">
        <v>2589</v>
      </c>
      <c r="E8307" s="26">
        <v>22362</v>
      </c>
      <c r="F8307" s="24" t="s">
        <v>502</v>
      </c>
    </row>
    <row r="8308" spans="1:6" x14ac:dyDescent="0.25">
      <c r="A8308" s="24" t="s">
        <v>7</v>
      </c>
      <c r="B8308" s="24" t="s">
        <v>20815</v>
      </c>
      <c r="C8308" s="25" t="s">
        <v>20816</v>
      </c>
      <c r="D8308" s="25" t="s">
        <v>2589</v>
      </c>
      <c r="E8308" s="26">
        <v>9921</v>
      </c>
    </row>
    <row r="8309" spans="1:6" x14ac:dyDescent="0.25">
      <c r="A8309" s="24" t="s">
        <v>7</v>
      </c>
      <c r="B8309" s="24" t="s">
        <v>20817</v>
      </c>
      <c r="C8309" s="25" t="s">
        <v>20818</v>
      </c>
      <c r="D8309" s="25" t="s">
        <v>2589</v>
      </c>
      <c r="E8309" s="26">
        <v>16920</v>
      </c>
    </row>
    <row r="8310" spans="1:6" x14ac:dyDescent="0.25">
      <c r="A8310" s="24" t="s">
        <v>7</v>
      </c>
      <c r="B8310" s="24" t="s">
        <v>20819</v>
      </c>
      <c r="C8310" s="25" t="s">
        <v>20820</v>
      </c>
      <c r="D8310" s="25" t="s">
        <v>20821</v>
      </c>
      <c r="E8310" s="26">
        <v>15380</v>
      </c>
      <c r="F8310" s="24" t="s">
        <v>502</v>
      </c>
    </row>
    <row r="8311" spans="1:6" x14ac:dyDescent="0.25">
      <c r="A8311" s="24" t="s">
        <v>7</v>
      </c>
      <c r="B8311" s="24" t="s">
        <v>20822</v>
      </c>
      <c r="C8311" s="25" t="s">
        <v>20823</v>
      </c>
      <c r="D8311" s="25" t="s">
        <v>20824</v>
      </c>
      <c r="E8311" s="26">
        <v>28487</v>
      </c>
      <c r="F8311" s="24" t="s">
        <v>502</v>
      </c>
    </row>
    <row r="8312" spans="1:6" x14ac:dyDescent="0.25">
      <c r="A8312" s="24" t="s">
        <v>7</v>
      </c>
      <c r="B8312" s="24" t="s">
        <v>20825</v>
      </c>
      <c r="C8312" s="25" t="s">
        <v>20826</v>
      </c>
      <c r="D8312" s="25" t="s">
        <v>20827</v>
      </c>
      <c r="E8312" s="26">
        <v>17674</v>
      </c>
      <c r="F8312" s="24" t="s">
        <v>502</v>
      </c>
    </row>
    <row r="8313" spans="1:6" x14ac:dyDescent="0.25">
      <c r="A8313" s="24" t="s">
        <v>7</v>
      </c>
      <c r="B8313" s="24" t="s">
        <v>20828</v>
      </c>
      <c r="C8313" s="25" t="s">
        <v>20829</v>
      </c>
      <c r="D8313" s="25" t="s">
        <v>2595</v>
      </c>
      <c r="E8313" s="26">
        <v>28473</v>
      </c>
    </row>
    <row r="8314" spans="1:6" x14ac:dyDescent="0.25">
      <c r="A8314" s="24" t="s">
        <v>7</v>
      </c>
      <c r="B8314" s="24" t="s">
        <v>20830</v>
      </c>
      <c r="C8314" s="25" t="s">
        <v>20831</v>
      </c>
      <c r="D8314" s="25" t="s">
        <v>20832</v>
      </c>
      <c r="E8314" s="26">
        <v>10572</v>
      </c>
      <c r="F8314" s="24" t="s">
        <v>502</v>
      </c>
    </row>
    <row r="8315" spans="1:6" x14ac:dyDescent="0.25">
      <c r="A8315" s="24" t="s">
        <v>7</v>
      </c>
      <c r="B8315" s="24" t="s">
        <v>20833</v>
      </c>
      <c r="C8315" s="25" t="s">
        <v>20834</v>
      </c>
      <c r="D8315" s="25" t="s">
        <v>20832</v>
      </c>
      <c r="E8315" s="26">
        <v>10278</v>
      </c>
      <c r="F8315" s="24" t="s">
        <v>502</v>
      </c>
    </row>
    <row r="8316" spans="1:6" x14ac:dyDescent="0.25">
      <c r="A8316" s="24" t="s">
        <v>7</v>
      </c>
      <c r="B8316" s="24" t="s">
        <v>20835</v>
      </c>
      <c r="C8316" s="25" t="s">
        <v>20836</v>
      </c>
      <c r="D8316" s="25" t="s">
        <v>20836</v>
      </c>
      <c r="E8316" s="26">
        <v>3429</v>
      </c>
      <c r="F8316" s="24" t="s">
        <v>502</v>
      </c>
    </row>
    <row r="8317" spans="1:6" x14ac:dyDescent="0.25">
      <c r="A8317" s="24" t="s">
        <v>7</v>
      </c>
      <c r="B8317" s="24" t="s">
        <v>20837</v>
      </c>
      <c r="C8317" s="25" t="s">
        <v>20838</v>
      </c>
      <c r="D8317" s="25" t="s">
        <v>20836</v>
      </c>
      <c r="E8317" s="26">
        <v>3987</v>
      </c>
      <c r="F8317" s="24" t="s">
        <v>502</v>
      </c>
    </row>
    <row r="8318" spans="1:6" x14ac:dyDescent="0.25">
      <c r="A8318" s="24" t="s">
        <v>7</v>
      </c>
      <c r="B8318" s="24" t="s">
        <v>20839</v>
      </c>
      <c r="C8318" s="25" t="s">
        <v>20840</v>
      </c>
      <c r="D8318" s="25" t="s">
        <v>20841</v>
      </c>
      <c r="E8318" s="26">
        <v>3262</v>
      </c>
      <c r="F8318" s="24" t="s">
        <v>502</v>
      </c>
    </row>
    <row r="8319" spans="1:6" x14ac:dyDescent="0.25">
      <c r="A8319" s="24" t="s">
        <v>7</v>
      </c>
      <c r="B8319" s="24" t="s">
        <v>20842</v>
      </c>
      <c r="C8319" s="25" t="s">
        <v>20843</v>
      </c>
      <c r="D8319" s="25" t="s">
        <v>20841</v>
      </c>
      <c r="E8319" s="26">
        <v>3262</v>
      </c>
      <c r="F8319" s="24" t="s">
        <v>502</v>
      </c>
    </row>
    <row r="8320" spans="1:6" x14ac:dyDescent="0.25">
      <c r="A8320" s="24" t="s">
        <v>7</v>
      </c>
      <c r="B8320" s="24" t="s">
        <v>20844</v>
      </c>
      <c r="C8320" s="25" t="s">
        <v>20845</v>
      </c>
      <c r="D8320" s="25" t="s">
        <v>1424</v>
      </c>
      <c r="E8320" s="26">
        <v>3927</v>
      </c>
      <c r="F8320" s="24" t="s">
        <v>502</v>
      </c>
    </row>
    <row r="8321" spans="1:6" x14ac:dyDescent="0.25">
      <c r="A8321" s="24" t="s">
        <v>7</v>
      </c>
      <c r="B8321" s="24" t="s">
        <v>20846</v>
      </c>
      <c r="C8321" s="25" t="s">
        <v>20847</v>
      </c>
      <c r="D8321" s="25" t="s">
        <v>20848</v>
      </c>
      <c r="E8321" s="26">
        <v>3199</v>
      </c>
      <c r="F8321" s="24" t="s">
        <v>502</v>
      </c>
    </row>
    <row r="8322" spans="1:6" x14ac:dyDescent="0.25">
      <c r="A8322" s="24" t="s">
        <v>7</v>
      </c>
      <c r="B8322" s="24" t="s">
        <v>20849</v>
      </c>
      <c r="C8322" s="25" t="s">
        <v>20850</v>
      </c>
      <c r="D8322" s="25" t="s">
        <v>20851</v>
      </c>
      <c r="E8322" s="26">
        <v>4054</v>
      </c>
      <c r="F8322" s="24" t="s">
        <v>502</v>
      </c>
    </row>
    <row r="8323" spans="1:6" x14ac:dyDescent="0.25">
      <c r="A8323" s="24" t="s">
        <v>7</v>
      </c>
      <c r="B8323" s="24" t="s">
        <v>20852</v>
      </c>
      <c r="C8323" s="25" t="s">
        <v>20853</v>
      </c>
      <c r="D8323" s="25" t="s">
        <v>20854</v>
      </c>
      <c r="E8323" s="26">
        <v>4028</v>
      </c>
      <c r="F8323" s="24" t="s">
        <v>502</v>
      </c>
    </row>
    <row r="8324" spans="1:6" x14ac:dyDescent="0.25">
      <c r="A8324" s="24" t="s">
        <v>7</v>
      </c>
      <c r="B8324" s="24" t="s">
        <v>20855</v>
      </c>
      <c r="C8324" s="25" t="s">
        <v>20856</v>
      </c>
      <c r="D8324" s="25" t="s">
        <v>20857</v>
      </c>
      <c r="E8324" s="26">
        <v>2956</v>
      </c>
      <c r="F8324" s="24" t="s">
        <v>502</v>
      </c>
    </row>
    <row r="8325" spans="1:6" x14ac:dyDescent="0.25">
      <c r="A8325" s="24" t="s">
        <v>7</v>
      </c>
      <c r="B8325" s="24" t="s">
        <v>20858</v>
      </c>
      <c r="C8325" s="25" t="s">
        <v>20859</v>
      </c>
      <c r="D8325" s="25" t="s">
        <v>20860</v>
      </c>
      <c r="E8325" s="26">
        <v>3134</v>
      </c>
      <c r="F8325" s="24" t="s">
        <v>502</v>
      </c>
    </row>
    <row r="8326" spans="1:6" x14ac:dyDescent="0.25">
      <c r="A8326" s="24" t="s">
        <v>7</v>
      </c>
      <c r="B8326" s="24" t="s">
        <v>20861</v>
      </c>
      <c r="C8326" s="25" t="s">
        <v>20862</v>
      </c>
      <c r="D8326" s="25" t="s">
        <v>20863</v>
      </c>
      <c r="E8326" s="26">
        <v>2956</v>
      </c>
      <c r="F8326" s="24" t="s">
        <v>502</v>
      </c>
    </row>
    <row r="8327" spans="1:6" x14ac:dyDescent="0.25">
      <c r="A8327" s="24" t="s">
        <v>7</v>
      </c>
      <c r="B8327" s="24" t="s">
        <v>20864</v>
      </c>
      <c r="C8327" s="25" t="s">
        <v>20865</v>
      </c>
      <c r="D8327" s="25" t="s">
        <v>20866</v>
      </c>
      <c r="E8327" s="26">
        <v>4283</v>
      </c>
      <c r="F8327" s="24" t="s">
        <v>502</v>
      </c>
    </row>
    <row r="8328" spans="1:6" x14ac:dyDescent="0.25">
      <c r="A8328" s="24" t="s">
        <v>7</v>
      </c>
      <c r="B8328" s="24" t="s">
        <v>20867</v>
      </c>
      <c r="C8328" s="25" t="s">
        <v>20868</v>
      </c>
      <c r="D8328" s="25" t="s">
        <v>20869</v>
      </c>
      <c r="E8328" s="26">
        <v>3709</v>
      </c>
      <c r="F8328" s="24" t="s">
        <v>502</v>
      </c>
    </row>
    <row r="8329" spans="1:6" x14ac:dyDescent="0.25">
      <c r="A8329" s="24" t="s">
        <v>7</v>
      </c>
      <c r="B8329" s="24" t="s">
        <v>20870</v>
      </c>
      <c r="C8329" s="25" t="s">
        <v>20871</v>
      </c>
      <c r="D8329" s="25" t="s">
        <v>20872</v>
      </c>
      <c r="E8329" s="26">
        <v>2793</v>
      </c>
      <c r="F8329" s="24" t="s">
        <v>502</v>
      </c>
    </row>
    <row r="8330" spans="1:6" x14ac:dyDescent="0.25">
      <c r="A8330" s="24" t="s">
        <v>7</v>
      </c>
      <c r="B8330" s="24" t="s">
        <v>20873</v>
      </c>
      <c r="C8330" s="25" t="s">
        <v>20874</v>
      </c>
      <c r="D8330" s="25" t="s">
        <v>20875</v>
      </c>
      <c r="E8330" s="26">
        <v>2698</v>
      </c>
      <c r="F8330" s="24" t="s">
        <v>502</v>
      </c>
    </row>
    <row r="8331" spans="1:6" x14ac:dyDescent="0.25">
      <c r="A8331" s="24" t="s">
        <v>7</v>
      </c>
      <c r="B8331" s="24" t="s">
        <v>20876</v>
      </c>
      <c r="C8331" s="25" t="s">
        <v>20877</v>
      </c>
      <c r="D8331" s="25" t="s">
        <v>20875</v>
      </c>
      <c r="E8331" s="26">
        <v>1495</v>
      </c>
      <c r="F8331" s="24" t="s">
        <v>502</v>
      </c>
    </row>
    <row r="8332" spans="1:6" x14ac:dyDescent="0.25">
      <c r="A8332" s="24" t="s">
        <v>7</v>
      </c>
      <c r="B8332" s="24" t="s">
        <v>20878</v>
      </c>
      <c r="C8332" s="25" t="s">
        <v>20879</v>
      </c>
      <c r="D8332" s="25" t="s">
        <v>20880</v>
      </c>
      <c r="E8332" s="26">
        <v>6085</v>
      </c>
      <c r="F8332" s="24" t="s">
        <v>502</v>
      </c>
    </row>
    <row r="8333" spans="1:6" x14ac:dyDescent="0.25">
      <c r="A8333" s="24" t="s">
        <v>7</v>
      </c>
      <c r="B8333" s="24" t="s">
        <v>20881</v>
      </c>
      <c r="C8333" s="25" t="s">
        <v>20882</v>
      </c>
      <c r="D8333" s="25" t="s">
        <v>20883</v>
      </c>
      <c r="E8333" s="26">
        <v>1560</v>
      </c>
      <c r="F8333" s="24" t="s">
        <v>502</v>
      </c>
    </row>
    <row r="8334" spans="1:6" x14ac:dyDescent="0.25">
      <c r="A8334" s="24" t="s">
        <v>7</v>
      </c>
      <c r="B8334" s="24" t="s">
        <v>20884</v>
      </c>
      <c r="C8334" s="25" t="s">
        <v>20885</v>
      </c>
      <c r="D8334" s="25" t="s">
        <v>20886</v>
      </c>
      <c r="E8334" s="26">
        <v>3629</v>
      </c>
      <c r="F8334" s="24" t="s">
        <v>502</v>
      </c>
    </row>
    <row r="8335" spans="1:6" x14ac:dyDescent="0.25">
      <c r="A8335" s="24" t="s">
        <v>7</v>
      </c>
      <c r="B8335" s="24" t="s">
        <v>20887</v>
      </c>
      <c r="C8335" s="25" t="s">
        <v>20888</v>
      </c>
      <c r="D8335" s="25" t="s">
        <v>20889</v>
      </c>
      <c r="E8335" s="26">
        <v>2029</v>
      </c>
    </row>
    <row r="8336" spans="1:6" x14ac:dyDescent="0.25">
      <c r="A8336" s="24" t="s">
        <v>7</v>
      </c>
      <c r="B8336" s="24" t="s">
        <v>20890</v>
      </c>
      <c r="C8336" s="25" t="s">
        <v>20891</v>
      </c>
      <c r="D8336" s="25" t="s">
        <v>20892</v>
      </c>
      <c r="E8336" s="26">
        <v>4159</v>
      </c>
      <c r="F8336" s="24" t="s">
        <v>502</v>
      </c>
    </row>
    <row r="8337" spans="1:6" x14ac:dyDescent="0.25">
      <c r="A8337" s="24" t="s">
        <v>7</v>
      </c>
      <c r="B8337" s="24" t="s">
        <v>20893</v>
      </c>
      <c r="C8337" s="25" t="s">
        <v>20894</v>
      </c>
      <c r="D8337" s="25" t="s">
        <v>20895</v>
      </c>
      <c r="E8337" s="26">
        <v>9541</v>
      </c>
      <c r="F8337" s="24" t="s">
        <v>502</v>
      </c>
    </row>
    <row r="8338" spans="1:6" x14ac:dyDescent="0.25">
      <c r="A8338" s="24" t="s">
        <v>7</v>
      </c>
      <c r="B8338" s="24" t="s">
        <v>20896</v>
      </c>
      <c r="C8338" s="25" t="s">
        <v>20897</v>
      </c>
      <c r="D8338" s="25" t="s">
        <v>2768</v>
      </c>
      <c r="E8338" s="26">
        <v>181</v>
      </c>
      <c r="F8338" s="24" t="s">
        <v>502</v>
      </c>
    </row>
    <row r="8339" spans="1:6" x14ac:dyDescent="0.25">
      <c r="A8339" s="24" t="s">
        <v>7</v>
      </c>
      <c r="B8339" s="24" t="s">
        <v>20898</v>
      </c>
      <c r="C8339" s="25" t="s">
        <v>20899</v>
      </c>
      <c r="D8339" s="25" t="s">
        <v>2768</v>
      </c>
      <c r="E8339" s="26">
        <v>181</v>
      </c>
      <c r="F8339" s="24" t="s">
        <v>502</v>
      </c>
    </row>
    <row r="8340" spans="1:6" x14ac:dyDescent="0.25">
      <c r="A8340" s="24" t="s">
        <v>7</v>
      </c>
      <c r="B8340" s="24" t="s">
        <v>20900</v>
      </c>
      <c r="C8340" s="25" t="s">
        <v>20901</v>
      </c>
      <c r="D8340" s="25" t="s">
        <v>2768</v>
      </c>
      <c r="E8340" s="26">
        <v>153</v>
      </c>
      <c r="F8340" s="24" t="s">
        <v>502</v>
      </c>
    </row>
    <row r="8341" spans="1:6" x14ac:dyDescent="0.25">
      <c r="A8341" s="24" t="s">
        <v>7</v>
      </c>
      <c r="B8341" s="24" t="s">
        <v>20902</v>
      </c>
      <c r="C8341" s="25" t="s">
        <v>20903</v>
      </c>
      <c r="D8341" s="25" t="s">
        <v>20903</v>
      </c>
      <c r="E8341" s="26">
        <v>0.01</v>
      </c>
    </row>
    <row r="8342" spans="1:6" x14ac:dyDescent="0.25">
      <c r="A8342" s="24" t="s">
        <v>7</v>
      </c>
      <c r="B8342" s="24" t="s">
        <v>20904</v>
      </c>
      <c r="C8342" s="25" t="s">
        <v>20905</v>
      </c>
      <c r="D8342" s="25" t="s">
        <v>20906</v>
      </c>
      <c r="E8342" s="26">
        <v>0.01</v>
      </c>
    </row>
    <row r="8343" spans="1:6" x14ac:dyDescent="0.25">
      <c r="A8343" s="24" t="s">
        <v>7</v>
      </c>
      <c r="B8343" s="24" t="s">
        <v>20907</v>
      </c>
      <c r="C8343" s="25" t="s">
        <v>20908</v>
      </c>
      <c r="D8343" s="25" t="s">
        <v>20908</v>
      </c>
      <c r="E8343" s="26">
        <v>0.01</v>
      </c>
    </row>
    <row r="8344" spans="1:6" x14ac:dyDescent="0.25">
      <c r="A8344" s="24" t="s">
        <v>7</v>
      </c>
      <c r="B8344" s="24" t="s">
        <v>20909</v>
      </c>
      <c r="C8344" s="25" t="s">
        <v>20910</v>
      </c>
      <c r="D8344" s="25" t="s">
        <v>20911</v>
      </c>
      <c r="E8344" s="26">
        <v>6335</v>
      </c>
      <c r="F8344" s="24" t="s">
        <v>502</v>
      </c>
    </row>
    <row r="8345" spans="1:6" x14ac:dyDescent="0.25">
      <c r="A8345" s="24" t="s">
        <v>7</v>
      </c>
      <c r="B8345" s="24" t="s">
        <v>20912</v>
      </c>
      <c r="C8345" s="25" t="s">
        <v>20913</v>
      </c>
      <c r="D8345" s="25" t="s">
        <v>20914</v>
      </c>
      <c r="E8345" s="26">
        <v>6335</v>
      </c>
      <c r="F8345" s="24" t="s">
        <v>502</v>
      </c>
    </row>
    <row r="8346" spans="1:6" x14ac:dyDescent="0.25">
      <c r="A8346" s="24" t="s">
        <v>7</v>
      </c>
      <c r="B8346" s="24" t="s">
        <v>20915</v>
      </c>
      <c r="C8346" s="25" t="s">
        <v>20916</v>
      </c>
      <c r="D8346" s="25" t="s">
        <v>20917</v>
      </c>
      <c r="E8346" s="26">
        <v>4621</v>
      </c>
      <c r="F8346" s="24" t="s">
        <v>502</v>
      </c>
    </row>
    <row r="8347" spans="1:6" x14ac:dyDescent="0.25">
      <c r="A8347" s="24" t="s">
        <v>7</v>
      </c>
      <c r="B8347" s="24" t="s">
        <v>20918</v>
      </c>
      <c r="C8347" s="25" t="s">
        <v>20919</v>
      </c>
      <c r="D8347" s="25" t="s">
        <v>20920</v>
      </c>
      <c r="E8347" s="26">
        <v>5224</v>
      </c>
      <c r="F8347" s="24" t="s">
        <v>502</v>
      </c>
    </row>
    <row r="8348" spans="1:6" x14ac:dyDescent="0.25">
      <c r="A8348" s="24" t="s">
        <v>7</v>
      </c>
      <c r="B8348" s="24" t="s">
        <v>20921</v>
      </c>
      <c r="C8348" s="25" t="s">
        <v>20922</v>
      </c>
      <c r="D8348" s="25" t="s">
        <v>20923</v>
      </c>
      <c r="E8348" s="26">
        <v>58089</v>
      </c>
      <c r="F8348" s="24" t="s">
        <v>502</v>
      </c>
    </row>
    <row r="8349" spans="1:6" x14ac:dyDescent="0.25">
      <c r="A8349" s="24" t="s">
        <v>7</v>
      </c>
      <c r="B8349" s="24" t="s">
        <v>20924</v>
      </c>
      <c r="C8349" s="25" t="s">
        <v>20925</v>
      </c>
      <c r="D8349" s="25" t="s">
        <v>20926</v>
      </c>
      <c r="E8349" s="26">
        <v>25869</v>
      </c>
      <c r="F8349" s="24" t="s">
        <v>502</v>
      </c>
    </row>
    <row r="8350" spans="1:6" x14ac:dyDescent="0.25">
      <c r="A8350" s="24" t="s">
        <v>7</v>
      </c>
      <c r="B8350" s="24" t="s">
        <v>20927</v>
      </c>
      <c r="C8350" s="25" t="s">
        <v>20928</v>
      </c>
      <c r="D8350" s="25" t="s">
        <v>20929</v>
      </c>
      <c r="E8350" s="26">
        <v>22175</v>
      </c>
      <c r="F8350" s="24" t="s">
        <v>502</v>
      </c>
    </row>
    <row r="8351" spans="1:6" x14ac:dyDescent="0.25">
      <c r="A8351" s="24" t="s">
        <v>7</v>
      </c>
      <c r="B8351" s="24" t="s">
        <v>20930</v>
      </c>
      <c r="C8351" s="25" t="s">
        <v>20931</v>
      </c>
      <c r="D8351" s="25" t="s">
        <v>20932</v>
      </c>
      <c r="E8351" s="26">
        <v>6728</v>
      </c>
      <c r="F8351" s="24" t="s">
        <v>502</v>
      </c>
    </row>
    <row r="8352" spans="1:6" x14ac:dyDescent="0.25">
      <c r="A8352" s="24" t="s">
        <v>7</v>
      </c>
      <c r="B8352" s="24" t="s">
        <v>20933</v>
      </c>
      <c r="C8352" s="25" t="s">
        <v>20934</v>
      </c>
      <c r="D8352" s="25" t="s">
        <v>20935</v>
      </c>
      <c r="E8352" s="26">
        <v>19037</v>
      </c>
      <c r="F8352" s="24" t="s">
        <v>502</v>
      </c>
    </row>
    <row r="8353" spans="1:6" x14ac:dyDescent="0.25">
      <c r="A8353" s="24" t="s">
        <v>7</v>
      </c>
      <c r="B8353" s="24" t="s">
        <v>20936</v>
      </c>
      <c r="C8353" s="25" t="s">
        <v>20937</v>
      </c>
      <c r="D8353" s="25" t="s">
        <v>20938</v>
      </c>
      <c r="E8353" s="26">
        <v>1254</v>
      </c>
      <c r="F8353" s="24" t="s">
        <v>502</v>
      </c>
    </row>
    <row r="8354" spans="1:6" x14ac:dyDescent="0.25">
      <c r="A8354" s="24" t="s">
        <v>7</v>
      </c>
      <c r="B8354" s="24" t="s">
        <v>20939</v>
      </c>
      <c r="C8354" s="25" t="s">
        <v>20940</v>
      </c>
      <c r="D8354" s="25" t="s">
        <v>20941</v>
      </c>
      <c r="E8354" s="26">
        <v>1301</v>
      </c>
      <c r="F8354" s="24" t="s">
        <v>502</v>
      </c>
    </row>
    <row r="8355" spans="1:6" x14ac:dyDescent="0.25">
      <c r="A8355" s="24" t="s">
        <v>7</v>
      </c>
      <c r="B8355" s="24" t="s">
        <v>20942</v>
      </c>
      <c r="C8355" s="25" t="s">
        <v>20943</v>
      </c>
      <c r="D8355" s="25" t="s">
        <v>20944</v>
      </c>
      <c r="E8355" s="26">
        <v>7656</v>
      </c>
      <c r="F8355" s="24" t="s">
        <v>502</v>
      </c>
    </row>
    <row r="8356" spans="1:6" x14ac:dyDescent="0.25">
      <c r="A8356" s="24" t="s">
        <v>7</v>
      </c>
      <c r="B8356" s="24" t="s">
        <v>20945</v>
      </c>
      <c r="C8356" s="25" t="s">
        <v>20946</v>
      </c>
      <c r="D8356" s="25" t="s">
        <v>20944</v>
      </c>
      <c r="E8356" s="26">
        <v>1400</v>
      </c>
      <c r="F8356" s="24" t="s">
        <v>502</v>
      </c>
    </row>
    <row r="8357" spans="1:6" x14ac:dyDescent="0.25">
      <c r="A8357" s="24" t="s">
        <v>7</v>
      </c>
      <c r="B8357" s="24" t="s">
        <v>20947</v>
      </c>
      <c r="C8357" s="25" t="s">
        <v>20948</v>
      </c>
      <c r="D8357" s="25" t="s">
        <v>20949</v>
      </c>
      <c r="E8357" s="26">
        <v>7356</v>
      </c>
      <c r="F8357" s="24" t="s">
        <v>502</v>
      </c>
    </row>
    <row r="8358" spans="1:6" x14ac:dyDescent="0.25">
      <c r="A8358" s="24" t="s">
        <v>7</v>
      </c>
      <c r="B8358" s="24" t="s">
        <v>20950</v>
      </c>
      <c r="C8358" s="25" t="s">
        <v>20951</v>
      </c>
      <c r="D8358" s="25" t="s">
        <v>20952</v>
      </c>
      <c r="E8358" s="26">
        <v>789</v>
      </c>
      <c r="F8358" s="24" t="s">
        <v>502</v>
      </c>
    </row>
    <row r="8359" spans="1:6" x14ac:dyDescent="0.25">
      <c r="A8359" s="24" t="s">
        <v>7</v>
      </c>
      <c r="B8359" s="24" t="s">
        <v>20953</v>
      </c>
      <c r="C8359" s="25" t="s">
        <v>20954</v>
      </c>
      <c r="D8359" s="25" t="s">
        <v>20955</v>
      </c>
      <c r="E8359" s="26">
        <v>831</v>
      </c>
      <c r="F8359" s="24" t="s">
        <v>502</v>
      </c>
    </row>
    <row r="8360" spans="1:6" x14ac:dyDescent="0.25">
      <c r="A8360" s="24" t="s">
        <v>7</v>
      </c>
      <c r="B8360" s="24" t="s">
        <v>20956</v>
      </c>
      <c r="C8360" s="25" t="s">
        <v>20957</v>
      </c>
      <c r="D8360" s="25" t="s">
        <v>20958</v>
      </c>
      <c r="E8360" s="26">
        <v>2699</v>
      </c>
      <c r="F8360" s="24" t="s">
        <v>502</v>
      </c>
    </row>
    <row r="8361" spans="1:6" x14ac:dyDescent="0.25">
      <c r="A8361" s="24" t="s">
        <v>7</v>
      </c>
      <c r="B8361" s="24" t="s">
        <v>20959</v>
      </c>
      <c r="C8361" s="25" t="s">
        <v>20960</v>
      </c>
      <c r="D8361" s="25" t="s">
        <v>20961</v>
      </c>
      <c r="E8361" s="26">
        <v>3465</v>
      </c>
      <c r="F8361" s="24" t="s">
        <v>502</v>
      </c>
    </row>
    <row r="8362" spans="1:6" x14ac:dyDescent="0.25">
      <c r="A8362" s="24" t="s">
        <v>7</v>
      </c>
      <c r="B8362" s="24" t="s">
        <v>20962</v>
      </c>
      <c r="C8362" s="25" t="s">
        <v>20963</v>
      </c>
      <c r="D8362" s="25" t="s">
        <v>20964</v>
      </c>
      <c r="E8362" s="26">
        <v>5199</v>
      </c>
      <c r="F8362" s="24" t="s">
        <v>502</v>
      </c>
    </row>
    <row r="8363" spans="1:6" x14ac:dyDescent="0.25">
      <c r="A8363" s="24" t="s">
        <v>7</v>
      </c>
      <c r="B8363" s="24" t="s">
        <v>20965</v>
      </c>
      <c r="C8363" s="25" t="s">
        <v>20966</v>
      </c>
      <c r="D8363" s="25" t="s">
        <v>20967</v>
      </c>
      <c r="E8363" s="26">
        <v>1539</v>
      </c>
      <c r="F8363" s="24" t="s">
        <v>502</v>
      </c>
    </row>
    <row r="8364" spans="1:6" x14ac:dyDescent="0.25">
      <c r="A8364" s="24" t="s">
        <v>7</v>
      </c>
      <c r="B8364" s="24" t="s">
        <v>20968</v>
      </c>
      <c r="C8364" s="25" t="s">
        <v>20969</v>
      </c>
      <c r="D8364" s="25" t="s">
        <v>20970</v>
      </c>
      <c r="E8364" s="26">
        <v>902</v>
      </c>
      <c r="F8364" s="24" t="s">
        <v>502</v>
      </c>
    </row>
    <row r="8365" spans="1:6" x14ac:dyDescent="0.25">
      <c r="A8365" s="24" t="s">
        <v>7</v>
      </c>
      <c r="B8365" s="24" t="s">
        <v>20971</v>
      </c>
      <c r="C8365" s="25" t="s">
        <v>20972</v>
      </c>
      <c r="D8365" s="25" t="s">
        <v>20973</v>
      </c>
      <c r="E8365" s="26">
        <v>2577</v>
      </c>
    </row>
    <row r="8366" spans="1:6" x14ac:dyDescent="0.25">
      <c r="A8366" s="24" t="s">
        <v>7</v>
      </c>
      <c r="B8366" s="24" t="s">
        <v>20974</v>
      </c>
      <c r="C8366" s="25" t="s">
        <v>20975</v>
      </c>
      <c r="D8366" s="25" t="s">
        <v>20976</v>
      </c>
      <c r="E8366" s="26">
        <v>862</v>
      </c>
      <c r="F8366" s="24" t="s">
        <v>502</v>
      </c>
    </row>
    <row r="8367" spans="1:6" x14ac:dyDescent="0.25">
      <c r="A8367" s="24" t="s">
        <v>7</v>
      </c>
      <c r="B8367" s="24" t="s">
        <v>20977</v>
      </c>
      <c r="C8367" s="25" t="s">
        <v>20978</v>
      </c>
      <c r="D8367" s="25" t="s">
        <v>20976</v>
      </c>
      <c r="E8367" s="26">
        <v>700</v>
      </c>
      <c r="F8367" s="24" t="s">
        <v>502</v>
      </c>
    </row>
    <row r="8368" spans="1:6" x14ac:dyDescent="0.25">
      <c r="A8368" s="24" t="s">
        <v>7</v>
      </c>
      <c r="B8368" s="24" t="s">
        <v>20979</v>
      </c>
      <c r="C8368" s="25" t="s">
        <v>20980</v>
      </c>
      <c r="D8368" s="25" t="s">
        <v>20981</v>
      </c>
      <c r="E8368" s="26">
        <v>4338</v>
      </c>
      <c r="F8368" s="24" t="s">
        <v>502</v>
      </c>
    </row>
    <row r="8369" spans="1:6" x14ac:dyDescent="0.25">
      <c r="A8369" s="24" t="s">
        <v>7</v>
      </c>
      <c r="B8369" s="24" t="s">
        <v>20982</v>
      </c>
      <c r="C8369" s="25" t="s">
        <v>20983</v>
      </c>
      <c r="D8369" s="25" t="s">
        <v>20984</v>
      </c>
      <c r="E8369" s="26">
        <v>1497</v>
      </c>
      <c r="F8369" s="24" t="s">
        <v>502</v>
      </c>
    </row>
    <row r="8370" spans="1:6" x14ac:dyDescent="0.25">
      <c r="A8370" s="24" t="s">
        <v>7</v>
      </c>
      <c r="B8370" s="24" t="s">
        <v>20985</v>
      </c>
      <c r="C8370" s="25" t="s">
        <v>20986</v>
      </c>
      <c r="D8370" s="25" t="s">
        <v>20494</v>
      </c>
      <c r="E8370" s="26">
        <v>2269</v>
      </c>
      <c r="F8370" s="24" t="s">
        <v>502</v>
      </c>
    </row>
    <row r="8371" spans="1:6" x14ac:dyDescent="0.25">
      <c r="A8371" s="24" t="s">
        <v>7</v>
      </c>
      <c r="B8371" s="24" t="s">
        <v>20987</v>
      </c>
      <c r="C8371" s="25" t="s">
        <v>20988</v>
      </c>
      <c r="D8371" s="25" t="s">
        <v>20989</v>
      </c>
      <c r="E8371" s="26">
        <v>2035</v>
      </c>
    </row>
    <row r="8372" spans="1:6" x14ac:dyDescent="0.25">
      <c r="A8372" s="24" t="s">
        <v>7</v>
      </c>
      <c r="B8372" s="24" t="s">
        <v>20990</v>
      </c>
      <c r="C8372" s="25" t="s">
        <v>20991</v>
      </c>
      <c r="D8372" s="25" t="s">
        <v>20992</v>
      </c>
      <c r="E8372" s="26">
        <v>2868</v>
      </c>
      <c r="F8372" s="24" t="s">
        <v>502</v>
      </c>
    </row>
    <row r="8373" spans="1:6" x14ac:dyDescent="0.25">
      <c r="A8373" s="24" t="s">
        <v>7</v>
      </c>
      <c r="B8373" s="24" t="s">
        <v>20993</v>
      </c>
      <c r="C8373" s="25" t="s">
        <v>20994</v>
      </c>
      <c r="D8373" s="25" t="s">
        <v>20995</v>
      </c>
      <c r="E8373" s="26">
        <v>1383</v>
      </c>
      <c r="F8373" s="24" t="s">
        <v>502</v>
      </c>
    </row>
    <row r="8374" spans="1:6" x14ac:dyDescent="0.25">
      <c r="A8374" s="24" t="s">
        <v>7</v>
      </c>
      <c r="B8374" s="24" t="s">
        <v>20996</v>
      </c>
      <c r="C8374" s="25" t="s">
        <v>20997</v>
      </c>
      <c r="D8374" s="25" t="s">
        <v>20998</v>
      </c>
      <c r="E8374" s="26">
        <v>116</v>
      </c>
      <c r="F8374" s="24" t="s">
        <v>502</v>
      </c>
    </row>
    <row r="8375" spans="1:6" x14ac:dyDescent="0.25">
      <c r="A8375" s="24" t="s">
        <v>7</v>
      </c>
      <c r="B8375" s="24" t="s">
        <v>20999</v>
      </c>
      <c r="C8375" s="25" t="s">
        <v>21000</v>
      </c>
      <c r="D8375" s="25" t="s">
        <v>21001</v>
      </c>
      <c r="E8375" s="26">
        <v>1352</v>
      </c>
      <c r="F8375" s="24" t="s">
        <v>502</v>
      </c>
    </row>
    <row r="8376" spans="1:6" x14ac:dyDescent="0.25">
      <c r="A8376" s="24" t="s">
        <v>7</v>
      </c>
      <c r="B8376" s="24" t="s">
        <v>21002</v>
      </c>
      <c r="C8376" s="25" t="s">
        <v>21003</v>
      </c>
      <c r="D8376" s="25" t="s">
        <v>21004</v>
      </c>
      <c r="E8376" s="26">
        <v>415</v>
      </c>
    </row>
    <row r="8377" spans="1:6" x14ac:dyDescent="0.25">
      <c r="A8377" s="24" t="s">
        <v>7</v>
      </c>
      <c r="B8377" s="24" t="s">
        <v>21005</v>
      </c>
      <c r="C8377" s="25" t="s">
        <v>21006</v>
      </c>
      <c r="D8377" s="25" t="s">
        <v>21006</v>
      </c>
      <c r="E8377" s="26">
        <v>0.01</v>
      </c>
    </row>
    <row r="8378" spans="1:6" x14ac:dyDescent="0.25">
      <c r="A8378" s="24" t="s">
        <v>7</v>
      </c>
      <c r="B8378" s="24" t="s">
        <v>21007</v>
      </c>
      <c r="C8378" s="25" t="s">
        <v>21008</v>
      </c>
      <c r="D8378" s="25" t="s">
        <v>21009</v>
      </c>
      <c r="E8378" s="26">
        <v>0.01</v>
      </c>
    </row>
    <row r="8379" spans="1:6" x14ac:dyDescent="0.25">
      <c r="A8379" s="24" t="s">
        <v>7</v>
      </c>
      <c r="B8379" s="24" t="s">
        <v>21010</v>
      </c>
      <c r="C8379" s="25" t="s">
        <v>21011</v>
      </c>
      <c r="D8379" s="25" t="s">
        <v>21012</v>
      </c>
      <c r="E8379" s="26">
        <v>6698</v>
      </c>
      <c r="F8379" s="24" t="s">
        <v>502</v>
      </c>
    </row>
    <row r="8380" spans="1:6" x14ac:dyDescent="0.25">
      <c r="A8380" s="24" t="s">
        <v>7</v>
      </c>
      <c r="B8380" s="24" t="s">
        <v>21013</v>
      </c>
      <c r="C8380" s="25" t="s">
        <v>21014</v>
      </c>
      <c r="D8380" s="25" t="s">
        <v>2485</v>
      </c>
      <c r="E8380" s="26">
        <v>862</v>
      </c>
      <c r="F8380" s="24" t="s">
        <v>502</v>
      </c>
    </row>
    <row r="8381" spans="1:6" x14ac:dyDescent="0.25">
      <c r="A8381" s="24" t="s">
        <v>7</v>
      </c>
      <c r="B8381" s="24" t="s">
        <v>21015</v>
      </c>
      <c r="C8381" s="25" t="s">
        <v>21016</v>
      </c>
      <c r="D8381" s="25" t="s">
        <v>21016</v>
      </c>
      <c r="E8381" s="26">
        <v>4993</v>
      </c>
      <c r="F8381" s="24" t="s">
        <v>502</v>
      </c>
    </row>
    <row r="8382" spans="1:6" x14ac:dyDescent="0.25">
      <c r="A8382" s="24" t="s">
        <v>7</v>
      </c>
      <c r="B8382" s="24" t="s">
        <v>21017</v>
      </c>
      <c r="C8382" s="25" t="s">
        <v>21018</v>
      </c>
      <c r="D8382" s="25" t="s">
        <v>21018</v>
      </c>
      <c r="E8382" s="26">
        <v>7949</v>
      </c>
      <c r="F8382" s="24" t="s">
        <v>502</v>
      </c>
    </row>
    <row r="8383" spans="1:6" x14ac:dyDescent="0.25">
      <c r="A8383" s="24" t="s">
        <v>7</v>
      </c>
      <c r="B8383" s="24" t="s">
        <v>21019</v>
      </c>
      <c r="C8383" s="25" t="s">
        <v>21020</v>
      </c>
      <c r="D8383" s="25" t="s">
        <v>21021</v>
      </c>
      <c r="E8383" s="26">
        <v>135</v>
      </c>
      <c r="F8383" s="24" t="s">
        <v>502</v>
      </c>
    </row>
    <row r="8384" spans="1:6" x14ac:dyDescent="0.25">
      <c r="A8384" s="24" t="s">
        <v>7</v>
      </c>
      <c r="B8384" s="24" t="s">
        <v>21022</v>
      </c>
      <c r="C8384" s="25" t="s">
        <v>21023</v>
      </c>
      <c r="D8384" s="25" t="s">
        <v>21024</v>
      </c>
      <c r="E8384" s="26">
        <v>545</v>
      </c>
      <c r="F8384" s="24" t="s">
        <v>502</v>
      </c>
    </row>
    <row r="8385" spans="1:6" x14ac:dyDescent="0.25">
      <c r="A8385" s="24" t="s">
        <v>7</v>
      </c>
      <c r="B8385" s="24" t="s">
        <v>21025</v>
      </c>
      <c r="C8385" s="25" t="s">
        <v>21026</v>
      </c>
      <c r="D8385" s="25" t="s">
        <v>21027</v>
      </c>
      <c r="E8385" s="26">
        <v>999</v>
      </c>
      <c r="F8385" s="24" t="s">
        <v>502</v>
      </c>
    </row>
    <row r="8386" spans="1:6" x14ac:dyDescent="0.25">
      <c r="A8386" s="24" t="s">
        <v>7</v>
      </c>
      <c r="B8386" s="24" t="s">
        <v>21028</v>
      </c>
      <c r="C8386" s="25" t="s">
        <v>21029</v>
      </c>
      <c r="D8386" s="25" t="s">
        <v>21030</v>
      </c>
      <c r="E8386" s="26">
        <v>135</v>
      </c>
      <c r="F8386" s="24" t="s">
        <v>502</v>
      </c>
    </row>
    <row r="8387" spans="1:6" x14ac:dyDescent="0.25">
      <c r="A8387" s="24" t="s">
        <v>7</v>
      </c>
      <c r="B8387" s="24" t="s">
        <v>21031</v>
      </c>
      <c r="C8387" s="25" t="s">
        <v>21032</v>
      </c>
      <c r="D8387" s="25" t="s">
        <v>21033</v>
      </c>
      <c r="E8387" s="26">
        <v>135</v>
      </c>
      <c r="F8387" s="24" t="s">
        <v>502</v>
      </c>
    </row>
    <row r="8388" spans="1:6" x14ac:dyDescent="0.25">
      <c r="A8388" s="24" t="s">
        <v>7</v>
      </c>
      <c r="B8388" s="24" t="s">
        <v>21034</v>
      </c>
      <c r="C8388" s="25" t="s">
        <v>21035</v>
      </c>
      <c r="D8388" s="25" t="s">
        <v>21035</v>
      </c>
      <c r="E8388" s="26">
        <v>2851</v>
      </c>
      <c r="F8388" s="24" t="s">
        <v>502</v>
      </c>
    </row>
    <row r="8389" spans="1:6" x14ac:dyDescent="0.25">
      <c r="A8389" s="24" t="s">
        <v>7</v>
      </c>
      <c r="B8389" s="24" t="s">
        <v>21036</v>
      </c>
      <c r="C8389" s="25" t="s">
        <v>21037</v>
      </c>
      <c r="D8389" s="25" t="s">
        <v>21038</v>
      </c>
      <c r="E8389" s="26">
        <v>1656</v>
      </c>
      <c r="F8389" s="24" t="s">
        <v>502</v>
      </c>
    </row>
    <row r="8390" spans="1:6" x14ac:dyDescent="0.25">
      <c r="A8390" s="24" t="s">
        <v>7</v>
      </c>
      <c r="B8390" s="24" t="s">
        <v>21039</v>
      </c>
      <c r="C8390" s="25" t="s">
        <v>21040</v>
      </c>
      <c r="D8390" s="25" t="s">
        <v>21041</v>
      </c>
      <c r="E8390" s="26">
        <v>3105</v>
      </c>
      <c r="F8390" s="24" t="s">
        <v>502</v>
      </c>
    </row>
    <row r="8391" spans="1:6" x14ac:dyDescent="0.25">
      <c r="A8391" s="24" t="s">
        <v>7</v>
      </c>
      <c r="B8391" s="24" t="s">
        <v>21042</v>
      </c>
      <c r="C8391" s="25" t="s">
        <v>21043</v>
      </c>
      <c r="D8391" s="25" t="s">
        <v>21044</v>
      </c>
      <c r="E8391" s="26">
        <v>1418</v>
      </c>
      <c r="F8391" s="24" t="s">
        <v>502</v>
      </c>
    </row>
    <row r="8392" spans="1:6" x14ac:dyDescent="0.25">
      <c r="A8392" s="24" t="s">
        <v>7</v>
      </c>
      <c r="B8392" s="24" t="s">
        <v>21045</v>
      </c>
      <c r="C8392" s="25" t="s">
        <v>21046</v>
      </c>
      <c r="D8392" s="25" t="s">
        <v>21047</v>
      </c>
      <c r="E8392" s="26">
        <v>8655</v>
      </c>
    </row>
    <row r="8393" spans="1:6" x14ac:dyDescent="0.25">
      <c r="A8393" s="24" t="s">
        <v>7</v>
      </c>
      <c r="B8393" s="24" t="s">
        <v>21048</v>
      </c>
      <c r="C8393" s="25" t="s">
        <v>21049</v>
      </c>
      <c r="D8393" s="25" t="s">
        <v>21050</v>
      </c>
      <c r="E8393" s="26">
        <v>51242</v>
      </c>
      <c r="F8393" s="24" t="s">
        <v>502</v>
      </c>
    </row>
    <row r="8394" spans="1:6" x14ac:dyDescent="0.25">
      <c r="A8394" s="24" t="s">
        <v>7</v>
      </c>
      <c r="B8394" s="24" t="s">
        <v>21051</v>
      </c>
      <c r="C8394" s="25" t="s">
        <v>21052</v>
      </c>
      <c r="D8394" s="25" t="s">
        <v>21053</v>
      </c>
      <c r="E8394" s="26">
        <v>35002</v>
      </c>
      <c r="F8394" s="24" t="s">
        <v>502</v>
      </c>
    </row>
    <row r="8395" spans="1:6" x14ac:dyDescent="0.25">
      <c r="A8395" s="24" t="s">
        <v>7</v>
      </c>
      <c r="B8395" s="24" t="s">
        <v>21054</v>
      </c>
      <c r="C8395" s="25" t="s">
        <v>21055</v>
      </c>
      <c r="D8395" s="25" t="s">
        <v>21056</v>
      </c>
      <c r="E8395" s="26">
        <v>3910</v>
      </c>
      <c r="F8395" s="24" t="s">
        <v>502</v>
      </c>
    </row>
    <row r="8396" spans="1:6" x14ac:dyDescent="0.25">
      <c r="A8396" s="24" t="s">
        <v>7</v>
      </c>
      <c r="B8396" s="24" t="s">
        <v>21057</v>
      </c>
      <c r="C8396" s="25" t="s">
        <v>21058</v>
      </c>
      <c r="D8396" s="25" t="s">
        <v>21056</v>
      </c>
      <c r="E8396" s="26">
        <v>3776</v>
      </c>
      <c r="F8396" s="24" t="s">
        <v>502</v>
      </c>
    </row>
    <row r="8397" spans="1:6" x14ac:dyDescent="0.25">
      <c r="A8397" s="24" t="s">
        <v>7</v>
      </c>
      <c r="B8397" s="24" t="s">
        <v>21059</v>
      </c>
      <c r="C8397" s="25" t="s">
        <v>21060</v>
      </c>
      <c r="D8397" s="25" t="s">
        <v>21056</v>
      </c>
      <c r="E8397" s="26">
        <v>3322</v>
      </c>
      <c r="F8397" s="24" t="s">
        <v>502</v>
      </c>
    </row>
    <row r="8398" spans="1:6" x14ac:dyDescent="0.25">
      <c r="A8398" s="24" t="s">
        <v>7</v>
      </c>
      <c r="B8398" s="24" t="s">
        <v>21061</v>
      </c>
      <c r="C8398" s="25" t="s">
        <v>21062</v>
      </c>
      <c r="D8398" s="25" t="s">
        <v>21056</v>
      </c>
      <c r="E8398" s="26">
        <v>3199</v>
      </c>
      <c r="F8398" s="24" t="s">
        <v>502</v>
      </c>
    </row>
    <row r="8399" spans="1:6" x14ac:dyDescent="0.25">
      <c r="A8399" s="24" t="s">
        <v>7</v>
      </c>
      <c r="B8399" s="24" t="s">
        <v>21063</v>
      </c>
      <c r="C8399" s="25" t="s">
        <v>21064</v>
      </c>
      <c r="D8399" s="25" t="s">
        <v>21056</v>
      </c>
      <c r="E8399" s="26">
        <v>5174</v>
      </c>
      <c r="F8399" s="24" t="s">
        <v>502</v>
      </c>
    </row>
    <row r="8400" spans="1:6" x14ac:dyDescent="0.25">
      <c r="A8400" s="24" t="s">
        <v>7</v>
      </c>
      <c r="B8400" s="24" t="s">
        <v>21065</v>
      </c>
      <c r="C8400" s="25" t="s">
        <v>21066</v>
      </c>
      <c r="D8400" s="25" t="s">
        <v>21056</v>
      </c>
      <c r="E8400" s="26">
        <v>5334</v>
      </c>
      <c r="F8400" s="24" t="s">
        <v>502</v>
      </c>
    </row>
    <row r="8401" spans="1:6" x14ac:dyDescent="0.25">
      <c r="A8401" s="24" t="s">
        <v>7</v>
      </c>
      <c r="B8401" s="24" t="s">
        <v>21067</v>
      </c>
      <c r="C8401" s="25" t="s">
        <v>21068</v>
      </c>
      <c r="D8401" s="25" t="s">
        <v>21069</v>
      </c>
      <c r="E8401" s="26">
        <v>7654</v>
      </c>
      <c r="F8401" s="24" t="s">
        <v>502</v>
      </c>
    </row>
    <row r="8402" spans="1:6" x14ac:dyDescent="0.25">
      <c r="A8402" s="24" t="s">
        <v>7</v>
      </c>
      <c r="B8402" s="24" t="s">
        <v>21070</v>
      </c>
      <c r="C8402" s="25" t="s">
        <v>21071</v>
      </c>
      <c r="D8402" s="25" t="s">
        <v>21072</v>
      </c>
      <c r="E8402" s="26">
        <v>7102</v>
      </c>
      <c r="F8402" s="24" t="s">
        <v>502</v>
      </c>
    </row>
    <row r="8403" spans="1:6" x14ac:dyDescent="0.25">
      <c r="A8403" s="24" t="s">
        <v>7</v>
      </c>
      <c r="B8403" s="24" t="s">
        <v>21073</v>
      </c>
      <c r="C8403" s="25" t="s">
        <v>21074</v>
      </c>
      <c r="D8403" s="25" t="s">
        <v>21072</v>
      </c>
      <c r="E8403" s="26">
        <v>2698</v>
      </c>
      <c r="F8403" s="24" t="s">
        <v>502</v>
      </c>
    </row>
    <row r="8404" spans="1:6" x14ac:dyDescent="0.25">
      <c r="A8404" s="24" t="s">
        <v>7</v>
      </c>
      <c r="B8404" s="24" t="s">
        <v>21075</v>
      </c>
      <c r="C8404" s="25" t="s">
        <v>21076</v>
      </c>
      <c r="D8404" s="25" t="s">
        <v>21077</v>
      </c>
      <c r="E8404" s="26">
        <v>4260</v>
      </c>
      <c r="F8404" s="24" t="s">
        <v>502</v>
      </c>
    </row>
    <row r="8405" spans="1:6" x14ac:dyDescent="0.25">
      <c r="A8405" s="24" t="s">
        <v>7</v>
      </c>
      <c r="B8405" s="24" t="s">
        <v>21078</v>
      </c>
      <c r="C8405" s="25" t="s">
        <v>21079</v>
      </c>
      <c r="D8405" s="25" t="s">
        <v>21080</v>
      </c>
      <c r="E8405" s="26">
        <v>114</v>
      </c>
    </row>
    <row r="8406" spans="1:6" x14ac:dyDescent="0.25">
      <c r="A8406" s="24" t="s">
        <v>7</v>
      </c>
      <c r="B8406" s="24" t="s">
        <v>21081</v>
      </c>
      <c r="C8406" s="25" t="s">
        <v>21082</v>
      </c>
      <c r="D8406" s="25" t="s">
        <v>21083</v>
      </c>
      <c r="E8406" s="26">
        <v>6335</v>
      </c>
      <c r="F8406" s="24" t="s">
        <v>502</v>
      </c>
    </row>
    <row r="8407" spans="1:6" x14ac:dyDescent="0.25">
      <c r="A8407" s="24" t="s">
        <v>7</v>
      </c>
      <c r="B8407" s="24" t="s">
        <v>21084</v>
      </c>
      <c r="C8407" s="25" t="s">
        <v>21085</v>
      </c>
      <c r="D8407" s="25" t="s">
        <v>21086</v>
      </c>
      <c r="E8407" s="26">
        <v>3958</v>
      </c>
      <c r="F8407" s="24" t="s">
        <v>502</v>
      </c>
    </row>
    <row r="8408" spans="1:6" x14ac:dyDescent="0.25">
      <c r="A8408" s="24" t="s">
        <v>7</v>
      </c>
      <c r="B8408" s="24" t="s">
        <v>21087</v>
      </c>
      <c r="C8408" s="25" t="s">
        <v>21088</v>
      </c>
      <c r="D8408" s="25" t="s">
        <v>21089</v>
      </c>
      <c r="E8408" s="26">
        <v>442</v>
      </c>
      <c r="F8408" s="24" t="s">
        <v>502</v>
      </c>
    </row>
    <row r="8409" spans="1:6" x14ac:dyDescent="0.25">
      <c r="A8409" s="24" t="s">
        <v>7</v>
      </c>
      <c r="B8409" s="24" t="s">
        <v>21090</v>
      </c>
      <c r="C8409" s="25" t="s">
        <v>21091</v>
      </c>
      <c r="D8409" s="25" t="s">
        <v>21092</v>
      </c>
      <c r="E8409" s="26">
        <v>4785</v>
      </c>
      <c r="F8409" s="24" t="s">
        <v>502</v>
      </c>
    </row>
    <row r="8410" spans="1:6" x14ac:dyDescent="0.25">
      <c r="A8410" s="24" t="s">
        <v>7</v>
      </c>
      <c r="B8410" s="24" t="s">
        <v>21093</v>
      </c>
      <c r="C8410" s="25" t="s">
        <v>21094</v>
      </c>
      <c r="D8410" s="25" t="s">
        <v>21095</v>
      </c>
      <c r="E8410" s="26">
        <v>13301</v>
      </c>
      <c r="F8410" s="24" t="s">
        <v>502</v>
      </c>
    </row>
    <row r="8411" spans="1:6" x14ac:dyDescent="0.25">
      <c r="A8411" s="24" t="s">
        <v>7</v>
      </c>
      <c r="B8411" s="24" t="s">
        <v>21096</v>
      </c>
      <c r="C8411" s="25" t="s">
        <v>21097</v>
      </c>
      <c r="D8411" s="25" t="s">
        <v>2848</v>
      </c>
      <c r="E8411" s="26">
        <v>2669</v>
      </c>
      <c r="F8411" s="24" t="s">
        <v>502</v>
      </c>
    </row>
  </sheetData>
  <sheetProtection autoFilter="0"/>
  <autoFilter ref="A4:G8411" xr:uid="{C890B416-7B0E-4915-8728-AEF4716C9AA0}"/>
  <printOptions horizontalCentered="1" gridLines="1"/>
  <pageMargins left="0.25" right="0.25" top="0.75" bottom="1" header="0.3" footer="0.3"/>
  <pageSetup scale="77" fitToHeight="999" orientation="portrait" r:id="rId1"/>
  <headerFooter>
    <oddFooter>&amp;L&amp;9CDM Run Date: 6/1/2025&amp;C&amp;9CDM Service by 
Conifer Health Solutions&amp;R&amp;9&amp;P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1D420-8D3B-4174-A94A-34B1C81AE7E1}">
  <dimension ref="A1:E80"/>
  <sheetViews>
    <sheetView workbookViewId="0">
      <pane ySplit="4" topLeftCell="A5" activePane="bottomLeft" state="frozen"/>
      <selection pane="bottomLeft" activeCell="A5" sqref="A5:C5"/>
    </sheetView>
  </sheetViews>
  <sheetFormatPr defaultRowHeight="15" x14ac:dyDescent="0.25"/>
  <cols>
    <col min="1" max="1" width="80.7109375" style="1" customWidth="1"/>
    <col min="2" max="2" width="16.7109375" style="2" bestFit="1" customWidth="1"/>
    <col min="3" max="3" width="17.7109375" style="32" bestFit="1" customWidth="1"/>
  </cols>
  <sheetData>
    <row r="1" spans="1:5" x14ac:dyDescent="0.25">
      <c r="A1" s="10" t="s">
        <v>22612</v>
      </c>
      <c r="B1" s="11"/>
      <c r="C1" s="28"/>
    </row>
    <row r="2" spans="1:5" x14ac:dyDescent="0.25">
      <c r="A2" s="10" t="s">
        <v>21210</v>
      </c>
      <c r="B2" s="11"/>
      <c r="C2" s="28"/>
    </row>
    <row r="3" spans="1:5" x14ac:dyDescent="0.25">
      <c r="A3" s="10" t="s">
        <v>21211</v>
      </c>
      <c r="B3" s="11"/>
      <c r="C3" s="28"/>
    </row>
    <row r="4" spans="1:5" x14ac:dyDescent="0.25">
      <c r="A4" s="12"/>
      <c r="B4" s="11"/>
      <c r="C4" s="28"/>
    </row>
    <row r="5" spans="1:5" ht="66.75" customHeight="1" x14ac:dyDescent="0.25">
      <c r="A5" s="54" t="s">
        <v>21212</v>
      </c>
      <c r="B5" s="55"/>
      <c r="C5" s="55"/>
    </row>
    <row r="6" spans="1:5" ht="15" customHeight="1" x14ac:dyDescent="0.25">
      <c r="A6" s="3" t="s">
        <v>21099</v>
      </c>
      <c r="B6" s="6" t="s">
        <v>21100</v>
      </c>
      <c r="C6" s="29" t="s">
        <v>21101</v>
      </c>
    </row>
    <row r="7" spans="1:5" ht="15" customHeight="1" x14ac:dyDescent="0.25">
      <c r="A7" s="4" t="s">
        <v>21102</v>
      </c>
      <c r="B7" s="7" t="s">
        <v>21103</v>
      </c>
      <c r="C7" s="30">
        <v>1441.87</v>
      </c>
      <c r="E7" s="13"/>
    </row>
    <row r="8" spans="1:5" ht="15" customHeight="1" x14ac:dyDescent="0.25">
      <c r="A8" s="4" t="s">
        <v>21104</v>
      </c>
      <c r="B8" s="7" t="s">
        <v>21105</v>
      </c>
      <c r="C8" s="30">
        <v>2243.9899999999998</v>
      </c>
      <c r="E8" s="13"/>
    </row>
    <row r="9" spans="1:5" ht="15" customHeight="1" x14ac:dyDescent="0.25">
      <c r="A9" s="4" t="s">
        <v>21106</v>
      </c>
      <c r="B9" s="7" t="s">
        <v>21107</v>
      </c>
      <c r="C9" s="30">
        <v>3776.38</v>
      </c>
      <c r="E9" s="13"/>
    </row>
    <row r="10" spans="1:5" ht="15" customHeight="1" x14ac:dyDescent="0.25">
      <c r="A10" s="4" t="s">
        <v>21108</v>
      </c>
      <c r="B10" s="7" t="s">
        <v>21109</v>
      </c>
      <c r="C10" s="30">
        <v>9339.2199999999993</v>
      </c>
      <c r="E10" s="13"/>
    </row>
    <row r="11" spans="1:5" ht="15" customHeight="1" x14ac:dyDescent="0.25">
      <c r="A11" s="4" t="s">
        <v>21110</v>
      </c>
      <c r="B11" s="7" t="s">
        <v>21111</v>
      </c>
      <c r="C11" s="30"/>
    </row>
    <row r="12" spans="1:5" ht="15" customHeight="1" x14ac:dyDescent="0.25">
      <c r="A12" s="3" t="s">
        <v>21112</v>
      </c>
      <c r="B12" s="6" t="s">
        <v>21100</v>
      </c>
      <c r="C12" s="29" t="s">
        <v>21101</v>
      </c>
    </row>
    <row r="13" spans="1:5" ht="15" customHeight="1" x14ac:dyDescent="0.25">
      <c r="A13" s="4" t="s">
        <v>21113</v>
      </c>
      <c r="B13" s="7" t="s">
        <v>21114</v>
      </c>
      <c r="C13" s="30">
        <v>1075.3800000000001</v>
      </c>
    </row>
    <row r="14" spans="1:5" ht="15" customHeight="1" x14ac:dyDescent="0.25">
      <c r="A14" s="4" t="s">
        <v>21115</v>
      </c>
      <c r="B14" s="7" t="s">
        <v>21116</v>
      </c>
      <c r="C14" s="30"/>
    </row>
    <row r="15" spans="1:5" ht="15" customHeight="1" x14ac:dyDescent="0.25">
      <c r="A15" s="4" t="s">
        <v>21117</v>
      </c>
      <c r="B15" s="7" t="s">
        <v>21118</v>
      </c>
      <c r="C15" s="30">
        <v>301.51</v>
      </c>
    </row>
    <row r="16" spans="1:5" ht="15" customHeight="1" x14ac:dyDescent="0.25">
      <c r="A16" s="4" t="s">
        <v>21119</v>
      </c>
      <c r="B16" s="7" t="s">
        <v>21120</v>
      </c>
      <c r="C16" s="30">
        <v>503.41</v>
      </c>
    </row>
    <row r="17" spans="1:3" ht="15" customHeight="1" x14ac:dyDescent="0.25">
      <c r="A17" s="4" t="s">
        <v>21121</v>
      </c>
      <c r="B17" s="7" t="s">
        <v>21122</v>
      </c>
      <c r="C17" s="30">
        <v>1551.89</v>
      </c>
    </row>
    <row r="18" spans="1:3" ht="15" customHeight="1" x14ac:dyDescent="0.25">
      <c r="A18" s="4" t="s">
        <v>21123</v>
      </c>
      <c r="B18" s="7" t="s">
        <v>21124</v>
      </c>
      <c r="C18" s="30">
        <v>442.48</v>
      </c>
    </row>
    <row r="19" spans="1:3" ht="15" customHeight="1" x14ac:dyDescent="0.25">
      <c r="A19" s="4" t="s">
        <v>21125</v>
      </c>
      <c r="B19" s="7" t="s">
        <v>21126</v>
      </c>
      <c r="C19" s="30">
        <v>726.83</v>
      </c>
    </row>
    <row r="20" spans="1:3" ht="15" customHeight="1" x14ac:dyDescent="0.25">
      <c r="A20" s="4" t="s">
        <v>21127</v>
      </c>
      <c r="B20" s="7" t="s">
        <v>21128</v>
      </c>
      <c r="C20" s="30">
        <v>387.65</v>
      </c>
    </row>
    <row r="21" spans="1:3" ht="15" customHeight="1" x14ac:dyDescent="0.25">
      <c r="A21" s="4" t="s">
        <v>21129</v>
      </c>
      <c r="B21" s="7" t="s">
        <v>21130</v>
      </c>
      <c r="C21" s="30"/>
    </row>
    <row r="22" spans="1:3" ht="15" customHeight="1" x14ac:dyDescent="0.25">
      <c r="A22" s="4" t="s">
        <v>21131</v>
      </c>
      <c r="B22" s="7" t="s">
        <v>21132</v>
      </c>
      <c r="C22" s="30">
        <v>418</v>
      </c>
    </row>
    <row r="23" spans="1:3" ht="15" customHeight="1" x14ac:dyDescent="0.25">
      <c r="A23" s="4" t="s">
        <v>21133</v>
      </c>
      <c r="B23" s="7" t="s">
        <v>21134</v>
      </c>
      <c r="C23" s="30">
        <v>646.62</v>
      </c>
    </row>
    <row r="24" spans="1:3" ht="15" customHeight="1" x14ac:dyDescent="0.25">
      <c r="A24" s="4" t="s">
        <v>21135</v>
      </c>
      <c r="B24" s="7" t="s">
        <v>21136</v>
      </c>
      <c r="C24" s="30"/>
    </row>
    <row r="25" spans="1:3" ht="15" customHeight="1" x14ac:dyDescent="0.25">
      <c r="A25" s="4" t="s">
        <v>21137</v>
      </c>
      <c r="B25" s="7" t="s">
        <v>21138</v>
      </c>
      <c r="C25" s="30">
        <v>390.96</v>
      </c>
    </row>
    <row r="26" spans="1:3" ht="15" customHeight="1" x14ac:dyDescent="0.25">
      <c r="A26" s="3" t="s">
        <v>21139</v>
      </c>
      <c r="B26" s="6" t="s">
        <v>21100</v>
      </c>
      <c r="C26" s="29" t="s">
        <v>21101</v>
      </c>
    </row>
    <row r="27" spans="1:3" ht="15" customHeight="1" x14ac:dyDescent="0.25">
      <c r="A27" s="4" t="s">
        <v>21140</v>
      </c>
      <c r="B27" s="7" t="s">
        <v>21141</v>
      </c>
      <c r="C27" s="30"/>
    </row>
    <row r="28" spans="1:3" ht="15" customHeight="1" x14ac:dyDescent="0.25">
      <c r="A28" s="4" t="s">
        <v>21142</v>
      </c>
      <c r="B28" s="7" t="s">
        <v>21143</v>
      </c>
      <c r="C28" s="30">
        <v>8842</v>
      </c>
    </row>
    <row r="29" spans="1:3" ht="15" customHeight="1" x14ac:dyDescent="0.25">
      <c r="A29" s="4" t="s">
        <v>21144</v>
      </c>
      <c r="B29" s="7" t="s">
        <v>21145</v>
      </c>
      <c r="C29" s="30">
        <v>7354</v>
      </c>
    </row>
    <row r="30" spans="1:3" ht="15" customHeight="1" x14ac:dyDescent="0.25">
      <c r="A30" s="4" t="s">
        <v>21146</v>
      </c>
      <c r="B30" s="7" t="s">
        <v>21147</v>
      </c>
      <c r="C30" s="30"/>
    </row>
    <row r="31" spans="1:3" ht="15" customHeight="1" x14ac:dyDescent="0.25">
      <c r="A31" s="4" t="s">
        <v>21148</v>
      </c>
      <c r="B31" s="7" t="s">
        <v>21149</v>
      </c>
      <c r="C31" s="30">
        <v>12546.67</v>
      </c>
    </row>
    <row r="32" spans="1:3" ht="15" customHeight="1" x14ac:dyDescent="0.25">
      <c r="A32" s="4" t="s">
        <v>21150</v>
      </c>
      <c r="B32" s="7" t="s">
        <v>21151</v>
      </c>
      <c r="C32" s="30">
        <v>3262.77</v>
      </c>
    </row>
    <row r="33" spans="1:3" ht="15" customHeight="1" x14ac:dyDescent="0.25">
      <c r="A33" s="4" t="s">
        <v>21152</v>
      </c>
      <c r="B33" s="7" t="s">
        <v>21153</v>
      </c>
      <c r="C33" s="30">
        <v>4077.08</v>
      </c>
    </row>
    <row r="34" spans="1:3" ht="15" customHeight="1" x14ac:dyDescent="0.25">
      <c r="A34" s="4" t="s">
        <v>21154</v>
      </c>
      <c r="B34" s="7" t="s">
        <v>21155</v>
      </c>
      <c r="C34" s="30">
        <v>2503.17</v>
      </c>
    </row>
    <row r="35" spans="1:3" ht="15" customHeight="1" x14ac:dyDescent="0.25">
      <c r="A35" s="4" t="s">
        <v>21156</v>
      </c>
      <c r="B35" s="7" t="s">
        <v>21157</v>
      </c>
      <c r="C35" s="30">
        <v>660.88</v>
      </c>
    </row>
    <row r="36" spans="1:3" ht="15" customHeight="1" x14ac:dyDescent="0.25">
      <c r="A36" s="3" t="s">
        <v>21158</v>
      </c>
      <c r="B36" s="6" t="s">
        <v>21100</v>
      </c>
      <c r="C36" s="29" t="s">
        <v>21101</v>
      </c>
    </row>
    <row r="37" spans="1:3" ht="15" customHeight="1" x14ac:dyDescent="0.25">
      <c r="A37" s="4" t="s">
        <v>21159</v>
      </c>
      <c r="B37" s="7" t="s">
        <v>21160</v>
      </c>
      <c r="C37" s="30"/>
    </row>
    <row r="38" spans="1:3" ht="15" customHeight="1" x14ac:dyDescent="0.25">
      <c r="A38" s="4" t="s">
        <v>21161</v>
      </c>
      <c r="B38" s="7" t="s">
        <v>21162</v>
      </c>
      <c r="C38" s="30"/>
    </row>
    <row r="39" spans="1:3" ht="15" customHeight="1" x14ac:dyDescent="0.25">
      <c r="A39" s="4" t="s">
        <v>21163</v>
      </c>
      <c r="B39" s="7" t="s">
        <v>21164</v>
      </c>
      <c r="C39" s="30"/>
    </row>
    <row r="40" spans="1:3" ht="15" customHeight="1" x14ac:dyDescent="0.25">
      <c r="A40" s="4" t="s">
        <v>21165</v>
      </c>
      <c r="B40" s="7" t="s">
        <v>21166</v>
      </c>
      <c r="C40" s="30">
        <v>637.16999999999996</v>
      </c>
    </row>
    <row r="41" spans="1:3" ht="15" customHeight="1" x14ac:dyDescent="0.25">
      <c r="A41" s="4" t="s">
        <v>21167</v>
      </c>
      <c r="B41" s="7" t="s">
        <v>21168</v>
      </c>
      <c r="C41" s="30">
        <v>1026.52</v>
      </c>
    </row>
    <row r="42" spans="1:3" ht="15" customHeight="1" x14ac:dyDescent="0.25">
      <c r="A42" s="4" t="s">
        <v>21169</v>
      </c>
      <c r="B42" s="7" t="s">
        <v>21170</v>
      </c>
      <c r="C42" s="30">
        <v>373.13</v>
      </c>
    </row>
    <row r="43" spans="1:3" ht="15" customHeight="1" x14ac:dyDescent="0.25">
      <c r="A43" s="4" t="s">
        <v>21171</v>
      </c>
      <c r="B43" s="7" t="s">
        <v>21172</v>
      </c>
      <c r="C43" s="30">
        <v>318.56</v>
      </c>
    </row>
    <row r="44" spans="1:3" ht="15" customHeight="1" x14ac:dyDescent="0.25">
      <c r="A44" s="3" t="s">
        <v>21173</v>
      </c>
      <c r="B44" s="6" t="s">
        <v>21100</v>
      </c>
      <c r="C44" s="29" t="s">
        <v>21101</v>
      </c>
    </row>
    <row r="45" spans="1:3" ht="15" customHeight="1" x14ac:dyDescent="0.25">
      <c r="A45" s="4" t="s">
        <v>21174</v>
      </c>
      <c r="B45" s="7" t="s">
        <v>21175</v>
      </c>
      <c r="C45" s="30"/>
    </row>
    <row r="46" spans="1:3" ht="15" customHeight="1" x14ac:dyDescent="0.25">
      <c r="A46" s="4" t="s">
        <v>21176</v>
      </c>
      <c r="B46" s="7" t="s">
        <v>21177</v>
      </c>
      <c r="C46" s="30"/>
    </row>
    <row r="47" spans="1:3" ht="15" customHeight="1" x14ac:dyDescent="0.25">
      <c r="A47" s="4" t="s">
        <v>21178</v>
      </c>
      <c r="B47" s="7" t="s">
        <v>21179</v>
      </c>
      <c r="C47" s="30"/>
    </row>
    <row r="48" spans="1:3" ht="15" customHeight="1" x14ac:dyDescent="0.25">
      <c r="A48" s="4" t="s">
        <v>21180</v>
      </c>
      <c r="B48" s="7" t="s">
        <v>21181</v>
      </c>
      <c r="C48" s="30"/>
    </row>
    <row r="49" spans="1:3" ht="15" customHeight="1" x14ac:dyDescent="0.25">
      <c r="A49" s="4" t="s">
        <v>21182</v>
      </c>
      <c r="B49" s="7" t="s">
        <v>21183</v>
      </c>
      <c r="C49" s="30"/>
    </row>
    <row r="50" spans="1:3" ht="15" customHeight="1" x14ac:dyDescent="0.25">
      <c r="A50" s="4" t="s">
        <v>21184</v>
      </c>
      <c r="B50" s="7" t="s">
        <v>21185</v>
      </c>
      <c r="C50" s="30"/>
    </row>
    <row r="51" spans="1:3" ht="15" customHeight="1" x14ac:dyDescent="0.25">
      <c r="A51" s="4" t="s">
        <v>21186</v>
      </c>
      <c r="B51" s="7" t="s">
        <v>21187</v>
      </c>
      <c r="C51" s="30"/>
    </row>
    <row r="52" spans="1:3" ht="15" customHeight="1" x14ac:dyDescent="0.25">
      <c r="A52" s="4" t="s">
        <v>21188</v>
      </c>
      <c r="B52" s="7" t="s">
        <v>21189</v>
      </c>
      <c r="C52" s="30"/>
    </row>
    <row r="53" spans="1:3" ht="15" customHeight="1" x14ac:dyDescent="0.25">
      <c r="A53" s="4" t="s">
        <v>21190</v>
      </c>
      <c r="B53" s="7" t="s">
        <v>21191</v>
      </c>
      <c r="C53" s="30"/>
    </row>
    <row r="54" spans="1:3" ht="15" customHeight="1" x14ac:dyDescent="0.25">
      <c r="A54" s="4" t="s">
        <v>21192</v>
      </c>
      <c r="B54" s="7" t="s">
        <v>21193</v>
      </c>
      <c r="C54" s="30"/>
    </row>
    <row r="55" spans="1:3" ht="15" customHeight="1" x14ac:dyDescent="0.25">
      <c r="A55" s="4" t="s">
        <v>21194</v>
      </c>
      <c r="B55" s="7" t="s">
        <v>21195</v>
      </c>
      <c r="C55" s="30"/>
    </row>
    <row r="56" spans="1:3" ht="15" customHeight="1" x14ac:dyDescent="0.25">
      <c r="A56" s="4" t="s">
        <v>21196</v>
      </c>
      <c r="B56" s="7" t="s">
        <v>21197</v>
      </c>
      <c r="C56" s="30"/>
    </row>
    <row r="57" spans="1:3" ht="15" customHeight="1" x14ac:dyDescent="0.25">
      <c r="A57" s="4" t="s">
        <v>21198</v>
      </c>
      <c r="B57" s="7" t="s">
        <v>21199</v>
      </c>
      <c r="C57" s="30"/>
    </row>
    <row r="58" spans="1:3" ht="15" customHeight="1" x14ac:dyDescent="0.25">
      <c r="A58" s="4" t="s">
        <v>21200</v>
      </c>
      <c r="B58" s="7" t="s">
        <v>21201</v>
      </c>
      <c r="C58" s="30"/>
    </row>
    <row r="59" spans="1:3" ht="15" customHeight="1" x14ac:dyDescent="0.25">
      <c r="A59" s="4" t="s">
        <v>21202</v>
      </c>
      <c r="B59" s="7" t="s">
        <v>21203</v>
      </c>
      <c r="C59" s="30"/>
    </row>
    <row r="60" spans="1:3" ht="15" customHeight="1" x14ac:dyDescent="0.25">
      <c r="A60" s="4" t="s">
        <v>21204</v>
      </c>
      <c r="B60" s="7" t="s">
        <v>21205</v>
      </c>
      <c r="C60" s="30"/>
    </row>
    <row r="61" spans="1:3" ht="15" customHeight="1" x14ac:dyDescent="0.25">
      <c r="A61" s="4" t="s">
        <v>21206</v>
      </c>
      <c r="B61" s="7" t="s">
        <v>21207</v>
      </c>
      <c r="C61" s="30"/>
    </row>
    <row r="62" spans="1:3" ht="15" customHeight="1" x14ac:dyDescent="0.25">
      <c r="A62" s="3" t="s">
        <v>21208</v>
      </c>
      <c r="B62" s="6" t="s">
        <v>21100</v>
      </c>
      <c r="C62" s="29" t="s">
        <v>21101</v>
      </c>
    </row>
    <row r="63" spans="1:3" ht="15" customHeight="1" x14ac:dyDescent="0.25">
      <c r="A63" s="4" t="s">
        <v>21209</v>
      </c>
      <c r="B63" s="7"/>
      <c r="C63" s="30"/>
    </row>
    <row r="64" spans="1:3" ht="15" customHeight="1" x14ac:dyDescent="0.25">
      <c r="A64" s="5"/>
      <c r="B64" s="7"/>
      <c r="C64" s="30"/>
    </row>
    <row r="65" spans="1:3" ht="15" customHeight="1" x14ac:dyDescent="0.25">
      <c r="A65" s="5"/>
      <c r="B65" s="7"/>
      <c r="C65" s="30"/>
    </row>
    <row r="66" spans="1:3" ht="15" customHeight="1" x14ac:dyDescent="0.25">
      <c r="A66" s="5"/>
      <c r="B66" s="7"/>
      <c r="C66" s="30"/>
    </row>
    <row r="67" spans="1:3" ht="15" customHeight="1" x14ac:dyDescent="0.25">
      <c r="A67" s="5"/>
      <c r="B67" s="7"/>
      <c r="C67" s="30"/>
    </row>
    <row r="68" spans="1:3" ht="15" customHeight="1" x14ac:dyDescent="0.25">
      <c r="A68" s="5"/>
      <c r="B68" s="7"/>
      <c r="C68" s="30"/>
    </row>
    <row r="69" spans="1:3" ht="21" customHeight="1" thickBot="1" x14ac:dyDescent="0.3">
      <c r="A69" s="8" t="s">
        <v>21213</v>
      </c>
      <c r="B69" s="9"/>
      <c r="C69" s="31">
        <f>COUNT(C6:C68)</f>
        <v>25</v>
      </c>
    </row>
    <row r="70" spans="1:3" ht="15" customHeight="1" thickTop="1" x14ac:dyDescent="0.25">
      <c r="A70" s="56" t="s">
        <v>21214</v>
      </c>
      <c r="B70" s="57"/>
      <c r="C70" s="58"/>
    </row>
    <row r="71" spans="1:3" ht="15" customHeight="1" x14ac:dyDescent="0.25">
      <c r="A71" s="59" t="s">
        <v>21215</v>
      </c>
      <c r="B71" s="60"/>
      <c r="C71" s="61"/>
    </row>
    <row r="72" spans="1:3" ht="15" customHeight="1" x14ac:dyDescent="0.25">
      <c r="A72" s="59" t="s">
        <v>21216</v>
      </c>
      <c r="B72" s="60"/>
      <c r="C72" s="61"/>
    </row>
    <row r="73" spans="1:3" ht="15" customHeight="1" x14ac:dyDescent="0.25">
      <c r="A73" s="59" t="s">
        <v>21217</v>
      </c>
      <c r="B73" s="60"/>
      <c r="C73" s="61"/>
    </row>
    <row r="74" spans="1:3" ht="15" customHeight="1" x14ac:dyDescent="0.25">
      <c r="A74" s="59" t="s">
        <v>21218</v>
      </c>
      <c r="B74" s="60"/>
      <c r="C74" s="61"/>
    </row>
    <row r="75" spans="1:3" ht="15" customHeight="1" x14ac:dyDescent="0.25">
      <c r="A75" s="59" t="s">
        <v>21219</v>
      </c>
      <c r="B75" s="60"/>
      <c r="C75" s="61"/>
    </row>
    <row r="76" spans="1:3" ht="15" customHeight="1" x14ac:dyDescent="0.25">
      <c r="A76" s="59" t="s">
        <v>21220</v>
      </c>
      <c r="B76" s="60"/>
      <c r="C76" s="61"/>
    </row>
    <row r="77" spans="1:3" ht="15" customHeight="1" x14ac:dyDescent="0.25">
      <c r="A77" s="59" t="s">
        <v>21221</v>
      </c>
      <c r="B77" s="60"/>
      <c r="C77" s="61"/>
    </row>
    <row r="78" spans="1:3" ht="15" customHeight="1" x14ac:dyDescent="0.25">
      <c r="A78" s="59" t="s">
        <v>21222</v>
      </c>
      <c r="B78" s="60"/>
      <c r="C78" s="61"/>
    </row>
    <row r="79" spans="1:3" ht="15" customHeight="1" x14ac:dyDescent="0.25">
      <c r="A79" s="59" t="s">
        <v>21223</v>
      </c>
      <c r="B79" s="60"/>
      <c r="C79" s="61"/>
    </row>
    <row r="80" spans="1:3" ht="15" customHeight="1" x14ac:dyDescent="0.25">
      <c r="A80" s="51" t="s">
        <v>21224</v>
      </c>
      <c r="B80" s="52"/>
      <c r="C80" s="53"/>
    </row>
  </sheetData>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8" orientation="portrait" r:id="rId1"/>
  <headerFooter alignWithMargins="0">
    <oddHeader>&amp;C&amp;"Arial,bold"&amp;14AB 1045 - List of 25 Common_x000D_Outpatient Procedures for 2025&amp;b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2BAF-A5E6-4BA2-9DAD-0397AD045921}">
  <sheetPr>
    <pageSetUpPr fitToPage="1"/>
  </sheetPr>
  <dimension ref="A1:K4121"/>
  <sheetViews>
    <sheetView workbookViewId="0">
      <pane ySplit="5" topLeftCell="A33" activePane="bottomLeft" state="frozen"/>
      <selection pane="bottomLeft" activeCell="C32" sqref="C32"/>
    </sheetView>
  </sheetViews>
  <sheetFormatPr defaultRowHeight="15" x14ac:dyDescent="0.25"/>
  <cols>
    <col min="1" max="1" width="20.140625" style="24" bestFit="1" customWidth="1"/>
    <col min="2" max="2" width="16.85546875" style="24" bestFit="1" customWidth="1"/>
    <col min="3" max="3" width="34.85546875" style="25" bestFit="1" customWidth="1"/>
    <col min="4" max="4" width="11.28515625" style="24" bestFit="1" customWidth="1"/>
    <col min="5" max="5" width="10.140625" style="40" bestFit="1" customWidth="1"/>
    <col min="6" max="6" width="13.85546875" style="41" bestFit="1" customWidth="1"/>
    <col min="7" max="7" width="10.140625" style="40" bestFit="1" customWidth="1"/>
    <col min="8" max="8" width="13.85546875" style="41" bestFit="1" customWidth="1"/>
    <col min="9" max="10" width="14.42578125" style="41" bestFit="1" customWidth="1"/>
    <col min="11" max="11" width="18.140625" style="42" bestFit="1" customWidth="1"/>
    <col min="12" max="16384" width="9.140625" style="35"/>
  </cols>
  <sheetData>
    <row r="1" spans="1:11" s="34" customFormat="1" x14ac:dyDescent="0.25">
      <c r="A1" s="33" t="s">
        <v>22611</v>
      </c>
      <c r="B1" s="24"/>
      <c r="C1" s="24"/>
      <c r="D1" s="24"/>
      <c r="E1" s="37"/>
      <c r="F1" s="38"/>
      <c r="G1" s="37"/>
      <c r="H1" s="38"/>
      <c r="I1" s="38"/>
      <c r="J1" s="38"/>
      <c r="K1" s="39"/>
    </row>
    <row r="2" spans="1:11" x14ac:dyDescent="0.25">
      <c r="A2" s="50" t="s">
        <v>22616</v>
      </c>
    </row>
    <row r="5" spans="1:11" s="36" customFormat="1" ht="15" customHeight="1" x14ac:dyDescent="0.25">
      <c r="A5" s="43" t="s">
        <v>21225</v>
      </c>
      <c r="B5" s="43" t="s">
        <v>21226</v>
      </c>
      <c r="C5" s="44" t="s">
        <v>21229</v>
      </c>
      <c r="D5" s="43" t="s">
        <v>21230</v>
      </c>
      <c r="E5" s="45" t="s">
        <v>21231</v>
      </c>
      <c r="F5" s="46" t="s">
        <v>21232</v>
      </c>
      <c r="G5" s="45" t="s">
        <v>21233</v>
      </c>
      <c r="H5" s="46" t="s">
        <v>21234</v>
      </c>
      <c r="I5" s="46" t="s">
        <v>21235</v>
      </c>
      <c r="J5" s="46" t="s">
        <v>21236</v>
      </c>
      <c r="K5" s="47" t="s">
        <v>21237</v>
      </c>
    </row>
    <row r="6" spans="1:11" x14ac:dyDescent="0.25">
      <c r="A6" s="24" t="s">
        <v>7</v>
      </c>
      <c r="B6" s="24" t="s">
        <v>8</v>
      </c>
      <c r="C6" s="25" t="s">
        <v>9</v>
      </c>
      <c r="E6" s="40">
        <v>17</v>
      </c>
      <c r="F6" s="41">
        <v>104633</v>
      </c>
      <c r="G6" s="40">
        <v>13</v>
      </c>
      <c r="H6" s="41">
        <v>82901</v>
      </c>
      <c r="I6" s="41">
        <v>6154.8823529411766</v>
      </c>
      <c r="J6" s="41">
        <v>6377</v>
      </c>
      <c r="K6" s="42">
        <v>3.608804105779246E-2</v>
      </c>
    </row>
    <row r="7" spans="1:11" x14ac:dyDescent="0.25">
      <c r="A7" s="24" t="s">
        <v>7</v>
      </c>
      <c r="B7" s="24" t="s">
        <v>11</v>
      </c>
      <c r="C7" s="25" t="s">
        <v>12</v>
      </c>
      <c r="E7" s="40">
        <v>166</v>
      </c>
      <c r="F7" s="41">
        <v>915062</v>
      </c>
      <c r="G7" s="40">
        <v>240</v>
      </c>
      <c r="H7" s="41">
        <v>1384878</v>
      </c>
      <c r="I7" s="41">
        <v>5512.4216867469877</v>
      </c>
      <c r="J7" s="41">
        <v>5770.3249999999998</v>
      </c>
      <c r="K7" s="42">
        <v>4.678584620495662E-2</v>
      </c>
    </row>
    <row r="8" spans="1:11" x14ac:dyDescent="0.25">
      <c r="A8" s="24" t="s">
        <v>7</v>
      </c>
      <c r="B8" s="24" t="s">
        <v>14</v>
      </c>
      <c r="C8" s="25" t="s">
        <v>15</v>
      </c>
      <c r="E8" s="40">
        <v>6951</v>
      </c>
      <c r="F8" s="41">
        <v>70857622</v>
      </c>
      <c r="G8" s="40">
        <v>7060</v>
      </c>
      <c r="H8" s="41">
        <v>84066760</v>
      </c>
      <c r="I8" s="41">
        <v>10193.8745504244</v>
      </c>
      <c r="J8" s="41">
        <v>11907.473087818697</v>
      </c>
      <c r="K8" s="42">
        <v>0.16810080690299989</v>
      </c>
    </row>
    <row r="9" spans="1:11" x14ac:dyDescent="0.25">
      <c r="A9" s="24" t="s">
        <v>7</v>
      </c>
      <c r="B9" s="24" t="s">
        <v>23</v>
      </c>
      <c r="C9" s="25" t="s">
        <v>24</v>
      </c>
      <c r="G9" s="40">
        <v>1</v>
      </c>
      <c r="H9" s="41">
        <v>10844</v>
      </c>
      <c r="J9" s="41">
        <v>10844</v>
      </c>
    </row>
    <row r="10" spans="1:11" x14ac:dyDescent="0.25">
      <c r="A10" s="24" t="s">
        <v>7</v>
      </c>
      <c r="B10" s="24" t="s">
        <v>26</v>
      </c>
      <c r="C10" s="25" t="s">
        <v>27</v>
      </c>
      <c r="E10" s="40">
        <v>195</v>
      </c>
      <c r="F10" s="41">
        <v>1747107</v>
      </c>
      <c r="G10" s="40">
        <v>43</v>
      </c>
      <c r="H10" s="41">
        <v>460206</v>
      </c>
      <c r="I10" s="41">
        <v>8959.5230769230766</v>
      </c>
      <c r="J10" s="41">
        <v>10702.465116279071</v>
      </c>
      <c r="K10" s="42">
        <v>0.19453513589861343</v>
      </c>
    </row>
    <row r="11" spans="1:11" x14ac:dyDescent="0.25">
      <c r="A11" s="24" t="s">
        <v>7</v>
      </c>
      <c r="B11" s="24" t="s">
        <v>29</v>
      </c>
      <c r="C11" s="25" t="s">
        <v>30</v>
      </c>
      <c r="E11" s="40">
        <v>101</v>
      </c>
      <c r="F11" s="41">
        <v>764053</v>
      </c>
      <c r="G11" s="40">
        <v>28</v>
      </c>
      <c r="H11" s="41">
        <v>281192</v>
      </c>
      <c r="I11" s="41">
        <v>7564.8811881188121</v>
      </c>
      <c r="J11" s="41">
        <v>10042.571428571429</v>
      </c>
      <c r="K11" s="42">
        <v>0.32752533434946834</v>
      </c>
    </row>
    <row r="12" spans="1:11" x14ac:dyDescent="0.25">
      <c r="A12" s="24" t="s">
        <v>7</v>
      </c>
      <c r="B12" s="24" t="s">
        <v>32</v>
      </c>
      <c r="C12" s="25" t="s">
        <v>33</v>
      </c>
      <c r="G12" s="40">
        <v>1</v>
      </c>
      <c r="H12" s="41">
        <v>8206</v>
      </c>
      <c r="J12" s="41">
        <v>8206</v>
      </c>
    </row>
    <row r="13" spans="1:11" x14ac:dyDescent="0.25">
      <c r="A13" s="24" t="s">
        <v>7</v>
      </c>
      <c r="B13" s="24" t="s">
        <v>35</v>
      </c>
      <c r="C13" s="25" t="s">
        <v>9</v>
      </c>
      <c r="E13" s="40">
        <v>47</v>
      </c>
      <c r="F13" s="41">
        <v>294527</v>
      </c>
      <c r="G13" s="40">
        <v>37</v>
      </c>
      <c r="H13" s="41">
        <v>237782</v>
      </c>
      <c r="I13" s="41">
        <v>6266.5319148936169</v>
      </c>
      <c r="J13" s="41">
        <v>6426.5405405405409</v>
      </c>
      <c r="K13" s="42">
        <v>2.553384037933849E-2</v>
      </c>
    </row>
    <row r="14" spans="1:11" x14ac:dyDescent="0.25">
      <c r="A14" s="24" t="s">
        <v>7</v>
      </c>
      <c r="B14" s="24" t="s">
        <v>36</v>
      </c>
      <c r="C14" s="25" t="s">
        <v>12</v>
      </c>
      <c r="E14" s="40">
        <v>622</v>
      </c>
      <c r="F14" s="41">
        <v>3451601</v>
      </c>
      <c r="G14" s="40">
        <v>510</v>
      </c>
      <c r="H14" s="41">
        <v>2958887</v>
      </c>
      <c r="I14" s="41">
        <v>5549.1977491961416</v>
      </c>
      <c r="J14" s="41">
        <v>5801.7392156862743</v>
      </c>
      <c r="K14" s="42">
        <v>4.5509545326027703E-2</v>
      </c>
    </row>
    <row r="15" spans="1:11" x14ac:dyDescent="0.25">
      <c r="A15" s="24" t="s">
        <v>7</v>
      </c>
      <c r="B15" s="24" t="s">
        <v>37</v>
      </c>
      <c r="C15" s="25" t="s">
        <v>38</v>
      </c>
      <c r="E15" s="40">
        <v>14806</v>
      </c>
      <c r="F15" s="41">
        <v>90162212</v>
      </c>
      <c r="G15" s="40">
        <v>17521</v>
      </c>
      <c r="H15" s="41">
        <v>126609147</v>
      </c>
      <c r="I15" s="41">
        <v>6089.5726057003922</v>
      </c>
      <c r="J15" s="41">
        <v>7226.1370355573308</v>
      </c>
      <c r="K15" s="42">
        <v>0.18664108361118995</v>
      </c>
    </row>
    <row r="16" spans="1:11" x14ac:dyDescent="0.25">
      <c r="A16" s="24" t="s">
        <v>7</v>
      </c>
      <c r="B16" s="24" t="s">
        <v>40</v>
      </c>
      <c r="C16" s="25" t="s">
        <v>18</v>
      </c>
      <c r="E16" s="40">
        <v>15</v>
      </c>
      <c r="F16" s="41">
        <v>78657</v>
      </c>
      <c r="G16" s="40">
        <v>0</v>
      </c>
      <c r="H16" s="41">
        <v>0</v>
      </c>
      <c r="I16" s="41">
        <v>5243.8</v>
      </c>
    </row>
    <row r="17" spans="1:11" x14ac:dyDescent="0.25">
      <c r="A17" s="24" t="s">
        <v>7</v>
      </c>
      <c r="B17" s="24" t="s">
        <v>43</v>
      </c>
      <c r="C17" s="25" t="s">
        <v>30</v>
      </c>
      <c r="E17" s="40">
        <v>77</v>
      </c>
      <c r="F17" s="41">
        <v>598528</v>
      </c>
      <c r="G17" s="40">
        <v>24</v>
      </c>
      <c r="H17" s="41">
        <v>208732</v>
      </c>
      <c r="I17" s="41">
        <v>7773.090909090909</v>
      </c>
      <c r="J17" s="41">
        <v>8697.1666666666661</v>
      </c>
      <c r="K17" s="42">
        <v>0.11888137786926141</v>
      </c>
    </row>
    <row r="18" spans="1:11" x14ac:dyDescent="0.25">
      <c r="A18" s="24" t="s">
        <v>7</v>
      </c>
      <c r="B18" s="24" t="s">
        <v>44</v>
      </c>
      <c r="C18" s="25" t="s">
        <v>33</v>
      </c>
      <c r="E18" s="40">
        <v>60</v>
      </c>
      <c r="F18" s="41">
        <v>482024</v>
      </c>
      <c r="G18" s="40">
        <v>30</v>
      </c>
      <c r="H18" s="41">
        <v>274578</v>
      </c>
      <c r="I18" s="41">
        <v>8033.7333333333336</v>
      </c>
      <c r="J18" s="41">
        <v>9152.6</v>
      </c>
      <c r="K18" s="42">
        <v>0.13927107363948685</v>
      </c>
    </row>
    <row r="19" spans="1:11" x14ac:dyDescent="0.25">
      <c r="A19" s="24" t="s">
        <v>7</v>
      </c>
      <c r="B19" s="24" t="s">
        <v>45</v>
      </c>
      <c r="C19" s="25" t="s">
        <v>12</v>
      </c>
      <c r="E19" s="40">
        <v>774</v>
      </c>
      <c r="F19" s="41">
        <v>4257360</v>
      </c>
      <c r="G19" s="40">
        <v>516</v>
      </c>
      <c r="H19" s="41">
        <v>2990854</v>
      </c>
      <c r="I19" s="41">
        <v>5500.4651162790697</v>
      </c>
      <c r="J19" s="41">
        <v>5796.2286821705429</v>
      </c>
      <c r="K19" s="42">
        <v>5.3770646597891721E-2</v>
      </c>
    </row>
    <row r="20" spans="1:11" x14ac:dyDescent="0.25">
      <c r="A20" s="24" t="s">
        <v>7</v>
      </c>
      <c r="B20" s="24" t="s">
        <v>46</v>
      </c>
      <c r="C20" s="25" t="s">
        <v>38</v>
      </c>
      <c r="E20" s="40">
        <v>246</v>
      </c>
      <c r="F20" s="41">
        <v>1467333</v>
      </c>
      <c r="G20" s="40">
        <v>150</v>
      </c>
      <c r="H20" s="41">
        <v>1033962</v>
      </c>
      <c r="I20" s="41">
        <v>5964.7682926829266</v>
      </c>
      <c r="J20" s="41">
        <v>6893.08</v>
      </c>
      <c r="K20" s="42">
        <v>0.15563248424181836</v>
      </c>
    </row>
    <row r="21" spans="1:11" x14ac:dyDescent="0.25">
      <c r="A21" s="24" t="s">
        <v>7</v>
      </c>
      <c r="B21" s="24" t="s">
        <v>49</v>
      </c>
      <c r="C21" s="25" t="s">
        <v>27</v>
      </c>
      <c r="E21" s="40">
        <v>47</v>
      </c>
      <c r="F21" s="41">
        <v>434094</v>
      </c>
      <c r="G21" s="40">
        <v>46</v>
      </c>
      <c r="H21" s="41">
        <v>430284</v>
      </c>
      <c r="I21" s="41">
        <v>9236.0425531914898</v>
      </c>
      <c r="J21" s="41">
        <v>9354</v>
      </c>
      <c r="K21" s="42">
        <v>1.2771427386695001E-2</v>
      </c>
    </row>
    <row r="22" spans="1:11" x14ac:dyDescent="0.25">
      <c r="A22" s="24" t="s">
        <v>7</v>
      </c>
      <c r="B22" s="24" t="s">
        <v>50</v>
      </c>
      <c r="C22" s="25" t="s">
        <v>30</v>
      </c>
      <c r="E22" s="40">
        <v>5569</v>
      </c>
      <c r="F22" s="41">
        <v>42732862</v>
      </c>
      <c r="G22" s="40">
        <v>6746</v>
      </c>
      <c r="H22" s="41">
        <v>59290951</v>
      </c>
      <c r="I22" s="41">
        <v>7673.3456634943441</v>
      </c>
      <c r="J22" s="41">
        <v>8789.0529202490361</v>
      </c>
      <c r="K22" s="42">
        <v>0.14540036454536745</v>
      </c>
    </row>
    <row r="23" spans="1:11" x14ac:dyDescent="0.25">
      <c r="A23" s="24" t="s">
        <v>7</v>
      </c>
      <c r="B23" s="24" t="s">
        <v>51</v>
      </c>
      <c r="C23" s="25" t="s">
        <v>33</v>
      </c>
      <c r="G23" s="40">
        <v>7</v>
      </c>
      <c r="H23" s="41">
        <v>62175</v>
      </c>
      <c r="J23" s="41">
        <v>8882.1428571428569</v>
      </c>
    </row>
    <row r="24" spans="1:11" x14ac:dyDescent="0.25">
      <c r="A24" s="24" t="s">
        <v>7</v>
      </c>
      <c r="B24" s="24" t="s">
        <v>52</v>
      </c>
      <c r="C24" s="25" t="s">
        <v>9</v>
      </c>
      <c r="E24" s="40">
        <v>78</v>
      </c>
      <c r="F24" s="41">
        <v>488910</v>
      </c>
      <c r="G24" s="40">
        <v>44</v>
      </c>
      <c r="H24" s="41">
        <v>287920</v>
      </c>
      <c r="I24" s="41">
        <v>6268.0769230769229</v>
      </c>
      <c r="J24" s="41">
        <v>6543.636363636364</v>
      </c>
      <c r="K24" s="42">
        <v>4.3962357823804803E-2</v>
      </c>
    </row>
    <row r="25" spans="1:11" x14ac:dyDescent="0.25">
      <c r="A25" s="24" t="s">
        <v>7</v>
      </c>
      <c r="B25" s="24" t="s">
        <v>53</v>
      </c>
      <c r="C25" s="25" t="s">
        <v>12</v>
      </c>
      <c r="E25" s="40">
        <v>1380</v>
      </c>
      <c r="F25" s="41">
        <v>7540854</v>
      </c>
      <c r="G25" s="40">
        <v>780</v>
      </c>
      <c r="H25" s="41">
        <v>4551206</v>
      </c>
      <c r="I25" s="41">
        <v>5464.3869565217392</v>
      </c>
      <c r="J25" s="41">
        <v>5834.8794871794871</v>
      </c>
      <c r="K25" s="42">
        <v>6.7801298408335736E-2</v>
      </c>
    </row>
    <row r="26" spans="1:11" x14ac:dyDescent="0.25">
      <c r="A26" s="24" t="s">
        <v>7</v>
      </c>
      <c r="B26" s="24" t="s">
        <v>57</v>
      </c>
      <c r="C26" s="25" t="s">
        <v>58</v>
      </c>
      <c r="E26" s="40">
        <v>45</v>
      </c>
      <c r="F26" s="41">
        <v>225116</v>
      </c>
      <c r="G26" s="40">
        <v>17</v>
      </c>
      <c r="H26" s="41">
        <v>98028</v>
      </c>
      <c r="I26" s="41">
        <v>5002.5777777777776</v>
      </c>
      <c r="J26" s="41">
        <v>5766.3529411764703</v>
      </c>
      <c r="K26" s="42">
        <v>0.1526763195549902</v>
      </c>
    </row>
    <row r="27" spans="1:11" x14ac:dyDescent="0.25">
      <c r="A27" s="24" t="s">
        <v>7</v>
      </c>
      <c r="B27" s="24" t="s">
        <v>60</v>
      </c>
      <c r="C27" s="25" t="s">
        <v>38</v>
      </c>
      <c r="E27" s="40">
        <v>8932</v>
      </c>
      <c r="F27" s="41">
        <v>54411629</v>
      </c>
      <c r="G27" s="40">
        <v>10193</v>
      </c>
      <c r="H27" s="41">
        <v>73315047</v>
      </c>
      <c r="I27" s="41">
        <v>6091.7632109270044</v>
      </c>
      <c r="J27" s="41">
        <v>7192.6858628470518</v>
      </c>
      <c r="K27" s="42">
        <v>0.18072315252590329</v>
      </c>
    </row>
    <row r="28" spans="1:11" x14ac:dyDescent="0.25">
      <c r="A28" s="24" t="s">
        <v>7</v>
      </c>
      <c r="B28" s="24" t="s">
        <v>62</v>
      </c>
      <c r="C28" s="25" t="s">
        <v>21</v>
      </c>
      <c r="G28" s="40">
        <v>6</v>
      </c>
      <c r="H28" s="41">
        <v>33798</v>
      </c>
      <c r="J28" s="41">
        <v>5633</v>
      </c>
    </row>
    <row r="29" spans="1:11" x14ac:dyDescent="0.25">
      <c r="A29" s="24" t="s">
        <v>7</v>
      </c>
      <c r="B29" s="24" t="s">
        <v>63</v>
      </c>
      <c r="C29" s="25" t="s">
        <v>27</v>
      </c>
      <c r="G29" s="40">
        <v>2</v>
      </c>
      <c r="H29" s="41">
        <v>18708</v>
      </c>
      <c r="J29" s="41">
        <v>9354</v>
      </c>
    </row>
    <row r="30" spans="1:11" x14ac:dyDescent="0.25">
      <c r="A30" s="24" t="s">
        <v>7</v>
      </c>
      <c r="B30" s="24" t="s">
        <v>64</v>
      </c>
      <c r="C30" s="25" t="s">
        <v>30</v>
      </c>
      <c r="E30" s="40">
        <v>3</v>
      </c>
      <c r="F30" s="41">
        <v>22361</v>
      </c>
      <c r="G30" s="40">
        <v>0</v>
      </c>
      <c r="H30" s="41">
        <v>0</v>
      </c>
      <c r="I30" s="41">
        <v>7453.666666666667</v>
      </c>
    </row>
    <row r="31" spans="1:11" x14ac:dyDescent="0.25">
      <c r="A31" s="24" t="s">
        <v>7</v>
      </c>
      <c r="B31" s="24" t="s">
        <v>65</v>
      </c>
      <c r="C31" s="25" t="s">
        <v>33</v>
      </c>
      <c r="G31" s="40">
        <v>17</v>
      </c>
      <c r="H31" s="41">
        <v>182099</v>
      </c>
      <c r="J31" s="41">
        <v>10711.705882352941</v>
      </c>
    </row>
    <row r="32" spans="1:11" x14ac:dyDescent="0.25">
      <c r="A32" s="24" t="s">
        <v>7</v>
      </c>
      <c r="B32" s="24" t="s">
        <v>68</v>
      </c>
      <c r="C32" s="25" t="s">
        <v>24</v>
      </c>
      <c r="E32" s="40">
        <v>736</v>
      </c>
      <c r="F32" s="41">
        <v>7821387</v>
      </c>
      <c r="G32" s="40">
        <v>737</v>
      </c>
      <c r="H32" s="41">
        <v>7992028</v>
      </c>
      <c r="I32" s="41">
        <v>10626.884510869566</v>
      </c>
      <c r="J32" s="41">
        <v>10844</v>
      </c>
      <c r="K32" s="42">
        <v>2.0430775257636462E-2</v>
      </c>
    </row>
    <row r="33" spans="1:11" x14ac:dyDescent="0.25">
      <c r="A33" s="24" t="s">
        <v>7</v>
      </c>
      <c r="B33" s="24" t="s">
        <v>69</v>
      </c>
      <c r="C33" s="25" t="s">
        <v>70</v>
      </c>
      <c r="G33" s="40">
        <v>3</v>
      </c>
      <c r="H33" s="41">
        <v>16320</v>
      </c>
      <c r="J33" s="41">
        <v>5440</v>
      </c>
    </row>
    <row r="34" spans="1:11" x14ac:dyDescent="0.25">
      <c r="A34" s="24" t="s">
        <v>7</v>
      </c>
      <c r="B34" s="24" t="s">
        <v>72</v>
      </c>
      <c r="C34" s="25" t="s">
        <v>73</v>
      </c>
      <c r="E34" s="40">
        <v>8</v>
      </c>
      <c r="F34" s="41">
        <v>40776</v>
      </c>
      <c r="G34" s="40">
        <v>5</v>
      </c>
      <c r="H34" s="41">
        <v>26465</v>
      </c>
      <c r="I34" s="41">
        <v>5097</v>
      </c>
      <c r="J34" s="41">
        <v>5293</v>
      </c>
      <c r="K34" s="42">
        <v>3.8453992544634101E-2</v>
      </c>
    </row>
    <row r="35" spans="1:11" x14ac:dyDescent="0.25">
      <c r="A35" s="24" t="s">
        <v>7</v>
      </c>
      <c r="B35" s="24" t="s">
        <v>75</v>
      </c>
      <c r="C35" s="25" t="s">
        <v>30</v>
      </c>
      <c r="G35" s="40">
        <v>2</v>
      </c>
      <c r="H35" s="41">
        <v>15682</v>
      </c>
      <c r="J35" s="41">
        <v>7841</v>
      </c>
    </row>
    <row r="36" spans="1:11" x14ac:dyDescent="0.25">
      <c r="A36" s="24" t="s">
        <v>7</v>
      </c>
      <c r="B36" s="24" t="s">
        <v>76</v>
      </c>
      <c r="C36" s="25" t="s">
        <v>77</v>
      </c>
      <c r="E36" s="40">
        <v>6</v>
      </c>
      <c r="F36" s="41">
        <v>22157</v>
      </c>
      <c r="G36" s="40">
        <v>39</v>
      </c>
      <c r="H36" s="41">
        <v>145821</v>
      </c>
      <c r="I36" s="41">
        <v>3692.8333333333335</v>
      </c>
      <c r="J36" s="41">
        <v>3739</v>
      </c>
      <c r="K36" s="42">
        <v>1.2501692467391754E-2</v>
      </c>
    </row>
    <row r="37" spans="1:11" x14ac:dyDescent="0.25">
      <c r="A37" s="24" t="s">
        <v>7</v>
      </c>
      <c r="B37" s="24" t="s">
        <v>79</v>
      </c>
      <c r="C37" s="25" t="s">
        <v>80</v>
      </c>
      <c r="G37" s="40">
        <v>2</v>
      </c>
      <c r="H37" s="41">
        <v>8602</v>
      </c>
      <c r="J37" s="41">
        <v>4301</v>
      </c>
    </row>
    <row r="38" spans="1:11" x14ac:dyDescent="0.25">
      <c r="A38" s="24" t="s">
        <v>7</v>
      </c>
      <c r="B38" s="24" t="s">
        <v>81</v>
      </c>
      <c r="C38" s="25" t="s">
        <v>82</v>
      </c>
      <c r="G38" s="40">
        <v>16</v>
      </c>
      <c r="H38" s="41">
        <v>123904</v>
      </c>
      <c r="J38" s="41">
        <v>7744</v>
      </c>
    </row>
    <row r="39" spans="1:11" x14ac:dyDescent="0.25">
      <c r="A39" s="24" t="s">
        <v>7</v>
      </c>
      <c r="B39" s="24" t="s">
        <v>84</v>
      </c>
      <c r="C39" s="25" t="s">
        <v>85</v>
      </c>
      <c r="G39" s="40">
        <v>66</v>
      </c>
      <c r="H39" s="41">
        <v>470514</v>
      </c>
      <c r="J39" s="41">
        <v>7129</v>
      </c>
    </row>
    <row r="40" spans="1:11" x14ac:dyDescent="0.25">
      <c r="A40" s="24" t="s">
        <v>7</v>
      </c>
      <c r="B40" s="24" t="s">
        <v>86</v>
      </c>
      <c r="C40" s="25" t="s">
        <v>87</v>
      </c>
      <c r="G40" s="40">
        <v>34</v>
      </c>
      <c r="H40" s="41">
        <v>402667</v>
      </c>
      <c r="J40" s="41">
        <v>11843.14705882353</v>
      </c>
    </row>
    <row r="41" spans="1:11" x14ac:dyDescent="0.25">
      <c r="A41" s="24" t="s">
        <v>7</v>
      </c>
      <c r="B41" s="24" t="s">
        <v>88</v>
      </c>
      <c r="C41" s="25" t="s">
        <v>89</v>
      </c>
      <c r="E41" s="40">
        <v>1555</v>
      </c>
      <c r="F41" s="41">
        <v>14484220</v>
      </c>
      <c r="G41" s="40">
        <v>1882</v>
      </c>
      <c r="H41" s="41">
        <v>19652102</v>
      </c>
      <c r="I41" s="41">
        <v>9314.6109324758836</v>
      </c>
      <c r="J41" s="41">
        <v>10442.137088204037</v>
      </c>
      <c r="K41" s="42">
        <v>0.12104919506589096</v>
      </c>
    </row>
    <row r="42" spans="1:11" x14ac:dyDescent="0.25">
      <c r="A42" s="24" t="s">
        <v>7</v>
      </c>
      <c r="B42" s="24" t="s">
        <v>90</v>
      </c>
      <c r="C42" s="25" t="s">
        <v>9</v>
      </c>
      <c r="E42" s="40">
        <v>181</v>
      </c>
      <c r="F42" s="41">
        <v>1124501</v>
      </c>
      <c r="G42" s="40">
        <v>58</v>
      </c>
      <c r="H42" s="41">
        <v>369866</v>
      </c>
      <c r="I42" s="41">
        <v>6212.7127071823206</v>
      </c>
      <c r="J42" s="41">
        <v>6377</v>
      </c>
      <c r="K42" s="42">
        <v>2.6443729263024192E-2</v>
      </c>
    </row>
    <row r="43" spans="1:11" x14ac:dyDescent="0.25">
      <c r="A43" s="24" t="s">
        <v>7</v>
      </c>
      <c r="B43" s="24" t="s">
        <v>91</v>
      </c>
      <c r="C43" s="25" t="s">
        <v>12</v>
      </c>
      <c r="E43" s="40">
        <v>10156</v>
      </c>
      <c r="F43" s="41">
        <v>55763426</v>
      </c>
      <c r="G43" s="40">
        <v>10801</v>
      </c>
      <c r="H43" s="41">
        <v>63879662</v>
      </c>
      <c r="I43" s="41">
        <v>5490.6878692398586</v>
      </c>
      <c r="J43" s="41">
        <v>5914.2359040829551</v>
      </c>
      <c r="K43" s="42">
        <v>7.7139339355987338E-2</v>
      </c>
    </row>
    <row r="44" spans="1:11" x14ac:dyDescent="0.25">
      <c r="A44" s="24" t="s">
        <v>7</v>
      </c>
      <c r="B44" s="24" t="s">
        <v>92</v>
      </c>
      <c r="C44" s="25" t="s">
        <v>38</v>
      </c>
      <c r="E44" s="40">
        <v>31</v>
      </c>
      <c r="F44" s="41">
        <v>184340</v>
      </c>
      <c r="G44" s="40">
        <v>30</v>
      </c>
      <c r="H44" s="41">
        <v>192404</v>
      </c>
      <c r="I44" s="41">
        <v>5946.4516129032254</v>
      </c>
      <c r="J44" s="41">
        <v>6413.4666666666662</v>
      </c>
      <c r="K44" s="42">
        <v>7.853676178076742E-2</v>
      </c>
    </row>
    <row r="45" spans="1:11" x14ac:dyDescent="0.25">
      <c r="A45" s="24" t="s">
        <v>7</v>
      </c>
      <c r="B45" s="24" t="s">
        <v>103</v>
      </c>
      <c r="C45" s="25" t="s">
        <v>9</v>
      </c>
      <c r="E45" s="40">
        <v>62</v>
      </c>
      <c r="F45" s="41">
        <v>381686</v>
      </c>
      <c r="G45" s="40">
        <v>42</v>
      </c>
      <c r="H45" s="41">
        <v>280665</v>
      </c>
      <c r="I45" s="41">
        <v>6156.2258064516127</v>
      </c>
      <c r="J45" s="41">
        <v>6682.5</v>
      </c>
      <c r="K45" s="42">
        <v>8.5486499373830876E-2</v>
      </c>
    </row>
    <row r="46" spans="1:11" x14ac:dyDescent="0.25">
      <c r="A46" s="24" t="s">
        <v>7</v>
      </c>
      <c r="B46" s="24" t="s">
        <v>104</v>
      </c>
      <c r="C46" s="25" t="s">
        <v>12</v>
      </c>
      <c r="E46" s="40">
        <v>10460</v>
      </c>
      <c r="F46" s="41">
        <v>57521311</v>
      </c>
      <c r="G46" s="40">
        <v>11728</v>
      </c>
      <c r="H46" s="41">
        <v>69520752</v>
      </c>
      <c r="I46" s="41">
        <v>5499.1693116634797</v>
      </c>
      <c r="J46" s="41">
        <v>5927.758526603001</v>
      </c>
      <c r="K46" s="42">
        <v>7.7937082975514813E-2</v>
      </c>
    </row>
    <row r="47" spans="1:11" x14ac:dyDescent="0.25">
      <c r="A47" s="24" t="s">
        <v>7</v>
      </c>
      <c r="B47" s="24" t="s">
        <v>106</v>
      </c>
      <c r="C47" s="25" t="s">
        <v>58</v>
      </c>
      <c r="G47" s="40">
        <v>1</v>
      </c>
      <c r="H47" s="41">
        <v>5244</v>
      </c>
      <c r="J47" s="41">
        <v>5244</v>
      </c>
    </row>
    <row r="48" spans="1:11" x14ac:dyDescent="0.25">
      <c r="A48" s="24" t="s">
        <v>7</v>
      </c>
      <c r="B48" s="24" t="s">
        <v>107</v>
      </c>
      <c r="C48" s="25" t="s">
        <v>38</v>
      </c>
      <c r="E48" s="40">
        <v>90</v>
      </c>
      <c r="F48" s="41">
        <v>544014</v>
      </c>
      <c r="G48" s="40">
        <v>22</v>
      </c>
      <c r="H48" s="41">
        <v>170242</v>
      </c>
      <c r="I48" s="41">
        <v>6044.6</v>
      </c>
      <c r="J48" s="41">
        <v>7738.272727272727</v>
      </c>
      <c r="K48" s="42">
        <v>0.28019599762974001</v>
      </c>
    </row>
    <row r="49" spans="1:11" x14ac:dyDescent="0.25">
      <c r="A49" s="24" t="s">
        <v>7</v>
      </c>
      <c r="B49" s="24" t="s">
        <v>111</v>
      </c>
      <c r="C49" s="25" t="s">
        <v>9</v>
      </c>
      <c r="E49" s="40">
        <v>51</v>
      </c>
      <c r="F49" s="41">
        <v>319091</v>
      </c>
      <c r="G49" s="40">
        <v>24</v>
      </c>
      <c r="H49" s="41">
        <v>153048</v>
      </c>
      <c r="I49" s="41">
        <v>6256.6862745098042</v>
      </c>
      <c r="J49" s="41">
        <v>6377</v>
      </c>
      <c r="K49" s="42">
        <v>1.9229624151104185E-2</v>
      </c>
    </row>
    <row r="50" spans="1:11" x14ac:dyDescent="0.25">
      <c r="A50" s="24" t="s">
        <v>7</v>
      </c>
      <c r="B50" s="24" t="s">
        <v>112</v>
      </c>
      <c r="C50" s="25" t="s">
        <v>12</v>
      </c>
      <c r="E50" s="40">
        <v>815</v>
      </c>
      <c r="F50" s="41">
        <v>4474131</v>
      </c>
      <c r="G50" s="40">
        <v>656</v>
      </c>
      <c r="H50" s="41">
        <v>3878348</v>
      </c>
      <c r="I50" s="41">
        <v>5489.7312883435579</v>
      </c>
      <c r="J50" s="41">
        <v>5912.1158536585363</v>
      </c>
      <c r="K50" s="42">
        <v>7.6940845212558007E-2</v>
      </c>
    </row>
    <row r="51" spans="1:11" x14ac:dyDescent="0.25">
      <c r="A51" s="24" t="s">
        <v>7</v>
      </c>
      <c r="B51" s="24" t="s">
        <v>113</v>
      </c>
      <c r="C51" s="25" t="s">
        <v>55</v>
      </c>
      <c r="G51" s="40">
        <v>7</v>
      </c>
      <c r="H51" s="41">
        <v>45340</v>
      </c>
      <c r="J51" s="41">
        <v>6477.1428571428569</v>
      </c>
    </row>
    <row r="52" spans="1:11" x14ac:dyDescent="0.25">
      <c r="A52" s="24" t="s">
        <v>7</v>
      </c>
      <c r="B52" s="24" t="s">
        <v>115</v>
      </c>
      <c r="C52" s="25" t="s">
        <v>38</v>
      </c>
      <c r="E52" s="40">
        <v>6304</v>
      </c>
      <c r="F52" s="41">
        <v>38389411</v>
      </c>
      <c r="G52" s="40">
        <v>6940</v>
      </c>
      <c r="H52" s="41">
        <v>49942002</v>
      </c>
      <c r="I52" s="41">
        <v>6089.6908312182741</v>
      </c>
      <c r="J52" s="41">
        <v>7196.2538904899138</v>
      </c>
      <c r="K52" s="42">
        <v>0.18171087661773236</v>
      </c>
    </row>
    <row r="53" spans="1:11" x14ac:dyDescent="0.25">
      <c r="A53" s="24" t="s">
        <v>7</v>
      </c>
      <c r="B53" s="24" t="s">
        <v>118</v>
      </c>
      <c r="C53" s="25" t="s">
        <v>33</v>
      </c>
      <c r="G53" s="40">
        <v>7</v>
      </c>
      <c r="H53" s="41">
        <v>57442</v>
      </c>
      <c r="J53" s="41">
        <v>8206</v>
      </c>
    </row>
    <row r="54" spans="1:11" x14ac:dyDescent="0.25">
      <c r="A54" s="24" t="s">
        <v>7</v>
      </c>
      <c r="B54" s="24" t="s">
        <v>119</v>
      </c>
      <c r="C54" s="25" t="s">
        <v>12</v>
      </c>
      <c r="E54" s="40">
        <v>6</v>
      </c>
      <c r="F54" s="41">
        <v>33798</v>
      </c>
      <c r="G54" s="40">
        <v>25</v>
      </c>
      <c r="H54" s="41">
        <v>151811</v>
      </c>
      <c r="I54" s="41">
        <v>5633</v>
      </c>
      <c r="J54" s="41">
        <v>6072.44</v>
      </c>
      <c r="K54" s="42">
        <v>7.801171666962535E-2</v>
      </c>
    </row>
    <row r="55" spans="1:11" x14ac:dyDescent="0.25">
      <c r="A55" s="24" t="s">
        <v>7</v>
      </c>
      <c r="B55" s="24" t="s">
        <v>120</v>
      </c>
      <c r="C55" s="25" t="s">
        <v>18</v>
      </c>
      <c r="G55" s="40">
        <v>1</v>
      </c>
      <c r="H55" s="41">
        <v>5633</v>
      </c>
      <c r="J55" s="41">
        <v>5633</v>
      </c>
    </row>
    <row r="56" spans="1:11" x14ac:dyDescent="0.25">
      <c r="A56" s="24" t="s">
        <v>7</v>
      </c>
      <c r="B56" s="24" t="s">
        <v>122</v>
      </c>
      <c r="C56" s="25" t="s">
        <v>100</v>
      </c>
      <c r="E56" s="40">
        <v>0</v>
      </c>
      <c r="F56" s="41">
        <v>0</v>
      </c>
      <c r="G56" s="40">
        <v>2</v>
      </c>
      <c r="H56" s="41">
        <v>10489</v>
      </c>
      <c r="J56" s="41">
        <v>5244.5</v>
      </c>
    </row>
    <row r="57" spans="1:11" x14ac:dyDescent="0.25">
      <c r="A57" s="24" t="s">
        <v>7</v>
      </c>
      <c r="B57" s="24" t="s">
        <v>123</v>
      </c>
      <c r="C57" s="25" t="s">
        <v>70</v>
      </c>
      <c r="E57" s="40">
        <v>15</v>
      </c>
      <c r="F57" s="41">
        <v>80794</v>
      </c>
      <c r="G57" s="40">
        <v>16</v>
      </c>
      <c r="H57" s="41">
        <v>87040</v>
      </c>
      <c r="I57" s="41">
        <v>5386.2666666666664</v>
      </c>
      <c r="J57" s="41">
        <v>5440</v>
      </c>
      <c r="K57" s="42">
        <v>9.975988315964102E-3</v>
      </c>
    </row>
    <row r="58" spans="1:11" x14ac:dyDescent="0.25">
      <c r="A58" s="24" t="s">
        <v>7</v>
      </c>
      <c r="B58" s="24" t="s">
        <v>124</v>
      </c>
      <c r="C58" s="25" t="s">
        <v>73</v>
      </c>
      <c r="E58" s="40">
        <v>1410</v>
      </c>
      <c r="F58" s="41">
        <v>7310642</v>
      </c>
      <c r="G58" s="40">
        <v>1208</v>
      </c>
      <c r="H58" s="41">
        <v>6393944</v>
      </c>
      <c r="I58" s="41">
        <v>5184.8524822695035</v>
      </c>
      <c r="J58" s="41">
        <v>5293</v>
      </c>
      <c r="K58" s="42">
        <v>2.0858359635172949E-2</v>
      </c>
    </row>
    <row r="59" spans="1:11" x14ac:dyDescent="0.25">
      <c r="A59" s="24" t="s">
        <v>7</v>
      </c>
      <c r="B59" s="24" t="s">
        <v>125</v>
      </c>
      <c r="C59" s="25" t="s">
        <v>30</v>
      </c>
      <c r="G59" s="40">
        <v>1</v>
      </c>
      <c r="H59" s="41">
        <v>7841</v>
      </c>
      <c r="J59" s="41">
        <v>7841</v>
      </c>
    </row>
    <row r="60" spans="1:11" x14ac:dyDescent="0.25">
      <c r="A60" s="24" t="s">
        <v>7</v>
      </c>
      <c r="B60" s="24" t="s">
        <v>126</v>
      </c>
      <c r="C60" s="25" t="s">
        <v>12</v>
      </c>
      <c r="E60" s="40">
        <v>113</v>
      </c>
      <c r="F60" s="41">
        <v>629023</v>
      </c>
      <c r="G60" s="40">
        <v>147</v>
      </c>
      <c r="H60" s="41">
        <v>862840</v>
      </c>
      <c r="I60" s="41">
        <v>5566.575221238938</v>
      </c>
      <c r="J60" s="41">
        <v>5869.6598639455779</v>
      </c>
      <c r="K60" s="42">
        <v>5.4447237423512825E-2</v>
      </c>
    </row>
    <row r="61" spans="1:11" x14ac:dyDescent="0.25">
      <c r="A61" s="24" t="s">
        <v>7</v>
      </c>
      <c r="B61" s="24" t="s">
        <v>127</v>
      </c>
      <c r="C61" s="25" t="s">
        <v>18</v>
      </c>
      <c r="G61" s="40">
        <v>1</v>
      </c>
      <c r="H61" s="41">
        <v>5633</v>
      </c>
      <c r="J61" s="41">
        <v>5633</v>
      </c>
    </row>
    <row r="62" spans="1:11" x14ac:dyDescent="0.25">
      <c r="A62" s="24" t="s">
        <v>7</v>
      </c>
      <c r="B62" s="24" t="s">
        <v>129</v>
      </c>
      <c r="C62" s="25" t="s">
        <v>130</v>
      </c>
      <c r="E62" s="40">
        <v>69</v>
      </c>
      <c r="F62" s="41">
        <v>336321</v>
      </c>
      <c r="G62" s="40">
        <v>63</v>
      </c>
      <c r="H62" s="41">
        <v>316947</v>
      </c>
      <c r="I62" s="41">
        <v>4874.217391304348</v>
      </c>
      <c r="J62" s="41">
        <v>5030.9047619047615</v>
      </c>
      <c r="K62" s="42">
        <v>3.214615968502868E-2</v>
      </c>
    </row>
    <row r="63" spans="1:11" x14ac:dyDescent="0.25">
      <c r="A63" s="24" t="s">
        <v>7</v>
      </c>
      <c r="B63" s="24" t="s">
        <v>132</v>
      </c>
      <c r="C63" s="25" t="s">
        <v>100</v>
      </c>
      <c r="E63" s="40">
        <v>4482</v>
      </c>
      <c r="F63" s="41">
        <v>19734781</v>
      </c>
      <c r="G63" s="40">
        <v>4407</v>
      </c>
      <c r="H63" s="41">
        <v>20858182</v>
      </c>
      <c r="I63" s="41">
        <v>4403.1193663543063</v>
      </c>
      <c r="J63" s="41">
        <v>4732.9661901520312</v>
      </c>
      <c r="K63" s="42">
        <v>7.4912078540998406E-2</v>
      </c>
    </row>
    <row r="64" spans="1:11" x14ac:dyDescent="0.25">
      <c r="A64" s="24" t="s">
        <v>7</v>
      </c>
      <c r="B64" s="24" t="s">
        <v>133</v>
      </c>
      <c r="C64" s="25" t="s">
        <v>77</v>
      </c>
      <c r="E64" s="40">
        <v>3251</v>
      </c>
      <c r="F64" s="41">
        <v>11836662</v>
      </c>
      <c r="G64" s="40">
        <v>3137</v>
      </c>
      <c r="H64" s="41">
        <v>11211936</v>
      </c>
      <c r="I64" s="41">
        <v>3640.9295601353429</v>
      </c>
      <c r="J64" s="41">
        <v>3574.0949952183614</v>
      </c>
      <c r="K64" s="42">
        <v>-1.8356456452427776E-2</v>
      </c>
    </row>
    <row r="65" spans="1:11" x14ac:dyDescent="0.25">
      <c r="A65" s="24" t="s">
        <v>7</v>
      </c>
      <c r="B65" s="24" t="s">
        <v>135</v>
      </c>
      <c r="C65" s="25" t="s">
        <v>136</v>
      </c>
      <c r="D65" s="24" t="s">
        <v>21238</v>
      </c>
      <c r="E65" s="40">
        <v>142</v>
      </c>
      <c r="F65" s="41">
        <v>167272</v>
      </c>
      <c r="G65" s="40">
        <v>31</v>
      </c>
      <c r="H65" s="41">
        <v>37696</v>
      </c>
      <c r="I65" s="41">
        <v>1177.9718309859154</v>
      </c>
      <c r="J65" s="41">
        <v>1216</v>
      </c>
      <c r="K65" s="42">
        <v>3.2282749055430757E-2</v>
      </c>
    </row>
    <row r="66" spans="1:11" x14ac:dyDescent="0.25">
      <c r="A66" s="24" t="s">
        <v>7</v>
      </c>
      <c r="B66" s="24" t="s">
        <v>138</v>
      </c>
      <c r="C66" s="25" t="s">
        <v>139</v>
      </c>
      <c r="D66" s="24" t="s">
        <v>21239</v>
      </c>
      <c r="G66" s="40">
        <v>1</v>
      </c>
      <c r="H66" s="41">
        <v>1358</v>
      </c>
      <c r="J66" s="41">
        <v>1358</v>
      </c>
    </row>
    <row r="67" spans="1:11" x14ac:dyDescent="0.25">
      <c r="A67" s="24" t="s">
        <v>7</v>
      </c>
      <c r="B67" s="24" t="s">
        <v>147</v>
      </c>
      <c r="C67" s="25" t="s">
        <v>148</v>
      </c>
      <c r="D67" s="24" t="s">
        <v>21240</v>
      </c>
      <c r="E67" s="40">
        <v>110</v>
      </c>
      <c r="F67" s="41">
        <v>171556</v>
      </c>
      <c r="G67" s="40">
        <v>33</v>
      </c>
      <c r="H67" s="41">
        <v>52635</v>
      </c>
      <c r="I67" s="41">
        <v>1559.6</v>
      </c>
      <c r="J67" s="41">
        <v>1595</v>
      </c>
      <c r="K67" s="42">
        <v>2.2698127725057766E-2</v>
      </c>
    </row>
    <row r="68" spans="1:11" x14ac:dyDescent="0.25">
      <c r="A68" s="24" t="s">
        <v>7</v>
      </c>
      <c r="B68" s="24" t="s">
        <v>153</v>
      </c>
      <c r="C68" s="25" t="s">
        <v>154</v>
      </c>
      <c r="E68" s="40">
        <v>14</v>
      </c>
      <c r="F68" s="41">
        <v>15207</v>
      </c>
      <c r="G68" s="40">
        <v>3</v>
      </c>
      <c r="H68" s="41">
        <v>3276</v>
      </c>
      <c r="I68" s="41">
        <v>1086.2142857142858</v>
      </c>
      <c r="J68" s="41">
        <v>1092</v>
      </c>
      <c r="K68" s="42">
        <v>5.3264943775892084E-3</v>
      </c>
    </row>
    <row r="69" spans="1:11" x14ac:dyDescent="0.25">
      <c r="A69" s="24" t="s">
        <v>7</v>
      </c>
      <c r="B69" s="24" t="s">
        <v>156</v>
      </c>
      <c r="C69" s="25" t="s">
        <v>157</v>
      </c>
      <c r="E69" s="40">
        <v>15</v>
      </c>
      <c r="F69" s="41">
        <v>14269</v>
      </c>
      <c r="G69" s="40">
        <v>3</v>
      </c>
      <c r="H69" s="41">
        <v>2868</v>
      </c>
      <c r="I69" s="41">
        <v>951.26666666666665</v>
      </c>
      <c r="J69" s="41">
        <v>956</v>
      </c>
      <c r="K69" s="42">
        <v>4.9758217114023564E-3</v>
      </c>
    </row>
    <row r="70" spans="1:11" x14ac:dyDescent="0.25">
      <c r="A70" s="24" t="s">
        <v>7</v>
      </c>
      <c r="B70" s="24" t="s">
        <v>162</v>
      </c>
      <c r="C70" s="25" t="s">
        <v>163</v>
      </c>
      <c r="E70" s="40">
        <v>37</v>
      </c>
      <c r="F70" s="41">
        <v>237000</v>
      </c>
      <c r="G70" s="40">
        <v>51</v>
      </c>
      <c r="H70" s="41">
        <v>312873</v>
      </c>
      <c r="I70" s="41">
        <v>6405.405405405405</v>
      </c>
      <c r="J70" s="41">
        <v>6134.7647058823532</v>
      </c>
      <c r="K70" s="42">
        <v>-4.225192355423172E-2</v>
      </c>
    </row>
    <row r="71" spans="1:11" x14ac:dyDescent="0.25">
      <c r="A71" s="24" t="s">
        <v>7</v>
      </c>
      <c r="B71" s="24" t="s">
        <v>165</v>
      </c>
      <c r="C71" s="25" t="s">
        <v>166</v>
      </c>
      <c r="E71" s="40">
        <v>17</v>
      </c>
      <c r="F71" s="41">
        <v>83754</v>
      </c>
      <c r="G71" s="40">
        <v>0</v>
      </c>
      <c r="H71" s="41">
        <v>0</v>
      </c>
      <c r="I71" s="41">
        <v>4926.7058823529414</v>
      </c>
    </row>
    <row r="72" spans="1:11" x14ac:dyDescent="0.25">
      <c r="A72" s="24" t="s">
        <v>7</v>
      </c>
      <c r="B72" s="24" t="s">
        <v>168</v>
      </c>
      <c r="C72" s="25" t="s">
        <v>169</v>
      </c>
      <c r="E72" s="40">
        <v>124</v>
      </c>
      <c r="F72" s="41">
        <v>940593</v>
      </c>
      <c r="G72" s="40">
        <v>36</v>
      </c>
      <c r="H72" s="41">
        <v>279252</v>
      </c>
      <c r="I72" s="41">
        <v>7585.427419354839</v>
      </c>
      <c r="J72" s="41">
        <v>7757</v>
      </c>
      <c r="K72" s="42">
        <v>2.2618709686336134E-2</v>
      </c>
    </row>
    <row r="73" spans="1:11" x14ac:dyDescent="0.25">
      <c r="A73" s="24" t="s">
        <v>7</v>
      </c>
      <c r="B73" s="24" t="s">
        <v>174</v>
      </c>
      <c r="C73" s="25" t="s">
        <v>175</v>
      </c>
      <c r="E73" s="40">
        <v>37</v>
      </c>
      <c r="F73" s="41">
        <v>32346</v>
      </c>
      <c r="G73" s="40">
        <v>15</v>
      </c>
      <c r="H73" s="41">
        <v>13575</v>
      </c>
      <c r="I73" s="41">
        <v>874.21621621621625</v>
      </c>
      <c r="J73" s="41">
        <v>905</v>
      </c>
      <c r="K73" s="42">
        <v>3.5213009336548522E-2</v>
      </c>
    </row>
    <row r="74" spans="1:11" x14ac:dyDescent="0.25">
      <c r="A74" s="24" t="s">
        <v>7</v>
      </c>
      <c r="B74" s="24" t="s">
        <v>180</v>
      </c>
      <c r="C74" s="25" t="s">
        <v>181</v>
      </c>
      <c r="E74" s="40">
        <v>25</v>
      </c>
      <c r="F74" s="41">
        <v>21821</v>
      </c>
      <c r="G74" s="40">
        <v>18</v>
      </c>
      <c r="H74" s="41">
        <v>16290</v>
      </c>
      <c r="I74" s="41">
        <v>872.84</v>
      </c>
      <c r="J74" s="41">
        <v>905</v>
      </c>
      <c r="K74" s="42">
        <v>3.6845240823060316E-2</v>
      </c>
    </row>
    <row r="75" spans="1:11" x14ac:dyDescent="0.25">
      <c r="A75" s="24" t="s">
        <v>7</v>
      </c>
      <c r="B75" s="24" t="s">
        <v>185</v>
      </c>
      <c r="C75" s="25" t="s">
        <v>184</v>
      </c>
      <c r="E75" s="40">
        <v>54</v>
      </c>
      <c r="F75" s="41">
        <v>1196586</v>
      </c>
      <c r="G75" s="40">
        <v>36</v>
      </c>
      <c r="H75" s="41">
        <v>726488</v>
      </c>
      <c r="I75" s="41">
        <v>22159</v>
      </c>
      <c r="J75" s="41">
        <v>20180.222222222223</v>
      </c>
      <c r="K75" s="42">
        <v>-8.9299055813790218E-2</v>
      </c>
    </row>
    <row r="76" spans="1:11" x14ac:dyDescent="0.25">
      <c r="A76" s="24" t="s">
        <v>7</v>
      </c>
      <c r="B76" s="24" t="s">
        <v>186</v>
      </c>
      <c r="C76" s="25" t="s">
        <v>187</v>
      </c>
      <c r="E76" s="40">
        <v>70</v>
      </c>
      <c r="F76" s="41">
        <v>2125170</v>
      </c>
      <c r="G76" s="40">
        <v>29</v>
      </c>
      <c r="H76" s="41">
        <v>912282</v>
      </c>
      <c r="I76" s="41">
        <v>30359.571428571428</v>
      </c>
      <c r="J76" s="41">
        <v>31458</v>
      </c>
      <c r="K76" s="42">
        <v>3.6180634960967864E-2</v>
      </c>
    </row>
    <row r="77" spans="1:11" x14ac:dyDescent="0.25">
      <c r="A77" s="24" t="s">
        <v>7</v>
      </c>
      <c r="B77" s="24" t="s">
        <v>189</v>
      </c>
      <c r="C77" s="25" t="s">
        <v>190</v>
      </c>
      <c r="D77" s="24" t="s">
        <v>21241</v>
      </c>
      <c r="G77" s="40">
        <v>2</v>
      </c>
      <c r="H77" s="41">
        <v>448</v>
      </c>
      <c r="J77" s="41">
        <v>224</v>
      </c>
    </row>
    <row r="78" spans="1:11" x14ac:dyDescent="0.25">
      <c r="A78" s="24" t="s">
        <v>7</v>
      </c>
      <c r="B78" s="24" t="s">
        <v>192</v>
      </c>
      <c r="C78" s="25" t="s">
        <v>193</v>
      </c>
      <c r="D78" s="24" t="s">
        <v>21242</v>
      </c>
      <c r="G78" s="40">
        <v>3</v>
      </c>
      <c r="H78" s="41">
        <v>7248</v>
      </c>
      <c r="J78" s="41">
        <v>2416</v>
      </c>
    </row>
    <row r="79" spans="1:11" x14ac:dyDescent="0.25">
      <c r="A79" s="24" t="s">
        <v>7</v>
      </c>
      <c r="B79" s="24" t="s">
        <v>195</v>
      </c>
      <c r="C79" s="25" t="s">
        <v>196</v>
      </c>
      <c r="D79" s="24" t="s">
        <v>21243</v>
      </c>
      <c r="E79" s="40">
        <v>2171</v>
      </c>
      <c r="F79" s="41">
        <v>5300628</v>
      </c>
      <c r="G79" s="40">
        <v>2227</v>
      </c>
      <c r="H79" s="41">
        <v>4772135</v>
      </c>
      <c r="I79" s="41">
        <v>2441.5605711653616</v>
      </c>
      <c r="J79" s="41">
        <v>2142.8536147283339</v>
      </c>
      <c r="K79" s="42">
        <v>-0.12234263608477845</v>
      </c>
    </row>
    <row r="80" spans="1:11" x14ac:dyDescent="0.25">
      <c r="A80" s="24" t="s">
        <v>7</v>
      </c>
      <c r="B80" s="24" t="s">
        <v>201</v>
      </c>
      <c r="C80" s="25" t="s">
        <v>202</v>
      </c>
      <c r="D80" s="24" t="s">
        <v>21244</v>
      </c>
      <c r="G80" s="40">
        <v>12</v>
      </c>
      <c r="H80" s="41">
        <v>5700</v>
      </c>
      <c r="J80" s="41">
        <v>475</v>
      </c>
    </row>
    <row r="81" spans="1:11" x14ac:dyDescent="0.25">
      <c r="A81" s="24" t="s">
        <v>7</v>
      </c>
      <c r="B81" s="24" t="s">
        <v>207</v>
      </c>
      <c r="C81" s="25" t="s">
        <v>208</v>
      </c>
      <c r="D81" s="24" t="s">
        <v>21245</v>
      </c>
      <c r="G81" s="40">
        <v>7</v>
      </c>
      <c r="H81" s="41">
        <v>14798</v>
      </c>
      <c r="J81" s="41">
        <v>2114</v>
      </c>
    </row>
    <row r="82" spans="1:11" x14ac:dyDescent="0.25">
      <c r="A82" s="24" t="s">
        <v>7</v>
      </c>
      <c r="B82" s="24" t="s">
        <v>213</v>
      </c>
      <c r="C82" s="25" t="s">
        <v>214</v>
      </c>
      <c r="D82" s="24" t="s">
        <v>21246</v>
      </c>
      <c r="E82" s="40">
        <v>201</v>
      </c>
      <c r="F82" s="41">
        <v>217341</v>
      </c>
      <c r="G82" s="40">
        <v>83</v>
      </c>
      <c r="H82" s="41">
        <v>85498</v>
      </c>
      <c r="I82" s="41">
        <v>1081.2985074626865</v>
      </c>
      <c r="J82" s="41">
        <v>1030.0963855421687</v>
      </c>
      <c r="K82" s="42">
        <v>-4.7352439282160659E-2</v>
      </c>
    </row>
    <row r="83" spans="1:11" x14ac:dyDescent="0.25">
      <c r="A83" s="24" t="s">
        <v>7</v>
      </c>
      <c r="B83" s="24" t="s">
        <v>216</v>
      </c>
      <c r="C83" s="25" t="s">
        <v>217</v>
      </c>
      <c r="D83" s="24" t="s">
        <v>21247</v>
      </c>
      <c r="E83" s="40">
        <v>578</v>
      </c>
      <c r="F83" s="41">
        <v>273664</v>
      </c>
      <c r="G83" s="40">
        <v>550</v>
      </c>
      <c r="H83" s="41">
        <v>249620</v>
      </c>
      <c r="I83" s="41">
        <v>473.46712802768167</v>
      </c>
      <c r="J83" s="41">
        <v>453.85454545454547</v>
      </c>
      <c r="K83" s="42">
        <v>-4.1423324687473395E-2</v>
      </c>
    </row>
    <row r="84" spans="1:11" x14ac:dyDescent="0.25">
      <c r="A84" s="24" t="s">
        <v>7</v>
      </c>
      <c r="B84" s="24" t="s">
        <v>219</v>
      </c>
      <c r="C84" s="25" t="s">
        <v>220</v>
      </c>
      <c r="D84" s="24" t="s">
        <v>21248</v>
      </c>
      <c r="E84" s="40">
        <v>24</v>
      </c>
      <c r="F84" s="41">
        <v>29211</v>
      </c>
      <c r="G84" s="40">
        <v>22</v>
      </c>
      <c r="H84" s="41">
        <v>26160</v>
      </c>
      <c r="I84" s="41">
        <v>1217.125</v>
      </c>
      <c r="J84" s="41">
        <v>1189.090909090909</v>
      </c>
      <c r="K84" s="42">
        <v>-2.3033041724630578E-2</v>
      </c>
    </row>
    <row r="85" spans="1:11" x14ac:dyDescent="0.25">
      <c r="A85" s="24" t="s">
        <v>7</v>
      </c>
      <c r="B85" s="24" t="s">
        <v>222</v>
      </c>
      <c r="C85" s="25" t="s">
        <v>223</v>
      </c>
      <c r="D85" s="24" t="s">
        <v>21249</v>
      </c>
      <c r="G85" s="40">
        <v>15</v>
      </c>
      <c r="H85" s="41">
        <v>8220</v>
      </c>
      <c r="J85" s="41">
        <v>548</v>
      </c>
    </row>
    <row r="86" spans="1:11" x14ac:dyDescent="0.25">
      <c r="A86" s="24" t="s">
        <v>7</v>
      </c>
      <c r="B86" s="24" t="s">
        <v>225</v>
      </c>
      <c r="C86" s="25" t="s">
        <v>226</v>
      </c>
      <c r="D86" s="24" t="s">
        <v>21250</v>
      </c>
      <c r="G86" s="40">
        <v>5</v>
      </c>
      <c r="H86" s="41">
        <v>2620</v>
      </c>
      <c r="J86" s="41">
        <v>524</v>
      </c>
    </row>
    <row r="87" spans="1:11" x14ac:dyDescent="0.25">
      <c r="A87" s="24" t="s">
        <v>7</v>
      </c>
      <c r="B87" s="24" t="s">
        <v>228</v>
      </c>
      <c r="C87" s="25" t="s">
        <v>229</v>
      </c>
      <c r="D87" s="24" t="s">
        <v>21251</v>
      </c>
      <c r="G87" s="40">
        <v>2</v>
      </c>
      <c r="H87" s="41">
        <v>691</v>
      </c>
      <c r="J87" s="41">
        <v>345.5</v>
      </c>
    </row>
    <row r="88" spans="1:11" x14ac:dyDescent="0.25">
      <c r="A88" s="24" t="s">
        <v>7</v>
      </c>
      <c r="B88" s="24" t="s">
        <v>231</v>
      </c>
      <c r="C88" s="25" t="s">
        <v>232</v>
      </c>
      <c r="D88" s="24" t="s">
        <v>21252</v>
      </c>
      <c r="E88" s="40">
        <v>12</v>
      </c>
      <c r="F88" s="41">
        <v>7420</v>
      </c>
      <c r="G88" s="40">
        <v>32</v>
      </c>
      <c r="H88" s="41">
        <v>18887</v>
      </c>
      <c r="I88" s="41">
        <v>618.33333333333337</v>
      </c>
      <c r="J88" s="41">
        <v>590.21875</v>
      </c>
      <c r="K88" s="42">
        <v>-4.5468328840970407E-2</v>
      </c>
    </row>
    <row r="89" spans="1:11" x14ac:dyDescent="0.25">
      <c r="A89" s="24" t="s">
        <v>7</v>
      </c>
      <c r="B89" s="24" t="s">
        <v>234</v>
      </c>
      <c r="C89" s="25" t="s">
        <v>235</v>
      </c>
      <c r="D89" s="24" t="s">
        <v>21253</v>
      </c>
      <c r="G89" s="40">
        <v>27</v>
      </c>
      <c r="H89" s="41">
        <v>14172</v>
      </c>
      <c r="J89" s="41">
        <v>524.88888888888891</v>
      </c>
    </row>
    <row r="90" spans="1:11" x14ac:dyDescent="0.25">
      <c r="A90" s="24" t="s">
        <v>7</v>
      </c>
      <c r="B90" s="24" t="s">
        <v>237</v>
      </c>
      <c r="C90" s="25" t="s">
        <v>238</v>
      </c>
      <c r="D90" s="24" t="s">
        <v>21254</v>
      </c>
      <c r="G90" s="40">
        <v>40</v>
      </c>
      <c r="H90" s="41">
        <v>61088</v>
      </c>
      <c r="J90" s="41">
        <v>1527.2</v>
      </c>
    </row>
    <row r="91" spans="1:11" x14ac:dyDescent="0.25">
      <c r="A91" s="24" t="s">
        <v>7</v>
      </c>
      <c r="B91" s="24" t="s">
        <v>240</v>
      </c>
      <c r="C91" s="25" t="s">
        <v>241</v>
      </c>
      <c r="D91" s="24" t="s">
        <v>21255</v>
      </c>
      <c r="E91" s="40">
        <v>170</v>
      </c>
      <c r="F91" s="41">
        <v>153137</v>
      </c>
      <c r="G91" s="40">
        <v>99</v>
      </c>
      <c r="H91" s="41">
        <v>84262</v>
      </c>
      <c r="I91" s="41">
        <v>900.80588235294113</v>
      </c>
      <c r="J91" s="41">
        <v>851.13131313131316</v>
      </c>
      <c r="K91" s="42">
        <v>-5.5144587968138037E-2</v>
      </c>
    </row>
    <row r="92" spans="1:11" x14ac:dyDescent="0.25">
      <c r="A92" s="24" t="s">
        <v>7</v>
      </c>
      <c r="B92" s="24" t="s">
        <v>243</v>
      </c>
      <c r="C92" s="25" t="s">
        <v>244</v>
      </c>
      <c r="E92" s="40">
        <v>5</v>
      </c>
      <c r="F92" s="41">
        <v>3431</v>
      </c>
      <c r="G92" s="40">
        <v>8</v>
      </c>
      <c r="H92" s="41">
        <v>5744</v>
      </c>
      <c r="I92" s="41">
        <v>686.2</v>
      </c>
      <c r="J92" s="41">
        <v>718</v>
      </c>
      <c r="K92" s="42">
        <v>4.6342174293208908E-2</v>
      </c>
    </row>
    <row r="93" spans="1:11" x14ac:dyDescent="0.25">
      <c r="A93" s="24" t="s">
        <v>7</v>
      </c>
      <c r="B93" s="24" t="s">
        <v>246</v>
      </c>
      <c r="C93" s="25" t="s">
        <v>247</v>
      </c>
      <c r="G93" s="40">
        <v>7</v>
      </c>
      <c r="H93" s="41">
        <v>3031</v>
      </c>
      <c r="J93" s="41">
        <v>433</v>
      </c>
    </row>
    <row r="94" spans="1:11" x14ac:dyDescent="0.25">
      <c r="A94" s="24" t="s">
        <v>7</v>
      </c>
      <c r="B94" s="24" t="s">
        <v>249</v>
      </c>
      <c r="C94" s="25" t="s">
        <v>250</v>
      </c>
      <c r="E94" s="40">
        <v>280</v>
      </c>
      <c r="F94" s="41">
        <v>759892</v>
      </c>
      <c r="G94" s="40">
        <v>262</v>
      </c>
      <c r="H94" s="41">
        <v>729932</v>
      </c>
      <c r="I94" s="41">
        <v>2713.9</v>
      </c>
      <c r="J94" s="41">
        <v>2786</v>
      </c>
      <c r="K94" s="42">
        <v>2.6566933195769891E-2</v>
      </c>
    </row>
    <row r="95" spans="1:11" x14ac:dyDescent="0.25">
      <c r="A95" s="24" t="s">
        <v>7</v>
      </c>
      <c r="B95" s="24" t="s">
        <v>252</v>
      </c>
      <c r="C95" s="25" t="s">
        <v>253</v>
      </c>
      <c r="E95" s="40">
        <v>1066</v>
      </c>
      <c r="F95" s="41">
        <v>671250</v>
      </c>
      <c r="G95" s="40">
        <v>1048</v>
      </c>
      <c r="H95" s="41">
        <v>675960</v>
      </c>
      <c r="I95" s="41">
        <v>629.69043151969981</v>
      </c>
      <c r="J95" s="41">
        <v>645</v>
      </c>
      <c r="K95" s="42">
        <v>2.4312849162011169E-2</v>
      </c>
    </row>
    <row r="96" spans="1:11" x14ac:dyDescent="0.25">
      <c r="A96" s="24" t="s">
        <v>7</v>
      </c>
      <c r="B96" s="24" t="s">
        <v>255</v>
      </c>
      <c r="C96" s="25" t="s">
        <v>256</v>
      </c>
      <c r="E96" s="40">
        <v>924</v>
      </c>
      <c r="F96" s="41">
        <v>2821584</v>
      </c>
      <c r="G96" s="40">
        <v>879</v>
      </c>
      <c r="H96" s="41">
        <v>2753028</v>
      </c>
      <c r="I96" s="41">
        <v>3053.6623376623374</v>
      </c>
      <c r="J96" s="41">
        <v>3132</v>
      </c>
      <c r="K96" s="42">
        <v>2.5653675382338502E-2</v>
      </c>
    </row>
    <row r="97" spans="1:11" x14ac:dyDescent="0.25">
      <c r="A97" s="24" t="s">
        <v>7</v>
      </c>
      <c r="B97" s="24" t="s">
        <v>258</v>
      </c>
      <c r="C97" s="25" t="s">
        <v>259</v>
      </c>
      <c r="E97" s="40">
        <v>15825</v>
      </c>
      <c r="F97" s="41">
        <v>10591668</v>
      </c>
      <c r="G97" s="40">
        <v>14514</v>
      </c>
      <c r="H97" s="41">
        <v>9956604</v>
      </c>
      <c r="I97" s="41">
        <v>669.29971563981042</v>
      </c>
      <c r="J97" s="41">
        <v>686</v>
      </c>
      <c r="K97" s="42">
        <v>2.495187726805638E-2</v>
      </c>
    </row>
    <row r="98" spans="1:11" x14ac:dyDescent="0.25">
      <c r="A98" s="24" t="s">
        <v>7</v>
      </c>
      <c r="B98" s="24" t="s">
        <v>261</v>
      </c>
      <c r="C98" s="25" t="s">
        <v>262</v>
      </c>
      <c r="E98" s="40">
        <v>192</v>
      </c>
      <c r="F98" s="41">
        <v>956916</v>
      </c>
      <c r="G98" s="40">
        <v>169</v>
      </c>
      <c r="H98" s="41">
        <v>862914</v>
      </c>
      <c r="I98" s="41">
        <v>4983.9375</v>
      </c>
      <c r="J98" s="41">
        <v>5106</v>
      </c>
      <c r="K98" s="42">
        <v>2.4491177909032769E-2</v>
      </c>
    </row>
    <row r="99" spans="1:11" x14ac:dyDescent="0.25">
      <c r="A99" s="24" t="s">
        <v>7</v>
      </c>
      <c r="B99" s="24" t="s">
        <v>264</v>
      </c>
      <c r="C99" s="25" t="s">
        <v>265</v>
      </c>
      <c r="E99" s="40">
        <v>1928</v>
      </c>
      <c r="F99" s="41">
        <v>1764172</v>
      </c>
      <c r="G99" s="40">
        <v>1851</v>
      </c>
      <c r="H99" s="41">
        <v>1747344</v>
      </c>
      <c r="I99" s="41">
        <v>915.0269709543569</v>
      </c>
      <c r="J99" s="41">
        <v>944</v>
      </c>
      <c r="K99" s="42">
        <v>3.1663579288187263E-2</v>
      </c>
    </row>
    <row r="100" spans="1:11" x14ac:dyDescent="0.25">
      <c r="A100" s="24" t="s">
        <v>7</v>
      </c>
      <c r="B100" s="24" t="s">
        <v>267</v>
      </c>
      <c r="C100" s="25" t="s">
        <v>268</v>
      </c>
      <c r="E100" s="40">
        <v>813</v>
      </c>
      <c r="F100" s="41">
        <v>7489650</v>
      </c>
      <c r="G100" s="40">
        <v>722</v>
      </c>
      <c r="H100" s="41">
        <v>6822900</v>
      </c>
      <c r="I100" s="41">
        <v>9212.3616236162361</v>
      </c>
      <c r="J100" s="41">
        <v>9450</v>
      </c>
      <c r="K100" s="42">
        <v>2.5795597925136696E-2</v>
      </c>
    </row>
    <row r="101" spans="1:11" x14ac:dyDescent="0.25">
      <c r="A101" s="24" t="s">
        <v>7</v>
      </c>
      <c r="B101" s="24" t="s">
        <v>270</v>
      </c>
      <c r="C101" s="25" t="s">
        <v>271</v>
      </c>
      <c r="E101" s="40">
        <v>273</v>
      </c>
      <c r="F101" s="41">
        <v>2220399</v>
      </c>
      <c r="G101" s="40">
        <v>286</v>
      </c>
      <c r="H101" s="41">
        <v>2388386</v>
      </c>
      <c r="I101" s="41">
        <v>8133.3296703296701</v>
      </c>
      <c r="J101" s="41">
        <v>8351</v>
      </c>
      <c r="K101" s="42">
        <v>2.676275750439451E-2</v>
      </c>
    </row>
    <row r="102" spans="1:11" x14ac:dyDescent="0.25">
      <c r="A102" s="24" t="s">
        <v>7</v>
      </c>
      <c r="B102" s="24" t="s">
        <v>279</v>
      </c>
      <c r="C102" s="25" t="s">
        <v>280</v>
      </c>
      <c r="E102" s="40">
        <v>23</v>
      </c>
      <c r="F102" s="41">
        <v>144539</v>
      </c>
      <c r="G102" s="40">
        <v>28</v>
      </c>
      <c r="H102" s="41">
        <v>197920</v>
      </c>
      <c r="I102" s="41">
        <v>6284.304347826087</v>
      </c>
      <c r="J102" s="41">
        <v>7068.5714285714284</v>
      </c>
      <c r="K102" s="42">
        <v>0.12479775601839541</v>
      </c>
    </row>
    <row r="103" spans="1:11" x14ac:dyDescent="0.25">
      <c r="A103" s="24" t="s">
        <v>7</v>
      </c>
      <c r="B103" s="24" t="s">
        <v>282</v>
      </c>
      <c r="C103" s="25" t="s">
        <v>283</v>
      </c>
      <c r="E103" s="40">
        <v>50</v>
      </c>
      <c r="F103" s="41">
        <v>155638</v>
      </c>
      <c r="G103" s="40">
        <v>73</v>
      </c>
      <c r="H103" s="41">
        <v>232750</v>
      </c>
      <c r="I103" s="41">
        <v>3112.76</v>
      </c>
      <c r="J103" s="41">
        <v>3188.3561643835615</v>
      </c>
      <c r="K103" s="42">
        <v>2.4285895598620273E-2</v>
      </c>
    </row>
    <row r="104" spans="1:11" x14ac:dyDescent="0.25">
      <c r="A104" s="24" t="s">
        <v>7</v>
      </c>
      <c r="B104" s="24" t="s">
        <v>285</v>
      </c>
      <c r="C104" s="25" t="s">
        <v>286</v>
      </c>
      <c r="E104" s="40">
        <v>556</v>
      </c>
      <c r="F104" s="41">
        <v>5063920</v>
      </c>
      <c r="G104" s="40">
        <v>547</v>
      </c>
      <c r="H104" s="41">
        <v>5371617</v>
      </c>
      <c r="I104" s="41">
        <v>9107.7697841726622</v>
      </c>
      <c r="J104" s="41">
        <v>9820.1407678244977</v>
      </c>
      <c r="K104" s="42">
        <v>7.8215743319487774E-2</v>
      </c>
    </row>
    <row r="105" spans="1:11" x14ac:dyDescent="0.25">
      <c r="A105" s="24" t="s">
        <v>7</v>
      </c>
      <c r="B105" s="24" t="s">
        <v>288</v>
      </c>
      <c r="C105" s="25" t="s">
        <v>289</v>
      </c>
      <c r="E105" s="40">
        <v>1632</v>
      </c>
      <c r="F105" s="41">
        <v>6525296</v>
      </c>
      <c r="G105" s="40">
        <v>1525</v>
      </c>
      <c r="H105" s="41">
        <v>6001220</v>
      </c>
      <c r="I105" s="41">
        <v>3998.3431372549021</v>
      </c>
      <c r="J105" s="41">
        <v>3935.2262295081969</v>
      </c>
      <c r="K105" s="42">
        <v>-1.5785765648427742E-2</v>
      </c>
    </row>
    <row r="106" spans="1:11" x14ac:dyDescent="0.25">
      <c r="A106" s="24" t="s">
        <v>7</v>
      </c>
      <c r="B106" s="24" t="s">
        <v>291</v>
      </c>
      <c r="C106" s="25" t="s">
        <v>292</v>
      </c>
      <c r="E106" s="40">
        <v>34</v>
      </c>
      <c r="F106" s="41">
        <v>376550</v>
      </c>
      <c r="G106" s="40">
        <v>30</v>
      </c>
      <c r="H106" s="41">
        <v>356016</v>
      </c>
      <c r="I106" s="41">
        <v>11075</v>
      </c>
      <c r="J106" s="41">
        <v>11867.2</v>
      </c>
      <c r="K106" s="42">
        <v>7.1530474040632119E-2</v>
      </c>
    </row>
    <row r="107" spans="1:11" x14ac:dyDescent="0.25">
      <c r="A107" s="24" t="s">
        <v>7</v>
      </c>
      <c r="B107" s="24" t="s">
        <v>294</v>
      </c>
      <c r="C107" s="25" t="s">
        <v>295</v>
      </c>
      <c r="E107" s="40">
        <v>99</v>
      </c>
      <c r="F107" s="41">
        <v>551487</v>
      </c>
      <c r="G107" s="40">
        <v>86</v>
      </c>
      <c r="H107" s="41">
        <v>480886</v>
      </c>
      <c r="I107" s="41">
        <v>5570.575757575758</v>
      </c>
      <c r="J107" s="41">
        <v>5591.6976744186049</v>
      </c>
      <c r="K107" s="42">
        <v>3.7916936708242469E-3</v>
      </c>
    </row>
    <row r="108" spans="1:11" x14ac:dyDescent="0.25">
      <c r="A108" s="24" t="s">
        <v>7</v>
      </c>
      <c r="B108" s="24" t="s">
        <v>297</v>
      </c>
      <c r="C108" s="25" t="s">
        <v>298</v>
      </c>
      <c r="E108" s="40">
        <v>1690</v>
      </c>
      <c r="F108" s="41">
        <v>1203422</v>
      </c>
      <c r="G108" s="40">
        <v>1653</v>
      </c>
      <c r="H108" s="41">
        <v>1278371</v>
      </c>
      <c r="I108" s="41">
        <v>712.08402366863902</v>
      </c>
      <c r="J108" s="41">
        <v>773.36418632788866</v>
      </c>
      <c r="K108" s="42">
        <v>8.6057488473812088E-2</v>
      </c>
    </row>
    <row r="109" spans="1:11" x14ac:dyDescent="0.25">
      <c r="A109" s="24" t="s">
        <v>7</v>
      </c>
      <c r="B109" s="24" t="s">
        <v>300</v>
      </c>
      <c r="C109" s="25" t="s">
        <v>301</v>
      </c>
      <c r="E109" s="40">
        <v>11015</v>
      </c>
      <c r="F109" s="41">
        <v>4291520</v>
      </c>
      <c r="G109" s="40">
        <v>10622</v>
      </c>
      <c r="H109" s="41">
        <v>4248800</v>
      </c>
      <c r="I109" s="41">
        <v>389.60689968225148</v>
      </c>
      <c r="J109" s="41">
        <v>400</v>
      </c>
      <c r="K109" s="42">
        <v>2.6675863097457297E-2</v>
      </c>
    </row>
    <row r="110" spans="1:11" x14ac:dyDescent="0.25">
      <c r="A110" s="24" t="s">
        <v>7</v>
      </c>
      <c r="B110" s="24" t="s">
        <v>303</v>
      </c>
      <c r="C110" s="25" t="s">
        <v>304</v>
      </c>
      <c r="E110" s="40">
        <v>152</v>
      </c>
      <c r="F110" s="41">
        <v>218925</v>
      </c>
      <c r="G110" s="40">
        <v>120</v>
      </c>
      <c r="H110" s="41">
        <v>222940</v>
      </c>
      <c r="I110" s="41">
        <v>1440.296052631579</v>
      </c>
      <c r="J110" s="41">
        <v>1857.8333333333333</v>
      </c>
      <c r="K110" s="42">
        <v>0.28989684442921848</v>
      </c>
    </row>
    <row r="111" spans="1:11" x14ac:dyDescent="0.25">
      <c r="A111" s="24" t="s">
        <v>7</v>
      </c>
      <c r="B111" s="24" t="s">
        <v>308</v>
      </c>
      <c r="C111" s="25" t="s">
        <v>309</v>
      </c>
      <c r="D111" s="24" t="s">
        <v>21256</v>
      </c>
      <c r="E111" s="40">
        <v>5</v>
      </c>
      <c r="F111" s="41">
        <v>12827</v>
      </c>
      <c r="G111" s="40">
        <v>2</v>
      </c>
      <c r="H111" s="41">
        <v>3499</v>
      </c>
      <c r="I111" s="41">
        <v>2565.4</v>
      </c>
      <c r="J111" s="41">
        <v>1749.5</v>
      </c>
      <c r="K111" s="42">
        <v>-0.31804007172370785</v>
      </c>
    </row>
    <row r="112" spans="1:11" x14ac:dyDescent="0.25">
      <c r="A112" s="24" t="s">
        <v>7</v>
      </c>
      <c r="B112" s="24" t="s">
        <v>311</v>
      </c>
      <c r="C112" s="25" t="s">
        <v>312</v>
      </c>
      <c r="D112" s="24" t="s">
        <v>21257</v>
      </c>
      <c r="E112" s="40">
        <v>141</v>
      </c>
      <c r="F112" s="41">
        <v>35919</v>
      </c>
      <c r="G112" s="40">
        <v>181</v>
      </c>
      <c r="H112" s="41">
        <v>41695</v>
      </c>
      <c r="I112" s="41">
        <v>254.74468085106383</v>
      </c>
      <c r="J112" s="41">
        <v>230.35911602209944</v>
      </c>
      <c r="K112" s="42">
        <v>-9.5725511313900141E-2</v>
      </c>
    </row>
    <row r="113" spans="1:11" x14ac:dyDescent="0.25">
      <c r="A113" s="24" t="s">
        <v>7</v>
      </c>
      <c r="B113" s="24" t="s">
        <v>314</v>
      </c>
      <c r="C113" s="25" t="s">
        <v>202</v>
      </c>
      <c r="D113" s="24" t="s">
        <v>21244</v>
      </c>
      <c r="G113" s="40">
        <v>5</v>
      </c>
      <c r="H113" s="41">
        <v>2405</v>
      </c>
      <c r="J113" s="41">
        <v>481</v>
      </c>
    </row>
    <row r="114" spans="1:11" x14ac:dyDescent="0.25">
      <c r="A114" s="24" t="s">
        <v>7</v>
      </c>
      <c r="B114" s="24" t="s">
        <v>315</v>
      </c>
      <c r="C114" s="25" t="s">
        <v>205</v>
      </c>
      <c r="D114" s="24" t="s">
        <v>21258</v>
      </c>
      <c r="G114" s="40">
        <v>1</v>
      </c>
      <c r="H114" s="41">
        <v>221</v>
      </c>
      <c r="J114" s="41">
        <v>221</v>
      </c>
    </row>
    <row r="115" spans="1:11" x14ac:dyDescent="0.25">
      <c r="A115" s="24" t="s">
        <v>7</v>
      </c>
      <c r="B115" s="24" t="s">
        <v>330</v>
      </c>
      <c r="C115" s="25" t="s">
        <v>331</v>
      </c>
      <c r="D115" s="24" t="s">
        <v>21259</v>
      </c>
      <c r="E115" s="40">
        <v>1564</v>
      </c>
      <c r="F115" s="41">
        <v>989768</v>
      </c>
      <c r="G115" s="40">
        <v>1559</v>
      </c>
      <c r="H115" s="41">
        <v>857094</v>
      </c>
      <c r="I115" s="41">
        <v>632.84398976982095</v>
      </c>
      <c r="J115" s="41">
        <v>549.77164849262351</v>
      </c>
      <c r="K115" s="42">
        <v>-0.13126827878607591</v>
      </c>
    </row>
    <row r="116" spans="1:11" x14ac:dyDescent="0.25">
      <c r="A116" s="24" t="s">
        <v>7</v>
      </c>
      <c r="B116" s="24" t="s">
        <v>333</v>
      </c>
      <c r="C116" s="25" t="s">
        <v>334</v>
      </c>
      <c r="G116" s="40">
        <v>3</v>
      </c>
      <c r="H116" s="41">
        <v>21941</v>
      </c>
      <c r="J116" s="41">
        <v>7313.666666666667</v>
      </c>
    </row>
    <row r="117" spans="1:11" x14ac:dyDescent="0.25">
      <c r="A117" s="24" t="s">
        <v>7</v>
      </c>
      <c r="B117" s="24" t="s">
        <v>336</v>
      </c>
      <c r="C117" s="25" t="s">
        <v>337</v>
      </c>
      <c r="G117" s="40">
        <v>10</v>
      </c>
      <c r="H117" s="41">
        <v>24278</v>
      </c>
      <c r="J117" s="41">
        <v>2427.8000000000002</v>
      </c>
    </row>
    <row r="118" spans="1:11" x14ac:dyDescent="0.25">
      <c r="A118" s="24" t="s">
        <v>7</v>
      </c>
      <c r="B118" s="24" t="s">
        <v>339</v>
      </c>
      <c r="C118" s="25" t="s">
        <v>340</v>
      </c>
      <c r="E118" s="40">
        <v>4327</v>
      </c>
      <c r="F118" s="41">
        <v>78707878</v>
      </c>
      <c r="G118" s="40">
        <v>4685</v>
      </c>
      <c r="H118" s="41">
        <v>81055078</v>
      </c>
      <c r="I118" s="41">
        <v>18189.941761035359</v>
      </c>
      <c r="J118" s="41">
        <v>17300.977161152616</v>
      </c>
      <c r="K118" s="42">
        <v>-4.887121748718256E-2</v>
      </c>
    </row>
    <row r="119" spans="1:11" x14ac:dyDescent="0.25">
      <c r="A119" s="24" t="s">
        <v>7</v>
      </c>
      <c r="B119" s="24" t="s">
        <v>341</v>
      </c>
      <c r="C119" s="25" t="s">
        <v>342</v>
      </c>
      <c r="E119" s="40">
        <v>23709</v>
      </c>
      <c r="F119" s="41">
        <v>196530932</v>
      </c>
      <c r="G119" s="40">
        <v>25255</v>
      </c>
      <c r="H119" s="41">
        <v>189640814</v>
      </c>
      <c r="I119" s="41">
        <v>8289.296554051205</v>
      </c>
      <c r="J119" s="41">
        <v>7509.040348445852</v>
      </c>
      <c r="K119" s="42">
        <v>-9.4128156776345576E-2</v>
      </c>
    </row>
    <row r="120" spans="1:11" x14ac:dyDescent="0.25">
      <c r="A120" s="24" t="s">
        <v>7</v>
      </c>
      <c r="B120" s="24" t="s">
        <v>344</v>
      </c>
      <c r="C120" s="25" t="s">
        <v>345</v>
      </c>
      <c r="E120" s="40">
        <v>287</v>
      </c>
      <c r="F120" s="41">
        <v>4125621</v>
      </c>
      <c r="G120" s="40">
        <v>310</v>
      </c>
      <c r="H120" s="41">
        <v>4423816</v>
      </c>
      <c r="I120" s="41">
        <v>14374.98606271777</v>
      </c>
      <c r="J120" s="41">
        <v>14270.374193548387</v>
      </c>
      <c r="K120" s="42">
        <v>-7.2773544762383307E-3</v>
      </c>
    </row>
    <row r="121" spans="1:11" x14ac:dyDescent="0.25">
      <c r="A121" s="24" t="s">
        <v>7</v>
      </c>
      <c r="B121" s="24" t="s">
        <v>346</v>
      </c>
      <c r="C121" s="25" t="s">
        <v>347</v>
      </c>
      <c r="E121" s="40">
        <v>2094</v>
      </c>
      <c r="F121" s="41">
        <v>14492133</v>
      </c>
      <c r="G121" s="40">
        <v>1913</v>
      </c>
      <c r="H121" s="41">
        <v>11759163</v>
      </c>
      <c r="I121" s="41">
        <v>6920.7893982808027</v>
      </c>
      <c r="J121" s="41">
        <v>6146.9749085206486</v>
      </c>
      <c r="K121" s="42">
        <v>-0.11181014841347114</v>
      </c>
    </row>
    <row r="122" spans="1:11" x14ac:dyDescent="0.25">
      <c r="A122" s="24" t="s">
        <v>7</v>
      </c>
      <c r="B122" s="24" t="s">
        <v>348</v>
      </c>
      <c r="C122" s="25" t="s">
        <v>349</v>
      </c>
      <c r="E122" s="40">
        <v>28</v>
      </c>
      <c r="F122" s="41">
        <v>479962</v>
      </c>
      <c r="G122" s="40">
        <v>20</v>
      </c>
      <c r="H122" s="41">
        <v>348765</v>
      </c>
      <c r="I122" s="41">
        <v>17141.5</v>
      </c>
      <c r="J122" s="41">
        <v>17438.25</v>
      </c>
      <c r="K122" s="42">
        <v>1.7311787183151999E-2</v>
      </c>
    </row>
    <row r="123" spans="1:11" x14ac:dyDescent="0.25">
      <c r="A123" s="24" t="s">
        <v>7</v>
      </c>
      <c r="B123" s="24" t="s">
        <v>350</v>
      </c>
      <c r="C123" s="25" t="s">
        <v>351</v>
      </c>
      <c r="E123" s="40">
        <v>338</v>
      </c>
      <c r="F123" s="41">
        <v>2814308</v>
      </c>
      <c r="G123" s="40">
        <v>194</v>
      </c>
      <c r="H123" s="41">
        <v>1352344</v>
      </c>
      <c r="I123" s="41">
        <v>8326.3550295857985</v>
      </c>
      <c r="J123" s="41">
        <v>6970.8453608247419</v>
      </c>
      <c r="K123" s="42">
        <v>-0.16279748628836543</v>
      </c>
    </row>
    <row r="124" spans="1:11" x14ac:dyDescent="0.25">
      <c r="A124" s="24" t="s">
        <v>7</v>
      </c>
      <c r="B124" s="24" t="s">
        <v>378</v>
      </c>
      <c r="C124" s="25" t="s">
        <v>379</v>
      </c>
      <c r="E124" s="40">
        <v>602</v>
      </c>
      <c r="F124" s="41">
        <v>7024526</v>
      </c>
      <c r="G124" s="40">
        <v>968</v>
      </c>
      <c r="H124" s="41">
        <v>11245850</v>
      </c>
      <c r="I124" s="41">
        <v>11668.647840531561</v>
      </c>
      <c r="J124" s="41">
        <v>11617.613636363636</v>
      </c>
      <c r="K124" s="42">
        <v>-4.3736176517947091E-3</v>
      </c>
    </row>
    <row r="125" spans="1:11" x14ac:dyDescent="0.25">
      <c r="A125" s="24" t="s">
        <v>7</v>
      </c>
      <c r="B125" s="24" t="s">
        <v>381</v>
      </c>
      <c r="C125" s="25" t="s">
        <v>382</v>
      </c>
      <c r="E125" s="40">
        <v>4140</v>
      </c>
      <c r="F125" s="41">
        <v>23037921</v>
      </c>
      <c r="G125" s="40">
        <v>6116</v>
      </c>
      <c r="H125" s="41">
        <v>31328770</v>
      </c>
      <c r="I125" s="41">
        <v>5564.7152173913046</v>
      </c>
      <c r="J125" s="41">
        <v>5122.4280575539569</v>
      </c>
      <c r="K125" s="42">
        <v>-7.9480645919682555E-2</v>
      </c>
    </row>
    <row r="126" spans="1:11" x14ac:dyDescent="0.25">
      <c r="A126" s="24" t="s">
        <v>7</v>
      </c>
      <c r="B126" s="24" t="s">
        <v>383</v>
      </c>
      <c r="C126" s="25" t="s">
        <v>384</v>
      </c>
      <c r="E126" s="40">
        <v>28</v>
      </c>
      <c r="F126" s="41">
        <v>398884</v>
      </c>
      <c r="G126" s="40">
        <v>39</v>
      </c>
      <c r="H126" s="41">
        <v>555173</v>
      </c>
      <c r="I126" s="41">
        <v>14245.857142857143</v>
      </c>
      <c r="J126" s="41">
        <v>14235.205128205129</v>
      </c>
      <c r="K126" s="42">
        <v>-7.4772718448571328E-4</v>
      </c>
    </row>
    <row r="127" spans="1:11" x14ac:dyDescent="0.25">
      <c r="A127" s="24" t="s">
        <v>7</v>
      </c>
      <c r="B127" s="24" t="s">
        <v>386</v>
      </c>
      <c r="C127" s="25" t="s">
        <v>387</v>
      </c>
      <c r="E127" s="40">
        <v>215</v>
      </c>
      <c r="F127" s="41">
        <v>1469080</v>
      </c>
      <c r="G127" s="40">
        <v>319</v>
      </c>
      <c r="H127" s="41">
        <v>1949172</v>
      </c>
      <c r="I127" s="41">
        <v>6832.9302325581393</v>
      </c>
      <c r="J127" s="41">
        <v>6110.2570532915361</v>
      </c>
      <c r="K127" s="42">
        <v>-0.10576328963863078</v>
      </c>
    </row>
    <row r="128" spans="1:11" x14ac:dyDescent="0.25">
      <c r="A128" s="24" t="s">
        <v>7</v>
      </c>
      <c r="B128" s="24" t="s">
        <v>388</v>
      </c>
      <c r="C128" s="25" t="s">
        <v>389</v>
      </c>
      <c r="G128" s="40">
        <v>1</v>
      </c>
      <c r="H128" s="41">
        <v>17492</v>
      </c>
      <c r="J128" s="41">
        <v>17492</v>
      </c>
    </row>
    <row r="129" spans="1:11" x14ac:dyDescent="0.25">
      <c r="A129" s="24" t="s">
        <v>7</v>
      </c>
      <c r="B129" s="24" t="s">
        <v>391</v>
      </c>
      <c r="C129" s="25" t="s">
        <v>392</v>
      </c>
      <c r="G129" s="40">
        <v>11</v>
      </c>
      <c r="H129" s="41">
        <v>93170</v>
      </c>
      <c r="J129" s="41">
        <v>8470</v>
      </c>
    </row>
    <row r="130" spans="1:11" x14ac:dyDescent="0.25">
      <c r="A130" s="24" t="s">
        <v>7</v>
      </c>
      <c r="B130" s="24" t="s">
        <v>393</v>
      </c>
      <c r="C130" s="25" t="s">
        <v>394</v>
      </c>
      <c r="D130" s="24" t="s">
        <v>21260</v>
      </c>
      <c r="E130" s="40">
        <v>30</v>
      </c>
      <c r="F130" s="41">
        <v>31212</v>
      </c>
      <c r="G130" s="40">
        <v>46</v>
      </c>
      <c r="H130" s="41">
        <v>46552</v>
      </c>
      <c r="I130" s="41">
        <v>1040.4000000000001</v>
      </c>
      <c r="J130" s="41">
        <v>1012</v>
      </c>
      <c r="K130" s="42">
        <v>-2.7297193387158872E-2</v>
      </c>
    </row>
    <row r="131" spans="1:11" x14ac:dyDescent="0.25">
      <c r="A131" s="24" t="s">
        <v>7</v>
      </c>
      <c r="B131" s="24" t="s">
        <v>396</v>
      </c>
      <c r="C131" s="25" t="s">
        <v>397</v>
      </c>
      <c r="D131" s="24" t="s">
        <v>21261</v>
      </c>
      <c r="E131" s="40">
        <v>16</v>
      </c>
      <c r="F131" s="41">
        <v>15808</v>
      </c>
      <c r="G131" s="40">
        <v>9</v>
      </c>
      <c r="H131" s="41">
        <v>8474</v>
      </c>
      <c r="I131" s="41">
        <v>988</v>
      </c>
      <c r="J131" s="41">
        <v>941.55555555555554</v>
      </c>
      <c r="K131" s="42">
        <v>-4.7008547008547022E-2</v>
      </c>
    </row>
    <row r="132" spans="1:11" x14ac:dyDescent="0.25">
      <c r="A132" s="24" t="s">
        <v>7</v>
      </c>
      <c r="B132" s="24" t="s">
        <v>399</v>
      </c>
      <c r="C132" s="25" t="s">
        <v>400</v>
      </c>
      <c r="E132" s="40">
        <v>5601</v>
      </c>
      <c r="F132" s="41">
        <v>20691323</v>
      </c>
      <c r="G132" s="40">
        <v>6287</v>
      </c>
      <c r="H132" s="41">
        <v>20858254</v>
      </c>
      <c r="I132" s="41">
        <v>3694.2194251026604</v>
      </c>
      <c r="J132" s="41">
        <v>3317.6799745506601</v>
      </c>
      <c r="K132" s="42">
        <v>-0.10192666087817359</v>
      </c>
    </row>
    <row r="133" spans="1:11" x14ac:dyDescent="0.25">
      <c r="A133" s="24" t="s">
        <v>7</v>
      </c>
      <c r="B133" s="24" t="s">
        <v>401</v>
      </c>
      <c r="C133" s="25" t="s">
        <v>402</v>
      </c>
      <c r="E133" s="40">
        <v>11894</v>
      </c>
      <c r="F133" s="41">
        <v>21066943</v>
      </c>
      <c r="G133" s="40">
        <v>13422</v>
      </c>
      <c r="H133" s="41">
        <v>21525330</v>
      </c>
      <c r="I133" s="41">
        <v>1771.2243988565663</v>
      </c>
      <c r="J133" s="41">
        <v>1603.7349128296826</v>
      </c>
      <c r="K133" s="42">
        <v>-9.4561415332246102E-2</v>
      </c>
    </row>
    <row r="134" spans="1:11" x14ac:dyDescent="0.25">
      <c r="A134" s="24" t="s">
        <v>7</v>
      </c>
      <c r="B134" s="24" t="s">
        <v>404</v>
      </c>
      <c r="C134" s="25" t="s">
        <v>405</v>
      </c>
      <c r="E134" s="40">
        <v>123</v>
      </c>
      <c r="F134" s="41">
        <v>2344703</v>
      </c>
      <c r="G134" s="40">
        <v>128</v>
      </c>
      <c r="H134" s="41">
        <v>2345680</v>
      </c>
      <c r="I134" s="41">
        <v>19062.626016260161</v>
      </c>
      <c r="J134" s="41">
        <v>18325.625</v>
      </c>
      <c r="K134" s="42">
        <v>-3.8662092810901778E-2</v>
      </c>
    </row>
    <row r="135" spans="1:11" x14ac:dyDescent="0.25">
      <c r="A135" s="24" t="s">
        <v>7</v>
      </c>
      <c r="B135" s="24" t="s">
        <v>407</v>
      </c>
      <c r="C135" s="25" t="s">
        <v>408</v>
      </c>
      <c r="E135" s="40">
        <v>3101</v>
      </c>
      <c r="F135" s="41">
        <v>25221301</v>
      </c>
      <c r="G135" s="40">
        <v>3219</v>
      </c>
      <c r="H135" s="41">
        <v>24499509</v>
      </c>
      <c r="I135" s="41">
        <v>8133.2799097065463</v>
      </c>
      <c r="J135" s="41">
        <v>7610.9068033550793</v>
      </c>
      <c r="K135" s="42">
        <v>-6.4226623471798666E-2</v>
      </c>
    </row>
    <row r="136" spans="1:11" x14ac:dyDescent="0.25">
      <c r="A136" s="24" t="s">
        <v>7</v>
      </c>
      <c r="B136" s="24" t="s">
        <v>410</v>
      </c>
      <c r="C136" s="25" t="s">
        <v>394</v>
      </c>
      <c r="D136" s="24" t="s">
        <v>21260</v>
      </c>
      <c r="G136" s="40">
        <v>3</v>
      </c>
      <c r="H136" s="41">
        <v>2754</v>
      </c>
      <c r="J136" s="41">
        <v>918</v>
      </c>
    </row>
    <row r="137" spans="1:11" x14ac:dyDescent="0.25">
      <c r="A137" s="24" t="s">
        <v>7</v>
      </c>
      <c r="B137" s="24" t="s">
        <v>412</v>
      </c>
      <c r="C137" s="25" t="s">
        <v>397</v>
      </c>
      <c r="D137" s="24" t="s">
        <v>21261</v>
      </c>
      <c r="E137" s="40">
        <v>210</v>
      </c>
      <c r="F137" s="41">
        <v>261762</v>
      </c>
      <c r="G137" s="40">
        <v>212</v>
      </c>
      <c r="H137" s="41">
        <v>251510</v>
      </c>
      <c r="I137" s="41">
        <v>1246.4857142857143</v>
      </c>
      <c r="J137" s="41">
        <v>1186.367924528302</v>
      </c>
      <c r="K137" s="42">
        <v>-4.8229826518198154E-2</v>
      </c>
    </row>
    <row r="138" spans="1:11" x14ac:dyDescent="0.25">
      <c r="A138" s="24" t="s">
        <v>7</v>
      </c>
      <c r="B138" s="24" t="s">
        <v>447</v>
      </c>
      <c r="C138" s="25" t="s">
        <v>448</v>
      </c>
      <c r="E138" s="40">
        <v>1013</v>
      </c>
      <c r="F138" s="41">
        <v>3869174</v>
      </c>
      <c r="G138" s="40">
        <v>937</v>
      </c>
      <c r="H138" s="41">
        <v>3128019</v>
      </c>
      <c r="I138" s="41">
        <v>3819.5202369200397</v>
      </c>
      <c r="J138" s="41">
        <v>3338.334044823906</v>
      </c>
      <c r="K138" s="42">
        <v>-0.12598079398687767</v>
      </c>
    </row>
    <row r="139" spans="1:11" x14ac:dyDescent="0.25">
      <c r="A139" s="24" t="s">
        <v>7</v>
      </c>
      <c r="B139" s="24" t="s">
        <v>449</v>
      </c>
      <c r="C139" s="25" t="s">
        <v>429</v>
      </c>
      <c r="E139" s="40">
        <v>7990</v>
      </c>
      <c r="F139" s="41">
        <v>30300332</v>
      </c>
      <c r="G139" s="40">
        <v>8760</v>
      </c>
      <c r="H139" s="41">
        <v>31598442</v>
      </c>
      <c r="I139" s="41">
        <v>3792.2818523153942</v>
      </c>
      <c r="J139" s="41">
        <v>3607.1280821917808</v>
      </c>
      <c r="K139" s="42">
        <v>-4.8823842038683639E-2</v>
      </c>
    </row>
    <row r="140" spans="1:11" x14ac:dyDescent="0.25">
      <c r="A140" s="24" t="s">
        <v>7</v>
      </c>
      <c r="B140" s="24" t="s">
        <v>451</v>
      </c>
      <c r="C140" s="25" t="s">
        <v>452</v>
      </c>
      <c r="E140" s="40">
        <v>41798</v>
      </c>
      <c r="F140" s="41">
        <v>65607064</v>
      </c>
      <c r="G140" s="40">
        <v>46428</v>
      </c>
      <c r="H140" s="41">
        <v>66687120</v>
      </c>
      <c r="I140" s="41">
        <v>1569.6220871812047</v>
      </c>
      <c r="J140" s="41">
        <v>1436.3556474541226</v>
      </c>
      <c r="K140" s="42">
        <v>-8.4903519653197382E-2</v>
      </c>
    </row>
    <row r="141" spans="1:11" x14ac:dyDescent="0.25">
      <c r="A141" s="24" t="s">
        <v>7</v>
      </c>
      <c r="B141" s="24" t="s">
        <v>453</v>
      </c>
      <c r="C141" s="25" t="s">
        <v>454</v>
      </c>
      <c r="D141" s="24" t="s">
        <v>21262</v>
      </c>
      <c r="G141" s="40">
        <v>1</v>
      </c>
      <c r="H141" s="41">
        <v>134236</v>
      </c>
      <c r="J141" s="41">
        <v>134236</v>
      </c>
    </row>
    <row r="142" spans="1:11" x14ac:dyDescent="0.25">
      <c r="A142" s="24" t="s">
        <v>7</v>
      </c>
      <c r="B142" s="24" t="s">
        <v>456</v>
      </c>
      <c r="C142" s="25" t="s">
        <v>457</v>
      </c>
      <c r="D142" s="24" t="s">
        <v>21262</v>
      </c>
      <c r="G142" s="40">
        <v>2</v>
      </c>
      <c r="H142" s="41">
        <v>234284</v>
      </c>
      <c r="J142" s="41">
        <v>117142</v>
      </c>
    </row>
    <row r="143" spans="1:11" x14ac:dyDescent="0.25">
      <c r="A143" s="24" t="s">
        <v>7</v>
      </c>
      <c r="B143" s="24" t="s">
        <v>459</v>
      </c>
      <c r="C143" s="25" t="s">
        <v>460</v>
      </c>
      <c r="D143" s="24" t="s">
        <v>21263</v>
      </c>
      <c r="G143" s="40">
        <v>4</v>
      </c>
      <c r="H143" s="41">
        <v>419928</v>
      </c>
      <c r="J143" s="41">
        <v>104982</v>
      </c>
    </row>
    <row r="144" spans="1:11" x14ac:dyDescent="0.25">
      <c r="A144" s="24" t="s">
        <v>7</v>
      </c>
      <c r="B144" s="24" t="s">
        <v>593</v>
      </c>
      <c r="C144" s="25" t="s">
        <v>594</v>
      </c>
      <c r="D144" s="24" t="s">
        <v>21262</v>
      </c>
      <c r="E144" s="40">
        <v>5</v>
      </c>
      <c r="F144" s="41">
        <v>744945</v>
      </c>
      <c r="G144" s="40">
        <v>2</v>
      </c>
      <c r="H144" s="41">
        <v>200217</v>
      </c>
      <c r="I144" s="41">
        <v>148989</v>
      </c>
      <c r="J144" s="41">
        <v>100108.5</v>
      </c>
      <c r="K144" s="42">
        <v>-0.32808126774459861</v>
      </c>
    </row>
    <row r="145" spans="1:11" x14ac:dyDescent="0.25">
      <c r="A145" s="24" t="s">
        <v>7</v>
      </c>
      <c r="B145" s="24" t="s">
        <v>596</v>
      </c>
      <c r="C145" s="25" t="s">
        <v>597</v>
      </c>
      <c r="D145" s="24" t="s">
        <v>21264</v>
      </c>
      <c r="G145" s="40">
        <v>5</v>
      </c>
      <c r="H145" s="41">
        <v>723510</v>
      </c>
      <c r="J145" s="41">
        <v>144702</v>
      </c>
    </row>
    <row r="146" spans="1:11" x14ac:dyDescent="0.25">
      <c r="A146" s="24" t="s">
        <v>7</v>
      </c>
      <c r="B146" s="24" t="s">
        <v>600</v>
      </c>
      <c r="C146" s="25" t="s">
        <v>601</v>
      </c>
      <c r="D146" s="24" t="s">
        <v>21262</v>
      </c>
      <c r="G146" s="40">
        <v>1</v>
      </c>
      <c r="H146" s="41">
        <v>134236</v>
      </c>
      <c r="J146" s="41">
        <v>134236</v>
      </c>
    </row>
    <row r="147" spans="1:11" x14ac:dyDescent="0.25">
      <c r="A147" s="24" t="s">
        <v>7</v>
      </c>
      <c r="B147" s="24" t="s">
        <v>603</v>
      </c>
      <c r="C147" s="25" t="s">
        <v>604</v>
      </c>
      <c r="D147" s="24" t="s">
        <v>21264</v>
      </c>
      <c r="G147" s="40">
        <v>6</v>
      </c>
      <c r="H147" s="41">
        <v>518349</v>
      </c>
      <c r="J147" s="41">
        <v>86391.5</v>
      </c>
    </row>
    <row r="148" spans="1:11" x14ac:dyDescent="0.25">
      <c r="A148" s="24" t="s">
        <v>7</v>
      </c>
      <c r="B148" s="24" t="s">
        <v>606</v>
      </c>
      <c r="C148" s="25" t="s">
        <v>607</v>
      </c>
      <c r="D148" s="24" t="s">
        <v>21263</v>
      </c>
      <c r="G148" s="40">
        <v>1</v>
      </c>
      <c r="H148" s="41">
        <v>104982</v>
      </c>
      <c r="J148" s="41">
        <v>104982</v>
      </c>
    </row>
    <row r="149" spans="1:11" x14ac:dyDescent="0.25">
      <c r="A149" s="24" t="s">
        <v>7</v>
      </c>
      <c r="B149" s="24" t="s">
        <v>609</v>
      </c>
      <c r="C149" s="25" t="s">
        <v>610</v>
      </c>
      <c r="D149" s="24" t="s">
        <v>21263</v>
      </c>
      <c r="E149" s="40">
        <v>5</v>
      </c>
      <c r="F149" s="41">
        <v>497597</v>
      </c>
      <c r="G149" s="40">
        <v>2</v>
      </c>
      <c r="H149" s="41">
        <v>135750</v>
      </c>
      <c r="I149" s="41">
        <v>99519.4</v>
      </c>
      <c r="J149" s="41">
        <v>67875</v>
      </c>
      <c r="K149" s="42">
        <v>-0.31797217426953939</v>
      </c>
    </row>
    <row r="150" spans="1:11" x14ac:dyDescent="0.25">
      <c r="A150" s="24" t="s">
        <v>7</v>
      </c>
      <c r="B150" s="24" t="s">
        <v>615</v>
      </c>
      <c r="C150" s="25" t="s">
        <v>616</v>
      </c>
      <c r="D150" s="24" t="s">
        <v>21264</v>
      </c>
      <c r="E150" s="40">
        <v>4</v>
      </c>
      <c r="F150" s="41">
        <v>373622.11</v>
      </c>
      <c r="G150" s="40">
        <v>3</v>
      </c>
      <c r="H150" s="41">
        <v>285504</v>
      </c>
      <c r="I150" s="41">
        <v>93405.527499999997</v>
      </c>
      <c r="J150" s="41">
        <v>95168</v>
      </c>
      <c r="K150" s="42">
        <v>1.8869038558772696E-2</v>
      </c>
    </row>
    <row r="151" spans="1:11" x14ac:dyDescent="0.25">
      <c r="A151" s="24" t="s">
        <v>7</v>
      </c>
      <c r="B151" s="24" t="s">
        <v>618</v>
      </c>
      <c r="C151" s="25" t="s">
        <v>619</v>
      </c>
      <c r="D151" s="24" t="s">
        <v>21262</v>
      </c>
      <c r="E151" s="40">
        <v>2</v>
      </c>
      <c r="F151" s="41">
        <v>231902</v>
      </c>
      <c r="G151" s="40">
        <v>3</v>
      </c>
      <c r="H151" s="41">
        <v>283130</v>
      </c>
      <c r="I151" s="41">
        <v>115951</v>
      </c>
      <c r="J151" s="41">
        <v>94376.666666666672</v>
      </c>
      <c r="K151" s="42">
        <v>-0.18606422828033678</v>
      </c>
    </row>
    <row r="152" spans="1:11" x14ac:dyDescent="0.25">
      <c r="A152" s="24" t="s">
        <v>7</v>
      </c>
      <c r="B152" s="24" t="s">
        <v>669</v>
      </c>
      <c r="C152" s="25" t="s">
        <v>670</v>
      </c>
      <c r="D152" s="24" t="s">
        <v>21265</v>
      </c>
      <c r="E152" s="40">
        <v>6</v>
      </c>
      <c r="F152" s="41">
        <v>73419</v>
      </c>
      <c r="G152" s="40">
        <v>7</v>
      </c>
      <c r="H152" s="41">
        <v>88949</v>
      </c>
      <c r="I152" s="41">
        <v>12236.5</v>
      </c>
      <c r="J152" s="41">
        <v>12707</v>
      </c>
      <c r="K152" s="42">
        <v>3.8450537326849998E-2</v>
      </c>
    </row>
    <row r="153" spans="1:11" x14ac:dyDescent="0.25">
      <c r="A153" s="24" t="s">
        <v>7</v>
      </c>
      <c r="B153" s="24" t="s">
        <v>681</v>
      </c>
      <c r="C153" s="25" t="s">
        <v>682</v>
      </c>
      <c r="D153" s="24" t="s">
        <v>21265</v>
      </c>
      <c r="G153" s="40">
        <v>5</v>
      </c>
      <c r="H153" s="41">
        <v>92574</v>
      </c>
      <c r="J153" s="41">
        <v>18514.8</v>
      </c>
    </row>
    <row r="154" spans="1:11" x14ac:dyDescent="0.25">
      <c r="A154" s="24" t="s">
        <v>7</v>
      </c>
      <c r="B154" s="24" t="s">
        <v>694</v>
      </c>
      <c r="C154" s="25" t="s">
        <v>695</v>
      </c>
      <c r="D154" s="24" t="s">
        <v>21266</v>
      </c>
      <c r="G154" s="40">
        <v>1</v>
      </c>
      <c r="H154" s="41">
        <v>4573</v>
      </c>
      <c r="J154" s="41">
        <v>4573</v>
      </c>
    </row>
    <row r="155" spans="1:11" x14ac:dyDescent="0.25">
      <c r="A155" s="24" t="s">
        <v>7</v>
      </c>
      <c r="B155" s="24" t="s">
        <v>710</v>
      </c>
      <c r="C155" s="25" t="s">
        <v>711</v>
      </c>
      <c r="D155" s="24" t="s">
        <v>21267</v>
      </c>
      <c r="G155" s="40">
        <v>2</v>
      </c>
      <c r="H155" s="41">
        <v>55992</v>
      </c>
      <c r="J155" s="41">
        <v>27996</v>
      </c>
    </row>
    <row r="156" spans="1:11" x14ac:dyDescent="0.25">
      <c r="A156" s="24" t="s">
        <v>7</v>
      </c>
      <c r="B156" s="24" t="s">
        <v>735</v>
      </c>
      <c r="C156" s="25" t="s">
        <v>736</v>
      </c>
      <c r="D156" s="24" t="s">
        <v>21268</v>
      </c>
      <c r="E156" s="40">
        <v>5</v>
      </c>
      <c r="F156" s="41">
        <v>180380</v>
      </c>
      <c r="G156" s="40">
        <v>2</v>
      </c>
      <c r="H156" s="41">
        <v>72152</v>
      </c>
      <c r="I156" s="41">
        <v>36076</v>
      </c>
      <c r="J156" s="41">
        <v>36076</v>
      </c>
      <c r="K156" s="42">
        <v>0</v>
      </c>
    </row>
    <row r="157" spans="1:11" x14ac:dyDescent="0.25">
      <c r="A157" s="24" t="s">
        <v>7</v>
      </c>
      <c r="B157" s="24" t="s">
        <v>737</v>
      </c>
      <c r="C157" s="25" t="s">
        <v>738</v>
      </c>
      <c r="D157" s="24" t="s">
        <v>21269</v>
      </c>
      <c r="E157" s="40">
        <v>12</v>
      </c>
      <c r="F157" s="41">
        <v>450942</v>
      </c>
      <c r="G157" s="40">
        <v>11</v>
      </c>
      <c r="H157" s="41">
        <v>359337</v>
      </c>
      <c r="I157" s="41">
        <v>37578.5</v>
      </c>
      <c r="J157" s="41">
        <v>32667</v>
      </c>
      <c r="K157" s="42">
        <v>-0.1306997352209375</v>
      </c>
    </row>
    <row r="158" spans="1:11" x14ac:dyDescent="0.25">
      <c r="A158" s="24" t="s">
        <v>7</v>
      </c>
      <c r="B158" s="24" t="s">
        <v>740</v>
      </c>
      <c r="C158" s="25" t="s">
        <v>741</v>
      </c>
      <c r="D158" s="24" t="s">
        <v>21269</v>
      </c>
      <c r="E158" s="40">
        <v>77</v>
      </c>
      <c r="F158" s="41">
        <v>3397278</v>
      </c>
      <c r="G158" s="40">
        <v>69</v>
      </c>
      <c r="H158" s="41">
        <v>2689400</v>
      </c>
      <c r="I158" s="41">
        <v>44120.493506493505</v>
      </c>
      <c r="J158" s="41">
        <v>38976.811594202896</v>
      </c>
      <c r="K158" s="42">
        <v>-0.11658260149636765</v>
      </c>
    </row>
    <row r="159" spans="1:11" x14ac:dyDescent="0.25">
      <c r="A159" s="24" t="s">
        <v>7</v>
      </c>
      <c r="B159" s="24" t="s">
        <v>743</v>
      </c>
      <c r="C159" s="25" t="s">
        <v>744</v>
      </c>
      <c r="D159" s="24" t="s">
        <v>21268</v>
      </c>
      <c r="G159" s="40">
        <v>4</v>
      </c>
      <c r="H159" s="41">
        <v>123260</v>
      </c>
      <c r="J159" s="41">
        <v>30815</v>
      </c>
    </row>
    <row r="160" spans="1:11" x14ac:dyDescent="0.25">
      <c r="A160" s="24" t="s">
        <v>7</v>
      </c>
      <c r="B160" s="24" t="s">
        <v>746</v>
      </c>
      <c r="C160" s="25" t="s">
        <v>747</v>
      </c>
      <c r="D160" s="24" t="s">
        <v>21268</v>
      </c>
      <c r="G160" s="40">
        <v>1</v>
      </c>
      <c r="H160" s="41">
        <v>26788</v>
      </c>
      <c r="J160" s="41">
        <v>26788</v>
      </c>
    </row>
    <row r="161" spans="1:11" x14ac:dyDescent="0.25">
      <c r="A161" s="24" t="s">
        <v>7</v>
      </c>
      <c r="B161" s="24" t="s">
        <v>749</v>
      </c>
      <c r="C161" s="25" t="s">
        <v>750</v>
      </c>
      <c r="D161" s="24" t="s">
        <v>21269</v>
      </c>
      <c r="G161" s="40">
        <v>31</v>
      </c>
      <c r="H161" s="41">
        <v>891605.26</v>
      </c>
      <c r="J161" s="41">
        <v>28761.46</v>
      </c>
    </row>
    <row r="162" spans="1:11" x14ac:dyDescent="0.25">
      <c r="A162" s="24" t="s">
        <v>7</v>
      </c>
      <c r="B162" s="24" t="s">
        <v>752</v>
      </c>
      <c r="C162" s="25" t="s">
        <v>753</v>
      </c>
      <c r="D162" s="24" t="s">
        <v>21267</v>
      </c>
      <c r="G162" s="40">
        <v>6</v>
      </c>
      <c r="H162" s="41">
        <v>71346</v>
      </c>
      <c r="J162" s="41">
        <v>11891</v>
      </c>
    </row>
    <row r="163" spans="1:11" x14ac:dyDescent="0.25">
      <c r="A163" s="24" t="s">
        <v>7</v>
      </c>
      <c r="B163" s="24" t="s">
        <v>807</v>
      </c>
      <c r="C163" s="25" t="s">
        <v>808</v>
      </c>
      <c r="D163" s="24" t="s">
        <v>21269</v>
      </c>
      <c r="E163" s="40">
        <v>1</v>
      </c>
      <c r="F163" s="41">
        <v>54486</v>
      </c>
      <c r="G163" s="40">
        <v>0</v>
      </c>
      <c r="H163" s="41">
        <v>0</v>
      </c>
      <c r="I163" s="41">
        <v>54486</v>
      </c>
    </row>
    <row r="164" spans="1:11" x14ac:dyDescent="0.25">
      <c r="A164" s="24" t="s">
        <v>7</v>
      </c>
      <c r="B164" s="24" t="s">
        <v>901</v>
      </c>
      <c r="C164" s="25" t="s">
        <v>902</v>
      </c>
      <c r="D164" s="24" t="s">
        <v>21268</v>
      </c>
      <c r="G164" s="40">
        <v>1</v>
      </c>
      <c r="H164" s="41">
        <v>14362</v>
      </c>
      <c r="J164" s="41">
        <v>14362</v>
      </c>
    </row>
    <row r="165" spans="1:11" x14ac:dyDescent="0.25">
      <c r="A165" s="24" t="s">
        <v>7</v>
      </c>
      <c r="B165" s="24" t="s">
        <v>917</v>
      </c>
      <c r="C165" s="25" t="s">
        <v>918</v>
      </c>
      <c r="D165" s="24" t="s">
        <v>21270</v>
      </c>
      <c r="E165" s="40">
        <v>2</v>
      </c>
      <c r="F165" s="41">
        <v>54762</v>
      </c>
      <c r="G165" s="40">
        <v>0</v>
      </c>
      <c r="H165" s="41">
        <v>0</v>
      </c>
      <c r="I165" s="41">
        <v>27381</v>
      </c>
    </row>
    <row r="166" spans="1:11" x14ac:dyDescent="0.25">
      <c r="A166" s="24" t="s">
        <v>7</v>
      </c>
      <c r="B166" s="24" t="s">
        <v>920</v>
      </c>
      <c r="C166" s="25" t="s">
        <v>921</v>
      </c>
      <c r="D166" s="24" t="s">
        <v>21269</v>
      </c>
      <c r="E166" s="40">
        <v>10</v>
      </c>
      <c r="F166" s="41">
        <v>609352</v>
      </c>
      <c r="G166" s="40">
        <v>8</v>
      </c>
      <c r="H166" s="41">
        <v>458905</v>
      </c>
      <c r="I166" s="41">
        <v>60935.199999999997</v>
      </c>
      <c r="J166" s="41">
        <v>57363.125</v>
      </c>
      <c r="K166" s="42">
        <v>-5.8620879229082649E-2</v>
      </c>
    </row>
    <row r="167" spans="1:11" x14ac:dyDescent="0.25">
      <c r="A167" s="24" t="s">
        <v>7</v>
      </c>
      <c r="B167" s="24" t="s">
        <v>931</v>
      </c>
      <c r="C167" s="25" t="s">
        <v>932</v>
      </c>
      <c r="D167" s="24" t="s">
        <v>21269</v>
      </c>
      <c r="E167" s="40">
        <v>22</v>
      </c>
      <c r="F167" s="41">
        <v>1273526</v>
      </c>
      <c r="G167" s="40">
        <v>7</v>
      </c>
      <c r="H167" s="41">
        <v>338543</v>
      </c>
      <c r="I167" s="41">
        <v>57887.545454545456</v>
      </c>
      <c r="J167" s="41">
        <v>48363.285714285717</v>
      </c>
      <c r="K167" s="42">
        <v>-0.16453037808864071</v>
      </c>
    </row>
    <row r="168" spans="1:11" x14ac:dyDescent="0.25">
      <c r="A168" s="24" t="s">
        <v>7</v>
      </c>
      <c r="B168" s="24" t="s">
        <v>960</v>
      </c>
      <c r="C168" s="25" t="s">
        <v>961</v>
      </c>
      <c r="D168" s="24" t="s">
        <v>21268</v>
      </c>
      <c r="G168" s="40">
        <v>4</v>
      </c>
      <c r="H168" s="41">
        <v>181380</v>
      </c>
      <c r="J168" s="41">
        <v>45345</v>
      </c>
    </row>
    <row r="169" spans="1:11" x14ac:dyDescent="0.25">
      <c r="A169" s="24" t="s">
        <v>7</v>
      </c>
      <c r="B169" s="24" t="s">
        <v>976</v>
      </c>
      <c r="C169" s="25" t="s">
        <v>977</v>
      </c>
      <c r="D169" s="24" t="s">
        <v>21269</v>
      </c>
      <c r="E169" s="40">
        <v>5</v>
      </c>
      <c r="F169" s="41">
        <v>215376</v>
      </c>
      <c r="G169" s="40">
        <v>3</v>
      </c>
      <c r="H169" s="41">
        <v>131169</v>
      </c>
      <c r="I169" s="41">
        <v>43075.199999999997</v>
      </c>
      <c r="J169" s="41">
        <v>43723</v>
      </c>
      <c r="K169" s="42">
        <v>1.5038815838347888E-2</v>
      </c>
    </row>
    <row r="170" spans="1:11" x14ac:dyDescent="0.25">
      <c r="A170" s="24" t="s">
        <v>7</v>
      </c>
      <c r="B170" s="24" t="s">
        <v>979</v>
      </c>
      <c r="C170" s="25" t="s">
        <v>980</v>
      </c>
      <c r="D170" s="24" t="s">
        <v>21271</v>
      </c>
      <c r="G170" s="40">
        <v>1</v>
      </c>
      <c r="H170" s="41">
        <v>79759</v>
      </c>
      <c r="J170" s="41">
        <v>79759</v>
      </c>
    </row>
    <row r="171" spans="1:11" x14ac:dyDescent="0.25">
      <c r="A171" s="24" t="s">
        <v>7</v>
      </c>
      <c r="B171" s="24" t="s">
        <v>999</v>
      </c>
      <c r="C171" s="25" t="s">
        <v>1000</v>
      </c>
      <c r="D171" s="24" t="s">
        <v>21268</v>
      </c>
      <c r="G171" s="40">
        <v>3</v>
      </c>
      <c r="H171" s="41">
        <v>112635</v>
      </c>
      <c r="J171" s="41">
        <v>37545</v>
      </c>
    </row>
    <row r="172" spans="1:11" x14ac:dyDescent="0.25">
      <c r="A172" s="24" t="s">
        <v>7</v>
      </c>
      <c r="B172" s="24" t="s">
        <v>1002</v>
      </c>
      <c r="C172" s="25" t="s">
        <v>1003</v>
      </c>
      <c r="D172" s="24" t="s">
        <v>21272</v>
      </c>
      <c r="G172" s="40">
        <v>168</v>
      </c>
      <c r="H172" s="41">
        <v>272160</v>
      </c>
      <c r="J172" s="41">
        <v>1620</v>
      </c>
    </row>
    <row r="173" spans="1:11" x14ac:dyDescent="0.25">
      <c r="A173" s="24" t="s">
        <v>7</v>
      </c>
      <c r="B173" s="24" t="s">
        <v>1008</v>
      </c>
      <c r="C173" s="25" t="s">
        <v>1009</v>
      </c>
      <c r="D173" s="24" t="s">
        <v>21264</v>
      </c>
      <c r="E173" s="40">
        <v>11</v>
      </c>
      <c r="F173" s="41">
        <v>1167339.03</v>
      </c>
      <c r="G173" s="40">
        <v>12</v>
      </c>
      <c r="H173" s="41">
        <v>1063713.57</v>
      </c>
      <c r="I173" s="41">
        <v>106121.73</v>
      </c>
      <c r="J173" s="41">
        <v>88642.797500000001</v>
      </c>
      <c r="K173" s="42">
        <v>-0.16470644136690946</v>
      </c>
    </row>
    <row r="174" spans="1:11" x14ac:dyDescent="0.25">
      <c r="A174" s="24" t="s">
        <v>7</v>
      </c>
      <c r="B174" s="24" t="s">
        <v>1011</v>
      </c>
      <c r="C174" s="25" t="s">
        <v>1012</v>
      </c>
      <c r="D174" s="24" t="s">
        <v>21262</v>
      </c>
      <c r="E174" s="40">
        <v>2</v>
      </c>
      <c r="F174" s="41">
        <v>284417.38</v>
      </c>
      <c r="G174" s="40">
        <v>10</v>
      </c>
      <c r="H174" s="41">
        <v>1331106.21</v>
      </c>
      <c r="I174" s="41">
        <v>142208.69</v>
      </c>
      <c r="J174" s="41">
        <v>133110.62099999998</v>
      </c>
      <c r="K174" s="42">
        <v>-6.3976884956889885E-2</v>
      </c>
    </row>
    <row r="175" spans="1:11" x14ac:dyDescent="0.25">
      <c r="A175" s="24" t="s">
        <v>7</v>
      </c>
      <c r="B175" s="24" t="s">
        <v>1014</v>
      </c>
      <c r="C175" s="25" t="s">
        <v>1015</v>
      </c>
      <c r="D175" s="24" t="s">
        <v>21264</v>
      </c>
      <c r="G175" s="40">
        <v>1</v>
      </c>
      <c r="H175" s="41">
        <v>118342</v>
      </c>
      <c r="J175" s="41">
        <v>118342</v>
      </c>
    </row>
    <row r="176" spans="1:11" x14ac:dyDescent="0.25">
      <c r="A176" s="24" t="s">
        <v>7</v>
      </c>
      <c r="B176" s="24" t="s">
        <v>1018</v>
      </c>
      <c r="C176" s="25" t="s">
        <v>1019</v>
      </c>
      <c r="D176" s="24" t="s">
        <v>21262</v>
      </c>
      <c r="E176" s="40">
        <v>7</v>
      </c>
      <c r="F176" s="41">
        <v>992757</v>
      </c>
      <c r="G176" s="40">
        <v>2</v>
      </c>
      <c r="H176" s="41">
        <v>199319</v>
      </c>
      <c r="I176" s="41">
        <v>141822.42857142858</v>
      </c>
      <c r="J176" s="41">
        <v>99659.5</v>
      </c>
      <c r="K176" s="42">
        <v>-0.29729379898605607</v>
      </c>
    </row>
    <row r="177" spans="1:11" x14ac:dyDescent="0.25">
      <c r="A177" s="24" t="s">
        <v>7</v>
      </c>
      <c r="B177" s="24" t="s">
        <v>1022</v>
      </c>
      <c r="C177" s="25" t="s">
        <v>1023</v>
      </c>
      <c r="D177" s="24" t="s">
        <v>21264</v>
      </c>
      <c r="E177" s="40">
        <v>6</v>
      </c>
      <c r="F177" s="41">
        <v>638508</v>
      </c>
      <c r="G177" s="40">
        <v>4</v>
      </c>
      <c r="H177" s="41">
        <v>442044</v>
      </c>
      <c r="I177" s="41">
        <v>106418</v>
      </c>
      <c r="J177" s="41">
        <v>110511</v>
      </c>
      <c r="K177" s="42">
        <v>3.8461538461538464E-2</v>
      </c>
    </row>
    <row r="178" spans="1:11" x14ac:dyDescent="0.25">
      <c r="A178" s="24" t="s">
        <v>7</v>
      </c>
      <c r="B178" s="24" t="s">
        <v>1225</v>
      </c>
      <c r="C178" s="25" t="s">
        <v>1226</v>
      </c>
      <c r="D178" s="24" t="s">
        <v>21262</v>
      </c>
      <c r="G178" s="40">
        <v>1</v>
      </c>
      <c r="H178" s="41">
        <v>133577</v>
      </c>
      <c r="J178" s="41">
        <v>133577</v>
      </c>
    </row>
    <row r="179" spans="1:11" x14ac:dyDescent="0.25">
      <c r="A179" s="24" t="s">
        <v>7</v>
      </c>
      <c r="B179" s="24" t="s">
        <v>1244</v>
      </c>
      <c r="C179" s="25" t="s">
        <v>1245</v>
      </c>
      <c r="D179" s="24" t="s">
        <v>21262</v>
      </c>
      <c r="G179" s="40">
        <v>1</v>
      </c>
      <c r="H179" s="41">
        <v>39121</v>
      </c>
      <c r="J179" s="41">
        <v>39121</v>
      </c>
    </row>
    <row r="180" spans="1:11" x14ac:dyDescent="0.25">
      <c r="A180" s="24" t="s">
        <v>7</v>
      </c>
      <c r="B180" s="24" t="s">
        <v>1247</v>
      </c>
      <c r="C180" s="25" t="s">
        <v>1248</v>
      </c>
      <c r="D180" s="24" t="s">
        <v>21263</v>
      </c>
      <c r="G180" s="40">
        <v>1</v>
      </c>
      <c r="H180" s="41">
        <v>100348.62</v>
      </c>
      <c r="J180" s="41">
        <v>100348.62</v>
      </c>
    </row>
    <row r="181" spans="1:11" x14ac:dyDescent="0.25">
      <c r="A181" s="24" t="s">
        <v>7</v>
      </c>
      <c r="B181" s="24" t="s">
        <v>1252</v>
      </c>
      <c r="C181" s="25" t="s">
        <v>1253</v>
      </c>
      <c r="D181" s="24" t="s">
        <v>21264</v>
      </c>
      <c r="G181" s="40">
        <v>1</v>
      </c>
      <c r="H181" s="41">
        <v>108883</v>
      </c>
      <c r="J181" s="41">
        <v>108883</v>
      </c>
    </row>
    <row r="182" spans="1:11" x14ac:dyDescent="0.25">
      <c r="A182" s="24" t="s">
        <v>7</v>
      </c>
      <c r="B182" s="24" t="s">
        <v>1284</v>
      </c>
      <c r="C182" s="25" t="s">
        <v>1285</v>
      </c>
      <c r="D182" s="24" t="s">
        <v>21262</v>
      </c>
      <c r="G182" s="40">
        <v>1</v>
      </c>
      <c r="H182" s="41">
        <v>193738</v>
      </c>
      <c r="J182" s="41">
        <v>193738</v>
      </c>
    </row>
    <row r="183" spans="1:11" x14ac:dyDescent="0.25">
      <c r="A183" s="24" t="s">
        <v>7</v>
      </c>
      <c r="B183" s="24" t="s">
        <v>1289</v>
      </c>
      <c r="C183" s="25" t="s">
        <v>1290</v>
      </c>
      <c r="D183" s="24" t="s">
        <v>21270</v>
      </c>
      <c r="G183" s="40">
        <v>1</v>
      </c>
      <c r="H183" s="41">
        <v>44845</v>
      </c>
      <c r="J183" s="41">
        <v>44845</v>
      </c>
    </row>
    <row r="184" spans="1:11" x14ac:dyDescent="0.25">
      <c r="A184" s="24" t="s">
        <v>7</v>
      </c>
      <c r="B184" s="24" t="s">
        <v>1320</v>
      </c>
      <c r="C184" s="25" t="s">
        <v>1321</v>
      </c>
      <c r="D184" s="24" t="s">
        <v>21265</v>
      </c>
      <c r="E184" s="40">
        <v>4</v>
      </c>
      <c r="F184" s="41">
        <v>128688</v>
      </c>
      <c r="G184" s="40">
        <v>2</v>
      </c>
      <c r="H184" s="41">
        <v>41576</v>
      </c>
      <c r="I184" s="41">
        <v>32172</v>
      </c>
      <c r="J184" s="41">
        <v>20788</v>
      </c>
      <c r="K184" s="42">
        <v>-0.3538480666418003</v>
      </c>
    </row>
    <row r="185" spans="1:11" x14ac:dyDescent="0.25">
      <c r="A185" s="24" t="s">
        <v>7</v>
      </c>
      <c r="B185" s="24" t="s">
        <v>1335</v>
      </c>
      <c r="C185" s="25" t="s">
        <v>1336</v>
      </c>
      <c r="D185" s="24" t="s">
        <v>21267</v>
      </c>
      <c r="E185" s="40">
        <v>19</v>
      </c>
      <c r="F185" s="41">
        <v>379613</v>
      </c>
      <c r="G185" s="40">
        <v>19</v>
      </c>
      <c r="H185" s="41">
        <v>391405</v>
      </c>
      <c r="I185" s="41">
        <v>19979.63157894737</v>
      </c>
      <c r="J185" s="41">
        <v>20600.263157894737</v>
      </c>
      <c r="K185" s="42">
        <v>3.1063214378854155E-2</v>
      </c>
    </row>
    <row r="186" spans="1:11" x14ac:dyDescent="0.25">
      <c r="A186" s="24" t="s">
        <v>7</v>
      </c>
      <c r="B186" s="24" t="s">
        <v>1371</v>
      </c>
      <c r="C186" s="25" t="s">
        <v>1372</v>
      </c>
      <c r="D186" s="24" t="s">
        <v>21273</v>
      </c>
      <c r="E186" s="40">
        <v>7</v>
      </c>
      <c r="F186" s="41">
        <v>130817</v>
      </c>
      <c r="G186" s="40">
        <v>9</v>
      </c>
      <c r="H186" s="41">
        <v>158582</v>
      </c>
      <c r="I186" s="41">
        <v>18688.142857142859</v>
      </c>
      <c r="J186" s="41">
        <v>17620.222222222223</v>
      </c>
      <c r="K186" s="42">
        <v>-5.7144288926091046E-2</v>
      </c>
    </row>
    <row r="187" spans="1:11" x14ac:dyDescent="0.25">
      <c r="A187" s="24" t="s">
        <v>7</v>
      </c>
      <c r="B187" s="24" t="s">
        <v>1373</v>
      </c>
      <c r="C187" s="25" t="s">
        <v>1374</v>
      </c>
      <c r="D187" s="24" t="s">
        <v>21267</v>
      </c>
      <c r="E187" s="40">
        <v>7</v>
      </c>
      <c r="F187" s="41">
        <v>210222.34</v>
      </c>
      <c r="G187" s="40">
        <v>5</v>
      </c>
      <c r="H187" s="41">
        <v>134436</v>
      </c>
      <c r="I187" s="41">
        <v>30031.762857142858</v>
      </c>
      <c r="J187" s="41">
        <v>26887.200000000001</v>
      </c>
      <c r="K187" s="42">
        <v>-0.10470790116787777</v>
      </c>
    </row>
    <row r="188" spans="1:11" x14ac:dyDescent="0.25">
      <c r="A188" s="24" t="s">
        <v>7</v>
      </c>
      <c r="B188" s="24" t="s">
        <v>1386</v>
      </c>
      <c r="C188" s="25" t="s">
        <v>1387</v>
      </c>
      <c r="D188" s="24" t="s">
        <v>21273</v>
      </c>
      <c r="G188" s="40">
        <v>2</v>
      </c>
      <c r="H188" s="41">
        <v>64064</v>
      </c>
      <c r="J188" s="41">
        <v>32032</v>
      </c>
    </row>
    <row r="189" spans="1:11" x14ac:dyDescent="0.25">
      <c r="A189" s="24" t="s">
        <v>7</v>
      </c>
      <c r="B189" s="24" t="s">
        <v>1396</v>
      </c>
      <c r="C189" s="25" t="s">
        <v>1397</v>
      </c>
      <c r="D189" s="24" t="s">
        <v>21266</v>
      </c>
      <c r="G189" s="40">
        <v>1</v>
      </c>
      <c r="H189" s="41">
        <v>8893</v>
      </c>
      <c r="J189" s="41">
        <v>8893</v>
      </c>
    </row>
    <row r="190" spans="1:11" x14ac:dyDescent="0.25">
      <c r="A190" s="24" t="s">
        <v>7</v>
      </c>
      <c r="B190" s="24" t="s">
        <v>1399</v>
      </c>
      <c r="C190" s="25" t="s">
        <v>1400</v>
      </c>
      <c r="D190" s="24" t="s">
        <v>21267</v>
      </c>
      <c r="G190" s="40">
        <v>1</v>
      </c>
      <c r="H190" s="41">
        <v>22620</v>
      </c>
      <c r="J190" s="41">
        <v>22620</v>
      </c>
    </row>
    <row r="191" spans="1:11" x14ac:dyDescent="0.25">
      <c r="A191" s="24" t="s">
        <v>7</v>
      </c>
      <c r="B191" s="24" t="s">
        <v>1417</v>
      </c>
      <c r="C191" s="25" t="s">
        <v>1418</v>
      </c>
      <c r="D191" s="24" t="s">
        <v>21266</v>
      </c>
      <c r="G191" s="40">
        <v>2</v>
      </c>
      <c r="H191" s="41">
        <v>7036</v>
      </c>
      <c r="J191" s="41">
        <v>3518</v>
      </c>
    </row>
    <row r="192" spans="1:11" x14ac:dyDescent="0.25">
      <c r="A192" s="24" t="s">
        <v>7</v>
      </c>
      <c r="B192" s="24" t="s">
        <v>1427</v>
      </c>
      <c r="C192" s="25" t="s">
        <v>1428</v>
      </c>
      <c r="D192" s="24" t="s">
        <v>21266</v>
      </c>
      <c r="G192" s="40">
        <v>1</v>
      </c>
      <c r="H192" s="41">
        <v>7307</v>
      </c>
      <c r="J192" s="41">
        <v>7307</v>
      </c>
    </row>
    <row r="193" spans="1:11" x14ac:dyDescent="0.25">
      <c r="A193" s="24" t="s">
        <v>7</v>
      </c>
      <c r="B193" s="24" t="s">
        <v>1429</v>
      </c>
      <c r="C193" s="25" t="s">
        <v>1430</v>
      </c>
      <c r="D193" s="24" t="s">
        <v>21266</v>
      </c>
      <c r="E193" s="40">
        <v>33</v>
      </c>
      <c r="F193" s="41">
        <v>153450</v>
      </c>
      <c r="G193" s="40">
        <v>11</v>
      </c>
      <c r="H193" s="41">
        <v>47580</v>
      </c>
      <c r="I193" s="41">
        <v>4650</v>
      </c>
      <c r="J193" s="41">
        <v>4325.454545454545</v>
      </c>
      <c r="K193" s="42">
        <v>-6.9794721407624716E-2</v>
      </c>
    </row>
    <row r="194" spans="1:11" x14ac:dyDescent="0.25">
      <c r="A194" s="24" t="s">
        <v>7</v>
      </c>
      <c r="B194" s="24" t="s">
        <v>1432</v>
      </c>
      <c r="C194" s="25" t="s">
        <v>1433</v>
      </c>
      <c r="D194" s="24" t="s">
        <v>21266</v>
      </c>
      <c r="E194" s="40">
        <v>5</v>
      </c>
      <c r="F194" s="41">
        <v>19547.86</v>
      </c>
      <c r="G194" s="40">
        <v>1</v>
      </c>
      <c r="H194" s="41">
        <v>4029</v>
      </c>
      <c r="I194" s="41">
        <v>3909.5720000000001</v>
      </c>
      <c r="J194" s="41">
        <v>4029</v>
      </c>
      <c r="K194" s="42">
        <v>3.0547589352491751E-2</v>
      </c>
    </row>
    <row r="195" spans="1:11" x14ac:dyDescent="0.25">
      <c r="A195" s="24" t="s">
        <v>7</v>
      </c>
      <c r="B195" s="24" t="s">
        <v>1434</v>
      </c>
      <c r="C195" s="25" t="s">
        <v>1435</v>
      </c>
      <c r="D195" s="24" t="s">
        <v>21266</v>
      </c>
      <c r="E195" s="40">
        <v>24</v>
      </c>
      <c r="F195" s="41">
        <v>113988</v>
      </c>
      <c r="G195" s="40">
        <v>9</v>
      </c>
      <c r="H195" s="41">
        <v>41403</v>
      </c>
      <c r="I195" s="41">
        <v>4749.5</v>
      </c>
      <c r="J195" s="41">
        <v>4600.333333333333</v>
      </c>
      <c r="K195" s="42">
        <v>-3.1406814752430144E-2</v>
      </c>
    </row>
    <row r="196" spans="1:11" x14ac:dyDescent="0.25">
      <c r="A196" s="24" t="s">
        <v>7</v>
      </c>
      <c r="B196" s="24" t="s">
        <v>1439</v>
      </c>
      <c r="C196" s="25" t="s">
        <v>1440</v>
      </c>
      <c r="D196" s="24" t="s">
        <v>21266</v>
      </c>
      <c r="E196" s="40">
        <v>5</v>
      </c>
      <c r="F196" s="41">
        <v>31792</v>
      </c>
      <c r="G196" s="40">
        <v>70</v>
      </c>
      <c r="H196" s="41">
        <v>413827</v>
      </c>
      <c r="I196" s="41">
        <v>6358.4</v>
      </c>
      <c r="J196" s="41">
        <v>5911.8142857142857</v>
      </c>
      <c r="K196" s="42">
        <v>-7.0235548925156321E-2</v>
      </c>
    </row>
    <row r="197" spans="1:11" x14ac:dyDescent="0.25">
      <c r="A197" s="24" t="s">
        <v>7</v>
      </c>
      <c r="B197" s="24" t="s">
        <v>1444</v>
      </c>
      <c r="C197" s="25" t="s">
        <v>1445</v>
      </c>
      <c r="D197" s="24" t="s">
        <v>21266</v>
      </c>
      <c r="E197" s="40">
        <v>30</v>
      </c>
      <c r="F197" s="41">
        <v>134820</v>
      </c>
      <c r="G197" s="40">
        <v>20</v>
      </c>
      <c r="H197" s="41">
        <v>86580</v>
      </c>
      <c r="I197" s="41">
        <v>4494</v>
      </c>
      <c r="J197" s="41">
        <v>4329</v>
      </c>
      <c r="K197" s="42">
        <v>-3.6715620827770364E-2</v>
      </c>
    </row>
    <row r="198" spans="1:11" x14ac:dyDescent="0.25">
      <c r="A198" s="24" t="s">
        <v>7</v>
      </c>
      <c r="B198" s="24" t="s">
        <v>1447</v>
      </c>
      <c r="C198" s="25" t="s">
        <v>1448</v>
      </c>
      <c r="D198" s="24" t="s">
        <v>21267</v>
      </c>
      <c r="E198" s="40">
        <v>3</v>
      </c>
      <c r="F198" s="41">
        <v>92418</v>
      </c>
      <c r="G198" s="40">
        <v>0</v>
      </c>
      <c r="H198" s="41">
        <v>0</v>
      </c>
      <c r="I198" s="41">
        <v>30806</v>
      </c>
    </row>
    <row r="199" spans="1:11" x14ac:dyDescent="0.25">
      <c r="A199" s="24" t="s">
        <v>7</v>
      </c>
      <c r="B199" s="24" t="s">
        <v>1450</v>
      </c>
      <c r="C199" s="25" t="s">
        <v>1451</v>
      </c>
      <c r="D199" s="24" t="s">
        <v>21267</v>
      </c>
      <c r="E199" s="40">
        <v>3</v>
      </c>
      <c r="F199" s="41">
        <v>69271.25</v>
      </c>
      <c r="G199" s="40">
        <v>5</v>
      </c>
      <c r="H199" s="41">
        <v>107724</v>
      </c>
      <c r="I199" s="41">
        <v>23090.416666666668</v>
      </c>
      <c r="J199" s="41">
        <v>21544.799999999999</v>
      </c>
      <c r="K199" s="42">
        <v>-6.6937582330331924E-2</v>
      </c>
    </row>
    <row r="200" spans="1:11" x14ac:dyDescent="0.25">
      <c r="A200" s="24" t="s">
        <v>7</v>
      </c>
      <c r="B200" s="24" t="s">
        <v>1456</v>
      </c>
      <c r="C200" s="25" t="s">
        <v>1457</v>
      </c>
      <c r="D200" s="24" t="s">
        <v>21265</v>
      </c>
      <c r="G200" s="40">
        <v>3</v>
      </c>
      <c r="H200" s="41">
        <v>43112</v>
      </c>
      <c r="J200" s="41">
        <v>14370.666666666666</v>
      </c>
    </row>
    <row r="201" spans="1:11" x14ac:dyDescent="0.25">
      <c r="A201" s="24" t="s">
        <v>7</v>
      </c>
      <c r="B201" s="24" t="s">
        <v>1468</v>
      </c>
      <c r="C201" s="25" t="s">
        <v>1469</v>
      </c>
      <c r="D201" s="24" t="s">
        <v>21265</v>
      </c>
      <c r="G201" s="40">
        <v>5</v>
      </c>
      <c r="H201" s="41">
        <v>106775</v>
      </c>
      <c r="J201" s="41">
        <v>21355</v>
      </c>
    </row>
    <row r="202" spans="1:11" x14ac:dyDescent="0.25">
      <c r="A202" s="24" t="s">
        <v>7</v>
      </c>
      <c r="B202" s="24" t="s">
        <v>1473</v>
      </c>
      <c r="C202" s="25" t="s">
        <v>1474</v>
      </c>
      <c r="D202" s="24" t="s">
        <v>21274</v>
      </c>
      <c r="E202" s="40">
        <v>15</v>
      </c>
      <c r="F202" s="41">
        <v>42075</v>
      </c>
      <c r="G202" s="40">
        <v>23</v>
      </c>
      <c r="H202" s="41">
        <v>68312</v>
      </c>
      <c r="I202" s="41">
        <v>2805</v>
      </c>
      <c r="J202" s="41">
        <v>2970.086956521739</v>
      </c>
      <c r="K202" s="42">
        <v>5.8854529954274155E-2</v>
      </c>
    </row>
    <row r="203" spans="1:11" x14ac:dyDescent="0.25">
      <c r="A203" s="24" t="s">
        <v>7</v>
      </c>
      <c r="B203" s="24" t="s">
        <v>1482</v>
      </c>
      <c r="C203" s="25" t="s">
        <v>1483</v>
      </c>
      <c r="D203" s="24" t="s">
        <v>21274</v>
      </c>
      <c r="E203" s="40">
        <v>6</v>
      </c>
      <c r="F203" s="41">
        <v>14785</v>
      </c>
      <c r="G203" s="40">
        <v>5</v>
      </c>
      <c r="H203" s="41">
        <v>16864</v>
      </c>
      <c r="I203" s="41">
        <v>2464.1666666666665</v>
      </c>
      <c r="J203" s="41">
        <v>3372.8</v>
      </c>
      <c r="K203" s="42">
        <v>0.36873858640514051</v>
      </c>
    </row>
    <row r="204" spans="1:11" x14ac:dyDescent="0.25">
      <c r="A204" s="24" t="s">
        <v>7</v>
      </c>
      <c r="B204" s="24" t="s">
        <v>1485</v>
      </c>
      <c r="C204" s="25" t="s">
        <v>1486</v>
      </c>
      <c r="D204" s="24" t="s">
        <v>21274</v>
      </c>
      <c r="E204" s="40">
        <v>3</v>
      </c>
      <c r="F204" s="41">
        <v>27645</v>
      </c>
      <c r="G204" s="40">
        <v>0</v>
      </c>
      <c r="H204" s="41">
        <v>0</v>
      </c>
      <c r="I204" s="41">
        <v>9215</v>
      </c>
    </row>
    <row r="205" spans="1:11" x14ac:dyDescent="0.25">
      <c r="A205" s="24" t="s">
        <v>7</v>
      </c>
      <c r="B205" s="24" t="s">
        <v>1488</v>
      </c>
      <c r="C205" s="25" t="s">
        <v>1489</v>
      </c>
      <c r="D205" s="24" t="s">
        <v>21274</v>
      </c>
      <c r="G205" s="40">
        <v>19</v>
      </c>
      <c r="H205" s="41">
        <v>108488.25</v>
      </c>
      <c r="J205" s="41">
        <v>5709.9078947368425</v>
      </c>
    </row>
    <row r="206" spans="1:11" x14ac:dyDescent="0.25">
      <c r="A206" s="24" t="s">
        <v>7</v>
      </c>
      <c r="B206" s="24" t="s">
        <v>1491</v>
      </c>
      <c r="C206" s="25" t="s">
        <v>1492</v>
      </c>
      <c r="D206" s="24" t="s">
        <v>21274</v>
      </c>
      <c r="G206" s="40">
        <v>1</v>
      </c>
      <c r="H206" s="41">
        <v>5021</v>
      </c>
      <c r="J206" s="41">
        <v>5021</v>
      </c>
    </row>
    <row r="207" spans="1:11" x14ac:dyDescent="0.25">
      <c r="A207" s="24" t="s">
        <v>7</v>
      </c>
      <c r="B207" s="24" t="s">
        <v>1494</v>
      </c>
      <c r="C207" s="25" t="s">
        <v>1495</v>
      </c>
      <c r="D207" s="24" t="s">
        <v>21274</v>
      </c>
      <c r="G207" s="40">
        <v>17</v>
      </c>
      <c r="H207" s="41">
        <v>55062</v>
      </c>
      <c r="J207" s="41">
        <v>3238.9411764705883</v>
      </c>
    </row>
    <row r="208" spans="1:11" x14ac:dyDescent="0.25">
      <c r="A208" s="24" t="s">
        <v>7</v>
      </c>
      <c r="B208" s="24" t="s">
        <v>1496</v>
      </c>
      <c r="C208" s="25" t="s">
        <v>1497</v>
      </c>
      <c r="D208" s="24" t="s">
        <v>21274</v>
      </c>
      <c r="E208" s="40">
        <v>35</v>
      </c>
      <c r="F208" s="41">
        <v>231937</v>
      </c>
      <c r="G208" s="40">
        <v>37</v>
      </c>
      <c r="H208" s="41">
        <v>219346</v>
      </c>
      <c r="I208" s="41">
        <v>6626.7714285714283</v>
      </c>
      <c r="J208" s="41">
        <v>5928.27027027027</v>
      </c>
      <c r="K208" s="42">
        <v>-0.1054059530844175</v>
      </c>
    </row>
    <row r="209" spans="1:11" x14ac:dyDescent="0.25">
      <c r="A209" s="24" t="s">
        <v>7</v>
      </c>
      <c r="B209" s="24" t="s">
        <v>1501</v>
      </c>
      <c r="C209" s="25" t="s">
        <v>1502</v>
      </c>
      <c r="D209" s="24" t="s">
        <v>21274</v>
      </c>
      <c r="G209" s="40">
        <v>1</v>
      </c>
      <c r="H209" s="41">
        <v>36757</v>
      </c>
      <c r="J209" s="41">
        <v>36757</v>
      </c>
    </row>
    <row r="210" spans="1:11" x14ac:dyDescent="0.25">
      <c r="A210" s="24" t="s">
        <v>7</v>
      </c>
      <c r="B210" s="24" t="s">
        <v>1522</v>
      </c>
      <c r="C210" s="25" t="s">
        <v>1523</v>
      </c>
      <c r="D210" s="24" t="s">
        <v>21274</v>
      </c>
      <c r="E210" s="40">
        <v>3</v>
      </c>
      <c r="F210" s="41">
        <v>9348</v>
      </c>
      <c r="G210" s="40">
        <v>2</v>
      </c>
      <c r="H210" s="41">
        <v>6390</v>
      </c>
      <c r="I210" s="41">
        <v>3116</v>
      </c>
      <c r="J210" s="41">
        <v>3195</v>
      </c>
      <c r="K210" s="42">
        <v>2.5353016688061617E-2</v>
      </c>
    </row>
    <row r="211" spans="1:11" x14ac:dyDescent="0.25">
      <c r="A211" s="24" t="s">
        <v>7</v>
      </c>
      <c r="B211" s="24" t="s">
        <v>1525</v>
      </c>
      <c r="C211" s="25" t="s">
        <v>1526</v>
      </c>
      <c r="D211" s="24" t="s">
        <v>21274</v>
      </c>
      <c r="G211" s="40">
        <v>5</v>
      </c>
      <c r="H211" s="41">
        <v>9040</v>
      </c>
      <c r="J211" s="41">
        <v>1808</v>
      </c>
    </row>
    <row r="212" spans="1:11" x14ac:dyDescent="0.25">
      <c r="A212" s="24" t="s">
        <v>7</v>
      </c>
      <c r="B212" s="24" t="s">
        <v>1531</v>
      </c>
      <c r="C212" s="25" t="s">
        <v>1532</v>
      </c>
      <c r="D212" s="24" t="s">
        <v>21274</v>
      </c>
      <c r="E212" s="40">
        <v>11</v>
      </c>
      <c r="F212" s="41">
        <v>34781</v>
      </c>
      <c r="G212" s="40">
        <v>14</v>
      </c>
      <c r="H212" s="41">
        <v>46376</v>
      </c>
      <c r="I212" s="41">
        <v>3161.909090909091</v>
      </c>
      <c r="J212" s="41">
        <v>3312.5714285714284</v>
      </c>
      <c r="K212" s="42">
        <v>4.7649168059736978E-2</v>
      </c>
    </row>
    <row r="213" spans="1:11" x14ac:dyDescent="0.25">
      <c r="A213" s="24" t="s">
        <v>7</v>
      </c>
      <c r="B213" s="24" t="s">
        <v>1540</v>
      </c>
      <c r="C213" s="25" t="s">
        <v>1541</v>
      </c>
      <c r="D213" s="24" t="s">
        <v>21274</v>
      </c>
      <c r="E213" s="40">
        <v>1049</v>
      </c>
      <c r="F213" s="41">
        <v>835036</v>
      </c>
      <c r="G213" s="40">
        <v>1227</v>
      </c>
      <c r="H213" s="41">
        <v>1613879</v>
      </c>
      <c r="I213" s="41">
        <v>796.03050524308867</v>
      </c>
      <c r="J213" s="41">
        <v>1315.3048084759575</v>
      </c>
      <c r="K213" s="42">
        <v>0.65232965296260215</v>
      </c>
    </row>
    <row r="214" spans="1:11" x14ac:dyDescent="0.25">
      <c r="A214" s="24" t="s">
        <v>7</v>
      </c>
      <c r="B214" s="24" t="s">
        <v>1543</v>
      </c>
      <c r="C214" s="25" t="s">
        <v>1544</v>
      </c>
      <c r="D214" s="24" t="s">
        <v>21274</v>
      </c>
      <c r="E214" s="40">
        <v>860</v>
      </c>
      <c r="F214" s="41">
        <v>9900686</v>
      </c>
      <c r="G214" s="40">
        <v>815</v>
      </c>
      <c r="H214" s="41">
        <v>8721610</v>
      </c>
      <c r="I214" s="41">
        <v>11512.42558139535</v>
      </c>
      <c r="J214" s="41">
        <v>10701.361963190184</v>
      </c>
      <c r="K214" s="42">
        <v>-7.0451149713913003E-2</v>
      </c>
    </row>
    <row r="215" spans="1:11" x14ac:dyDescent="0.25">
      <c r="A215" s="24" t="s">
        <v>7</v>
      </c>
      <c r="B215" s="24" t="s">
        <v>1546</v>
      </c>
      <c r="C215" s="25" t="s">
        <v>1547</v>
      </c>
      <c r="D215" s="24" t="s">
        <v>21274</v>
      </c>
      <c r="E215" s="40">
        <v>405</v>
      </c>
      <c r="F215" s="41">
        <v>4127355</v>
      </c>
      <c r="G215" s="40">
        <v>369</v>
      </c>
      <c r="H215" s="41">
        <v>3524640</v>
      </c>
      <c r="I215" s="41">
        <v>10191</v>
      </c>
      <c r="J215" s="41">
        <v>9551.8699186991871</v>
      </c>
      <c r="K215" s="42">
        <v>-6.2715148788226163E-2</v>
      </c>
    </row>
    <row r="216" spans="1:11" x14ac:dyDescent="0.25">
      <c r="A216" s="24" t="s">
        <v>7</v>
      </c>
      <c r="B216" s="24" t="s">
        <v>1552</v>
      </c>
      <c r="C216" s="25" t="s">
        <v>1553</v>
      </c>
      <c r="D216" s="24" t="s">
        <v>21274</v>
      </c>
      <c r="E216" s="40">
        <v>45</v>
      </c>
      <c r="F216" s="41">
        <v>459415</v>
      </c>
      <c r="G216" s="40">
        <v>37</v>
      </c>
      <c r="H216" s="41">
        <v>391941</v>
      </c>
      <c r="I216" s="41">
        <v>10209.222222222223</v>
      </c>
      <c r="J216" s="41">
        <v>10593</v>
      </c>
      <c r="K216" s="42">
        <v>3.7591284568418488E-2</v>
      </c>
    </row>
    <row r="217" spans="1:11" x14ac:dyDescent="0.25">
      <c r="A217" s="24" t="s">
        <v>7</v>
      </c>
      <c r="B217" s="24" t="s">
        <v>1555</v>
      </c>
      <c r="C217" s="25" t="s">
        <v>1556</v>
      </c>
      <c r="D217" s="24" t="s">
        <v>21274</v>
      </c>
      <c r="G217" s="40">
        <v>2</v>
      </c>
      <c r="H217" s="41">
        <v>5380</v>
      </c>
      <c r="J217" s="41">
        <v>2690</v>
      </c>
    </row>
    <row r="218" spans="1:11" x14ac:dyDescent="0.25">
      <c r="A218" s="24" t="s">
        <v>7</v>
      </c>
      <c r="B218" s="24" t="s">
        <v>1558</v>
      </c>
      <c r="C218" s="25" t="s">
        <v>1559</v>
      </c>
      <c r="D218" s="24" t="s">
        <v>21274</v>
      </c>
      <c r="E218" s="40">
        <v>279</v>
      </c>
      <c r="F218" s="41">
        <v>471347</v>
      </c>
      <c r="G218" s="40">
        <v>350</v>
      </c>
      <c r="H218" s="41">
        <v>720025</v>
      </c>
      <c r="I218" s="41">
        <v>1689.415770609319</v>
      </c>
      <c r="J218" s="41">
        <v>2057.2142857142858</v>
      </c>
      <c r="K218" s="42">
        <v>0.21770751848274356</v>
      </c>
    </row>
    <row r="219" spans="1:11" x14ac:dyDescent="0.25">
      <c r="A219" s="24" t="s">
        <v>7</v>
      </c>
      <c r="B219" s="24" t="s">
        <v>1560</v>
      </c>
      <c r="C219" s="25" t="s">
        <v>1561</v>
      </c>
      <c r="D219" s="24" t="s">
        <v>21274</v>
      </c>
      <c r="E219" s="40">
        <v>18</v>
      </c>
      <c r="F219" s="41">
        <v>123309</v>
      </c>
      <c r="G219" s="40">
        <v>14</v>
      </c>
      <c r="H219" s="41">
        <v>99596</v>
      </c>
      <c r="I219" s="41">
        <v>6850.5</v>
      </c>
      <c r="J219" s="41">
        <v>7114</v>
      </c>
      <c r="K219" s="42">
        <v>3.8464345668199403E-2</v>
      </c>
    </row>
    <row r="220" spans="1:11" x14ac:dyDescent="0.25">
      <c r="A220" s="24" t="s">
        <v>7</v>
      </c>
      <c r="B220" s="24" t="s">
        <v>1572</v>
      </c>
      <c r="C220" s="25" t="s">
        <v>1573</v>
      </c>
      <c r="D220" s="24" t="s">
        <v>21274</v>
      </c>
      <c r="E220" s="40">
        <v>470</v>
      </c>
      <c r="F220" s="41">
        <v>529238</v>
      </c>
      <c r="G220" s="40">
        <v>414</v>
      </c>
      <c r="H220" s="41">
        <v>629617</v>
      </c>
      <c r="I220" s="41">
        <v>1126.0382978723405</v>
      </c>
      <c r="J220" s="41">
        <v>1520.8140096618358</v>
      </c>
      <c r="K220" s="42">
        <v>0.35058817496298977</v>
      </c>
    </row>
    <row r="221" spans="1:11" x14ac:dyDescent="0.25">
      <c r="A221" s="24" t="s">
        <v>7</v>
      </c>
      <c r="B221" s="24" t="s">
        <v>1575</v>
      </c>
      <c r="C221" s="25" t="s">
        <v>1576</v>
      </c>
      <c r="D221" s="24" t="s">
        <v>21274</v>
      </c>
      <c r="E221" s="40">
        <v>17</v>
      </c>
      <c r="F221" s="41">
        <v>74563</v>
      </c>
      <c r="G221" s="40">
        <v>9</v>
      </c>
      <c r="H221" s="41">
        <v>40150</v>
      </c>
      <c r="I221" s="41">
        <v>4386.0588235294117</v>
      </c>
      <c r="J221" s="41">
        <v>4461.1111111111113</v>
      </c>
      <c r="K221" s="42">
        <v>1.7111555180034242E-2</v>
      </c>
    </row>
    <row r="222" spans="1:11" x14ac:dyDescent="0.25">
      <c r="A222" s="24" t="s">
        <v>7</v>
      </c>
      <c r="B222" s="24" t="s">
        <v>1578</v>
      </c>
      <c r="C222" s="25" t="s">
        <v>1579</v>
      </c>
      <c r="D222" s="24" t="s">
        <v>21275</v>
      </c>
      <c r="G222" s="40">
        <v>9</v>
      </c>
      <c r="H222" s="41">
        <v>242757</v>
      </c>
      <c r="J222" s="41">
        <v>26973</v>
      </c>
    </row>
    <row r="223" spans="1:11" x14ac:dyDescent="0.25">
      <c r="A223" s="24" t="s">
        <v>7</v>
      </c>
      <c r="B223" s="24" t="s">
        <v>1587</v>
      </c>
      <c r="C223" s="25" t="s">
        <v>1588</v>
      </c>
      <c r="D223" s="24" t="s">
        <v>21274</v>
      </c>
      <c r="E223" s="40">
        <v>74</v>
      </c>
      <c r="F223" s="41">
        <v>1923925</v>
      </c>
      <c r="G223" s="40">
        <v>30</v>
      </c>
      <c r="H223" s="41">
        <v>772545</v>
      </c>
      <c r="I223" s="41">
        <v>25998.986486486487</v>
      </c>
      <c r="J223" s="41">
        <v>25751.5</v>
      </c>
      <c r="K223" s="42">
        <v>-9.5190820848006109E-3</v>
      </c>
    </row>
    <row r="224" spans="1:11" x14ac:dyDescent="0.25">
      <c r="A224" s="24" t="s">
        <v>7</v>
      </c>
      <c r="B224" s="24" t="s">
        <v>1590</v>
      </c>
      <c r="C224" s="25" t="s">
        <v>1591</v>
      </c>
      <c r="D224" s="24" t="s">
        <v>21274</v>
      </c>
      <c r="E224" s="40">
        <v>17</v>
      </c>
      <c r="F224" s="41">
        <v>183394</v>
      </c>
      <c r="G224" s="40">
        <v>23</v>
      </c>
      <c r="H224" s="41">
        <v>212499</v>
      </c>
      <c r="I224" s="41">
        <v>10787.882352941177</v>
      </c>
      <c r="J224" s="41">
        <v>9239.0869565217399</v>
      </c>
      <c r="K224" s="42">
        <v>-0.14356806514460899</v>
      </c>
    </row>
    <row r="225" spans="1:11" x14ac:dyDescent="0.25">
      <c r="A225" s="24" t="s">
        <v>7</v>
      </c>
      <c r="B225" s="24" t="s">
        <v>1593</v>
      </c>
      <c r="C225" s="25" t="s">
        <v>1594</v>
      </c>
      <c r="D225" s="24" t="s">
        <v>21274</v>
      </c>
      <c r="E225" s="40">
        <v>166</v>
      </c>
      <c r="F225" s="41">
        <v>4101044</v>
      </c>
      <c r="G225" s="40">
        <v>151</v>
      </c>
      <c r="H225" s="41">
        <v>3310746</v>
      </c>
      <c r="I225" s="41">
        <v>24705.084337349399</v>
      </c>
      <c r="J225" s="41">
        <v>21925.470198675495</v>
      </c>
      <c r="K225" s="42">
        <v>-0.11251182553024741</v>
      </c>
    </row>
    <row r="226" spans="1:11" x14ac:dyDescent="0.25">
      <c r="A226" s="24" t="s">
        <v>7</v>
      </c>
      <c r="B226" s="24" t="s">
        <v>1599</v>
      </c>
      <c r="C226" s="25" t="s">
        <v>1600</v>
      </c>
      <c r="D226" s="24" t="s">
        <v>21274</v>
      </c>
      <c r="E226" s="40">
        <v>842</v>
      </c>
      <c r="F226" s="41">
        <v>6237920</v>
      </c>
      <c r="G226" s="40">
        <v>855</v>
      </c>
      <c r="H226" s="41">
        <v>5996250</v>
      </c>
      <c r="I226" s="41">
        <v>7408.4560570071262</v>
      </c>
      <c r="J226" s="41">
        <v>7013.1578947368425</v>
      </c>
      <c r="K226" s="42">
        <v>-5.3357698180095101E-2</v>
      </c>
    </row>
    <row r="227" spans="1:11" x14ac:dyDescent="0.25">
      <c r="A227" s="24" t="s">
        <v>7</v>
      </c>
      <c r="B227" s="24" t="s">
        <v>1602</v>
      </c>
      <c r="C227" s="25" t="s">
        <v>1603</v>
      </c>
      <c r="D227" s="24" t="s">
        <v>21274</v>
      </c>
      <c r="E227" s="40">
        <v>173</v>
      </c>
      <c r="F227" s="41">
        <v>954433</v>
      </c>
      <c r="G227" s="40">
        <v>256</v>
      </c>
      <c r="H227" s="41">
        <v>1407586</v>
      </c>
      <c r="I227" s="41">
        <v>5516.9537572254339</v>
      </c>
      <c r="J227" s="41">
        <v>5498.3828125</v>
      </c>
      <c r="K227" s="42">
        <v>-3.366159214423718E-3</v>
      </c>
    </row>
    <row r="228" spans="1:11" x14ac:dyDescent="0.25">
      <c r="A228" s="24" t="s">
        <v>7</v>
      </c>
      <c r="B228" s="24" t="s">
        <v>1607</v>
      </c>
      <c r="C228" s="25" t="s">
        <v>1608</v>
      </c>
      <c r="D228" s="24" t="s">
        <v>21274</v>
      </c>
      <c r="E228" s="40">
        <v>37</v>
      </c>
      <c r="F228" s="41">
        <v>87388</v>
      </c>
      <c r="G228" s="40">
        <v>16</v>
      </c>
      <c r="H228" s="41">
        <v>39120</v>
      </c>
      <c r="I228" s="41">
        <v>2361.8378378378379</v>
      </c>
      <c r="J228" s="41">
        <v>2445</v>
      </c>
      <c r="K228" s="42">
        <v>3.5210784089348614E-2</v>
      </c>
    </row>
    <row r="229" spans="1:11" x14ac:dyDescent="0.25">
      <c r="A229" s="24" t="s">
        <v>7</v>
      </c>
      <c r="B229" s="24" t="s">
        <v>1610</v>
      </c>
      <c r="C229" s="25" t="s">
        <v>1611</v>
      </c>
      <c r="D229" s="24" t="s">
        <v>21274</v>
      </c>
      <c r="G229" s="40">
        <v>2</v>
      </c>
      <c r="H229" s="41">
        <v>48062</v>
      </c>
      <c r="J229" s="41">
        <v>24031</v>
      </c>
    </row>
    <row r="230" spans="1:11" x14ac:dyDescent="0.25">
      <c r="A230" s="24" t="s">
        <v>7</v>
      </c>
      <c r="B230" s="24" t="s">
        <v>1622</v>
      </c>
      <c r="C230" s="25" t="s">
        <v>1623</v>
      </c>
      <c r="D230" s="24" t="s">
        <v>21274</v>
      </c>
      <c r="G230" s="40">
        <v>1</v>
      </c>
      <c r="H230" s="41">
        <v>15270</v>
      </c>
      <c r="J230" s="41">
        <v>15270</v>
      </c>
    </row>
    <row r="231" spans="1:11" x14ac:dyDescent="0.25">
      <c r="A231" s="24" t="s">
        <v>7</v>
      </c>
      <c r="B231" s="24" t="s">
        <v>1624</v>
      </c>
      <c r="C231" s="25" t="s">
        <v>1625</v>
      </c>
      <c r="D231" s="24" t="s">
        <v>21274</v>
      </c>
      <c r="G231" s="40">
        <v>4</v>
      </c>
      <c r="H231" s="41">
        <v>8888</v>
      </c>
      <c r="J231" s="41">
        <v>2222</v>
      </c>
    </row>
    <row r="232" spans="1:11" x14ac:dyDescent="0.25">
      <c r="A232" s="24" t="s">
        <v>7</v>
      </c>
      <c r="B232" s="24" t="s">
        <v>1627</v>
      </c>
      <c r="C232" s="25" t="s">
        <v>1628</v>
      </c>
      <c r="D232" s="24" t="s">
        <v>21274</v>
      </c>
      <c r="E232" s="40">
        <v>4</v>
      </c>
      <c r="F232" s="41">
        <v>103320</v>
      </c>
      <c r="G232" s="40">
        <v>0</v>
      </c>
      <c r="H232" s="41">
        <v>0</v>
      </c>
      <c r="I232" s="41">
        <v>25830</v>
      </c>
    </row>
    <row r="233" spans="1:11" x14ac:dyDescent="0.25">
      <c r="A233" s="24" t="s">
        <v>7</v>
      </c>
      <c r="B233" s="24" t="s">
        <v>1636</v>
      </c>
      <c r="C233" s="25" t="s">
        <v>1637</v>
      </c>
      <c r="D233" s="24" t="s">
        <v>21276</v>
      </c>
      <c r="G233" s="40">
        <v>6</v>
      </c>
      <c r="H233" s="41">
        <v>161952</v>
      </c>
      <c r="J233" s="41">
        <v>26992</v>
      </c>
    </row>
    <row r="234" spans="1:11" x14ac:dyDescent="0.25">
      <c r="A234" s="24" t="s">
        <v>7</v>
      </c>
      <c r="B234" s="24" t="s">
        <v>1639</v>
      </c>
      <c r="C234" s="25" t="s">
        <v>1640</v>
      </c>
      <c r="D234" s="24" t="s">
        <v>21274</v>
      </c>
      <c r="G234" s="40">
        <v>1</v>
      </c>
      <c r="H234" s="41">
        <v>5371</v>
      </c>
      <c r="J234" s="41">
        <v>5371</v>
      </c>
    </row>
    <row r="235" spans="1:11" x14ac:dyDescent="0.25">
      <c r="A235" s="24" t="s">
        <v>7</v>
      </c>
      <c r="B235" s="24" t="s">
        <v>1642</v>
      </c>
      <c r="C235" s="25" t="s">
        <v>1643</v>
      </c>
      <c r="D235" s="24" t="s">
        <v>21274</v>
      </c>
      <c r="E235" s="40">
        <v>6</v>
      </c>
      <c r="F235" s="41">
        <v>61218</v>
      </c>
      <c r="G235" s="40">
        <v>0</v>
      </c>
      <c r="H235" s="41">
        <v>0</v>
      </c>
      <c r="I235" s="41">
        <v>10203</v>
      </c>
    </row>
    <row r="236" spans="1:11" x14ac:dyDescent="0.25">
      <c r="A236" s="24" t="s">
        <v>7</v>
      </c>
      <c r="B236" s="24" t="s">
        <v>1648</v>
      </c>
      <c r="C236" s="25" t="s">
        <v>1649</v>
      </c>
      <c r="D236" s="24" t="s">
        <v>21274</v>
      </c>
      <c r="G236" s="40">
        <v>1</v>
      </c>
      <c r="H236" s="41">
        <v>3950</v>
      </c>
      <c r="J236" s="41">
        <v>3950</v>
      </c>
    </row>
    <row r="237" spans="1:11" x14ac:dyDescent="0.25">
      <c r="A237" s="24" t="s">
        <v>7</v>
      </c>
      <c r="B237" s="24" t="s">
        <v>1665</v>
      </c>
      <c r="C237" s="25" t="s">
        <v>1666</v>
      </c>
      <c r="D237" s="24" t="s">
        <v>21274</v>
      </c>
      <c r="E237" s="40">
        <v>57</v>
      </c>
      <c r="F237" s="41">
        <v>137394</v>
      </c>
      <c r="G237" s="40">
        <v>30</v>
      </c>
      <c r="H237" s="41">
        <v>75443</v>
      </c>
      <c r="I237" s="41">
        <v>2410.4210526315787</v>
      </c>
      <c r="J237" s="41">
        <v>2514.7666666666669</v>
      </c>
      <c r="K237" s="42">
        <v>4.3289372170546202E-2</v>
      </c>
    </row>
    <row r="238" spans="1:11" x14ac:dyDescent="0.25">
      <c r="A238" s="24" t="s">
        <v>7</v>
      </c>
      <c r="B238" s="24" t="s">
        <v>1668</v>
      </c>
      <c r="C238" s="25" t="s">
        <v>1669</v>
      </c>
      <c r="D238" s="24" t="s">
        <v>21274</v>
      </c>
      <c r="E238" s="40">
        <v>105</v>
      </c>
      <c r="F238" s="41">
        <v>145005</v>
      </c>
      <c r="G238" s="40">
        <v>54</v>
      </c>
      <c r="H238" s="41">
        <v>84039</v>
      </c>
      <c r="I238" s="41">
        <v>1381</v>
      </c>
      <c r="J238" s="41">
        <v>1556.2777777777778</v>
      </c>
      <c r="K238" s="42">
        <v>0.12692091077319176</v>
      </c>
    </row>
    <row r="239" spans="1:11" x14ac:dyDescent="0.25">
      <c r="A239" s="24" t="s">
        <v>7</v>
      </c>
      <c r="B239" s="24" t="s">
        <v>1671</v>
      </c>
      <c r="C239" s="25" t="s">
        <v>1672</v>
      </c>
      <c r="D239" s="24" t="s">
        <v>21274</v>
      </c>
      <c r="E239" s="40">
        <v>9</v>
      </c>
      <c r="F239" s="41">
        <v>93917.5</v>
      </c>
      <c r="G239" s="40">
        <v>2</v>
      </c>
      <c r="H239" s="41">
        <v>17802</v>
      </c>
      <c r="I239" s="41">
        <v>10435.277777777777</v>
      </c>
      <c r="J239" s="41">
        <v>8901</v>
      </c>
      <c r="K239" s="42">
        <v>-0.14702797668166206</v>
      </c>
    </row>
    <row r="240" spans="1:11" x14ac:dyDescent="0.25">
      <c r="A240" s="24" t="s">
        <v>7</v>
      </c>
      <c r="B240" s="24" t="s">
        <v>1674</v>
      </c>
      <c r="C240" s="25" t="s">
        <v>1675</v>
      </c>
      <c r="D240" s="24" t="s">
        <v>21274</v>
      </c>
      <c r="G240" s="40">
        <v>3</v>
      </c>
      <c r="H240" s="41">
        <v>25098</v>
      </c>
      <c r="J240" s="41">
        <v>8366</v>
      </c>
    </row>
    <row r="241" spans="1:11" x14ac:dyDescent="0.25">
      <c r="A241" s="24" t="s">
        <v>7</v>
      </c>
      <c r="B241" s="24" t="s">
        <v>1678</v>
      </c>
      <c r="C241" s="25" t="s">
        <v>1679</v>
      </c>
      <c r="D241" s="24" t="s">
        <v>21274</v>
      </c>
      <c r="E241" s="40">
        <v>229</v>
      </c>
      <c r="F241" s="41">
        <v>3351504</v>
      </c>
      <c r="G241" s="40">
        <v>256</v>
      </c>
      <c r="H241" s="41">
        <v>3481948</v>
      </c>
      <c r="I241" s="41">
        <v>14635.388646288209</v>
      </c>
      <c r="J241" s="41">
        <v>13601.359375</v>
      </c>
      <c r="K241" s="42">
        <v>-7.0652669107660299E-2</v>
      </c>
    </row>
    <row r="242" spans="1:11" x14ac:dyDescent="0.25">
      <c r="A242" s="24" t="s">
        <v>7</v>
      </c>
      <c r="B242" s="24" t="s">
        <v>1683</v>
      </c>
      <c r="C242" s="25" t="s">
        <v>1684</v>
      </c>
      <c r="D242" s="24" t="s">
        <v>21274</v>
      </c>
      <c r="G242" s="40">
        <v>1</v>
      </c>
      <c r="H242" s="41">
        <v>16657</v>
      </c>
      <c r="J242" s="41">
        <v>16657</v>
      </c>
    </row>
    <row r="243" spans="1:11" x14ac:dyDescent="0.25">
      <c r="A243" s="24" t="s">
        <v>7</v>
      </c>
      <c r="B243" s="24" t="s">
        <v>1695</v>
      </c>
      <c r="C243" s="25" t="s">
        <v>1696</v>
      </c>
      <c r="D243" s="24" t="s">
        <v>21274</v>
      </c>
      <c r="E243" s="40">
        <v>1</v>
      </c>
      <c r="F243" s="41">
        <v>1429</v>
      </c>
      <c r="G243" s="40">
        <v>0</v>
      </c>
      <c r="H243" s="41">
        <v>0</v>
      </c>
      <c r="I243" s="41">
        <v>1429</v>
      </c>
    </row>
    <row r="244" spans="1:11" x14ac:dyDescent="0.25">
      <c r="A244" s="24" t="s">
        <v>7</v>
      </c>
      <c r="B244" s="24" t="s">
        <v>1698</v>
      </c>
      <c r="C244" s="25" t="s">
        <v>1699</v>
      </c>
      <c r="D244" s="24" t="s">
        <v>21274</v>
      </c>
      <c r="E244" s="40">
        <v>21</v>
      </c>
      <c r="F244" s="41">
        <v>28512</v>
      </c>
      <c r="G244" s="40">
        <v>27</v>
      </c>
      <c r="H244" s="41">
        <v>42466</v>
      </c>
      <c r="I244" s="41">
        <v>1357.7142857142858</v>
      </c>
      <c r="J244" s="41">
        <v>1572.8148148148148</v>
      </c>
      <c r="K244" s="42">
        <v>0.15842842000249399</v>
      </c>
    </row>
    <row r="245" spans="1:11" x14ac:dyDescent="0.25">
      <c r="A245" s="24" t="s">
        <v>7</v>
      </c>
      <c r="B245" s="24" t="s">
        <v>1701</v>
      </c>
      <c r="C245" s="25" t="s">
        <v>1702</v>
      </c>
      <c r="D245" s="24" t="s">
        <v>21274</v>
      </c>
      <c r="E245" s="40">
        <v>112</v>
      </c>
      <c r="F245" s="41">
        <v>458352</v>
      </c>
      <c r="G245" s="40">
        <v>200</v>
      </c>
      <c r="H245" s="41">
        <v>829287</v>
      </c>
      <c r="I245" s="41">
        <v>4092.4285714285716</v>
      </c>
      <c r="J245" s="41">
        <v>4146.4350000000004</v>
      </c>
      <c r="K245" s="42">
        <v>1.3196669808356962E-2</v>
      </c>
    </row>
    <row r="246" spans="1:11" x14ac:dyDescent="0.25">
      <c r="A246" s="24" t="s">
        <v>7</v>
      </c>
      <c r="B246" s="24" t="s">
        <v>1704</v>
      </c>
      <c r="C246" s="25" t="s">
        <v>1705</v>
      </c>
      <c r="D246" s="24" t="s">
        <v>21274</v>
      </c>
      <c r="E246" s="40">
        <v>1</v>
      </c>
      <c r="F246" s="41">
        <v>4649</v>
      </c>
      <c r="G246" s="40">
        <v>0</v>
      </c>
      <c r="H246" s="41">
        <v>0</v>
      </c>
      <c r="I246" s="41">
        <v>4649</v>
      </c>
    </row>
    <row r="247" spans="1:11" x14ac:dyDescent="0.25">
      <c r="A247" s="24" t="s">
        <v>7</v>
      </c>
      <c r="B247" s="24" t="s">
        <v>1725</v>
      </c>
      <c r="C247" s="25" t="s">
        <v>1726</v>
      </c>
      <c r="D247" s="24" t="s">
        <v>21275</v>
      </c>
      <c r="G247" s="40">
        <v>1</v>
      </c>
      <c r="H247" s="41">
        <v>31017</v>
      </c>
      <c r="J247" s="41">
        <v>31017</v>
      </c>
    </row>
    <row r="248" spans="1:11" x14ac:dyDescent="0.25">
      <c r="A248" s="24" t="s">
        <v>7</v>
      </c>
      <c r="B248" s="24" t="s">
        <v>1728</v>
      </c>
      <c r="C248" s="25" t="s">
        <v>1729</v>
      </c>
      <c r="D248" s="24" t="s">
        <v>21277</v>
      </c>
      <c r="G248" s="40">
        <v>1</v>
      </c>
      <c r="H248" s="41">
        <v>680</v>
      </c>
      <c r="J248" s="41">
        <v>680</v>
      </c>
    </row>
    <row r="249" spans="1:11" x14ac:dyDescent="0.25">
      <c r="A249" s="24" t="s">
        <v>7</v>
      </c>
      <c r="B249" s="24" t="s">
        <v>1731</v>
      </c>
      <c r="C249" s="25" t="s">
        <v>1732</v>
      </c>
      <c r="D249" s="24" t="s">
        <v>21277</v>
      </c>
      <c r="G249" s="40">
        <v>2</v>
      </c>
      <c r="H249" s="41">
        <v>17244</v>
      </c>
      <c r="J249" s="41">
        <v>8622</v>
      </c>
    </row>
    <row r="250" spans="1:11" x14ac:dyDescent="0.25">
      <c r="A250" s="24" t="s">
        <v>7</v>
      </c>
      <c r="B250" s="24" t="s">
        <v>1740</v>
      </c>
      <c r="C250" s="25" t="s">
        <v>1741</v>
      </c>
      <c r="D250" s="24" t="s">
        <v>21277</v>
      </c>
      <c r="G250" s="40">
        <v>3</v>
      </c>
      <c r="H250" s="41">
        <v>21555</v>
      </c>
      <c r="J250" s="41">
        <v>7185</v>
      </c>
    </row>
    <row r="251" spans="1:11" x14ac:dyDescent="0.25">
      <c r="A251" s="24" t="s">
        <v>7</v>
      </c>
      <c r="B251" s="24" t="s">
        <v>1752</v>
      </c>
      <c r="C251" s="25" t="s">
        <v>1753</v>
      </c>
      <c r="D251" s="24" t="s">
        <v>21277</v>
      </c>
      <c r="G251" s="40">
        <v>1</v>
      </c>
      <c r="H251" s="41">
        <v>15807</v>
      </c>
      <c r="J251" s="41">
        <v>15807</v>
      </c>
    </row>
    <row r="252" spans="1:11" x14ac:dyDescent="0.25">
      <c r="A252" s="24" t="s">
        <v>7</v>
      </c>
      <c r="B252" s="24" t="s">
        <v>1755</v>
      </c>
      <c r="C252" s="25" t="s">
        <v>1756</v>
      </c>
      <c r="D252" s="24" t="s">
        <v>21277</v>
      </c>
      <c r="G252" s="40">
        <v>3</v>
      </c>
      <c r="H252" s="41">
        <v>14370</v>
      </c>
      <c r="J252" s="41">
        <v>4790</v>
      </c>
    </row>
    <row r="253" spans="1:11" x14ac:dyDescent="0.25">
      <c r="A253" s="24" t="s">
        <v>7</v>
      </c>
      <c r="B253" s="24" t="s">
        <v>1758</v>
      </c>
      <c r="C253" s="25" t="s">
        <v>1759</v>
      </c>
      <c r="D253" s="24" t="s">
        <v>21277</v>
      </c>
      <c r="G253" s="40">
        <v>3</v>
      </c>
      <c r="H253" s="41">
        <v>18681</v>
      </c>
      <c r="J253" s="41">
        <v>6227</v>
      </c>
    </row>
    <row r="254" spans="1:11" x14ac:dyDescent="0.25">
      <c r="A254" s="24" t="s">
        <v>7</v>
      </c>
      <c r="B254" s="24" t="s">
        <v>1761</v>
      </c>
      <c r="C254" s="25" t="s">
        <v>1762</v>
      </c>
      <c r="D254" s="24" t="s">
        <v>21277</v>
      </c>
      <c r="G254" s="40">
        <v>4</v>
      </c>
      <c r="H254" s="41">
        <v>63228</v>
      </c>
      <c r="J254" s="41">
        <v>15807</v>
      </c>
    </row>
    <row r="255" spans="1:11" x14ac:dyDescent="0.25">
      <c r="A255" s="24" t="s">
        <v>7</v>
      </c>
      <c r="B255" s="24" t="s">
        <v>1767</v>
      </c>
      <c r="C255" s="25" t="s">
        <v>1768</v>
      </c>
      <c r="D255" s="24" t="s">
        <v>21277</v>
      </c>
      <c r="E255" s="40">
        <v>23</v>
      </c>
      <c r="F255" s="41">
        <v>64824</v>
      </c>
      <c r="G255" s="40">
        <v>28</v>
      </c>
      <c r="H255" s="41">
        <v>105508</v>
      </c>
      <c r="I255" s="41">
        <v>2818.4347826086955</v>
      </c>
      <c r="J255" s="41">
        <v>3768.1428571428573</v>
      </c>
      <c r="K255" s="42">
        <v>0.33696294141499633</v>
      </c>
    </row>
    <row r="256" spans="1:11" x14ac:dyDescent="0.25">
      <c r="A256" s="24" t="s">
        <v>7</v>
      </c>
      <c r="B256" s="24" t="s">
        <v>1773</v>
      </c>
      <c r="C256" s="25" t="s">
        <v>1774</v>
      </c>
      <c r="D256" s="24" t="s">
        <v>21277</v>
      </c>
      <c r="G256" s="40">
        <v>1</v>
      </c>
      <c r="H256" s="41">
        <v>12876</v>
      </c>
      <c r="J256" s="41">
        <v>12876</v>
      </c>
    </row>
    <row r="257" spans="1:11" x14ac:dyDescent="0.25">
      <c r="A257" s="24" t="s">
        <v>7</v>
      </c>
      <c r="B257" s="24" t="s">
        <v>1785</v>
      </c>
      <c r="C257" s="25" t="s">
        <v>1786</v>
      </c>
      <c r="D257" s="24" t="s">
        <v>21277</v>
      </c>
      <c r="G257" s="40">
        <v>1</v>
      </c>
      <c r="H257" s="41">
        <v>4101</v>
      </c>
      <c r="J257" s="41">
        <v>4101</v>
      </c>
    </row>
    <row r="258" spans="1:11" x14ac:dyDescent="0.25">
      <c r="A258" s="24" t="s">
        <v>7</v>
      </c>
      <c r="B258" s="24" t="s">
        <v>1791</v>
      </c>
      <c r="C258" s="25" t="s">
        <v>1792</v>
      </c>
      <c r="D258" s="24" t="s">
        <v>21277</v>
      </c>
      <c r="G258" s="40">
        <v>1</v>
      </c>
      <c r="H258" s="41">
        <v>5748</v>
      </c>
      <c r="J258" s="41">
        <v>5748</v>
      </c>
    </row>
    <row r="259" spans="1:11" x14ac:dyDescent="0.25">
      <c r="A259" s="24" t="s">
        <v>7</v>
      </c>
      <c r="B259" s="24" t="s">
        <v>1794</v>
      </c>
      <c r="C259" s="25" t="s">
        <v>1795</v>
      </c>
      <c r="D259" s="24" t="s">
        <v>21277</v>
      </c>
      <c r="G259" s="40">
        <v>1</v>
      </c>
      <c r="H259" s="41">
        <v>3353</v>
      </c>
      <c r="J259" s="41">
        <v>3353</v>
      </c>
    </row>
    <row r="260" spans="1:11" x14ac:dyDescent="0.25">
      <c r="A260" s="24" t="s">
        <v>7</v>
      </c>
      <c r="B260" s="24" t="s">
        <v>1800</v>
      </c>
      <c r="C260" s="25" t="s">
        <v>1801</v>
      </c>
      <c r="D260" s="24" t="s">
        <v>21277</v>
      </c>
      <c r="G260" s="40">
        <v>1</v>
      </c>
      <c r="H260" s="41">
        <v>9580</v>
      </c>
      <c r="J260" s="41">
        <v>9580</v>
      </c>
    </row>
    <row r="261" spans="1:11" x14ac:dyDescent="0.25">
      <c r="A261" s="24" t="s">
        <v>7</v>
      </c>
      <c r="B261" s="24" t="s">
        <v>1830</v>
      </c>
      <c r="C261" s="25" t="s">
        <v>1831</v>
      </c>
      <c r="D261" s="24" t="s">
        <v>21277</v>
      </c>
      <c r="E261" s="40">
        <v>5</v>
      </c>
      <c r="F261" s="41">
        <v>79160</v>
      </c>
      <c r="G261" s="40">
        <v>0</v>
      </c>
      <c r="H261" s="41">
        <v>0</v>
      </c>
      <c r="I261" s="41">
        <v>15832</v>
      </c>
    </row>
    <row r="262" spans="1:11" x14ac:dyDescent="0.25">
      <c r="A262" s="24" t="s">
        <v>7</v>
      </c>
      <c r="B262" s="24" t="s">
        <v>1833</v>
      </c>
      <c r="C262" s="25" t="s">
        <v>1834</v>
      </c>
      <c r="D262" s="24" t="s">
        <v>21277</v>
      </c>
      <c r="E262" s="40">
        <v>5</v>
      </c>
      <c r="F262" s="41">
        <v>100265</v>
      </c>
      <c r="G262" s="40">
        <v>0</v>
      </c>
      <c r="H262" s="41">
        <v>0</v>
      </c>
      <c r="I262" s="41">
        <v>20053</v>
      </c>
    </row>
    <row r="263" spans="1:11" x14ac:dyDescent="0.25">
      <c r="A263" s="24" t="s">
        <v>7</v>
      </c>
      <c r="B263" s="24" t="s">
        <v>1836</v>
      </c>
      <c r="C263" s="25" t="s">
        <v>1837</v>
      </c>
      <c r="D263" s="24" t="s">
        <v>21277</v>
      </c>
      <c r="E263" s="40">
        <v>1</v>
      </c>
      <c r="F263" s="41">
        <v>25067</v>
      </c>
      <c r="G263" s="40">
        <v>1</v>
      </c>
      <c r="H263" s="41">
        <v>25067</v>
      </c>
      <c r="I263" s="41">
        <v>25067</v>
      </c>
      <c r="J263" s="41">
        <v>25067</v>
      </c>
      <c r="K263" s="42">
        <v>0</v>
      </c>
    </row>
    <row r="264" spans="1:11" x14ac:dyDescent="0.25">
      <c r="A264" s="24" t="s">
        <v>7</v>
      </c>
      <c r="B264" s="24" t="s">
        <v>1839</v>
      </c>
      <c r="C264" s="25" t="s">
        <v>1840</v>
      </c>
      <c r="D264" s="24" t="s">
        <v>21277</v>
      </c>
      <c r="G264" s="40">
        <v>6</v>
      </c>
      <c r="H264" s="41">
        <v>133455</v>
      </c>
      <c r="J264" s="41">
        <v>22242.5</v>
      </c>
    </row>
    <row r="265" spans="1:11" x14ac:dyDescent="0.25">
      <c r="A265" s="24" t="s">
        <v>7</v>
      </c>
      <c r="B265" s="24" t="s">
        <v>1851</v>
      </c>
      <c r="C265" s="25" t="s">
        <v>1852</v>
      </c>
      <c r="D265" s="24" t="s">
        <v>21277</v>
      </c>
      <c r="E265" s="40">
        <v>18</v>
      </c>
      <c r="F265" s="41">
        <v>257198</v>
      </c>
      <c r="G265" s="40">
        <v>25</v>
      </c>
      <c r="H265" s="41">
        <v>395645</v>
      </c>
      <c r="I265" s="41">
        <v>14288.777777777777</v>
      </c>
      <c r="J265" s="41">
        <v>15825.8</v>
      </c>
      <c r="K265" s="42">
        <v>0.10756848809088716</v>
      </c>
    </row>
    <row r="266" spans="1:11" x14ac:dyDescent="0.25">
      <c r="A266" s="24" t="s">
        <v>7</v>
      </c>
      <c r="B266" s="24" t="s">
        <v>1860</v>
      </c>
      <c r="C266" s="25" t="s">
        <v>1861</v>
      </c>
      <c r="D266" s="24" t="s">
        <v>21277</v>
      </c>
      <c r="G266" s="40">
        <v>9</v>
      </c>
      <c r="H266" s="41">
        <v>49030</v>
      </c>
      <c r="J266" s="41">
        <v>5447.7777777777774</v>
      </c>
    </row>
    <row r="267" spans="1:11" x14ac:dyDescent="0.25">
      <c r="A267" s="24" t="s">
        <v>7</v>
      </c>
      <c r="B267" s="24" t="s">
        <v>1863</v>
      </c>
      <c r="C267" s="25" t="s">
        <v>1864</v>
      </c>
      <c r="D267" s="24" t="s">
        <v>21277</v>
      </c>
      <c r="E267" s="40">
        <v>42</v>
      </c>
      <c r="F267" s="41">
        <v>87258</v>
      </c>
      <c r="G267" s="40">
        <v>41</v>
      </c>
      <c r="H267" s="41">
        <v>138149</v>
      </c>
      <c r="I267" s="41">
        <v>2077.5714285714284</v>
      </c>
      <c r="J267" s="41">
        <v>3369.4878048780488</v>
      </c>
      <c r="K267" s="42">
        <v>0.62183969154550933</v>
      </c>
    </row>
    <row r="268" spans="1:11" x14ac:dyDescent="0.25">
      <c r="A268" s="24" t="s">
        <v>7</v>
      </c>
      <c r="B268" s="24" t="s">
        <v>1866</v>
      </c>
      <c r="C268" s="25" t="s">
        <v>1867</v>
      </c>
      <c r="D268" s="24" t="s">
        <v>21277</v>
      </c>
      <c r="E268" s="40">
        <v>13</v>
      </c>
      <c r="F268" s="41">
        <v>148350</v>
      </c>
      <c r="G268" s="40">
        <v>0</v>
      </c>
      <c r="H268" s="41">
        <v>0</v>
      </c>
      <c r="I268" s="41">
        <v>11411.538461538461</v>
      </c>
    </row>
    <row r="269" spans="1:11" x14ac:dyDescent="0.25">
      <c r="A269" s="24" t="s">
        <v>7</v>
      </c>
      <c r="B269" s="24" t="s">
        <v>1878</v>
      </c>
      <c r="C269" s="25" t="s">
        <v>1879</v>
      </c>
      <c r="D269" s="24" t="s">
        <v>21277</v>
      </c>
      <c r="G269" s="40">
        <v>1</v>
      </c>
      <c r="H269" s="41">
        <v>7030</v>
      </c>
      <c r="J269" s="41">
        <v>7030</v>
      </c>
    </row>
    <row r="270" spans="1:11" x14ac:dyDescent="0.25">
      <c r="A270" s="24" t="s">
        <v>7</v>
      </c>
      <c r="B270" s="24" t="s">
        <v>1890</v>
      </c>
      <c r="C270" s="25" t="s">
        <v>1891</v>
      </c>
      <c r="D270" s="24" t="s">
        <v>21274</v>
      </c>
      <c r="G270" s="40">
        <v>22</v>
      </c>
      <c r="H270" s="41">
        <v>14938</v>
      </c>
      <c r="J270" s="41">
        <v>679</v>
      </c>
    </row>
    <row r="271" spans="1:11" x14ac:dyDescent="0.25">
      <c r="A271" s="24" t="s">
        <v>7</v>
      </c>
      <c r="B271" s="24" t="s">
        <v>1896</v>
      </c>
      <c r="C271" s="25" t="s">
        <v>1897</v>
      </c>
      <c r="D271" s="24" t="s">
        <v>21277</v>
      </c>
      <c r="E271" s="40">
        <v>3</v>
      </c>
      <c r="F271" s="41">
        <v>45773</v>
      </c>
      <c r="G271" s="40">
        <v>0</v>
      </c>
      <c r="H271" s="41">
        <v>0</v>
      </c>
      <c r="I271" s="41">
        <v>15257.666666666666</v>
      </c>
    </row>
    <row r="272" spans="1:11" x14ac:dyDescent="0.25">
      <c r="A272" s="24" t="s">
        <v>7</v>
      </c>
      <c r="B272" s="24" t="s">
        <v>1905</v>
      </c>
      <c r="C272" s="25" t="s">
        <v>1906</v>
      </c>
      <c r="D272" s="24" t="s">
        <v>21274</v>
      </c>
      <c r="E272" s="40">
        <v>10</v>
      </c>
      <c r="F272" s="41">
        <v>4892</v>
      </c>
      <c r="G272" s="40">
        <v>6</v>
      </c>
      <c r="H272" s="41">
        <v>13386</v>
      </c>
      <c r="I272" s="41">
        <v>489.2</v>
      </c>
      <c r="J272" s="41">
        <v>2231</v>
      </c>
      <c r="K272" s="42">
        <v>3.5605069501226492</v>
      </c>
    </row>
    <row r="273" spans="1:11" x14ac:dyDescent="0.25">
      <c r="A273" s="24" t="s">
        <v>7</v>
      </c>
      <c r="B273" s="24" t="s">
        <v>1911</v>
      </c>
      <c r="C273" s="25" t="s">
        <v>1912</v>
      </c>
      <c r="D273" s="24" t="s">
        <v>21277</v>
      </c>
      <c r="E273" s="40">
        <v>4</v>
      </c>
      <c r="F273" s="41">
        <v>4040</v>
      </c>
      <c r="G273" s="40">
        <v>5</v>
      </c>
      <c r="H273" s="41">
        <v>31950</v>
      </c>
      <c r="I273" s="41">
        <v>1010</v>
      </c>
      <c r="J273" s="41">
        <v>6390</v>
      </c>
      <c r="K273" s="42">
        <v>5.326732673267327</v>
      </c>
    </row>
    <row r="274" spans="1:11" x14ac:dyDescent="0.25">
      <c r="A274" s="24" t="s">
        <v>7</v>
      </c>
      <c r="B274" s="24" t="s">
        <v>1932</v>
      </c>
      <c r="C274" s="25" t="s">
        <v>1933</v>
      </c>
      <c r="D274" s="24" t="s">
        <v>21277</v>
      </c>
      <c r="E274" s="40">
        <v>11</v>
      </c>
      <c r="F274" s="41">
        <v>186677</v>
      </c>
      <c r="G274" s="40">
        <v>8</v>
      </c>
      <c r="H274" s="41">
        <v>150844</v>
      </c>
      <c r="I274" s="41">
        <v>16970.636363636364</v>
      </c>
      <c r="J274" s="41">
        <v>18855.5</v>
      </c>
      <c r="K274" s="42">
        <v>0.11106617312255926</v>
      </c>
    </row>
    <row r="275" spans="1:11" x14ac:dyDescent="0.25">
      <c r="A275" s="24" t="s">
        <v>7</v>
      </c>
      <c r="B275" s="24" t="s">
        <v>1935</v>
      </c>
      <c r="C275" s="25" t="s">
        <v>1936</v>
      </c>
      <c r="D275" s="24" t="s">
        <v>21274</v>
      </c>
      <c r="E275" s="40">
        <v>1</v>
      </c>
      <c r="F275" s="41">
        <v>2908</v>
      </c>
      <c r="G275" s="40">
        <v>0</v>
      </c>
      <c r="H275" s="41">
        <v>0</v>
      </c>
      <c r="I275" s="41">
        <v>2908</v>
      </c>
    </row>
    <row r="276" spans="1:11" x14ac:dyDescent="0.25">
      <c r="A276" s="24" t="s">
        <v>7</v>
      </c>
      <c r="B276" s="24" t="s">
        <v>1941</v>
      </c>
      <c r="C276" s="25" t="s">
        <v>1942</v>
      </c>
      <c r="D276" s="24" t="s">
        <v>21277</v>
      </c>
      <c r="G276" s="40">
        <v>1</v>
      </c>
      <c r="H276" s="41">
        <v>3533</v>
      </c>
      <c r="J276" s="41">
        <v>3533</v>
      </c>
    </row>
    <row r="277" spans="1:11" x14ac:dyDescent="0.25">
      <c r="A277" s="24" t="s">
        <v>7</v>
      </c>
      <c r="B277" s="24" t="s">
        <v>1944</v>
      </c>
      <c r="C277" s="25" t="s">
        <v>1945</v>
      </c>
      <c r="D277" s="24" t="s">
        <v>21277</v>
      </c>
      <c r="E277" s="40">
        <v>13</v>
      </c>
      <c r="F277" s="41">
        <v>242188</v>
      </c>
      <c r="G277" s="40">
        <v>11</v>
      </c>
      <c r="H277" s="41">
        <v>228404</v>
      </c>
      <c r="I277" s="41">
        <v>18629.846153846152</v>
      </c>
      <c r="J277" s="41">
        <v>20764</v>
      </c>
      <c r="K277" s="42">
        <v>0.114555634465787</v>
      </c>
    </row>
    <row r="278" spans="1:11" x14ac:dyDescent="0.25">
      <c r="A278" s="24" t="s">
        <v>7</v>
      </c>
      <c r="B278" s="24" t="s">
        <v>1947</v>
      </c>
      <c r="C278" s="25" t="s">
        <v>1948</v>
      </c>
      <c r="D278" s="24" t="s">
        <v>21277</v>
      </c>
      <c r="G278" s="40">
        <v>4</v>
      </c>
      <c r="H278" s="41">
        <v>45367</v>
      </c>
      <c r="J278" s="41">
        <v>11341.75</v>
      </c>
    </row>
    <row r="279" spans="1:11" x14ac:dyDescent="0.25">
      <c r="A279" s="24" t="s">
        <v>7</v>
      </c>
      <c r="B279" s="24" t="s">
        <v>1950</v>
      </c>
      <c r="C279" s="25" t="s">
        <v>1951</v>
      </c>
      <c r="D279" s="24" t="s">
        <v>21277</v>
      </c>
      <c r="E279" s="40">
        <v>1</v>
      </c>
      <c r="F279" s="41">
        <v>13434</v>
      </c>
      <c r="G279" s="40">
        <v>0</v>
      </c>
      <c r="H279" s="41">
        <v>0</v>
      </c>
      <c r="I279" s="41">
        <v>13434</v>
      </c>
    </row>
    <row r="280" spans="1:11" x14ac:dyDescent="0.25">
      <c r="A280" s="24" t="s">
        <v>7</v>
      </c>
      <c r="B280" s="24" t="s">
        <v>1959</v>
      </c>
      <c r="C280" s="25" t="s">
        <v>1960</v>
      </c>
      <c r="D280" s="24" t="s">
        <v>21277</v>
      </c>
      <c r="E280" s="40">
        <v>1</v>
      </c>
      <c r="F280" s="41">
        <v>10598</v>
      </c>
      <c r="G280" s="40">
        <v>1</v>
      </c>
      <c r="H280" s="41">
        <v>10598</v>
      </c>
      <c r="I280" s="41">
        <v>10598</v>
      </c>
      <c r="J280" s="41">
        <v>10598</v>
      </c>
      <c r="K280" s="42">
        <v>0</v>
      </c>
    </row>
    <row r="281" spans="1:11" x14ac:dyDescent="0.25">
      <c r="A281" s="24" t="s">
        <v>7</v>
      </c>
      <c r="B281" s="24" t="s">
        <v>1965</v>
      </c>
      <c r="C281" s="25" t="s">
        <v>1966</v>
      </c>
      <c r="D281" s="24" t="s">
        <v>21277</v>
      </c>
      <c r="G281" s="40">
        <v>1</v>
      </c>
      <c r="H281" s="41">
        <v>2523</v>
      </c>
      <c r="J281" s="41">
        <v>2523</v>
      </c>
    </row>
    <row r="282" spans="1:11" x14ac:dyDescent="0.25">
      <c r="A282" s="24" t="s">
        <v>7</v>
      </c>
      <c r="B282" s="24" t="s">
        <v>1968</v>
      </c>
      <c r="C282" s="25" t="s">
        <v>1969</v>
      </c>
      <c r="D282" s="24" t="s">
        <v>21277</v>
      </c>
      <c r="E282" s="40">
        <v>3</v>
      </c>
      <c r="F282" s="41">
        <v>6642</v>
      </c>
      <c r="G282" s="40">
        <v>0</v>
      </c>
      <c r="H282" s="41">
        <v>0</v>
      </c>
      <c r="I282" s="41">
        <v>2214</v>
      </c>
    </row>
    <row r="283" spans="1:11" x14ac:dyDescent="0.25">
      <c r="A283" s="24" t="s">
        <v>7</v>
      </c>
      <c r="B283" s="24" t="s">
        <v>1970</v>
      </c>
      <c r="C283" s="25" t="s">
        <v>1971</v>
      </c>
      <c r="D283" s="24" t="s">
        <v>21277</v>
      </c>
      <c r="E283" s="40">
        <v>16</v>
      </c>
      <c r="F283" s="41">
        <v>73880</v>
      </c>
      <c r="G283" s="40">
        <v>7</v>
      </c>
      <c r="H283" s="41">
        <v>56680</v>
      </c>
      <c r="I283" s="41">
        <v>4617.5</v>
      </c>
      <c r="J283" s="41">
        <v>8097.1428571428569</v>
      </c>
      <c r="K283" s="42">
        <v>0.75357722948410544</v>
      </c>
    </row>
    <row r="284" spans="1:11" x14ac:dyDescent="0.25">
      <c r="A284" s="24" t="s">
        <v>7</v>
      </c>
      <c r="B284" s="24" t="s">
        <v>1975</v>
      </c>
      <c r="C284" s="25" t="s">
        <v>1976</v>
      </c>
      <c r="D284" s="24" t="s">
        <v>21277</v>
      </c>
      <c r="E284" s="40">
        <v>18</v>
      </c>
      <c r="F284" s="41">
        <v>87854</v>
      </c>
      <c r="G284" s="40">
        <v>16</v>
      </c>
      <c r="H284" s="41">
        <v>126478</v>
      </c>
      <c r="I284" s="41">
        <v>4880.7777777777774</v>
      </c>
      <c r="J284" s="41">
        <v>7904.875</v>
      </c>
      <c r="K284" s="42">
        <v>0.61959330252464329</v>
      </c>
    </row>
    <row r="285" spans="1:11" x14ac:dyDescent="0.25">
      <c r="A285" s="24" t="s">
        <v>7</v>
      </c>
      <c r="B285" s="24" t="s">
        <v>1981</v>
      </c>
      <c r="C285" s="25" t="s">
        <v>1982</v>
      </c>
      <c r="D285" s="24" t="s">
        <v>21277</v>
      </c>
      <c r="E285" s="40">
        <v>16</v>
      </c>
      <c r="F285" s="41">
        <v>144784</v>
      </c>
      <c r="G285" s="40">
        <v>17</v>
      </c>
      <c r="H285" s="41">
        <v>196775</v>
      </c>
      <c r="I285" s="41">
        <v>9049</v>
      </c>
      <c r="J285" s="41">
        <v>11575</v>
      </c>
      <c r="K285" s="42">
        <v>0.27914686705713337</v>
      </c>
    </row>
    <row r="286" spans="1:11" x14ac:dyDescent="0.25">
      <c r="A286" s="24" t="s">
        <v>7</v>
      </c>
      <c r="B286" s="24" t="s">
        <v>1984</v>
      </c>
      <c r="C286" s="25" t="s">
        <v>1985</v>
      </c>
      <c r="D286" s="24" t="s">
        <v>21277</v>
      </c>
      <c r="G286" s="40">
        <v>1</v>
      </c>
      <c r="H286" s="41">
        <v>15897</v>
      </c>
      <c r="J286" s="41">
        <v>15897</v>
      </c>
    </row>
    <row r="287" spans="1:11" x14ac:dyDescent="0.25">
      <c r="A287" s="24" t="s">
        <v>7</v>
      </c>
      <c r="B287" s="24" t="s">
        <v>2021</v>
      </c>
      <c r="C287" s="25" t="s">
        <v>2022</v>
      </c>
      <c r="D287" s="24" t="s">
        <v>21277</v>
      </c>
      <c r="E287" s="40">
        <v>15</v>
      </c>
      <c r="F287" s="41">
        <v>201155</v>
      </c>
      <c r="G287" s="40">
        <v>52</v>
      </c>
      <c r="H287" s="41">
        <v>677413</v>
      </c>
      <c r="I287" s="41">
        <v>13410.333333333334</v>
      </c>
      <c r="J287" s="41">
        <v>13027.173076923076</v>
      </c>
      <c r="K287" s="42">
        <v>-2.8572015839297384E-2</v>
      </c>
    </row>
    <row r="288" spans="1:11" x14ac:dyDescent="0.25">
      <c r="A288" s="24" t="s">
        <v>7</v>
      </c>
      <c r="B288" s="24" t="s">
        <v>2024</v>
      </c>
      <c r="C288" s="25" t="s">
        <v>2025</v>
      </c>
      <c r="D288" s="24" t="s">
        <v>21277</v>
      </c>
      <c r="G288" s="40">
        <v>6</v>
      </c>
      <c r="H288" s="41">
        <v>15896</v>
      </c>
      <c r="J288" s="41">
        <v>2649.3333333333335</v>
      </c>
    </row>
    <row r="289" spans="1:11" x14ac:dyDescent="0.25">
      <c r="A289" s="24" t="s">
        <v>7</v>
      </c>
      <c r="B289" s="24" t="s">
        <v>2027</v>
      </c>
      <c r="C289" s="25" t="s">
        <v>2028</v>
      </c>
      <c r="D289" s="24" t="s">
        <v>21277</v>
      </c>
      <c r="G289" s="40">
        <v>5</v>
      </c>
      <c r="H289" s="41">
        <v>14195</v>
      </c>
      <c r="J289" s="41">
        <v>2839</v>
      </c>
    </row>
    <row r="290" spans="1:11" x14ac:dyDescent="0.25">
      <c r="A290" s="24" t="s">
        <v>7</v>
      </c>
      <c r="B290" s="24" t="s">
        <v>2038</v>
      </c>
      <c r="C290" s="25" t="s">
        <v>2039</v>
      </c>
      <c r="D290" s="24" t="s">
        <v>21277</v>
      </c>
      <c r="G290" s="40">
        <v>3</v>
      </c>
      <c r="H290" s="41">
        <v>52545</v>
      </c>
      <c r="J290" s="41">
        <v>17515</v>
      </c>
    </row>
    <row r="291" spans="1:11" x14ac:dyDescent="0.25">
      <c r="A291" s="24" t="s">
        <v>7</v>
      </c>
      <c r="B291" s="24" t="s">
        <v>2040</v>
      </c>
      <c r="C291" s="25" t="s">
        <v>2041</v>
      </c>
      <c r="D291" s="24" t="s">
        <v>21277</v>
      </c>
      <c r="G291" s="40">
        <v>4</v>
      </c>
      <c r="H291" s="41">
        <v>29388</v>
      </c>
      <c r="J291" s="41">
        <v>7347</v>
      </c>
    </row>
    <row r="292" spans="1:11" x14ac:dyDescent="0.25">
      <c r="A292" s="24" t="s">
        <v>7</v>
      </c>
      <c r="B292" s="24" t="s">
        <v>2044</v>
      </c>
      <c r="C292" s="25" t="s">
        <v>2045</v>
      </c>
      <c r="D292" s="24" t="s">
        <v>21277</v>
      </c>
      <c r="G292" s="40">
        <v>43</v>
      </c>
      <c r="H292" s="41">
        <v>373585</v>
      </c>
      <c r="J292" s="41">
        <v>8688.0232558139542</v>
      </c>
    </row>
    <row r="293" spans="1:11" x14ac:dyDescent="0.25">
      <c r="A293" s="24" t="s">
        <v>7</v>
      </c>
      <c r="B293" s="24" t="s">
        <v>2047</v>
      </c>
      <c r="C293" s="25" t="s">
        <v>2048</v>
      </c>
      <c r="D293" s="24" t="s">
        <v>21277</v>
      </c>
      <c r="G293" s="40">
        <v>40</v>
      </c>
      <c r="H293" s="41">
        <v>87088</v>
      </c>
      <c r="J293" s="41">
        <v>2177.1999999999998</v>
      </c>
    </row>
    <row r="294" spans="1:11" x14ac:dyDescent="0.25">
      <c r="A294" s="24" t="s">
        <v>7</v>
      </c>
      <c r="B294" s="24" t="s">
        <v>2050</v>
      </c>
      <c r="C294" s="25" t="s">
        <v>2051</v>
      </c>
      <c r="D294" s="24" t="s">
        <v>21277</v>
      </c>
      <c r="G294" s="40">
        <v>2</v>
      </c>
      <c r="H294" s="41">
        <v>4734</v>
      </c>
      <c r="J294" s="41">
        <v>2367</v>
      </c>
    </row>
    <row r="295" spans="1:11" x14ac:dyDescent="0.25">
      <c r="A295" s="24" t="s">
        <v>7</v>
      </c>
      <c r="B295" s="24" t="s">
        <v>2053</v>
      </c>
      <c r="C295" s="25" t="s">
        <v>2054</v>
      </c>
      <c r="D295" s="24" t="s">
        <v>21277</v>
      </c>
      <c r="G295" s="40">
        <v>2</v>
      </c>
      <c r="H295" s="41">
        <v>24620</v>
      </c>
      <c r="J295" s="41">
        <v>12310</v>
      </c>
    </row>
    <row r="296" spans="1:11" x14ac:dyDescent="0.25">
      <c r="A296" s="24" t="s">
        <v>7</v>
      </c>
      <c r="B296" s="24" t="s">
        <v>2056</v>
      </c>
      <c r="C296" s="25" t="s">
        <v>2057</v>
      </c>
      <c r="D296" s="24" t="s">
        <v>21277</v>
      </c>
      <c r="E296" s="40">
        <v>35</v>
      </c>
      <c r="F296" s="41">
        <v>311205</v>
      </c>
      <c r="G296" s="40">
        <v>83</v>
      </c>
      <c r="H296" s="41">
        <v>721676</v>
      </c>
      <c r="I296" s="41">
        <v>8891.5714285714294</v>
      </c>
      <c r="J296" s="41">
        <v>8694.8915662650597</v>
      </c>
      <c r="K296" s="42">
        <v>-2.2119809067087406E-2</v>
      </c>
    </row>
    <row r="297" spans="1:11" x14ac:dyDescent="0.25">
      <c r="A297" s="24" t="s">
        <v>7</v>
      </c>
      <c r="B297" s="24" t="s">
        <v>2059</v>
      </c>
      <c r="C297" s="25" t="s">
        <v>2060</v>
      </c>
      <c r="D297" s="24" t="s">
        <v>21277</v>
      </c>
      <c r="E297" s="40">
        <v>3</v>
      </c>
      <c r="F297" s="41">
        <v>31855</v>
      </c>
      <c r="G297" s="40">
        <v>5</v>
      </c>
      <c r="H297" s="41">
        <v>49620</v>
      </c>
      <c r="I297" s="41">
        <v>10618.333333333334</v>
      </c>
      <c r="J297" s="41">
        <v>9924</v>
      </c>
      <c r="K297" s="42">
        <v>-6.5390048657981537E-2</v>
      </c>
    </row>
    <row r="298" spans="1:11" x14ac:dyDescent="0.25">
      <c r="A298" s="24" t="s">
        <v>7</v>
      </c>
      <c r="B298" s="24" t="s">
        <v>2061</v>
      </c>
      <c r="C298" s="25" t="s">
        <v>2062</v>
      </c>
      <c r="D298" s="24" t="s">
        <v>21277</v>
      </c>
      <c r="G298" s="40">
        <v>1</v>
      </c>
      <c r="H298" s="41">
        <v>9183</v>
      </c>
      <c r="J298" s="41">
        <v>9183</v>
      </c>
    </row>
    <row r="299" spans="1:11" x14ac:dyDescent="0.25">
      <c r="A299" s="24" t="s">
        <v>7</v>
      </c>
      <c r="B299" s="24" t="s">
        <v>2064</v>
      </c>
      <c r="C299" s="25" t="s">
        <v>2065</v>
      </c>
      <c r="D299" s="24" t="s">
        <v>21277</v>
      </c>
      <c r="G299" s="40">
        <v>1</v>
      </c>
      <c r="H299" s="41">
        <v>13255</v>
      </c>
      <c r="J299" s="41">
        <v>13255</v>
      </c>
    </row>
    <row r="300" spans="1:11" x14ac:dyDescent="0.25">
      <c r="A300" s="24" t="s">
        <v>7</v>
      </c>
      <c r="B300" s="24" t="s">
        <v>2067</v>
      </c>
      <c r="C300" s="25" t="s">
        <v>2068</v>
      </c>
      <c r="D300" s="24" t="s">
        <v>21277</v>
      </c>
      <c r="G300" s="40">
        <v>1</v>
      </c>
      <c r="H300" s="41">
        <v>9467</v>
      </c>
      <c r="J300" s="41">
        <v>9467</v>
      </c>
    </row>
    <row r="301" spans="1:11" x14ac:dyDescent="0.25">
      <c r="A301" s="24" t="s">
        <v>7</v>
      </c>
      <c r="B301" s="24" t="s">
        <v>2073</v>
      </c>
      <c r="C301" s="25" t="s">
        <v>2074</v>
      </c>
      <c r="D301" s="24" t="s">
        <v>21274</v>
      </c>
      <c r="G301" s="40">
        <v>12</v>
      </c>
      <c r="H301" s="41">
        <v>86124</v>
      </c>
      <c r="J301" s="41">
        <v>7177</v>
      </c>
    </row>
    <row r="302" spans="1:11" x14ac:dyDescent="0.25">
      <c r="A302" s="24" t="s">
        <v>7</v>
      </c>
      <c r="B302" s="24" t="s">
        <v>2076</v>
      </c>
      <c r="C302" s="25" t="s">
        <v>2077</v>
      </c>
      <c r="D302" s="24" t="s">
        <v>21274</v>
      </c>
      <c r="E302" s="40">
        <v>66</v>
      </c>
      <c r="F302" s="41">
        <v>77305</v>
      </c>
      <c r="G302" s="40">
        <v>104</v>
      </c>
      <c r="H302" s="41">
        <v>177627</v>
      </c>
      <c r="I302" s="41">
        <v>1171.2878787878788</v>
      </c>
      <c r="J302" s="41">
        <v>1707.9519230769231</v>
      </c>
      <c r="K302" s="42">
        <v>0.45818287204031988</v>
      </c>
    </row>
    <row r="303" spans="1:11" x14ac:dyDescent="0.25">
      <c r="A303" s="24" t="s">
        <v>7</v>
      </c>
      <c r="B303" s="24" t="s">
        <v>2086</v>
      </c>
      <c r="C303" s="25" t="s">
        <v>2087</v>
      </c>
      <c r="D303" s="24" t="s">
        <v>21274</v>
      </c>
      <c r="E303" s="40">
        <v>75</v>
      </c>
      <c r="F303" s="41">
        <v>1123202</v>
      </c>
      <c r="G303" s="40">
        <v>71</v>
      </c>
      <c r="H303" s="41">
        <v>921882</v>
      </c>
      <c r="I303" s="41">
        <v>14976.026666666667</v>
      </c>
      <c r="J303" s="41">
        <v>12984.25352112676</v>
      </c>
      <c r="K303" s="42">
        <v>-0.13299743582676399</v>
      </c>
    </row>
    <row r="304" spans="1:11" x14ac:dyDescent="0.25">
      <c r="A304" s="24" t="s">
        <v>7</v>
      </c>
      <c r="B304" s="24" t="s">
        <v>2092</v>
      </c>
      <c r="C304" s="25" t="s">
        <v>2093</v>
      </c>
      <c r="D304" s="24" t="s">
        <v>21274</v>
      </c>
      <c r="G304" s="40">
        <v>6</v>
      </c>
      <c r="H304" s="41">
        <v>3126</v>
      </c>
      <c r="J304" s="41">
        <v>521</v>
      </c>
    </row>
    <row r="305" spans="1:11" x14ac:dyDescent="0.25">
      <c r="A305" s="24" t="s">
        <v>7</v>
      </c>
      <c r="B305" s="24" t="s">
        <v>2101</v>
      </c>
      <c r="C305" s="25" t="s">
        <v>2102</v>
      </c>
      <c r="D305" s="24" t="s">
        <v>21277</v>
      </c>
      <c r="G305" s="40">
        <v>2</v>
      </c>
      <c r="H305" s="41">
        <v>28404</v>
      </c>
      <c r="J305" s="41">
        <v>14202</v>
      </c>
    </row>
    <row r="306" spans="1:11" x14ac:dyDescent="0.25">
      <c r="A306" s="24" t="s">
        <v>7</v>
      </c>
      <c r="B306" s="24" t="s">
        <v>2110</v>
      </c>
      <c r="C306" s="25" t="s">
        <v>2111</v>
      </c>
      <c r="D306" s="24" t="s">
        <v>21274</v>
      </c>
      <c r="G306" s="40">
        <v>2</v>
      </c>
      <c r="H306" s="41">
        <v>11458</v>
      </c>
      <c r="J306" s="41">
        <v>5729</v>
      </c>
    </row>
    <row r="307" spans="1:11" x14ac:dyDescent="0.25">
      <c r="A307" s="24" t="s">
        <v>7</v>
      </c>
      <c r="B307" s="24" t="s">
        <v>2118</v>
      </c>
      <c r="C307" s="25" t="s">
        <v>2119</v>
      </c>
      <c r="D307" s="24" t="s">
        <v>21277</v>
      </c>
      <c r="G307" s="40">
        <v>1</v>
      </c>
      <c r="H307" s="41">
        <v>3491</v>
      </c>
      <c r="J307" s="41">
        <v>3491</v>
      </c>
    </row>
    <row r="308" spans="1:11" x14ac:dyDescent="0.25">
      <c r="A308" s="24" t="s">
        <v>7</v>
      </c>
      <c r="B308" s="24" t="s">
        <v>2123</v>
      </c>
      <c r="C308" s="25" t="s">
        <v>2124</v>
      </c>
      <c r="D308" s="24" t="s">
        <v>21277</v>
      </c>
      <c r="G308" s="40">
        <v>2</v>
      </c>
      <c r="H308" s="41">
        <v>20364</v>
      </c>
      <c r="J308" s="41">
        <v>10182</v>
      </c>
    </row>
    <row r="309" spans="1:11" x14ac:dyDescent="0.25">
      <c r="A309" s="24" t="s">
        <v>7</v>
      </c>
      <c r="B309" s="24" t="s">
        <v>2126</v>
      </c>
      <c r="C309" s="25" t="s">
        <v>2127</v>
      </c>
      <c r="D309" s="24" t="s">
        <v>21274</v>
      </c>
      <c r="E309" s="40">
        <v>12</v>
      </c>
      <c r="F309" s="41">
        <v>10808</v>
      </c>
      <c r="G309" s="40">
        <v>23</v>
      </c>
      <c r="H309" s="41">
        <v>51436</v>
      </c>
      <c r="I309" s="41">
        <v>900.66666666666663</v>
      </c>
      <c r="J309" s="41">
        <v>2236.3478260869565</v>
      </c>
      <c r="K309" s="42">
        <v>1.4829916647893673</v>
      </c>
    </row>
    <row r="310" spans="1:11" x14ac:dyDescent="0.25">
      <c r="A310" s="24" t="s">
        <v>7</v>
      </c>
      <c r="B310" s="24" t="s">
        <v>2135</v>
      </c>
      <c r="C310" s="25" t="s">
        <v>2136</v>
      </c>
      <c r="D310" s="24" t="s">
        <v>21274</v>
      </c>
      <c r="G310" s="40">
        <v>1</v>
      </c>
      <c r="H310" s="41">
        <v>11907</v>
      </c>
      <c r="J310" s="41">
        <v>11907</v>
      </c>
    </row>
    <row r="311" spans="1:11" x14ac:dyDescent="0.25">
      <c r="A311" s="24" t="s">
        <v>7</v>
      </c>
      <c r="B311" s="24" t="s">
        <v>2138</v>
      </c>
      <c r="C311" s="25" t="s">
        <v>2139</v>
      </c>
      <c r="D311" s="24" t="s">
        <v>21277</v>
      </c>
      <c r="G311" s="40">
        <v>4</v>
      </c>
      <c r="H311" s="41">
        <v>65518</v>
      </c>
      <c r="J311" s="41">
        <v>16379.5</v>
      </c>
    </row>
    <row r="312" spans="1:11" x14ac:dyDescent="0.25">
      <c r="A312" s="24" t="s">
        <v>7</v>
      </c>
      <c r="B312" s="24" t="s">
        <v>2141</v>
      </c>
      <c r="C312" s="25" t="s">
        <v>2142</v>
      </c>
      <c r="D312" s="24" t="s">
        <v>21277</v>
      </c>
      <c r="G312" s="40">
        <v>5</v>
      </c>
      <c r="H312" s="41">
        <v>74454</v>
      </c>
      <c r="J312" s="41">
        <v>14890.8</v>
      </c>
    </row>
    <row r="313" spans="1:11" x14ac:dyDescent="0.25">
      <c r="A313" s="24" t="s">
        <v>7</v>
      </c>
      <c r="B313" s="24" t="s">
        <v>2150</v>
      </c>
      <c r="C313" s="25" t="s">
        <v>2151</v>
      </c>
      <c r="D313" s="24" t="s">
        <v>21277</v>
      </c>
      <c r="E313" s="40">
        <v>29</v>
      </c>
      <c r="F313" s="41">
        <v>153508</v>
      </c>
      <c r="G313" s="40">
        <v>44</v>
      </c>
      <c r="H313" s="41">
        <v>261486</v>
      </c>
      <c r="I313" s="41">
        <v>5293.3793103448279</v>
      </c>
      <c r="J313" s="41">
        <v>5942.863636363636</v>
      </c>
      <c r="K313" s="42">
        <v>0.12269748452553245</v>
      </c>
    </row>
    <row r="314" spans="1:11" x14ac:dyDescent="0.25">
      <c r="A314" s="24" t="s">
        <v>7</v>
      </c>
      <c r="B314" s="24" t="s">
        <v>2179</v>
      </c>
      <c r="C314" s="25" t="s">
        <v>2180</v>
      </c>
      <c r="D314" s="24" t="s">
        <v>21277</v>
      </c>
      <c r="E314" s="40">
        <v>55</v>
      </c>
      <c r="F314" s="41">
        <v>387680</v>
      </c>
      <c r="G314" s="40">
        <v>62</v>
      </c>
      <c r="H314" s="41">
        <v>531792</v>
      </c>
      <c r="I314" s="41">
        <v>7048.727272727273</v>
      </c>
      <c r="J314" s="41">
        <v>8577.2903225806458</v>
      </c>
      <c r="K314" s="42">
        <v>0.21685660271857074</v>
      </c>
    </row>
    <row r="315" spans="1:11" x14ac:dyDescent="0.25">
      <c r="A315" s="24" t="s">
        <v>7</v>
      </c>
      <c r="B315" s="24" t="s">
        <v>2240</v>
      </c>
      <c r="C315" s="25" t="s">
        <v>2241</v>
      </c>
      <c r="D315" s="24" t="s">
        <v>21277</v>
      </c>
      <c r="E315" s="40">
        <v>28</v>
      </c>
      <c r="F315" s="41">
        <v>281772</v>
      </c>
      <c r="G315" s="40">
        <v>44</v>
      </c>
      <c r="H315" s="41">
        <v>543785</v>
      </c>
      <c r="I315" s="41">
        <v>10063.285714285714</v>
      </c>
      <c r="J315" s="41">
        <v>12358.75</v>
      </c>
      <c r="K315" s="42">
        <v>0.22810286330792279</v>
      </c>
    </row>
    <row r="316" spans="1:11" x14ac:dyDescent="0.25">
      <c r="A316" s="24" t="s">
        <v>7</v>
      </c>
      <c r="B316" s="24" t="s">
        <v>2242</v>
      </c>
      <c r="C316" s="25" t="s">
        <v>2243</v>
      </c>
      <c r="D316" s="24" t="s">
        <v>21277</v>
      </c>
      <c r="E316" s="40">
        <v>26</v>
      </c>
      <c r="F316" s="41">
        <v>216324</v>
      </c>
      <c r="G316" s="40">
        <v>41</v>
      </c>
      <c r="H316" s="41">
        <v>447854</v>
      </c>
      <c r="I316" s="41">
        <v>8320.1538461538457</v>
      </c>
      <c r="J316" s="41">
        <v>10923.268292682927</v>
      </c>
      <c r="K316" s="42">
        <v>0.31286854722433077</v>
      </c>
    </row>
    <row r="317" spans="1:11" x14ac:dyDescent="0.25">
      <c r="A317" s="24" t="s">
        <v>7</v>
      </c>
      <c r="B317" s="24" t="s">
        <v>2245</v>
      </c>
      <c r="C317" s="25" t="s">
        <v>2246</v>
      </c>
      <c r="D317" s="24" t="s">
        <v>21277</v>
      </c>
      <c r="E317" s="40">
        <v>35</v>
      </c>
      <c r="F317" s="41">
        <v>127741</v>
      </c>
      <c r="G317" s="40">
        <v>50</v>
      </c>
      <c r="H317" s="41">
        <v>356749</v>
      </c>
      <c r="I317" s="41">
        <v>3649.7428571428572</v>
      </c>
      <c r="J317" s="41">
        <v>7134.98</v>
      </c>
      <c r="K317" s="42">
        <v>0.95492676587783076</v>
      </c>
    </row>
    <row r="318" spans="1:11" x14ac:dyDescent="0.25">
      <c r="A318" s="24" t="s">
        <v>7</v>
      </c>
      <c r="B318" s="24" t="s">
        <v>2247</v>
      </c>
      <c r="C318" s="25" t="s">
        <v>2248</v>
      </c>
      <c r="D318" s="24" t="s">
        <v>21277</v>
      </c>
      <c r="E318" s="40">
        <v>26</v>
      </c>
      <c r="F318" s="41">
        <v>516732</v>
      </c>
      <c r="G318" s="40">
        <v>40</v>
      </c>
      <c r="H318" s="41">
        <v>855545</v>
      </c>
      <c r="I318" s="41">
        <v>19874.307692307691</v>
      </c>
      <c r="J318" s="41">
        <v>21388.625</v>
      </c>
      <c r="K318" s="42">
        <v>7.6194719893484489E-2</v>
      </c>
    </row>
    <row r="319" spans="1:11" x14ac:dyDescent="0.25">
      <c r="A319" s="24" t="s">
        <v>7</v>
      </c>
      <c r="B319" s="24" t="s">
        <v>2250</v>
      </c>
      <c r="C319" s="25" t="s">
        <v>2251</v>
      </c>
      <c r="D319" s="24" t="s">
        <v>21277</v>
      </c>
      <c r="E319" s="40">
        <v>23</v>
      </c>
      <c r="F319" s="41">
        <v>24121</v>
      </c>
      <c r="G319" s="40">
        <v>23</v>
      </c>
      <c r="H319" s="41">
        <v>159188</v>
      </c>
      <c r="I319" s="41">
        <v>1048.7391304347825</v>
      </c>
      <c r="J319" s="41">
        <v>6921.217391304348</v>
      </c>
      <c r="K319" s="42">
        <v>5.5995605488993005</v>
      </c>
    </row>
    <row r="320" spans="1:11" x14ac:dyDescent="0.25">
      <c r="A320" s="24" t="s">
        <v>7</v>
      </c>
      <c r="B320" s="24" t="s">
        <v>2256</v>
      </c>
      <c r="C320" s="25" t="s">
        <v>2257</v>
      </c>
      <c r="D320" s="24" t="s">
        <v>21277</v>
      </c>
      <c r="G320" s="40">
        <v>2</v>
      </c>
      <c r="H320" s="41">
        <v>12680</v>
      </c>
      <c r="J320" s="41">
        <v>6340</v>
      </c>
    </row>
    <row r="321" spans="1:11" x14ac:dyDescent="0.25">
      <c r="A321" s="24" t="s">
        <v>7</v>
      </c>
      <c r="B321" s="24" t="s">
        <v>2259</v>
      </c>
      <c r="C321" s="25" t="s">
        <v>2260</v>
      </c>
      <c r="D321" s="24" t="s">
        <v>21277</v>
      </c>
      <c r="E321" s="40">
        <v>41</v>
      </c>
      <c r="F321" s="41">
        <v>182968</v>
      </c>
      <c r="G321" s="40">
        <v>98</v>
      </c>
      <c r="H321" s="41">
        <v>817856</v>
      </c>
      <c r="I321" s="41">
        <v>4462.6341463414637</v>
      </c>
      <c r="J321" s="41">
        <v>8345.4693877551017</v>
      </c>
      <c r="K321" s="42">
        <v>0.87007698011651846</v>
      </c>
    </row>
    <row r="322" spans="1:11" x14ac:dyDescent="0.25">
      <c r="A322" s="24" t="s">
        <v>7</v>
      </c>
      <c r="B322" s="24" t="s">
        <v>2265</v>
      </c>
      <c r="C322" s="25" t="s">
        <v>2266</v>
      </c>
      <c r="D322" s="24" t="s">
        <v>21277</v>
      </c>
      <c r="E322" s="40">
        <v>40</v>
      </c>
      <c r="F322" s="41">
        <v>2149792</v>
      </c>
      <c r="G322" s="40">
        <v>96</v>
      </c>
      <c r="H322" s="41">
        <v>4784157</v>
      </c>
      <c r="I322" s="41">
        <v>53744.800000000003</v>
      </c>
      <c r="J322" s="41">
        <v>49834.96875</v>
      </c>
      <c r="K322" s="42">
        <v>-7.2748084465846047E-2</v>
      </c>
    </row>
    <row r="323" spans="1:11" x14ac:dyDescent="0.25">
      <c r="A323" s="24" t="s">
        <v>7</v>
      </c>
      <c r="B323" s="24" t="s">
        <v>2268</v>
      </c>
      <c r="C323" s="25" t="s">
        <v>2269</v>
      </c>
      <c r="D323" s="24" t="s">
        <v>21277</v>
      </c>
      <c r="E323" s="40">
        <v>84</v>
      </c>
      <c r="F323" s="41">
        <v>450948</v>
      </c>
      <c r="G323" s="40">
        <v>205</v>
      </c>
      <c r="H323" s="41">
        <v>1836835</v>
      </c>
      <c r="I323" s="41">
        <v>5368.4285714285716</v>
      </c>
      <c r="J323" s="41">
        <v>8960.1707317073178</v>
      </c>
      <c r="K323" s="42">
        <v>0.66904907320448181</v>
      </c>
    </row>
    <row r="324" spans="1:11" x14ac:dyDescent="0.25">
      <c r="A324" s="24" t="s">
        <v>7</v>
      </c>
      <c r="B324" s="24" t="s">
        <v>2271</v>
      </c>
      <c r="C324" s="25" t="s">
        <v>2272</v>
      </c>
      <c r="D324" s="24" t="s">
        <v>21277</v>
      </c>
      <c r="E324" s="40">
        <v>37</v>
      </c>
      <c r="F324" s="41">
        <v>715003</v>
      </c>
      <c r="G324" s="40">
        <v>96</v>
      </c>
      <c r="H324" s="41">
        <v>2017680</v>
      </c>
      <c r="I324" s="41">
        <v>19324.405405405407</v>
      </c>
      <c r="J324" s="41">
        <v>21017.5</v>
      </c>
      <c r="K324" s="42">
        <v>8.7614317702163408E-2</v>
      </c>
    </row>
    <row r="325" spans="1:11" x14ac:dyDescent="0.25">
      <c r="A325" s="24" t="s">
        <v>7</v>
      </c>
      <c r="B325" s="24" t="s">
        <v>2274</v>
      </c>
      <c r="C325" s="25" t="s">
        <v>2275</v>
      </c>
      <c r="D325" s="24" t="s">
        <v>21277</v>
      </c>
      <c r="E325" s="40">
        <v>41</v>
      </c>
      <c r="F325" s="41">
        <v>1102156</v>
      </c>
      <c r="G325" s="40">
        <v>99</v>
      </c>
      <c r="H325" s="41">
        <v>2710468</v>
      </c>
      <c r="I325" s="41">
        <v>26881.853658536584</v>
      </c>
      <c r="J325" s="41">
        <v>27378.464646464647</v>
      </c>
      <c r="K325" s="42">
        <v>1.847383719278449E-2</v>
      </c>
    </row>
    <row r="326" spans="1:11" x14ac:dyDescent="0.25">
      <c r="A326" s="24" t="s">
        <v>7</v>
      </c>
      <c r="B326" s="24" t="s">
        <v>2277</v>
      </c>
      <c r="C326" s="25" t="s">
        <v>2278</v>
      </c>
      <c r="D326" s="24" t="s">
        <v>21277</v>
      </c>
      <c r="E326" s="40">
        <v>2</v>
      </c>
      <c r="F326" s="41">
        <v>40636</v>
      </c>
      <c r="G326" s="40">
        <v>1</v>
      </c>
      <c r="H326" s="41">
        <v>20318</v>
      </c>
      <c r="I326" s="41">
        <v>20318</v>
      </c>
      <c r="J326" s="41">
        <v>20318</v>
      </c>
      <c r="K326" s="42">
        <v>0</v>
      </c>
    </row>
    <row r="327" spans="1:11" x14ac:dyDescent="0.25">
      <c r="A327" s="24" t="s">
        <v>7</v>
      </c>
      <c r="B327" s="24" t="s">
        <v>2280</v>
      </c>
      <c r="C327" s="25" t="s">
        <v>2281</v>
      </c>
      <c r="D327" s="24" t="s">
        <v>21277</v>
      </c>
      <c r="G327" s="40">
        <v>5</v>
      </c>
      <c r="H327" s="41">
        <v>64850</v>
      </c>
      <c r="J327" s="41">
        <v>12970</v>
      </c>
    </row>
    <row r="328" spans="1:11" x14ac:dyDescent="0.25">
      <c r="A328" s="24" t="s">
        <v>7</v>
      </c>
      <c r="B328" s="24" t="s">
        <v>2282</v>
      </c>
      <c r="C328" s="25" t="s">
        <v>2283</v>
      </c>
      <c r="D328" s="24" t="s">
        <v>21277</v>
      </c>
      <c r="E328" s="40">
        <v>1</v>
      </c>
      <c r="F328" s="41">
        <v>16623</v>
      </c>
      <c r="G328" s="40">
        <v>0</v>
      </c>
      <c r="H328" s="41">
        <v>0</v>
      </c>
      <c r="I328" s="41">
        <v>16623</v>
      </c>
    </row>
    <row r="329" spans="1:11" x14ac:dyDescent="0.25">
      <c r="A329" s="24" t="s">
        <v>7</v>
      </c>
      <c r="B329" s="24" t="s">
        <v>2290</v>
      </c>
      <c r="C329" s="25" t="s">
        <v>2291</v>
      </c>
      <c r="D329" s="24" t="s">
        <v>21277</v>
      </c>
      <c r="E329" s="40">
        <v>2</v>
      </c>
      <c r="F329" s="41">
        <v>22164</v>
      </c>
      <c r="G329" s="40">
        <v>1</v>
      </c>
      <c r="H329" s="41">
        <v>12175</v>
      </c>
      <c r="I329" s="41">
        <v>11082</v>
      </c>
      <c r="J329" s="41">
        <v>12175</v>
      </c>
      <c r="K329" s="42">
        <v>9.8628406424833059E-2</v>
      </c>
    </row>
    <row r="330" spans="1:11" x14ac:dyDescent="0.25">
      <c r="A330" s="24" t="s">
        <v>7</v>
      </c>
      <c r="B330" s="24" t="s">
        <v>2293</v>
      </c>
      <c r="C330" s="25" t="s">
        <v>2294</v>
      </c>
      <c r="D330" s="24" t="s">
        <v>21277</v>
      </c>
      <c r="E330" s="40">
        <v>9</v>
      </c>
      <c r="F330" s="41">
        <v>81747</v>
      </c>
      <c r="G330" s="40">
        <v>5</v>
      </c>
      <c r="H330" s="41">
        <v>64850</v>
      </c>
      <c r="I330" s="41">
        <v>9083</v>
      </c>
      <c r="J330" s="41">
        <v>12970</v>
      </c>
      <c r="K330" s="42">
        <v>0.42794230980953429</v>
      </c>
    </row>
    <row r="331" spans="1:11" x14ac:dyDescent="0.25">
      <c r="A331" s="24" t="s">
        <v>7</v>
      </c>
      <c r="B331" s="24" t="s">
        <v>2296</v>
      </c>
      <c r="C331" s="25" t="s">
        <v>2297</v>
      </c>
      <c r="D331" s="24" t="s">
        <v>21277</v>
      </c>
      <c r="E331" s="40">
        <v>10</v>
      </c>
      <c r="F331" s="41">
        <v>81272</v>
      </c>
      <c r="G331" s="40">
        <v>3</v>
      </c>
      <c r="H331" s="41">
        <v>24936</v>
      </c>
      <c r="I331" s="41">
        <v>8127.2</v>
      </c>
      <c r="J331" s="41">
        <v>8312</v>
      </c>
      <c r="K331" s="42">
        <v>2.2738458509695858E-2</v>
      </c>
    </row>
    <row r="332" spans="1:11" x14ac:dyDescent="0.25">
      <c r="A332" s="24" t="s">
        <v>7</v>
      </c>
      <c r="B332" s="24" t="s">
        <v>2299</v>
      </c>
      <c r="C332" s="25" t="s">
        <v>2300</v>
      </c>
      <c r="D332" s="24" t="s">
        <v>21277</v>
      </c>
      <c r="E332" s="40">
        <v>1</v>
      </c>
      <c r="F332" s="41">
        <v>24935</v>
      </c>
      <c r="G332" s="40">
        <v>2</v>
      </c>
      <c r="H332" s="41">
        <v>49870</v>
      </c>
      <c r="I332" s="41">
        <v>24935</v>
      </c>
      <c r="J332" s="41">
        <v>24935</v>
      </c>
      <c r="K332" s="42">
        <v>0</v>
      </c>
    </row>
    <row r="333" spans="1:11" x14ac:dyDescent="0.25">
      <c r="A333" s="24" t="s">
        <v>7</v>
      </c>
      <c r="B333" s="24" t="s">
        <v>2302</v>
      </c>
      <c r="C333" s="25" t="s">
        <v>2303</v>
      </c>
      <c r="D333" s="24" t="s">
        <v>21274</v>
      </c>
      <c r="G333" s="40">
        <v>14</v>
      </c>
      <c r="H333" s="41">
        <v>13924</v>
      </c>
      <c r="J333" s="41">
        <v>994.57142857142856</v>
      </c>
    </row>
    <row r="334" spans="1:11" x14ac:dyDescent="0.25">
      <c r="A334" s="24" t="s">
        <v>7</v>
      </c>
      <c r="B334" s="24" t="s">
        <v>2314</v>
      </c>
      <c r="C334" s="25" t="s">
        <v>2315</v>
      </c>
      <c r="D334" s="24" t="s">
        <v>21274</v>
      </c>
      <c r="E334" s="40">
        <v>4</v>
      </c>
      <c r="F334" s="41">
        <v>52608</v>
      </c>
      <c r="G334" s="40">
        <v>2</v>
      </c>
      <c r="H334" s="41">
        <v>17110</v>
      </c>
      <c r="I334" s="41">
        <v>13152</v>
      </c>
      <c r="J334" s="41">
        <v>8555</v>
      </c>
      <c r="K334" s="42">
        <v>-0.34952858880778587</v>
      </c>
    </row>
    <row r="335" spans="1:11" x14ac:dyDescent="0.25">
      <c r="A335" s="24" t="s">
        <v>7</v>
      </c>
      <c r="B335" s="24" t="s">
        <v>2323</v>
      </c>
      <c r="C335" s="25" t="s">
        <v>2324</v>
      </c>
      <c r="D335" s="24" t="s">
        <v>21274</v>
      </c>
      <c r="G335" s="40">
        <v>2</v>
      </c>
      <c r="H335" s="41">
        <v>18518</v>
      </c>
      <c r="J335" s="41">
        <v>9259</v>
      </c>
    </row>
    <row r="336" spans="1:11" x14ac:dyDescent="0.25">
      <c r="A336" s="24" t="s">
        <v>7</v>
      </c>
      <c r="B336" s="24" t="s">
        <v>2340</v>
      </c>
      <c r="C336" s="25" t="s">
        <v>2341</v>
      </c>
      <c r="D336" s="24" t="s">
        <v>21274</v>
      </c>
      <c r="G336" s="40">
        <v>11</v>
      </c>
      <c r="H336" s="41">
        <v>20889</v>
      </c>
      <c r="J336" s="41">
        <v>1899</v>
      </c>
    </row>
    <row r="337" spans="1:11" x14ac:dyDescent="0.25">
      <c r="A337" s="24" t="s">
        <v>7</v>
      </c>
      <c r="B337" s="24" t="s">
        <v>2353</v>
      </c>
      <c r="C337" s="25" t="s">
        <v>2354</v>
      </c>
      <c r="D337" s="24" t="s">
        <v>21274</v>
      </c>
      <c r="E337" s="40">
        <v>8</v>
      </c>
      <c r="F337" s="41">
        <v>56573.5</v>
      </c>
      <c r="G337" s="40">
        <v>12</v>
      </c>
      <c r="H337" s="41">
        <v>59785</v>
      </c>
      <c r="I337" s="41">
        <v>7071.6875</v>
      </c>
      <c r="J337" s="41">
        <v>4982.083333333333</v>
      </c>
      <c r="K337" s="42">
        <v>-0.29548875946040698</v>
      </c>
    </row>
    <row r="338" spans="1:11" x14ac:dyDescent="0.25">
      <c r="A338" s="24" t="s">
        <v>7</v>
      </c>
      <c r="B338" s="24" t="s">
        <v>2356</v>
      </c>
      <c r="C338" s="25" t="s">
        <v>2357</v>
      </c>
      <c r="D338" s="24" t="s">
        <v>21274</v>
      </c>
      <c r="E338" s="40">
        <v>3</v>
      </c>
      <c r="F338" s="41">
        <v>21631</v>
      </c>
      <c r="G338" s="40">
        <v>2</v>
      </c>
      <c r="H338" s="41">
        <v>14786</v>
      </c>
      <c r="I338" s="41">
        <v>7210.333333333333</v>
      </c>
      <c r="J338" s="41">
        <v>7393</v>
      </c>
      <c r="K338" s="42">
        <v>2.5334011372567192E-2</v>
      </c>
    </row>
    <row r="339" spans="1:11" x14ac:dyDescent="0.25">
      <c r="A339" s="24" t="s">
        <v>7</v>
      </c>
      <c r="B339" s="24" t="s">
        <v>2359</v>
      </c>
      <c r="C339" s="25" t="s">
        <v>2360</v>
      </c>
      <c r="D339" s="24" t="s">
        <v>21274</v>
      </c>
      <c r="G339" s="40">
        <v>94</v>
      </c>
      <c r="H339" s="41">
        <v>222255.65</v>
      </c>
      <c r="J339" s="41">
        <v>2364.4218085106381</v>
      </c>
    </row>
    <row r="340" spans="1:11" x14ac:dyDescent="0.25">
      <c r="A340" s="24" t="s">
        <v>7</v>
      </c>
      <c r="B340" s="24" t="s">
        <v>2362</v>
      </c>
      <c r="C340" s="25" t="s">
        <v>2363</v>
      </c>
      <c r="D340" s="24" t="s">
        <v>21274</v>
      </c>
      <c r="G340" s="40">
        <v>16</v>
      </c>
      <c r="H340" s="41">
        <v>51964</v>
      </c>
      <c r="J340" s="41">
        <v>3247.75</v>
      </c>
    </row>
    <row r="341" spans="1:11" x14ac:dyDescent="0.25">
      <c r="A341" s="24" t="s">
        <v>7</v>
      </c>
      <c r="B341" s="24" t="s">
        <v>2365</v>
      </c>
      <c r="C341" s="25" t="s">
        <v>2366</v>
      </c>
      <c r="D341" s="24" t="s">
        <v>21274</v>
      </c>
      <c r="G341" s="40">
        <v>22</v>
      </c>
      <c r="H341" s="41">
        <v>56408</v>
      </c>
      <c r="J341" s="41">
        <v>2564</v>
      </c>
    </row>
    <row r="342" spans="1:11" x14ac:dyDescent="0.25">
      <c r="A342" s="24" t="s">
        <v>7</v>
      </c>
      <c r="B342" s="24" t="s">
        <v>2368</v>
      </c>
      <c r="C342" s="25" t="s">
        <v>2369</v>
      </c>
      <c r="D342" s="24" t="s">
        <v>21274</v>
      </c>
      <c r="G342" s="40">
        <v>4</v>
      </c>
      <c r="H342" s="41">
        <v>36808</v>
      </c>
      <c r="J342" s="41">
        <v>9202</v>
      </c>
    </row>
    <row r="343" spans="1:11" x14ac:dyDescent="0.25">
      <c r="A343" s="24" t="s">
        <v>7</v>
      </c>
      <c r="B343" s="24" t="s">
        <v>2383</v>
      </c>
      <c r="C343" s="25" t="s">
        <v>2384</v>
      </c>
      <c r="D343" s="24" t="s">
        <v>21274</v>
      </c>
      <c r="G343" s="40">
        <v>7</v>
      </c>
      <c r="H343" s="41">
        <v>45364</v>
      </c>
      <c r="J343" s="41">
        <v>6480.5714285714284</v>
      </c>
    </row>
    <row r="344" spans="1:11" x14ac:dyDescent="0.25">
      <c r="A344" s="24" t="s">
        <v>7</v>
      </c>
      <c r="B344" s="24" t="s">
        <v>2386</v>
      </c>
      <c r="C344" s="25" t="s">
        <v>2387</v>
      </c>
      <c r="D344" s="24" t="s">
        <v>21274</v>
      </c>
      <c r="E344" s="40">
        <v>2</v>
      </c>
      <c r="F344" s="41">
        <v>3524</v>
      </c>
      <c r="G344" s="40">
        <v>0</v>
      </c>
      <c r="H344" s="41">
        <v>0</v>
      </c>
      <c r="I344" s="41">
        <v>1762</v>
      </c>
    </row>
    <row r="345" spans="1:11" x14ac:dyDescent="0.25">
      <c r="A345" s="24" t="s">
        <v>7</v>
      </c>
      <c r="B345" s="24" t="s">
        <v>2392</v>
      </c>
      <c r="C345" s="25" t="s">
        <v>2393</v>
      </c>
      <c r="D345" s="24" t="s">
        <v>21278</v>
      </c>
      <c r="E345" s="40">
        <v>45</v>
      </c>
      <c r="F345" s="41">
        <v>612750.5</v>
      </c>
      <c r="G345" s="40">
        <v>43</v>
      </c>
      <c r="H345" s="41">
        <v>511037.55</v>
      </c>
      <c r="I345" s="41">
        <v>13616.677777777777</v>
      </c>
      <c r="J345" s="41">
        <v>11884.594186046512</v>
      </c>
      <c r="K345" s="42">
        <v>-0.12720309755423609</v>
      </c>
    </row>
    <row r="346" spans="1:11" x14ac:dyDescent="0.25">
      <c r="A346" s="24" t="s">
        <v>7</v>
      </c>
      <c r="B346" s="24" t="s">
        <v>2398</v>
      </c>
      <c r="C346" s="25" t="s">
        <v>2399</v>
      </c>
      <c r="D346" s="24" t="s">
        <v>21279</v>
      </c>
      <c r="E346" s="40">
        <v>44</v>
      </c>
      <c r="F346" s="41">
        <v>690332</v>
      </c>
      <c r="G346" s="40">
        <v>68</v>
      </c>
      <c r="H346" s="41">
        <v>1021809</v>
      </c>
      <c r="I346" s="41">
        <v>15689.363636363636</v>
      </c>
      <c r="J346" s="41">
        <v>15026.60294117647</v>
      </c>
      <c r="K346" s="42">
        <v>-4.2242675391312143E-2</v>
      </c>
    </row>
    <row r="347" spans="1:11" x14ac:dyDescent="0.25">
      <c r="A347" s="24" t="s">
        <v>7</v>
      </c>
      <c r="B347" s="24" t="s">
        <v>2418</v>
      </c>
      <c r="C347" s="25" t="s">
        <v>2419</v>
      </c>
      <c r="D347" s="24" t="s">
        <v>21279</v>
      </c>
      <c r="G347" s="40">
        <v>6</v>
      </c>
      <c r="H347" s="41">
        <v>112200</v>
      </c>
      <c r="J347" s="41">
        <v>18700</v>
      </c>
    </row>
    <row r="348" spans="1:11" x14ac:dyDescent="0.25">
      <c r="A348" s="24" t="s">
        <v>7</v>
      </c>
      <c r="B348" s="24" t="s">
        <v>2424</v>
      </c>
      <c r="C348" s="25" t="s">
        <v>2425</v>
      </c>
      <c r="D348" s="24" t="s">
        <v>21274</v>
      </c>
      <c r="E348" s="40">
        <v>43</v>
      </c>
      <c r="F348" s="41">
        <v>127970</v>
      </c>
      <c r="G348" s="40">
        <v>106</v>
      </c>
      <c r="H348" s="41">
        <v>341074</v>
      </c>
      <c r="I348" s="41">
        <v>2976.046511627907</v>
      </c>
      <c r="J348" s="41">
        <v>3217.6792452830186</v>
      </c>
      <c r="K348" s="42">
        <v>8.1192525960536083E-2</v>
      </c>
    </row>
    <row r="349" spans="1:11" x14ac:dyDescent="0.25">
      <c r="A349" s="24" t="s">
        <v>7</v>
      </c>
      <c r="B349" s="24" t="s">
        <v>2427</v>
      </c>
      <c r="C349" s="25" t="s">
        <v>2428</v>
      </c>
      <c r="D349" s="24" t="s">
        <v>21274</v>
      </c>
      <c r="E349" s="40">
        <v>5</v>
      </c>
      <c r="F349" s="41">
        <v>12585</v>
      </c>
      <c r="G349" s="40">
        <v>13</v>
      </c>
      <c r="H349" s="41">
        <v>34162</v>
      </c>
      <c r="I349" s="41">
        <v>2517</v>
      </c>
      <c r="J349" s="41">
        <v>2627.8461538461538</v>
      </c>
      <c r="K349" s="42">
        <v>4.4038996363191821E-2</v>
      </c>
    </row>
    <row r="350" spans="1:11" x14ac:dyDescent="0.25">
      <c r="A350" s="24" t="s">
        <v>7</v>
      </c>
      <c r="B350" s="24" t="s">
        <v>2429</v>
      </c>
      <c r="C350" s="25" t="s">
        <v>2430</v>
      </c>
      <c r="D350" s="24" t="s">
        <v>21274</v>
      </c>
      <c r="G350" s="40">
        <v>57</v>
      </c>
      <c r="H350" s="41">
        <v>168670</v>
      </c>
      <c r="J350" s="41">
        <v>2959.1228070175439</v>
      </c>
    </row>
    <row r="351" spans="1:11" x14ac:dyDescent="0.25">
      <c r="A351" s="24" t="s">
        <v>7</v>
      </c>
      <c r="B351" s="24" t="s">
        <v>2432</v>
      </c>
      <c r="C351" s="25" t="s">
        <v>2433</v>
      </c>
      <c r="D351" s="24" t="s">
        <v>21274</v>
      </c>
      <c r="G351" s="40">
        <v>1</v>
      </c>
      <c r="H351" s="41">
        <v>4537.5</v>
      </c>
      <c r="J351" s="41">
        <v>4537.5</v>
      </c>
    </row>
    <row r="352" spans="1:11" x14ac:dyDescent="0.25">
      <c r="A352" s="24" t="s">
        <v>7</v>
      </c>
      <c r="B352" s="24" t="s">
        <v>2434</v>
      </c>
      <c r="C352" s="25" t="s">
        <v>2435</v>
      </c>
      <c r="D352" s="24" t="s">
        <v>21274</v>
      </c>
      <c r="E352" s="40">
        <v>10</v>
      </c>
      <c r="F352" s="41">
        <v>13961</v>
      </c>
      <c r="G352" s="40">
        <v>47</v>
      </c>
      <c r="H352" s="41">
        <v>112166</v>
      </c>
      <c r="I352" s="41">
        <v>1396.1</v>
      </c>
      <c r="J352" s="41">
        <v>2386.5106382978724</v>
      </c>
      <c r="K352" s="42">
        <v>0.70941239044328674</v>
      </c>
    </row>
    <row r="353" spans="1:11" x14ac:dyDescent="0.25">
      <c r="A353" s="24" t="s">
        <v>7</v>
      </c>
      <c r="B353" s="24" t="s">
        <v>2444</v>
      </c>
      <c r="C353" s="25" t="s">
        <v>2445</v>
      </c>
      <c r="D353" s="24" t="s">
        <v>21280</v>
      </c>
      <c r="G353" s="40">
        <v>674</v>
      </c>
      <c r="H353" s="41">
        <v>294538</v>
      </c>
      <c r="J353" s="41">
        <v>437</v>
      </c>
    </row>
    <row r="354" spans="1:11" x14ac:dyDescent="0.25">
      <c r="A354" s="24" t="s">
        <v>7</v>
      </c>
      <c r="B354" s="24" t="s">
        <v>2449</v>
      </c>
      <c r="C354" s="25" t="s">
        <v>2450</v>
      </c>
      <c r="D354" s="24" t="s">
        <v>21276</v>
      </c>
      <c r="E354" s="40">
        <v>18</v>
      </c>
      <c r="F354" s="41">
        <v>406390</v>
      </c>
      <c r="G354" s="40">
        <v>53</v>
      </c>
      <c r="H354" s="41">
        <v>1216615</v>
      </c>
      <c r="I354" s="41">
        <v>22577.222222222223</v>
      </c>
      <c r="J354" s="41">
        <v>22955</v>
      </c>
      <c r="K354" s="42">
        <v>1.6732695194271494E-2</v>
      </c>
    </row>
    <row r="355" spans="1:11" x14ac:dyDescent="0.25">
      <c r="A355" s="24" t="s">
        <v>7</v>
      </c>
      <c r="B355" s="24" t="s">
        <v>2467</v>
      </c>
      <c r="C355" s="25" t="s">
        <v>2468</v>
      </c>
      <c r="D355" s="24" t="s">
        <v>21281</v>
      </c>
      <c r="G355" s="40">
        <v>3</v>
      </c>
      <c r="H355" s="41">
        <v>39195</v>
      </c>
      <c r="J355" s="41">
        <v>13065</v>
      </c>
    </row>
    <row r="356" spans="1:11" x14ac:dyDescent="0.25">
      <c r="A356" s="24" t="s">
        <v>7</v>
      </c>
      <c r="B356" s="24" t="s">
        <v>2483</v>
      </c>
      <c r="C356" s="25" t="s">
        <v>2484</v>
      </c>
      <c r="D356" s="24" t="s">
        <v>21282</v>
      </c>
      <c r="E356" s="40">
        <v>9</v>
      </c>
      <c r="F356" s="41">
        <v>12561</v>
      </c>
      <c r="G356" s="40">
        <v>16</v>
      </c>
      <c r="H356" s="41">
        <v>22697</v>
      </c>
      <c r="I356" s="41">
        <v>1395.6666666666667</v>
      </c>
      <c r="J356" s="41">
        <v>1418.5625</v>
      </c>
      <c r="K356" s="42">
        <v>1.6404943873895336E-2</v>
      </c>
    </row>
    <row r="357" spans="1:11" x14ac:dyDescent="0.25">
      <c r="A357" s="24" t="s">
        <v>7</v>
      </c>
      <c r="B357" s="24" t="s">
        <v>2495</v>
      </c>
      <c r="C357" s="25" t="s">
        <v>2496</v>
      </c>
      <c r="D357" s="24" t="s">
        <v>21281</v>
      </c>
      <c r="G357" s="40">
        <v>1</v>
      </c>
      <c r="H357" s="41">
        <v>11445</v>
      </c>
      <c r="J357" s="41">
        <v>11445</v>
      </c>
    </row>
    <row r="358" spans="1:11" x14ac:dyDescent="0.25">
      <c r="A358" s="24" t="s">
        <v>7</v>
      </c>
      <c r="B358" s="24" t="s">
        <v>2522</v>
      </c>
      <c r="C358" s="25" t="s">
        <v>2523</v>
      </c>
      <c r="D358" s="24" t="s">
        <v>21282</v>
      </c>
      <c r="E358" s="40">
        <v>1</v>
      </c>
      <c r="F358" s="41">
        <v>25313</v>
      </c>
      <c r="G358" s="40">
        <v>0</v>
      </c>
      <c r="H358" s="41">
        <v>0</v>
      </c>
      <c r="I358" s="41">
        <v>25313</v>
      </c>
    </row>
    <row r="359" spans="1:11" x14ac:dyDescent="0.25">
      <c r="A359" s="24" t="s">
        <v>7</v>
      </c>
      <c r="B359" s="24" t="s">
        <v>2534</v>
      </c>
      <c r="C359" s="25" t="s">
        <v>2535</v>
      </c>
      <c r="D359" s="24" t="s">
        <v>21274</v>
      </c>
      <c r="G359" s="40">
        <v>3</v>
      </c>
      <c r="H359" s="41">
        <v>14025</v>
      </c>
      <c r="J359" s="41">
        <v>4675</v>
      </c>
    </row>
    <row r="360" spans="1:11" x14ac:dyDescent="0.25">
      <c r="A360" s="24" t="s">
        <v>7</v>
      </c>
      <c r="B360" s="24" t="s">
        <v>2537</v>
      </c>
      <c r="C360" s="25" t="s">
        <v>2538</v>
      </c>
      <c r="D360" s="24" t="s">
        <v>21283</v>
      </c>
      <c r="E360" s="40">
        <v>2</v>
      </c>
      <c r="F360" s="41">
        <v>122760</v>
      </c>
      <c r="G360" s="40">
        <v>1</v>
      </c>
      <c r="H360" s="41">
        <v>61380</v>
      </c>
      <c r="I360" s="41">
        <v>61380</v>
      </c>
      <c r="J360" s="41">
        <v>61380</v>
      </c>
      <c r="K360" s="42">
        <v>0</v>
      </c>
    </row>
    <row r="361" spans="1:11" x14ac:dyDescent="0.25">
      <c r="A361" s="24" t="s">
        <v>7</v>
      </c>
      <c r="B361" s="24" t="s">
        <v>2569</v>
      </c>
      <c r="C361" s="25" t="s">
        <v>2570</v>
      </c>
      <c r="D361" s="24" t="s">
        <v>21279</v>
      </c>
      <c r="E361" s="40">
        <v>3</v>
      </c>
      <c r="F361" s="41">
        <v>32484</v>
      </c>
      <c r="G361" s="40">
        <v>2</v>
      </c>
      <c r="H361" s="41">
        <v>26222</v>
      </c>
      <c r="I361" s="41">
        <v>10828</v>
      </c>
      <c r="J361" s="41">
        <v>13111</v>
      </c>
      <c r="K361" s="42">
        <v>0.21084226080531954</v>
      </c>
    </row>
    <row r="362" spans="1:11" x14ac:dyDescent="0.25">
      <c r="A362" s="24" t="s">
        <v>7</v>
      </c>
      <c r="B362" s="24" t="s">
        <v>2572</v>
      </c>
      <c r="C362" s="25" t="s">
        <v>2573</v>
      </c>
      <c r="D362" s="24" t="s">
        <v>21284</v>
      </c>
      <c r="E362" s="40">
        <v>7</v>
      </c>
      <c r="F362" s="41">
        <v>97901.94</v>
      </c>
      <c r="G362" s="40">
        <v>25</v>
      </c>
      <c r="H362" s="41">
        <v>221381.28</v>
      </c>
      <c r="I362" s="41">
        <v>13985.991428571429</v>
      </c>
      <c r="J362" s="41">
        <v>8855.2512000000006</v>
      </c>
      <c r="K362" s="42">
        <v>-0.36684851801710977</v>
      </c>
    </row>
    <row r="363" spans="1:11" x14ac:dyDescent="0.25">
      <c r="A363" s="24" t="s">
        <v>7</v>
      </c>
      <c r="B363" s="24" t="s">
        <v>2578</v>
      </c>
      <c r="C363" s="25" t="s">
        <v>2579</v>
      </c>
      <c r="D363" s="24" t="s">
        <v>21285</v>
      </c>
      <c r="E363" s="40">
        <v>370</v>
      </c>
      <c r="F363" s="41">
        <v>434047.96</v>
      </c>
      <c r="G363" s="40">
        <v>78</v>
      </c>
      <c r="H363" s="41">
        <v>100765.68</v>
      </c>
      <c r="I363" s="41">
        <v>1173.1025945945946</v>
      </c>
      <c r="J363" s="41">
        <v>1291.8676923076923</v>
      </c>
      <c r="K363" s="42">
        <v>0.10124016284708756</v>
      </c>
    </row>
    <row r="364" spans="1:11" x14ac:dyDescent="0.25">
      <c r="A364" s="24" t="s">
        <v>7</v>
      </c>
      <c r="B364" s="24" t="s">
        <v>2581</v>
      </c>
      <c r="C364" s="25" t="s">
        <v>2582</v>
      </c>
      <c r="D364" s="24" t="s">
        <v>21274</v>
      </c>
      <c r="E364" s="40">
        <v>7</v>
      </c>
      <c r="F364" s="41">
        <v>14677.5</v>
      </c>
      <c r="G364" s="40">
        <v>16</v>
      </c>
      <c r="H364" s="41">
        <v>29742.35</v>
      </c>
      <c r="I364" s="41">
        <v>2096.7857142857142</v>
      </c>
      <c r="J364" s="41">
        <v>1858.8968749999999</v>
      </c>
      <c r="K364" s="42">
        <v>-0.1134540538238801</v>
      </c>
    </row>
    <row r="365" spans="1:11" x14ac:dyDescent="0.25">
      <c r="A365" s="24" t="s">
        <v>7</v>
      </c>
      <c r="B365" s="24" t="s">
        <v>2601</v>
      </c>
      <c r="C365" s="25" t="s">
        <v>2602</v>
      </c>
      <c r="D365" s="24" t="s">
        <v>21286</v>
      </c>
      <c r="E365" s="40">
        <v>71</v>
      </c>
      <c r="F365" s="41">
        <v>9619</v>
      </c>
      <c r="G365" s="40">
        <v>81</v>
      </c>
      <c r="H365" s="41">
        <v>13768</v>
      </c>
      <c r="I365" s="41">
        <v>135.47887323943661</v>
      </c>
      <c r="J365" s="41">
        <v>169.97530864197532</v>
      </c>
      <c r="K365" s="42">
        <v>0.25462593965903402</v>
      </c>
    </row>
    <row r="366" spans="1:11" x14ac:dyDescent="0.25">
      <c r="A366" s="24" t="s">
        <v>7</v>
      </c>
      <c r="B366" s="24" t="s">
        <v>2604</v>
      </c>
      <c r="C366" s="25" t="s">
        <v>2605</v>
      </c>
      <c r="D366" s="24" t="s">
        <v>21284</v>
      </c>
      <c r="G366" s="40">
        <v>2</v>
      </c>
      <c r="H366" s="41">
        <v>22055</v>
      </c>
      <c r="J366" s="41">
        <v>11027.5</v>
      </c>
    </row>
    <row r="367" spans="1:11" x14ac:dyDescent="0.25">
      <c r="A367" s="24" t="s">
        <v>7</v>
      </c>
      <c r="B367" s="24" t="s">
        <v>2610</v>
      </c>
      <c r="C367" s="25" t="s">
        <v>2611</v>
      </c>
      <c r="D367" s="24" t="s">
        <v>21287</v>
      </c>
      <c r="G367" s="40">
        <v>1</v>
      </c>
      <c r="H367" s="41">
        <v>5074</v>
      </c>
      <c r="J367" s="41">
        <v>5074</v>
      </c>
    </row>
    <row r="368" spans="1:11" x14ac:dyDescent="0.25">
      <c r="A368" s="24" t="s">
        <v>7</v>
      </c>
      <c r="B368" s="24" t="s">
        <v>2634</v>
      </c>
      <c r="C368" s="25" t="s">
        <v>2635</v>
      </c>
      <c r="D368" s="24" t="s">
        <v>21284</v>
      </c>
      <c r="G368" s="40">
        <v>4</v>
      </c>
      <c r="H368" s="41">
        <v>56409</v>
      </c>
      <c r="J368" s="41">
        <v>14102.25</v>
      </c>
    </row>
    <row r="369" spans="1:11" x14ac:dyDescent="0.25">
      <c r="A369" s="24" t="s">
        <v>7</v>
      </c>
      <c r="B369" s="24" t="s">
        <v>2637</v>
      </c>
      <c r="C369" s="25" t="s">
        <v>2638</v>
      </c>
      <c r="D369" s="24" t="s">
        <v>21287</v>
      </c>
      <c r="E369" s="40">
        <v>40</v>
      </c>
      <c r="F369" s="41">
        <v>589764.68000000005</v>
      </c>
      <c r="G369" s="40">
        <v>14</v>
      </c>
      <c r="H369" s="41">
        <v>154575.06</v>
      </c>
      <c r="I369" s="41">
        <v>14744.117000000002</v>
      </c>
      <c r="J369" s="41">
        <v>11041.075714285715</v>
      </c>
      <c r="K369" s="42">
        <v>-0.25115381855110663</v>
      </c>
    </row>
    <row r="370" spans="1:11" x14ac:dyDescent="0.25">
      <c r="A370" s="24" t="s">
        <v>7</v>
      </c>
      <c r="B370" s="24" t="s">
        <v>2640</v>
      </c>
      <c r="C370" s="25" t="s">
        <v>2641</v>
      </c>
      <c r="D370" s="24" t="s">
        <v>21284</v>
      </c>
      <c r="E370" s="40">
        <v>54</v>
      </c>
      <c r="F370" s="41">
        <v>487302.89</v>
      </c>
      <c r="G370" s="40">
        <v>7</v>
      </c>
      <c r="H370" s="41">
        <v>60026.54</v>
      </c>
      <c r="I370" s="41">
        <v>9024.1275925925929</v>
      </c>
      <c r="J370" s="41">
        <v>8575.2199999999993</v>
      </c>
      <c r="K370" s="42">
        <v>-4.9745262130499679E-2</v>
      </c>
    </row>
    <row r="371" spans="1:11" x14ac:dyDescent="0.25">
      <c r="A371" s="24" t="s">
        <v>7</v>
      </c>
      <c r="B371" s="24" t="s">
        <v>2652</v>
      </c>
      <c r="C371" s="25" t="s">
        <v>2653</v>
      </c>
      <c r="D371" s="24" t="s">
        <v>21287</v>
      </c>
      <c r="E371" s="40">
        <v>2</v>
      </c>
      <c r="F371" s="41">
        <v>37821</v>
      </c>
      <c r="G371" s="40">
        <v>1</v>
      </c>
      <c r="H371" s="41">
        <v>28141.18</v>
      </c>
      <c r="I371" s="41">
        <v>18910.5</v>
      </c>
      <c r="J371" s="41">
        <v>28141.18</v>
      </c>
      <c r="K371" s="42">
        <v>0.48812458686972848</v>
      </c>
    </row>
    <row r="372" spans="1:11" x14ac:dyDescent="0.25">
      <c r="A372" s="24" t="s">
        <v>7</v>
      </c>
      <c r="B372" s="24" t="s">
        <v>2657</v>
      </c>
      <c r="C372" s="25" t="s">
        <v>2658</v>
      </c>
      <c r="D372" s="24" t="s">
        <v>21281</v>
      </c>
      <c r="G372" s="40">
        <v>4</v>
      </c>
      <c r="H372" s="41">
        <v>25752</v>
      </c>
      <c r="J372" s="41">
        <v>6438</v>
      </c>
    </row>
    <row r="373" spans="1:11" x14ac:dyDescent="0.25">
      <c r="A373" s="24" t="s">
        <v>7</v>
      </c>
      <c r="B373" s="24" t="s">
        <v>2663</v>
      </c>
      <c r="C373" s="25" t="s">
        <v>2664</v>
      </c>
      <c r="D373" s="24" t="s">
        <v>21281</v>
      </c>
      <c r="G373" s="40">
        <v>1</v>
      </c>
      <c r="H373" s="41">
        <v>3927</v>
      </c>
      <c r="J373" s="41">
        <v>3927</v>
      </c>
    </row>
    <row r="374" spans="1:11" x14ac:dyDescent="0.25">
      <c r="A374" s="24" t="s">
        <v>7</v>
      </c>
      <c r="B374" s="24" t="s">
        <v>2666</v>
      </c>
      <c r="C374" s="25" t="s">
        <v>2667</v>
      </c>
      <c r="D374" s="24" t="s">
        <v>21281</v>
      </c>
      <c r="E374" s="40">
        <v>42</v>
      </c>
      <c r="F374" s="41">
        <v>50900</v>
      </c>
      <c r="G374" s="40">
        <v>67</v>
      </c>
      <c r="H374" s="41">
        <v>95970</v>
      </c>
      <c r="I374" s="41">
        <v>1211.9047619047619</v>
      </c>
      <c r="J374" s="41">
        <v>1432.3880597014925</v>
      </c>
      <c r="K374" s="42">
        <v>0.18193120839808807</v>
      </c>
    </row>
    <row r="375" spans="1:11" x14ac:dyDescent="0.25">
      <c r="A375" s="24" t="s">
        <v>7</v>
      </c>
      <c r="B375" s="24" t="s">
        <v>2672</v>
      </c>
      <c r="C375" s="25" t="s">
        <v>2673</v>
      </c>
      <c r="D375" s="24" t="s">
        <v>21281</v>
      </c>
      <c r="E375" s="40">
        <v>103</v>
      </c>
      <c r="F375" s="41">
        <v>871531</v>
      </c>
      <c r="G375" s="40">
        <v>148</v>
      </c>
      <c r="H375" s="41">
        <v>1143586</v>
      </c>
      <c r="I375" s="41">
        <v>8461.4660194174758</v>
      </c>
      <c r="J375" s="41">
        <v>7726.9324324324325</v>
      </c>
      <c r="K375" s="42">
        <v>-8.6809258029214631E-2</v>
      </c>
    </row>
    <row r="376" spans="1:11" x14ac:dyDescent="0.25">
      <c r="A376" s="24" t="s">
        <v>7</v>
      </c>
      <c r="B376" s="24" t="s">
        <v>2675</v>
      </c>
      <c r="C376" s="25" t="s">
        <v>2676</v>
      </c>
      <c r="D376" s="24" t="s">
        <v>21281</v>
      </c>
      <c r="E376" s="40">
        <v>11</v>
      </c>
      <c r="F376" s="41">
        <v>24210</v>
      </c>
      <c r="G376" s="40">
        <v>4</v>
      </c>
      <c r="H376" s="41">
        <v>9048</v>
      </c>
      <c r="I376" s="41">
        <v>2200.909090909091</v>
      </c>
      <c r="J376" s="41">
        <v>2262</v>
      </c>
      <c r="K376" s="42">
        <v>2.7757125154894632E-2</v>
      </c>
    </row>
    <row r="377" spans="1:11" x14ac:dyDescent="0.25">
      <c r="A377" s="24" t="s">
        <v>7</v>
      </c>
      <c r="B377" s="24" t="s">
        <v>2679</v>
      </c>
      <c r="C377" s="25" t="s">
        <v>2680</v>
      </c>
      <c r="D377" s="24" t="s">
        <v>21281</v>
      </c>
      <c r="G377" s="40">
        <v>1</v>
      </c>
      <c r="H377" s="41">
        <v>1205</v>
      </c>
      <c r="J377" s="41">
        <v>1205</v>
      </c>
    </row>
    <row r="378" spans="1:11" x14ac:dyDescent="0.25">
      <c r="A378" s="24" t="s">
        <v>7</v>
      </c>
      <c r="B378" s="24" t="s">
        <v>2696</v>
      </c>
      <c r="C378" s="25" t="s">
        <v>2697</v>
      </c>
      <c r="D378" s="24" t="s">
        <v>21281</v>
      </c>
      <c r="E378" s="40">
        <v>175</v>
      </c>
      <c r="F378" s="41">
        <v>488200</v>
      </c>
      <c r="G378" s="40">
        <v>227</v>
      </c>
      <c r="H378" s="41">
        <v>645935</v>
      </c>
      <c r="I378" s="41">
        <v>2789.7142857142858</v>
      </c>
      <c r="J378" s="41">
        <v>2845.5286343612333</v>
      </c>
      <c r="K378" s="42">
        <v>2.0007191751773502E-2</v>
      </c>
    </row>
    <row r="379" spans="1:11" x14ac:dyDescent="0.25">
      <c r="A379" s="24" t="s">
        <v>7</v>
      </c>
      <c r="B379" s="24" t="s">
        <v>2710</v>
      </c>
      <c r="C379" s="25" t="s">
        <v>2711</v>
      </c>
      <c r="D379" s="24" t="s">
        <v>21281</v>
      </c>
      <c r="E379" s="40">
        <v>2</v>
      </c>
      <c r="F379" s="41">
        <v>1389</v>
      </c>
      <c r="G379" s="40">
        <v>1</v>
      </c>
      <c r="H379" s="41">
        <v>721</v>
      </c>
      <c r="I379" s="41">
        <v>694.5</v>
      </c>
      <c r="J379" s="41">
        <v>721</v>
      </c>
      <c r="K379" s="42">
        <v>3.8156947444204461E-2</v>
      </c>
    </row>
    <row r="380" spans="1:11" x14ac:dyDescent="0.25">
      <c r="A380" s="24" t="s">
        <v>7</v>
      </c>
      <c r="B380" s="24" t="s">
        <v>2719</v>
      </c>
      <c r="C380" s="25" t="s">
        <v>2720</v>
      </c>
      <c r="D380" s="24" t="s">
        <v>21281</v>
      </c>
      <c r="G380" s="40">
        <v>1</v>
      </c>
      <c r="H380" s="41">
        <v>1454</v>
      </c>
      <c r="J380" s="41">
        <v>1454</v>
      </c>
    </row>
    <row r="381" spans="1:11" x14ac:dyDescent="0.25">
      <c r="A381" s="24" t="s">
        <v>7</v>
      </c>
      <c r="B381" s="24" t="s">
        <v>2722</v>
      </c>
      <c r="C381" s="25" t="s">
        <v>2723</v>
      </c>
      <c r="D381" s="24" t="s">
        <v>21281</v>
      </c>
      <c r="G381" s="40">
        <v>1</v>
      </c>
      <c r="H381" s="41">
        <v>2338</v>
      </c>
      <c r="J381" s="41">
        <v>2338</v>
      </c>
    </row>
    <row r="382" spans="1:11" x14ac:dyDescent="0.25">
      <c r="A382" s="24" t="s">
        <v>7</v>
      </c>
      <c r="B382" s="24" t="s">
        <v>2724</v>
      </c>
      <c r="C382" s="25" t="s">
        <v>2725</v>
      </c>
      <c r="D382" s="24" t="s">
        <v>21281</v>
      </c>
      <c r="G382" s="40">
        <v>8</v>
      </c>
      <c r="H382" s="41">
        <v>10202</v>
      </c>
      <c r="J382" s="41">
        <v>1275.25</v>
      </c>
    </row>
    <row r="383" spans="1:11" x14ac:dyDescent="0.25">
      <c r="A383" s="24" t="s">
        <v>7</v>
      </c>
      <c r="B383" s="24" t="s">
        <v>2726</v>
      </c>
      <c r="C383" s="25" t="s">
        <v>2727</v>
      </c>
      <c r="D383" s="24" t="s">
        <v>21281</v>
      </c>
      <c r="G383" s="40">
        <v>2</v>
      </c>
      <c r="H383" s="41">
        <v>11576</v>
      </c>
      <c r="J383" s="41">
        <v>5788</v>
      </c>
    </row>
    <row r="384" spans="1:11" x14ac:dyDescent="0.25">
      <c r="A384" s="24" t="s">
        <v>7</v>
      </c>
      <c r="B384" s="24" t="s">
        <v>2739</v>
      </c>
      <c r="C384" s="25" t="s">
        <v>2740</v>
      </c>
      <c r="D384" s="24" t="s">
        <v>21281</v>
      </c>
      <c r="E384" s="40">
        <v>16</v>
      </c>
      <c r="F384" s="41">
        <v>25007</v>
      </c>
      <c r="G384" s="40">
        <v>12</v>
      </c>
      <c r="H384" s="41">
        <v>23840</v>
      </c>
      <c r="I384" s="41">
        <v>1562.9375</v>
      </c>
      <c r="J384" s="41">
        <v>1986.6666666666667</v>
      </c>
      <c r="K384" s="42">
        <v>0.2711107556550833</v>
      </c>
    </row>
    <row r="385" spans="1:11" x14ac:dyDescent="0.25">
      <c r="A385" s="24" t="s">
        <v>7</v>
      </c>
      <c r="B385" s="24" t="s">
        <v>2741</v>
      </c>
      <c r="C385" s="25" t="s">
        <v>2742</v>
      </c>
      <c r="D385" s="24" t="s">
        <v>21281</v>
      </c>
      <c r="G385" s="40">
        <v>1</v>
      </c>
      <c r="H385" s="41">
        <v>41160</v>
      </c>
      <c r="J385" s="41">
        <v>41160</v>
      </c>
    </row>
    <row r="386" spans="1:11" x14ac:dyDescent="0.25">
      <c r="A386" s="24" t="s">
        <v>7</v>
      </c>
      <c r="B386" s="24" t="s">
        <v>2749</v>
      </c>
      <c r="C386" s="25" t="s">
        <v>2750</v>
      </c>
      <c r="D386" s="24" t="s">
        <v>21281</v>
      </c>
      <c r="E386" s="40">
        <v>33</v>
      </c>
      <c r="F386" s="41">
        <v>125108</v>
      </c>
      <c r="G386" s="40">
        <v>58</v>
      </c>
      <c r="H386" s="41">
        <v>213213</v>
      </c>
      <c r="I386" s="41">
        <v>3791.151515151515</v>
      </c>
      <c r="J386" s="41">
        <v>3676.0862068965516</v>
      </c>
      <c r="K386" s="42">
        <v>-3.0351018099672219E-2</v>
      </c>
    </row>
    <row r="387" spans="1:11" x14ac:dyDescent="0.25">
      <c r="A387" s="24" t="s">
        <v>7</v>
      </c>
      <c r="B387" s="24" t="s">
        <v>2760</v>
      </c>
      <c r="C387" s="25" t="s">
        <v>2761</v>
      </c>
      <c r="D387" s="24" t="s">
        <v>21288</v>
      </c>
      <c r="G387" s="40">
        <v>118</v>
      </c>
      <c r="H387" s="41">
        <v>86966</v>
      </c>
      <c r="J387" s="41">
        <v>737</v>
      </c>
    </row>
    <row r="388" spans="1:11" x14ac:dyDescent="0.25">
      <c r="A388" s="24" t="s">
        <v>7</v>
      </c>
      <c r="B388" s="24" t="s">
        <v>2769</v>
      </c>
      <c r="C388" s="25" t="s">
        <v>2770</v>
      </c>
      <c r="D388" s="24" t="s">
        <v>21276</v>
      </c>
      <c r="G388" s="40">
        <v>1</v>
      </c>
      <c r="H388" s="41">
        <v>4992</v>
      </c>
      <c r="J388" s="41">
        <v>4992</v>
      </c>
    </row>
    <row r="389" spans="1:11" x14ac:dyDescent="0.25">
      <c r="A389" s="24" t="s">
        <v>7</v>
      </c>
      <c r="B389" s="24" t="s">
        <v>2775</v>
      </c>
      <c r="C389" s="25" t="s">
        <v>2776</v>
      </c>
      <c r="D389" s="24" t="s">
        <v>21281</v>
      </c>
      <c r="G389" s="40">
        <v>2</v>
      </c>
      <c r="H389" s="41">
        <v>12480</v>
      </c>
      <c r="J389" s="41">
        <v>6240</v>
      </c>
    </row>
    <row r="390" spans="1:11" x14ac:dyDescent="0.25">
      <c r="A390" s="24" t="s">
        <v>7</v>
      </c>
      <c r="B390" s="24" t="s">
        <v>2778</v>
      </c>
      <c r="C390" s="25" t="s">
        <v>2779</v>
      </c>
      <c r="D390" s="24" t="s">
        <v>21281</v>
      </c>
      <c r="E390" s="40">
        <v>2</v>
      </c>
      <c r="F390" s="41">
        <v>9246</v>
      </c>
      <c r="G390" s="40">
        <v>1</v>
      </c>
      <c r="H390" s="41">
        <v>4801</v>
      </c>
      <c r="I390" s="41">
        <v>4623</v>
      </c>
      <c r="J390" s="41">
        <v>4801</v>
      </c>
      <c r="K390" s="42">
        <v>3.8503136491455765E-2</v>
      </c>
    </row>
    <row r="391" spans="1:11" x14ac:dyDescent="0.25">
      <c r="A391" s="24" t="s">
        <v>7</v>
      </c>
      <c r="B391" s="24" t="s">
        <v>2787</v>
      </c>
      <c r="C391" s="25" t="s">
        <v>2788</v>
      </c>
      <c r="D391" s="24" t="s">
        <v>21281</v>
      </c>
      <c r="G391" s="40">
        <v>1</v>
      </c>
      <c r="H391" s="41">
        <v>8775</v>
      </c>
      <c r="J391" s="41">
        <v>8775</v>
      </c>
    </row>
    <row r="392" spans="1:11" x14ac:dyDescent="0.25">
      <c r="A392" s="24" t="s">
        <v>7</v>
      </c>
      <c r="B392" s="24" t="s">
        <v>2795</v>
      </c>
      <c r="C392" s="25" t="s">
        <v>2796</v>
      </c>
      <c r="D392" s="24" t="s">
        <v>21289</v>
      </c>
      <c r="G392" s="40">
        <v>9</v>
      </c>
      <c r="H392" s="41">
        <v>63756</v>
      </c>
      <c r="J392" s="41">
        <v>7084</v>
      </c>
    </row>
    <row r="393" spans="1:11" x14ac:dyDescent="0.25">
      <c r="A393" s="24" t="s">
        <v>7</v>
      </c>
      <c r="B393" s="24" t="s">
        <v>2801</v>
      </c>
      <c r="C393" s="25" t="s">
        <v>2802</v>
      </c>
      <c r="D393" s="24" t="s">
        <v>21290</v>
      </c>
      <c r="E393" s="40">
        <v>10</v>
      </c>
      <c r="F393" s="41">
        <v>56210</v>
      </c>
      <c r="G393" s="40">
        <v>29</v>
      </c>
      <c r="H393" s="41">
        <v>164159</v>
      </c>
      <c r="I393" s="41">
        <v>5621</v>
      </c>
      <c r="J393" s="41">
        <v>5660.6551724137935</v>
      </c>
      <c r="K393" s="42">
        <v>7.0548251937010281E-3</v>
      </c>
    </row>
    <row r="394" spans="1:11" x14ac:dyDescent="0.25">
      <c r="A394" s="24" t="s">
        <v>7</v>
      </c>
      <c r="B394" s="24" t="s">
        <v>2804</v>
      </c>
      <c r="C394" s="25" t="s">
        <v>2805</v>
      </c>
      <c r="D394" s="24" t="s">
        <v>21290</v>
      </c>
      <c r="E394" s="40">
        <v>4</v>
      </c>
      <c r="F394" s="41">
        <v>20304</v>
      </c>
      <c r="G394" s="40">
        <v>1</v>
      </c>
      <c r="H394" s="41">
        <v>5076</v>
      </c>
      <c r="I394" s="41">
        <v>5076</v>
      </c>
      <c r="J394" s="41">
        <v>5076</v>
      </c>
      <c r="K394" s="42">
        <v>0</v>
      </c>
    </row>
    <row r="395" spans="1:11" x14ac:dyDescent="0.25">
      <c r="A395" s="24" t="s">
        <v>7</v>
      </c>
      <c r="B395" s="24" t="s">
        <v>2817</v>
      </c>
      <c r="C395" s="25" t="s">
        <v>2818</v>
      </c>
      <c r="D395" s="24" t="s">
        <v>21290</v>
      </c>
      <c r="E395" s="40">
        <v>6</v>
      </c>
      <c r="F395" s="41">
        <v>59037</v>
      </c>
      <c r="G395" s="40">
        <v>7</v>
      </c>
      <c r="H395" s="41">
        <v>71481</v>
      </c>
      <c r="I395" s="41">
        <v>9839.5</v>
      </c>
      <c r="J395" s="41">
        <v>10211.571428571429</v>
      </c>
      <c r="K395" s="42">
        <v>3.7814058496003798E-2</v>
      </c>
    </row>
    <row r="396" spans="1:11" x14ac:dyDescent="0.25">
      <c r="A396" s="24" t="s">
        <v>7</v>
      </c>
      <c r="B396" s="24" t="s">
        <v>2822</v>
      </c>
      <c r="C396" s="25" t="s">
        <v>2823</v>
      </c>
      <c r="D396" s="24" t="s">
        <v>21291</v>
      </c>
      <c r="G396" s="40">
        <v>1</v>
      </c>
      <c r="H396" s="41">
        <v>12316</v>
      </c>
      <c r="J396" s="41">
        <v>12316</v>
      </c>
    </row>
    <row r="397" spans="1:11" x14ac:dyDescent="0.25">
      <c r="A397" s="24" t="s">
        <v>7</v>
      </c>
      <c r="B397" s="24" t="s">
        <v>2825</v>
      </c>
      <c r="C397" s="25" t="s">
        <v>2826</v>
      </c>
      <c r="D397" s="24" t="s">
        <v>21291</v>
      </c>
      <c r="E397" s="40">
        <v>2</v>
      </c>
      <c r="F397" s="41">
        <v>141594</v>
      </c>
      <c r="G397" s="40">
        <v>4</v>
      </c>
      <c r="H397" s="41">
        <v>165660</v>
      </c>
      <c r="I397" s="41">
        <v>70797</v>
      </c>
      <c r="J397" s="41">
        <v>41415</v>
      </c>
      <c r="K397" s="42">
        <v>-0.41501758549091061</v>
      </c>
    </row>
    <row r="398" spans="1:11" x14ac:dyDescent="0.25">
      <c r="A398" s="24" t="s">
        <v>7</v>
      </c>
      <c r="B398" s="24" t="s">
        <v>2843</v>
      </c>
      <c r="C398" s="25" t="s">
        <v>2844</v>
      </c>
      <c r="D398" s="24" t="s">
        <v>21292</v>
      </c>
      <c r="G398" s="40">
        <v>3</v>
      </c>
      <c r="H398" s="41">
        <v>3093</v>
      </c>
      <c r="J398" s="41">
        <v>1031</v>
      </c>
    </row>
    <row r="399" spans="1:11" x14ac:dyDescent="0.25">
      <c r="A399" s="24" t="s">
        <v>7</v>
      </c>
      <c r="B399" s="24" t="s">
        <v>2852</v>
      </c>
      <c r="C399" s="25" t="s">
        <v>2853</v>
      </c>
      <c r="D399" s="24" t="s">
        <v>21289</v>
      </c>
      <c r="G399" s="40">
        <v>3</v>
      </c>
      <c r="H399" s="41">
        <v>18219</v>
      </c>
      <c r="J399" s="41">
        <v>6073</v>
      </c>
    </row>
    <row r="400" spans="1:11" x14ac:dyDescent="0.25">
      <c r="A400" s="24" t="s">
        <v>7</v>
      </c>
      <c r="B400" s="24" t="s">
        <v>2858</v>
      </c>
      <c r="C400" s="25" t="s">
        <v>2859</v>
      </c>
      <c r="D400" s="24" t="s">
        <v>21293</v>
      </c>
      <c r="G400" s="40">
        <v>1</v>
      </c>
      <c r="H400" s="41">
        <v>3916</v>
      </c>
      <c r="J400" s="41">
        <v>3916</v>
      </c>
    </row>
    <row r="401" spans="1:11" x14ac:dyDescent="0.25">
      <c r="A401" s="24" t="s">
        <v>7</v>
      </c>
      <c r="B401" s="24" t="s">
        <v>2872</v>
      </c>
      <c r="C401" s="25" t="s">
        <v>2873</v>
      </c>
      <c r="D401" s="24" t="s">
        <v>21294</v>
      </c>
      <c r="G401" s="40">
        <v>1</v>
      </c>
      <c r="H401" s="41">
        <v>341.08</v>
      </c>
      <c r="J401" s="41">
        <v>341.08</v>
      </c>
    </row>
    <row r="402" spans="1:11" x14ac:dyDescent="0.25">
      <c r="A402" s="24" t="s">
        <v>7</v>
      </c>
      <c r="B402" s="24" t="s">
        <v>2875</v>
      </c>
      <c r="C402" s="25" t="s">
        <v>2876</v>
      </c>
      <c r="D402" s="24" t="s">
        <v>21294</v>
      </c>
      <c r="G402" s="40">
        <v>47</v>
      </c>
      <c r="H402" s="41">
        <v>8244.27</v>
      </c>
      <c r="J402" s="41">
        <v>175.41</v>
      </c>
    </row>
    <row r="403" spans="1:11" x14ac:dyDescent="0.25">
      <c r="A403" s="24" t="s">
        <v>7</v>
      </c>
      <c r="B403" s="24" t="s">
        <v>2896</v>
      </c>
      <c r="C403" s="25" t="s">
        <v>2393</v>
      </c>
      <c r="D403" s="24" t="s">
        <v>21279</v>
      </c>
      <c r="E403" s="40">
        <v>190</v>
      </c>
      <c r="F403" s="41">
        <v>1266865.79</v>
      </c>
      <c r="G403" s="40">
        <v>371</v>
      </c>
      <c r="H403" s="41">
        <v>3006169.6</v>
      </c>
      <c r="I403" s="41">
        <v>6667.7146842105267</v>
      </c>
      <c r="J403" s="41">
        <v>8102.8830188679249</v>
      </c>
      <c r="K403" s="42">
        <v>0.21524141368195415</v>
      </c>
    </row>
    <row r="404" spans="1:11" x14ac:dyDescent="0.25">
      <c r="A404" s="24" t="s">
        <v>7</v>
      </c>
      <c r="B404" s="24" t="s">
        <v>2898</v>
      </c>
      <c r="C404" s="25" t="s">
        <v>2393</v>
      </c>
      <c r="D404" s="24" t="s">
        <v>21284</v>
      </c>
      <c r="E404" s="40">
        <v>2</v>
      </c>
      <c r="F404" s="41">
        <v>23450</v>
      </c>
      <c r="G404" s="40">
        <v>2</v>
      </c>
      <c r="H404" s="41">
        <v>25967</v>
      </c>
      <c r="I404" s="41">
        <v>11725</v>
      </c>
      <c r="J404" s="41">
        <v>12983.5</v>
      </c>
      <c r="K404" s="42">
        <v>0.10733475479744137</v>
      </c>
    </row>
    <row r="405" spans="1:11" x14ac:dyDescent="0.25">
      <c r="A405" s="24" t="s">
        <v>7</v>
      </c>
      <c r="B405" s="24" t="s">
        <v>2909</v>
      </c>
      <c r="C405" s="25" t="s">
        <v>2910</v>
      </c>
      <c r="D405" s="24" t="s">
        <v>21282</v>
      </c>
      <c r="E405" s="40">
        <v>28</v>
      </c>
      <c r="F405" s="41">
        <v>373004</v>
      </c>
      <c r="G405" s="40">
        <v>37</v>
      </c>
      <c r="H405" s="41">
        <v>443728</v>
      </c>
      <c r="I405" s="41">
        <v>13321.571428571429</v>
      </c>
      <c r="J405" s="41">
        <v>11992.648648648648</v>
      </c>
      <c r="K405" s="42">
        <v>-9.9757208603226413E-2</v>
      </c>
    </row>
    <row r="406" spans="1:11" x14ac:dyDescent="0.25">
      <c r="A406" s="24" t="s">
        <v>7</v>
      </c>
      <c r="B406" s="24" t="s">
        <v>2915</v>
      </c>
      <c r="C406" s="25" t="s">
        <v>2916</v>
      </c>
      <c r="D406" s="24" t="s">
        <v>21291</v>
      </c>
      <c r="G406" s="40">
        <v>2</v>
      </c>
      <c r="H406" s="41">
        <v>26210</v>
      </c>
      <c r="J406" s="41">
        <v>13105</v>
      </c>
    </row>
    <row r="407" spans="1:11" x14ac:dyDescent="0.25">
      <c r="A407" s="24" t="s">
        <v>7</v>
      </c>
      <c r="B407" s="24" t="s">
        <v>2927</v>
      </c>
      <c r="C407" s="25" t="s">
        <v>2928</v>
      </c>
      <c r="D407" s="24" t="s">
        <v>21291</v>
      </c>
      <c r="G407" s="40">
        <v>1</v>
      </c>
      <c r="H407" s="41">
        <v>50130</v>
      </c>
      <c r="J407" s="41">
        <v>50130</v>
      </c>
    </row>
    <row r="408" spans="1:11" x14ac:dyDescent="0.25">
      <c r="A408" s="24" t="s">
        <v>7</v>
      </c>
      <c r="B408" s="24" t="s">
        <v>2930</v>
      </c>
      <c r="C408" s="25" t="s">
        <v>2931</v>
      </c>
      <c r="D408" s="24" t="s">
        <v>21291</v>
      </c>
      <c r="G408" s="40">
        <v>1</v>
      </c>
      <c r="H408" s="41">
        <v>121847</v>
      </c>
      <c r="J408" s="41">
        <v>121847</v>
      </c>
    </row>
    <row r="409" spans="1:11" x14ac:dyDescent="0.25">
      <c r="A409" s="24" t="s">
        <v>7</v>
      </c>
      <c r="B409" s="24" t="s">
        <v>2948</v>
      </c>
      <c r="C409" s="25" t="s">
        <v>2949</v>
      </c>
      <c r="D409" s="24" t="s">
        <v>21276</v>
      </c>
      <c r="E409" s="40">
        <v>4</v>
      </c>
      <c r="F409" s="41">
        <v>240404</v>
      </c>
      <c r="G409" s="40">
        <v>3</v>
      </c>
      <c r="H409" s="41">
        <v>183705</v>
      </c>
      <c r="I409" s="41">
        <v>60101</v>
      </c>
      <c r="J409" s="41">
        <v>61235</v>
      </c>
      <c r="K409" s="42">
        <v>1.8868238465250164E-2</v>
      </c>
    </row>
    <row r="410" spans="1:11" x14ac:dyDescent="0.25">
      <c r="A410" s="24" t="s">
        <v>7</v>
      </c>
      <c r="B410" s="24" t="s">
        <v>2953</v>
      </c>
      <c r="C410" s="25" t="s">
        <v>2954</v>
      </c>
      <c r="D410" s="24" t="s">
        <v>21276</v>
      </c>
      <c r="E410" s="40">
        <v>5</v>
      </c>
      <c r="F410" s="41">
        <v>222320</v>
      </c>
      <c r="G410" s="40">
        <v>7</v>
      </c>
      <c r="H410" s="41">
        <v>311248</v>
      </c>
      <c r="I410" s="41">
        <v>44464</v>
      </c>
      <c r="J410" s="41">
        <v>44464</v>
      </c>
      <c r="K410" s="42">
        <v>0</v>
      </c>
    </row>
    <row r="411" spans="1:11" x14ac:dyDescent="0.25">
      <c r="A411" s="24" t="s">
        <v>7</v>
      </c>
      <c r="B411" s="24" t="s">
        <v>2973</v>
      </c>
      <c r="C411" s="25" t="s">
        <v>2974</v>
      </c>
      <c r="D411" s="24" t="s">
        <v>21295</v>
      </c>
      <c r="G411" s="40">
        <v>12</v>
      </c>
      <c r="H411" s="41">
        <v>6372</v>
      </c>
      <c r="J411" s="41">
        <v>531</v>
      </c>
    </row>
    <row r="412" spans="1:11" x14ac:dyDescent="0.25">
      <c r="A412" s="24" t="s">
        <v>7</v>
      </c>
      <c r="B412" s="24" t="s">
        <v>2979</v>
      </c>
      <c r="C412" s="25" t="s">
        <v>2980</v>
      </c>
      <c r="D412" s="24" t="s">
        <v>21280</v>
      </c>
      <c r="E412" s="40">
        <v>74</v>
      </c>
      <c r="F412" s="41">
        <v>54850</v>
      </c>
      <c r="G412" s="40">
        <v>140</v>
      </c>
      <c r="H412" s="41">
        <v>105030</v>
      </c>
      <c r="I412" s="41">
        <v>741.21621621621625</v>
      </c>
      <c r="J412" s="41">
        <v>750.21428571428567</v>
      </c>
      <c r="K412" s="42">
        <v>1.2139601510613244E-2</v>
      </c>
    </row>
    <row r="413" spans="1:11" x14ac:dyDescent="0.25">
      <c r="A413" s="24" t="s">
        <v>7</v>
      </c>
      <c r="B413" s="24" t="s">
        <v>2989</v>
      </c>
      <c r="C413" s="25" t="s">
        <v>2990</v>
      </c>
      <c r="D413" s="24" t="s">
        <v>21290</v>
      </c>
      <c r="G413" s="40">
        <v>1</v>
      </c>
      <c r="H413" s="41">
        <v>5621</v>
      </c>
      <c r="J413" s="41">
        <v>5621</v>
      </c>
    </row>
    <row r="414" spans="1:11" x14ac:dyDescent="0.25">
      <c r="A414" s="24" t="s">
        <v>7</v>
      </c>
      <c r="B414" s="24" t="s">
        <v>2992</v>
      </c>
      <c r="C414" s="25" t="s">
        <v>2993</v>
      </c>
      <c r="D414" s="24" t="s">
        <v>21296</v>
      </c>
      <c r="G414" s="40">
        <v>1035</v>
      </c>
      <c r="H414" s="41">
        <v>282555</v>
      </c>
      <c r="J414" s="41">
        <v>273</v>
      </c>
    </row>
    <row r="415" spans="1:11" x14ac:dyDescent="0.25">
      <c r="A415" s="24" t="s">
        <v>7</v>
      </c>
      <c r="B415" s="24" t="s">
        <v>2998</v>
      </c>
      <c r="C415" s="25" t="s">
        <v>2999</v>
      </c>
      <c r="D415" s="24" t="s">
        <v>21289</v>
      </c>
      <c r="E415" s="40">
        <v>38</v>
      </c>
      <c r="F415" s="41">
        <v>245633</v>
      </c>
      <c r="G415" s="40">
        <v>49</v>
      </c>
      <c r="H415" s="41">
        <v>349122</v>
      </c>
      <c r="I415" s="41">
        <v>6464.0263157894733</v>
      </c>
      <c r="J415" s="41">
        <v>7124.9387755102043</v>
      </c>
      <c r="K415" s="42">
        <v>0.10224470437354827</v>
      </c>
    </row>
    <row r="416" spans="1:11" x14ac:dyDescent="0.25">
      <c r="A416" s="24" t="s">
        <v>7</v>
      </c>
      <c r="B416" s="24" t="s">
        <v>3007</v>
      </c>
      <c r="C416" s="25" t="s">
        <v>3008</v>
      </c>
      <c r="D416" s="24" t="s">
        <v>21279</v>
      </c>
      <c r="E416" s="40">
        <v>6</v>
      </c>
      <c r="F416" s="41">
        <v>78335</v>
      </c>
      <c r="G416" s="40">
        <v>4</v>
      </c>
      <c r="H416" s="41">
        <v>49076</v>
      </c>
      <c r="I416" s="41">
        <v>13055.833333333334</v>
      </c>
      <c r="J416" s="41">
        <v>12269</v>
      </c>
      <c r="K416" s="42">
        <v>-6.0266802833982301E-2</v>
      </c>
    </row>
    <row r="417" spans="1:11" x14ac:dyDescent="0.25">
      <c r="A417" s="24" t="s">
        <v>7</v>
      </c>
      <c r="B417" s="24" t="s">
        <v>3016</v>
      </c>
      <c r="C417" s="25" t="s">
        <v>3017</v>
      </c>
      <c r="D417" s="24" t="s">
        <v>21294</v>
      </c>
      <c r="G417" s="40">
        <v>4</v>
      </c>
      <c r="H417" s="41">
        <v>2610.4</v>
      </c>
      <c r="J417" s="41">
        <v>652.6</v>
      </c>
    </row>
    <row r="418" spans="1:11" x14ac:dyDescent="0.25">
      <c r="A418" s="24" t="s">
        <v>7</v>
      </c>
      <c r="B418" s="24" t="s">
        <v>3025</v>
      </c>
      <c r="C418" s="25" t="s">
        <v>3026</v>
      </c>
      <c r="D418" s="24" t="s">
        <v>21297</v>
      </c>
      <c r="E418" s="40">
        <v>129</v>
      </c>
      <c r="F418" s="41">
        <v>231648</v>
      </c>
      <c r="G418" s="40">
        <v>163</v>
      </c>
      <c r="H418" s="41">
        <v>285620</v>
      </c>
      <c r="I418" s="41">
        <v>1795.7209302325582</v>
      </c>
      <c r="J418" s="41">
        <v>1752.2699386503068</v>
      </c>
      <c r="K418" s="42">
        <v>-2.4196962262184128E-2</v>
      </c>
    </row>
    <row r="419" spans="1:11" x14ac:dyDescent="0.25">
      <c r="A419" s="24" t="s">
        <v>7</v>
      </c>
      <c r="B419" s="24" t="s">
        <v>3028</v>
      </c>
      <c r="C419" s="25" t="s">
        <v>3029</v>
      </c>
      <c r="D419" s="24" t="s">
        <v>21298</v>
      </c>
      <c r="E419" s="40">
        <v>7</v>
      </c>
      <c r="F419" s="41">
        <v>96393</v>
      </c>
      <c r="G419" s="40">
        <v>4</v>
      </c>
      <c r="H419" s="41">
        <v>59110</v>
      </c>
      <c r="I419" s="41">
        <v>13770.428571428571</v>
      </c>
      <c r="J419" s="41">
        <v>14777.5</v>
      </c>
      <c r="K419" s="42">
        <v>7.3132903841565317E-2</v>
      </c>
    </row>
    <row r="420" spans="1:11" x14ac:dyDescent="0.25">
      <c r="A420" s="24" t="s">
        <v>7</v>
      </c>
      <c r="B420" s="24" t="s">
        <v>3031</v>
      </c>
      <c r="C420" s="25" t="s">
        <v>3032</v>
      </c>
      <c r="D420" s="24" t="s">
        <v>21299</v>
      </c>
      <c r="E420" s="40">
        <v>4</v>
      </c>
      <c r="F420" s="41">
        <v>4360</v>
      </c>
      <c r="G420" s="40">
        <v>10</v>
      </c>
      <c r="H420" s="41">
        <v>10196</v>
      </c>
      <c r="I420" s="41">
        <v>1090</v>
      </c>
      <c r="J420" s="41">
        <v>1019.6</v>
      </c>
      <c r="K420" s="42">
        <v>-6.4587155963302736E-2</v>
      </c>
    </row>
    <row r="421" spans="1:11" x14ac:dyDescent="0.25">
      <c r="A421" s="24" t="s">
        <v>7</v>
      </c>
      <c r="B421" s="24" t="s">
        <v>3034</v>
      </c>
      <c r="C421" s="25" t="s">
        <v>3035</v>
      </c>
      <c r="D421" s="24" t="s">
        <v>21300</v>
      </c>
      <c r="E421" s="40">
        <v>63</v>
      </c>
      <c r="F421" s="41">
        <v>31243</v>
      </c>
      <c r="G421" s="40">
        <v>48</v>
      </c>
      <c r="H421" s="41">
        <v>21371</v>
      </c>
      <c r="I421" s="41">
        <v>495.92063492063494</v>
      </c>
      <c r="J421" s="41">
        <v>445.22916666666669</v>
      </c>
      <c r="K421" s="42">
        <v>-0.102216896584835</v>
      </c>
    </row>
    <row r="422" spans="1:11" x14ac:dyDescent="0.25">
      <c r="A422" s="24" t="s">
        <v>7</v>
      </c>
      <c r="B422" s="24" t="s">
        <v>3040</v>
      </c>
      <c r="C422" s="25" t="s">
        <v>3041</v>
      </c>
      <c r="D422" s="24" t="s">
        <v>21301</v>
      </c>
      <c r="E422" s="40">
        <v>11</v>
      </c>
      <c r="F422" s="41">
        <v>23313</v>
      </c>
      <c r="G422" s="40">
        <v>13</v>
      </c>
      <c r="H422" s="41">
        <v>25597</v>
      </c>
      <c r="I422" s="41">
        <v>2119.3636363636365</v>
      </c>
      <c r="J422" s="41">
        <v>1969</v>
      </c>
      <c r="K422" s="42">
        <v>-7.0947539999142162E-2</v>
      </c>
    </row>
    <row r="423" spans="1:11" x14ac:dyDescent="0.25">
      <c r="A423" s="24" t="s">
        <v>7</v>
      </c>
      <c r="B423" s="24" t="s">
        <v>3043</v>
      </c>
      <c r="C423" s="25" t="s">
        <v>3044</v>
      </c>
      <c r="D423" s="24" t="s">
        <v>21302</v>
      </c>
      <c r="E423" s="40">
        <v>7</v>
      </c>
      <c r="F423" s="41">
        <v>50216</v>
      </c>
      <c r="G423" s="40">
        <v>1</v>
      </c>
      <c r="H423" s="41">
        <v>7409</v>
      </c>
      <c r="I423" s="41">
        <v>7173.7142857142853</v>
      </c>
      <c r="J423" s="41">
        <v>7409</v>
      </c>
      <c r="K423" s="42">
        <v>3.2798311295204774E-2</v>
      </c>
    </row>
    <row r="424" spans="1:11" x14ac:dyDescent="0.25">
      <c r="A424" s="24" t="s">
        <v>7</v>
      </c>
      <c r="B424" s="24" t="s">
        <v>3051</v>
      </c>
      <c r="C424" s="25" t="s">
        <v>3052</v>
      </c>
      <c r="D424" s="24" t="s">
        <v>21303</v>
      </c>
      <c r="G424" s="40">
        <v>44</v>
      </c>
      <c r="H424" s="41">
        <v>27808</v>
      </c>
      <c r="J424" s="41">
        <v>632</v>
      </c>
    </row>
    <row r="425" spans="1:11" x14ac:dyDescent="0.25">
      <c r="A425" s="24" t="s">
        <v>7</v>
      </c>
      <c r="B425" s="24" t="s">
        <v>3057</v>
      </c>
      <c r="C425" s="25" t="s">
        <v>3058</v>
      </c>
      <c r="D425" s="24" t="s">
        <v>21304</v>
      </c>
      <c r="G425" s="40">
        <v>85</v>
      </c>
      <c r="H425" s="41">
        <v>33368.199999999997</v>
      </c>
      <c r="J425" s="41">
        <v>392.56705882352935</v>
      </c>
    </row>
    <row r="426" spans="1:11" x14ac:dyDescent="0.25">
      <c r="A426" s="24" t="s">
        <v>7</v>
      </c>
      <c r="B426" s="24" t="s">
        <v>3059</v>
      </c>
      <c r="C426" s="25" t="s">
        <v>3060</v>
      </c>
      <c r="D426" s="24" t="s">
        <v>21305</v>
      </c>
      <c r="G426" s="40">
        <v>4</v>
      </c>
      <c r="H426" s="41">
        <v>18324</v>
      </c>
      <c r="J426" s="41">
        <v>4581</v>
      </c>
    </row>
    <row r="427" spans="1:11" x14ac:dyDescent="0.25">
      <c r="A427" s="24" t="s">
        <v>7</v>
      </c>
      <c r="B427" s="24" t="s">
        <v>3062</v>
      </c>
      <c r="C427" s="25" t="s">
        <v>3063</v>
      </c>
      <c r="D427" s="24" t="s">
        <v>21306</v>
      </c>
      <c r="E427" s="40">
        <v>6</v>
      </c>
      <c r="F427" s="41">
        <v>14329</v>
      </c>
      <c r="G427" s="40">
        <v>12</v>
      </c>
      <c r="H427" s="41">
        <v>25590</v>
      </c>
      <c r="I427" s="41">
        <v>2388.1666666666665</v>
      </c>
      <c r="J427" s="41">
        <v>2132.5</v>
      </c>
      <c r="K427" s="42">
        <v>-0.10705562146695508</v>
      </c>
    </row>
    <row r="428" spans="1:11" x14ac:dyDescent="0.25">
      <c r="A428" s="24" t="s">
        <v>7</v>
      </c>
      <c r="B428" s="24" t="s">
        <v>3065</v>
      </c>
      <c r="C428" s="25" t="s">
        <v>3066</v>
      </c>
      <c r="D428" s="24" t="s">
        <v>21307</v>
      </c>
      <c r="E428" s="40">
        <v>9</v>
      </c>
      <c r="F428" s="41">
        <v>30000</v>
      </c>
      <c r="G428" s="40">
        <v>5</v>
      </c>
      <c r="H428" s="41">
        <v>14227</v>
      </c>
      <c r="I428" s="41">
        <v>3333.3333333333335</v>
      </c>
      <c r="J428" s="41">
        <v>2845.4</v>
      </c>
      <c r="K428" s="42">
        <v>-0.14638000000000001</v>
      </c>
    </row>
    <row r="429" spans="1:11" x14ac:dyDescent="0.25">
      <c r="A429" s="24" t="s">
        <v>7</v>
      </c>
      <c r="B429" s="24" t="s">
        <v>3068</v>
      </c>
      <c r="C429" s="25" t="s">
        <v>3069</v>
      </c>
      <c r="D429" s="24" t="s">
        <v>21307</v>
      </c>
      <c r="E429" s="40">
        <v>11</v>
      </c>
      <c r="F429" s="41">
        <v>23304</v>
      </c>
      <c r="G429" s="40">
        <v>7</v>
      </c>
      <c r="H429" s="41">
        <v>15629</v>
      </c>
      <c r="I429" s="41">
        <v>2118.5454545454545</v>
      </c>
      <c r="J429" s="41">
        <v>2232.7142857142858</v>
      </c>
      <c r="K429" s="42">
        <v>5.3890196655387232E-2</v>
      </c>
    </row>
    <row r="430" spans="1:11" x14ac:dyDescent="0.25">
      <c r="A430" s="24" t="s">
        <v>7</v>
      </c>
      <c r="B430" s="24" t="s">
        <v>3071</v>
      </c>
      <c r="C430" s="25" t="s">
        <v>3072</v>
      </c>
      <c r="D430" s="24" t="s">
        <v>21307</v>
      </c>
      <c r="E430" s="40">
        <v>19</v>
      </c>
      <c r="F430" s="41">
        <v>197902</v>
      </c>
      <c r="G430" s="40">
        <v>15</v>
      </c>
      <c r="H430" s="41">
        <v>119985</v>
      </c>
      <c r="I430" s="41">
        <v>10415.894736842105</v>
      </c>
      <c r="J430" s="41">
        <v>7999</v>
      </c>
      <c r="K430" s="42">
        <v>-0.23203909005467349</v>
      </c>
    </row>
    <row r="431" spans="1:11" x14ac:dyDescent="0.25">
      <c r="A431" s="24" t="s">
        <v>7</v>
      </c>
      <c r="B431" s="24" t="s">
        <v>3074</v>
      </c>
      <c r="C431" s="25" t="s">
        <v>3075</v>
      </c>
      <c r="D431" s="24" t="s">
        <v>21307</v>
      </c>
      <c r="G431" s="40">
        <v>6</v>
      </c>
      <c r="H431" s="41">
        <v>13704</v>
      </c>
      <c r="J431" s="41">
        <v>2284</v>
      </c>
    </row>
    <row r="432" spans="1:11" x14ac:dyDescent="0.25">
      <c r="A432" s="24" t="s">
        <v>7</v>
      </c>
      <c r="B432" s="24" t="s">
        <v>3076</v>
      </c>
      <c r="C432" s="25" t="s">
        <v>3077</v>
      </c>
      <c r="D432" s="24" t="s">
        <v>21307</v>
      </c>
      <c r="E432" s="40">
        <v>12</v>
      </c>
      <c r="F432" s="41">
        <v>111300</v>
      </c>
      <c r="G432" s="40">
        <v>13</v>
      </c>
      <c r="H432" s="41">
        <v>79515</v>
      </c>
      <c r="I432" s="41">
        <v>9275</v>
      </c>
      <c r="J432" s="41">
        <v>6116.5384615384619</v>
      </c>
      <c r="K432" s="42">
        <v>-0.34053493676135183</v>
      </c>
    </row>
    <row r="433" spans="1:11" x14ac:dyDescent="0.25">
      <c r="A433" s="24" t="s">
        <v>7</v>
      </c>
      <c r="B433" s="24" t="s">
        <v>3082</v>
      </c>
      <c r="C433" s="25" t="s">
        <v>3083</v>
      </c>
      <c r="D433" s="24" t="s">
        <v>21307</v>
      </c>
      <c r="G433" s="40">
        <v>3</v>
      </c>
      <c r="H433" s="41">
        <v>16044</v>
      </c>
      <c r="J433" s="41">
        <v>5348</v>
      </c>
    </row>
    <row r="434" spans="1:11" x14ac:dyDescent="0.25">
      <c r="A434" s="24" t="s">
        <v>7</v>
      </c>
      <c r="B434" s="24" t="s">
        <v>3085</v>
      </c>
      <c r="C434" s="25" t="s">
        <v>3086</v>
      </c>
      <c r="D434" s="24" t="s">
        <v>21307</v>
      </c>
      <c r="G434" s="40">
        <v>5</v>
      </c>
      <c r="H434" s="41">
        <v>53360</v>
      </c>
      <c r="J434" s="41">
        <v>10672</v>
      </c>
    </row>
    <row r="435" spans="1:11" x14ac:dyDescent="0.25">
      <c r="A435" s="24" t="s">
        <v>7</v>
      </c>
      <c r="B435" s="24" t="s">
        <v>3090</v>
      </c>
      <c r="C435" s="25" t="s">
        <v>3091</v>
      </c>
      <c r="D435" s="24" t="s">
        <v>21307</v>
      </c>
      <c r="G435" s="40">
        <v>3</v>
      </c>
      <c r="H435" s="41">
        <v>23331</v>
      </c>
      <c r="J435" s="41">
        <v>7777</v>
      </c>
    </row>
    <row r="436" spans="1:11" x14ac:dyDescent="0.25">
      <c r="A436" s="24" t="s">
        <v>7</v>
      </c>
      <c r="B436" s="24" t="s">
        <v>3093</v>
      </c>
      <c r="C436" s="25" t="s">
        <v>3094</v>
      </c>
      <c r="D436" s="24" t="s">
        <v>21307</v>
      </c>
      <c r="G436" s="40">
        <v>6</v>
      </c>
      <c r="H436" s="41">
        <v>10716</v>
      </c>
      <c r="J436" s="41">
        <v>1786</v>
      </c>
    </row>
    <row r="437" spans="1:11" x14ac:dyDescent="0.25">
      <c r="A437" s="24" t="s">
        <v>7</v>
      </c>
      <c r="B437" s="24" t="s">
        <v>3096</v>
      </c>
      <c r="C437" s="25" t="s">
        <v>3097</v>
      </c>
      <c r="D437" s="24" t="s">
        <v>21308</v>
      </c>
      <c r="E437" s="40">
        <v>51</v>
      </c>
      <c r="F437" s="41">
        <v>42034</v>
      </c>
      <c r="G437" s="40">
        <v>72</v>
      </c>
      <c r="H437" s="41">
        <v>53350</v>
      </c>
      <c r="I437" s="41">
        <v>824.1960784313726</v>
      </c>
      <c r="J437" s="41">
        <v>740.97222222222217</v>
      </c>
      <c r="K437" s="42">
        <v>-0.10097579737038283</v>
      </c>
    </row>
    <row r="438" spans="1:11" x14ac:dyDescent="0.25">
      <c r="A438" s="24" t="s">
        <v>7</v>
      </c>
      <c r="B438" s="24" t="s">
        <v>3099</v>
      </c>
      <c r="C438" s="25" t="s">
        <v>3100</v>
      </c>
      <c r="D438" s="24" t="s">
        <v>21309</v>
      </c>
      <c r="E438" s="40">
        <v>1326</v>
      </c>
      <c r="F438" s="41">
        <v>807216</v>
      </c>
      <c r="G438" s="40">
        <v>1340</v>
      </c>
      <c r="H438" s="41">
        <v>737404</v>
      </c>
      <c r="I438" s="41">
        <v>608.76018099547514</v>
      </c>
      <c r="J438" s="41">
        <v>550.30149253731338</v>
      </c>
      <c r="K438" s="42">
        <v>-9.6029093694280698E-2</v>
      </c>
    </row>
    <row r="439" spans="1:11" x14ac:dyDescent="0.25">
      <c r="A439" s="24" t="s">
        <v>7</v>
      </c>
      <c r="B439" s="24" t="s">
        <v>3101</v>
      </c>
      <c r="C439" s="25" t="s">
        <v>3102</v>
      </c>
      <c r="D439" s="24" t="s">
        <v>21309</v>
      </c>
      <c r="E439" s="40">
        <v>2024</v>
      </c>
      <c r="F439" s="41">
        <v>1412329</v>
      </c>
      <c r="G439" s="40">
        <v>1919</v>
      </c>
      <c r="H439" s="41">
        <v>1205466</v>
      </c>
      <c r="I439" s="41">
        <v>697.79100790513837</v>
      </c>
      <c r="J439" s="41">
        <v>628.17404898384575</v>
      </c>
      <c r="K439" s="42">
        <v>-9.976763548485959E-2</v>
      </c>
    </row>
    <row r="440" spans="1:11" x14ac:dyDescent="0.25">
      <c r="A440" s="24" t="s">
        <v>7</v>
      </c>
      <c r="B440" s="24" t="s">
        <v>3105</v>
      </c>
      <c r="C440" s="25" t="s">
        <v>3106</v>
      </c>
      <c r="D440" s="24" t="s">
        <v>21310</v>
      </c>
      <c r="G440" s="40">
        <v>5</v>
      </c>
      <c r="H440" s="41">
        <v>6350</v>
      </c>
      <c r="J440" s="41">
        <v>1270</v>
      </c>
    </row>
    <row r="441" spans="1:11" x14ac:dyDescent="0.25">
      <c r="A441" s="24" t="s">
        <v>7</v>
      </c>
      <c r="B441" s="24" t="s">
        <v>3108</v>
      </c>
      <c r="C441" s="25" t="s">
        <v>3109</v>
      </c>
      <c r="D441" s="24" t="s">
        <v>21118</v>
      </c>
      <c r="E441" s="40">
        <v>40954</v>
      </c>
      <c r="F441" s="41">
        <v>14073804</v>
      </c>
      <c r="G441" s="40">
        <v>42799</v>
      </c>
      <c r="H441" s="41">
        <v>13010416</v>
      </c>
      <c r="I441" s="41">
        <v>343.64906968794259</v>
      </c>
      <c r="J441" s="41">
        <v>303.98878478469123</v>
      </c>
      <c r="K441" s="42">
        <v>-0.11540926020624956</v>
      </c>
    </row>
    <row r="442" spans="1:11" x14ac:dyDescent="0.25">
      <c r="A442" s="24" t="s">
        <v>7</v>
      </c>
      <c r="B442" s="24" t="s">
        <v>3111</v>
      </c>
      <c r="C442" s="25" t="s">
        <v>3112</v>
      </c>
      <c r="D442" s="24" t="s">
        <v>21126</v>
      </c>
      <c r="E442" s="40">
        <v>3491</v>
      </c>
      <c r="F442" s="41">
        <v>2946557</v>
      </c>
      <c r="G442" s="40">
        <v>3715</v>
      </c>
      <c r="H442" s="41">
        <v>2735453</v>
      </c>
      <c r="I442" s="41">
        <v>844.04382698367226</v>
      </c>
      <c r="J442" s="41">
        <v>736.32651413189774</v>
      </c>
      <c r="K442" s="42">
        <v>-0.12762052088778356</v>
      </c>
    </row>
    <row r="443" spans="1:11" x14ac:dyDescent="0.25">
      <c r="A443" s="24" t="s">
        <v>7</v>
      </c>
      <c r="B443" s="24" t="s">
        <v>3113</v>
      </c>
      <c r="C443" s="25" t="s">
        <v>3114</v>
      </c>
      <c r="D443" s="24" t="s">
        <v>21311</v>
      </c>
      <c r="E443" s="40">
        <v>68</v>
      </c>
      <c r="F443" s="41">
        <v>45408</v>
      </c>
      <c r="G443" s="40">
        <v>138</v>
      </c>
      <c r="H443" s="41">
        <v>93439</v>
      </c>
      <c r="I443" s="41">
        <v>667.76470588235293</v>
      </c>
      <c r="J443" s="41">
        <v>677.09420289855075</v>
      </c>
      <c r="K443" s="42">
        <v>1.3971234079929788E-2</v>
      </c>
    </row>
    <row r="444" spans="1:11" x14ac:dyDescent="0.25">
      <c r="A444" s="24" t="s">
        <v>7</v>
      </c>
      <c r="B444" s="24" t="s">
        <v>3123</v>
      </c>
      <c r="C444" s="25" t="s">
        <v>3124</v>
      </c>
      <c r="D444" s="24" t="s">
        <v>21312</v>
      </c>
      <c r="E444" s="40">
        <v>1066</v>
      </c>
      <c r="F444" s="41">
        <v>922970</v>
      </c>
      <c r="G444" s="40">
        <v>1143</v>
      </c>
      <c r="H444" s="41">
        <v>868416</v>
      </c>
      <c r="I444" s="41">
        <v>865.82551594746712</v>
      </c>
      <c r="J444" s="41">
        <v>759.76902887139113</v>
      </c>
      <c r="K444" s="42">
        <v>-0.12249175511998983</v>
      </c>
    </row>
    <row r="445" spans="1:11" x14ac:dyDescent="0.25">
      <c r="A445" s="24" t="s">
        <v>7</v>
      </c>
      <c r="B445" s="24" t="s">
        <v>3126</v>
      </c>
      <c r="C445" s="25" t="s">
        <v>3127</v>
      </c>
      <c r="D445" s="24" t="s">
        <v>21122</v>
      </c>
      <c r="E445" s="40">
        <v>59806</v>
      </c>
      <c r="F445" s="41">
        <v>108073720</v>
      </c>
      <c r="G445" s="40">
        <v>62265</v>
      </c>
      <c r="H445" s="41">
        <v>97265814</v>
      </c>
      <c r="I445" s="41">
        <v>1807.0715312844866</v>
      </c>
      <c r="J445" s="41">
        <v>1562.1266200915443</v>
      </c>
      <c r="K445" s="42">
        <v>-0.1355479885286183</v>
      </c>
    </row>
    <row r="446" spans="1:11" x14ac:dyDescent="0.25">
      <c r="A446" s="24" t="s">
        <v>7</v>
      </c>
      <c r="B446" s="24" t="s">
        <v>3129</v>
      </c>
      <c r="C446" s="25" t="s">
        <v>3130</v>
      </c>
      <c r="D446" s="24" t="s">
        <v>21114</v>
      </c>
      <c r="E446" s="40">
        <v>35255</v>
      </c>
      <c r="F446" s="41">
        <v>43699054</v>
      </c>
      <c r="G446" s="40">
        <v>37829</v>
      </c>
      <c r="H446" s="41">
        <v>40670102</v>
      </c>
      <c r="I446" s="41">
        <v>1239.5136576372147</v>
      </c>
      <c r="J446" s="41">
        <v>1075.1038092468741</v>
      </c>
      <c r="K446" s="42">
        <v>-0.1326406105954023</v>
      </c>
    </row>
    <row r="447" spans="1:11" x14ac:dyDescent="0.25">
      <c r="A447" s="24" t="s">
        <v>7</v>
      </c>
      <c r="B447" s="24" t="s">
        <v>3134</v>
      </c>
      <c r="C447" s="25" t="s">
        <v>3135</v>
      </c>
      <c r="D447" s="24" t="s">
        <v>21313</v>
      </c>
      <c r="G447" s="40">
        <v>5</v>
      </c>
      <c r="H447" s="41">
        <v>1345</v>
      </c>
      <c r="J447" s="41">
        <v>269</v>
      </c>
    </row>
    <row r="448" spans="1:11" x14ac:dyDescent="0.25">
      <c r="A448" s="24" t="s">
        <v>7</v>
      </c>
      <c r="B448" s="24" t="s">
        <v>3137</v>
      </c>
      <c r="C448" s="25" t="s">
        <v>3138</v>
      </c>
      <c r="D448" s="24" t="s">
        <v>21314</v>
      </c>
      <c r="E448" s="40">
        <v>4452</v>
      </c>
      <c r="F448" s="41">
        <v>4067544</v>
      </c>
      <c r="G448" s="40">
        <v>6929</v>
      </c>
      <c r="H448" s="41">
        <v>6199596</v>
      </c>
      <c r="I448" s="41">
        <v>913.64420485175197</v>
      </c>
      <c r="J448" s="41">
        <v>894.73170731707319</v>
      </c>
      <c r="K448" s="42">
        <v>-2.0700068401076896E-2</v>
      </c>
    </row>
    <row r="449" spans="1:11" x14ac:dyDescent="0.25">
      <c r="A449" s="24" t="s">
        <v>7</v>
      </c>
      <c r="B449" s="24" t="s">
        <v>3147</v>
      </c>
      <c r="C449" s="25" t="s">
        <v>3148</v>
      </c>
      <c r="D449" s="24" t="s">
        <v>21227</v>
      </c>
      <c r="E449" s="40">
        <v>22774</v>
      </c>
      <c r="F449" s="41">
        <v>9819070</v>
      </c>
      <c r="G449" s="40">
        <v>23920</v>
      </c>
      <c r="H449" s="41">
        <v>9370062</v>
      </c>
      <c r="I449" s="41">
        <v>431.15263019232458</v>
      </c>
      <c r="J449" s="41">
        <v>391.72500000000002</v>
      </c>
      <c r="K449" s="42">
        <v>-9.1447036226445011E-2</v>
      </c>
    </row>
    <row r="450" spans="1:11" x14ac:dyDescent="0.25">
      <c r="A450" s="24" t="s">
        <v>7</v>
      </c>
      <c r="B450" s="24" t="s">
        <v>3149</v>
      </c>
      <c r="C450" s="25" t="s">
        <v>3150</v>
      </c>
      <c r="D450" s="24" t="s">
        <v>21315</v>
      </c>
      <c r="E450" s="40">
        <v>36</v>
      </c>
      <c r="F450" s="41">
        <v>4846</v>
      </c>
      <c r="G450" s="40">
        <v>40</v>
      </c>
      <c r="H450" s="41">
        <v>5024</v>
      </c>
      <c r="I450" s="41">
        <v>134.61111111111111</v>
      </c>
      <c r="J450" s="41">
        <v>125.6</v>
      </c>
      <c r="K450" s="42">
        <v>-6.6941807676434234E-2</v>
      </c>
    </row>
    <row r="451" spans="1:11" x14ac:dyDescent="0.25">
      <c r="A451" s="24" t="s">
        <v>7</v>
      </c>
      <c r="B451" s="24" t="s">
        <v>3155</v>
      </c>
      <c r="C451" s="25" t="s">
        <v>3156</v>
      </c>
      <c r="D451" s="24" t="s">
        <v>21316</v>
      </c>
      <c r="E451" s="40">
        <v>22</v>
      </c>
      <c r="F451" s="41">
        <v>3468</v>
      </c>
      <c r="G451" s="40">
        <v>35</v>
      </c>
      <c r="H451" s="41">
        <v>5215</v>
      </c>
      <c r="I451" s="41">
        <v>157.63636363636363</v>
      </c>
      <c r="J451" s="41">
        <v>149</v>
      </c>
      <c r="K451" s="42">
        <v>-5.4786620530565107E-2</v>
      </c>
    </row>
    <row r="452" spans="1:11" x14ac:dyDescent="0.25">
      <c r="A452" s="24" t="s">
        <v>7</v>
      </c>
      <c r="B452" s="24" t="s">
        <v>3161</v>
      </c>
      <c r="C452" s="25" t="s">
        <v>3162</v>
      </c>
      <c r="D452" s="24" t="s">
        <v>21317</v>
      </c>
      <c r="E452" s="40">
        <v>4434</v>
      </c>
      <c r="F452" s="41">
        <v>2833860</v>
      </c>
      <c r="G452" s="40">
        <v>6195</v>
      </c>
      <c r="H452" s="41">
        <v>3388094</v>
      </c>
      <c r="I452" s="41">
        <v>639.12043301759138</v>
      </c>
      <c r="J452" s="41">
        <v>546.90782889426953</v>
      </c>
      <c r="K452" s="42">
        <v>-0.14428048198669274</v>
      </c>
    </row>
    <row r="453" spans="1:11" x14ac:dyDescent="0.25">
      <c r="A453" s="24" t="s">
        <v>7</v>
      </c>
      <c r="B453" s="24" t="s">
        <v>3164</v>
      </c>
      <c r="C453" s="25" t="s">
        <v>3165</v>
      </c>
      <c r="D453" s="24" t="s">
        <v>21315</v>
      </c>
      <c r="E453" s="40">
        <v>9</v>
      </c>
      <c r="F453" s="41">
        <v>1071</v>
      </c>
      <c r="G453" s="40">
        <v>8</v>
      </c>
      <c r="H453" s="41">
        <v>968</v>
      </c>
      <c r="I453" s="41">
        <v>119</v>
      </c>
      <c r="J453" s="41">
        <v>121</v>
      </c>
      <c r="K453" s="42">
        <v>1.680672268907563E-2</v>
      </c>
    </row>
    <row r="454" spans="1:11" x14ac:dyDescent="0.25">
      <c r="A454" s="24" t="s">
        <v>7</v>
      </c>
      <c r="B454" s="24" t="s">
        <v>3166</v>
      </c>
      <c r="C454" s="25" t="s">
        <v>3167</v>
      </c>
      <c r="D454" s="24" t="s">
        <v>21318</v>
      </c>
      <c r="E454" s="40">
        <v>751</v>
      </c>
      <c r="F454" s="41">
        <v>696001</v>
      </c>
      <c r="G454" s="40">
        <v>783</v>
      </c>
      <c r="H454" s="41">
        <v>636633</v>
      </c>
      <c r="I454" s="41">
        <v>926.7656458055925</v>
      </c>
      <c r="J454" s="41">
        <v>813.06896551724139</v>
      </c>
      <c r="K454" s="42">
        <v>-0.1226811554818911</v>
      </c>
    </row>
    <row r="455" spans="1:11" x14ac:dyDescent="0.25">
      <c r="A455" s="24" t="s">
        <v>7</v>
      </c>
      <c r="B455" s="24" t="s">
        <v>3171</v>
      </c>
      <c r="C455" s="25" t="s">
        <v>3172</v>
      </c>
      <c r="D455" s="24" t="s">
        <v>21318</v>
      </c>
      <c r="E455" s="40">
        <v>707</v>
      </c>
      <c r="F455" s="41">
        <v>425288</v>
      </c>
      <c r="G455" s="40">
        <v>740</v>
      </c>
      <c r="H455" s="41">
        <v>401280</v>
      </c>
      <c r="I455" s="41">
        <v>601.5388967468175</v>
      </c>
      <c r="J455" s="41">
        <v>542.27027027027032</v>
      </c>
      <c r="K455" s="42">
        <v>-9.8528335901598124E-2</v>
      </c>
    </row>
    <row r="456" spans="1:11" x14ac:dyDescent="0.25">
      <c r="A456" s="24" t="s">
        <v>7</v>
      </c>
      <c r="B456" s="24" t="s">
        <v>3173</v>
      </c>
      <c r="C456" s="25" t="s">
        <v>3174</v>
      </c>
      <c r="D456" s="24" t="s">
        <v>21319</v>
      </c>
      <c r="E456" s="40">
        <v>63</v>
      </c>
      <c r="F456" s="41">
        <v>36026</v>
      </c>
      <c r="G456" s="40">
        <v>96</v>
      </c>
      <c r="H456" s="41">
        <v>45820</v>
      </c>
      <c r="I456" s="41">
        <v>571.84126984126988</v>
      </c>
      <c r="J456" s="41">
        <v>477.29166666666669</v>
      </c>
      <c r="K456" s="42">
        <v>-0.16534239160606232</v>
      </c>
    </row>
    <row r="457" spans="1:11" x14ac:dyDescent="0.25">
      <c r="A457" s="24" t="s">
        <v>7</v>
      </c>
      <c r="B457" s="24" t="s">
        <v>3176</v>
      </c>
      <c r="C457" s="25" t="s">
        <v>3177</v>
      </c>
      <c r="D457" s="24" t="s">
        <v>21320</v>
      </c>
      <c r="E457" s="40">
        <v>92</v>
      </c>
      <c r="F457" s="41">
        <v>22560</v>
      </c>
      <c r="G457" s="40">
        <v>105</v>
      </c>
      <c r="H457" s="41">
        <v>20004</v>
      </c>
      <c r="I457" s="41">
        <v>245.21739130434781</v>
      </c>
      <c r="J457" s="41">
        <v>190.51428571428571</v>
      </c>
      <c r="K457" s="42">
        <v>-0.22308004052684904</v>
      </c>
    </row>
    <row r="458" spans="1:11" x14ac:dyDescent="0.25">
      <c r="A458" s="24" t="s">
        <v>7</v>
      </c>
      <c r="B458" s="24" t="s">
        <v>3181</v>
      </c>
      <c r="C458" s="25" t="s">
        <v>3182</v>
      </c>
      <c r="D458" s="24" t="s">
        <v>21321</v>
      </c>
      <c r="E458" s="40">
        <v>160</v>
      </c>
      <c r="F458" s="41">
        <v>39305</v>
      </c>
      <c r="G458" s="40">
        <v>136</v>
      </c>
      <c r="H458" s="41">
        <v>28544</v>
      </c>
      <c r="I458" s="41">
        <v>245.65625</v>
      </c>
      <c r="J458" s="41">
        <v>209.88235294117646</v>
      </c>
      <c r="K458" s="42">
        <v>-0.14562583715587751</v>
      </c>
    </row>
    <row r="459" spans="1:11" x14ac:dyDescent="0.25">
      <c r="A459" s="24" t="s">
        <v>7</v>
      </c>
      <c r="B459" s="24" t="s">
        <v>3184</v>
      </c>
      <c r="C459" s="25" t="s">
        <v>3185</v>
      </c>
      <c r="D459" s="24" t="s">
        <v>21318</v>
      </c>
      <c r="E459" s="40">
        <v>2752</v>
      </c>
      <c r="F459" s="41">
        <v>1876016</v>
      </c>
      <c r="G459" s="40">
        <v>2907</v>
      </c>
      <c r="H459" s="41">
        <v>1743745</v>
      </c>
      <c r="I459" s="41">
        <v>681.69186046511629</v>
      </c>
      <c r="J459" s="41">
        <v>599.84348125215001</v>
      </c>
      <c r="K459" s="42">
        <v>-0.12006653439740557</v>
      </c>
    </row>
    <row r="460" spans="1:11" x14ac:dyDescent="0.25">
      <c r="A460" s="24" t="s">
        <v>7</v>
      </c>
      <c r="B460" s="24" t="s">
        <v>3186</v>
      </c>
      <c r="C460" s="25" t="s">
        <v>3187</v>
      </c>
      <c r="D460" s="24" t="s">
        <v>21318</v>
      </c>
      <c r="E460" s="40">
        <v>3352</v>
      </c>
      <c r="F460" s="41">
        <v>2758573.76</v>
      </c>
      <c r="G460" s="40">
        <v>3992</v>
      </c>
      <c r="H460" s="41">
        <v>2850545</v>
      </c>
      <c r="I460" s="41">
        <v>822.96353221957031</v>
      </c>
      <c r="J460" s="41">
        <v>714.06437875751499</v>
      </c>
      <c r="K460" s="42">
        <v>-0.13232561249506319</v>
      </c>
    </row>
    <row r="461" spans="1:11" x14ac:dyDescent="0.25">
      <c r="A461" s="24" t="s">
        <v>7</v>
      </c>
      <c r="B461" s="24" t="s">
        <v>3188</v>
      </c>
      <c r="C461" s="25" t="s">
        <v>3189</v>
      </c>
      <c r="D461" s="24" t="s">
        <v>21322</v>
      </c>
      <c r="E461" s="40">
        <v>707</v>
      </c>
      <c r="F461" s="41">
        <v>425317</v>
      </c>
      <c r="G461" s="40">
        <v>548</v>
      </c>
      <c r="H461" s="41">
        <v>287252</v>
      </c>
      <c r="I461" s="41">
        <v>601.57991513437059</v>
      </c>
      <c r="J461" s="41">
        <v>524.18248175182487</v>
      </c>
      <c r="K461" s="42">
        <v>-0.12865694388293866</v>
      </c>
    </row>
    <row r="462" spans="1:11" x14ac:dyDescent="0.25">
      <c r="A462" s="24" t="s">
        <v>7</v>
      </c>
      <c r="B462" s="24" t="s">
        <v>3197</v>
      </c>
      <c r="C462" s="25" t="s">
        <v>3198</v>
      </c>
      <c r="D462" s="24" t="s">
        <v>21323</v>
      </c>
      <c r="E462" s="40">
        <v>41</v>
      </c>
      <c r="F462" s="41">
        <v>28908</v>
      </c>
      <c r="G462" s="40">
        <v>36</v>
      </c>
      <c r="H462" s="41">
        <v>22778</v>
      </c>
      <c r="I462" s="41">
        <v>705.07317073170736</v>
      </c>
      <c r="J462" s="41">
        <v>632.72222222222217</v>
      </c>
      <c r="K462" s="42">
        <v>-0.10261480866503711</v>
      </c>
    </row>
    <row r="463" spans="1:11" x14ac:dyDescent="0.25">
      <c r="A463" s="24" t="s">
        <v>7</v>
      </c>
      <c r="B463" s="24" t="s">
        <v>3199</v>
      </c>
      <c r="C463" s="25" t="s">
        <v>3200</v>
      </c>
      <c r="D463" s="24" t="s">
        <v>21324</v>
      </c>
      <c r="E463" s="40">
        <v>3463</v>
      </c>
      <c r="F463" s="41">
        <v>1883832</v>
      </c>
      <c r="G463" s="40">
        <v>3352</v>
      </c>
      <c r="H463" s="41">
        <v>1555313</v>
      </c>
      <c r="I463" s="41">
        <v>543.98844932139764</v>
      </c>
      <c r="J463" s="41">
        <v>463.99552505966585</v>
      </c>
      <c r="K463" s="42">
        <v>-0.14704893892787529</v>
      </c>
    </row>
    <row r="464" spans="1:11" x14ac:dyDescent="0.25">
      <c r="A464" s="24" t="s">
        <v>7</v>
      </c>
      <c r="B464" s="24" t="s">
        <v>3201</v>
      </c>
      <c r="C464" s="25" t="s">
        <v>3202</v>
      </c>
      <c r="D464" s="24" t="s">
        <v>21325</v>
      </c>
      <c r="E464" s="40">
        <v>949</v>
      </c>
      <c r="F464" s="41">
        <v>523006</v>
      </c>
      <c r="G464" s="40">
        <v>805</v>
      </c>
      <c r="H464" s="41">
        <v>385630</v>
      </c>
      <c r="I464" s="41">
        <v>551.11275026343515</v>
      </c>
      <c r="J464" s="41">
        <v>479.04347826086956</v>
      </c>
      <c r="K464" s="42">
        <v>-0.1307704675098082</v>
      </c>
    </row>
    <row r="465" spans="1:11" x14ac:dyDescent="0.25">
      <c r="A465" s="24" t="s">
        <v>7</v>
      </c>
      <c r="B465" s="24" t="s">
        <v>3205</v>
      </c>
      <c r="C465" s="25" t="s">
        <v>3206</v>
      </c>
      <c r="D465" s="24" t="s">
        <v>21325</v>
      </c>
      <c r="E465" s="40">
        <v>118</v>
      </c>
      <c r="F465" s="41">
        <v>64720</v>
      </c>
      <c r="G465" s="40">
        <v>94</v>
      </c>
      <c r="H465" s="41">
        <v>42758</v>
      </c>
      <c r="I465" s="41">
        <v>548.47457627118649</v>
      </c>
      <c r="J465" s="41">
        <v>454.87234042553189</v>
      </c>
      <c r="K465" s="42">
        <v>-0.1706592062698894</v>
      </c>
    </row>
    <row r="466" spans="1:11" x14ac:dyDescent="0.25">
      <c r="A466" s="24" t="s">
        <v>7</v>
      </c>
      <c r="B466" s="24" t="s">
        <v>3212</v>
      </c>
      <c r="C466" s="25" t="s">
        <v>3213</v>
      </c>
      <c r="D466" s="24" t="s">
        <v>21326</v>
      </c>
      <c r="E466" s="40">
        <v>53</v>
      </c>
      <c r="F466" s="41">
        <v>31250</v>
      </c>
      <c r="G466" s="40">
        <v>41</v>
      </c>
      <c r="H466" s="41">
        <v>22678</v>
      </c>
      <c r="I466" s="41">
        <v>589.62264150943395</v>
      </c>
      <c r="J466" s="41">
        <v>553.1219512195122</v>
      </c>
      <c r="K466" s="42">
        <v>-6.1905170731707287E-2</v>
      </c>
    </row>
    <row r="467" spans="1:11" x14ac:dyDescent="0.25">
      <c r="A467" s="24" t="s">
        <v>7</v>
      </c>
      <c r="B467" s="24" t="s">
        <v>3215</v>
      </c>
      <c r="C467" s="25" t="s">
        <v>3216</v>
      </c>
      <c r="D467" s="24" t="s">
        <v>21326</v>
      </c>
      <c r="E467" s="40">
        <v>1506</v>
      </c>
      <c r="F467" s="41">
        <v>967778</v>
      </c>
      <c r="G467" s="40">
        <v>1605</v>
      </c>
      <c r="H467" s="41">
        <v>964607</v>
      </c>
      <c r="I467" s="41">
        <v>642.61487383798146</v>
      </c>
      <c r="J467" s="41">
        <v>601.00124610591899</v>
      </c>
      <c r="K467" s="42">
        <v>-6.4756714209752722E-2</v>
      </c>
    </row>
    <row r="468" spans="1:11" x14ac:dyDescent="0.25">
      <c r="A468" s="24" t="s">
        <v>7</v>
      </c>
      <c r="B468" s="24" t="s">
        <v>3217</v>
      </c>
      <c r="C468" s="25" t="s">
        <v>3218</v>
      </c>
      <c r="D468" s="24" t="s">
        <v>21327</v>
      </c>
      <c r="E468" s="40">
        <v>736</v>
      </c>
      <c r="F468" s="41">
        <v>215378</v>
      </c>
      <c r="G468" s="40">
        <v>514</v>
      </c>
      <c r="H468" s="41">
        <v>128118</v>
      </c>
      <c r="I468" s="41">
        <v>292.63315217391306</v>
      </c>
      <c r="J468" s="41">
        <v>249.25680933852141</v>
      </c>
      <c r="K468" s="42">
        <v>-0.14822771279725996</v>
      </c>
    </row>
    <row r="469" spans="1:11" x14ac:dyDescent="0.25">
      <c r="A469" s="24" t="s">
        <v>7</v>
      </c>
      <c r="B469" s="24" t="s">
        <v>3220</v>
      </c>
      <c r="C469" s="25" t="s">
        <v>3221</v>
      </c>
      <c r="D469" s="24" t="s">
        <v>21327</v>
      </c>
      <c r="E469" s="40">
        <v>1332</v>
      </c>
      <c r="F469" s="41">
        <v>418992</v>
      </c>
      <c r="G469" s="40">
        <v>1449</v>
      </c>
      <c r="H469" s="41">
        <v>431411</v>
      </c>
      <c r="I469" s="41">
        <v>314.55855855855856</v>
      </c>
      <c r="J469" s="41">
        <v>297.73015873015873</v>
      </c>
      <c r="K469" s="42">
        <v>-5.3498464341630789E-2</v>
      </c>
    </row>
    <row r="470" spans="1:11" x14ac:dyDescent="0.25">
      <c r="A470" s="24" t="s">
        <v>7</v>
      </c>
      <c r="B470" s="24" t="s">
        <v>3225</v>
      </c>
      <c r="C470" s="25" t="s">
        <v>3226</v>
      </c>
      <c r="D470" s="24" t="s">
        <v>21328</v>
      </c>
      <c r="E470" s="40">
        <v>705</v>
      </c>
      <c r="F470" s="41">
        <v>151564</v>
      </c>
      <c r="G470" s="40">
        <v>595</v>
      </c>
      <c r="H470" s="41">
        <v>116659</v>
      </c>
      <c r="I470" s="41">
        <v>214.98439716312058</v>
      </c>
      <c r="J470" s="41">
        <v>196.06554621848738</v>
      </c>
      <c r="K470" s="42">
        <v>-8.8001041909466629E-2</v>
      </c>
    </row>
    <row r="471" spans="1:11" x14ac:dyDescent="0.25">
      <c r="A471" s="24" t="s">
        <v>7</v>
      </c>
      <c r="B471" s="24" t="s">
        <v>3228</v>
      </c>
      <c r="C471" s="25" t="s">
        <v>3229</v>
      </c>
      <c r="D471" s="24" t="s">
        <v>21329</v>
      </c>
      <c r="E471" s="40">
        <v>13</v>
      </c>
      <c r="F471" s="41">
        <v>2159</v>
      </c>
      <c r="G471" s="40">
        <v>6</v>
      </c>
      <c r="H471" s="41">
        <v>1002</v>
      </c>
      <c r="I471" s="41">
        <v>166.07692307692307</v>
      </c>
      <c r="J471" s="41">
        <v>167</v>
      </c>
      <c r="K471" s="42">
        <v>5.558128763316416E-3</v>
      </c>
    </row>
    <row r="472" spans="1:11" x14ac:dyDescent="0.25">
      <c r="A472" s="24" t="s">
        <v>7</v>
      </c>
      <c r="B472" s="24" t="s">
        <v>3231</v>
      </c>
      <c r="C472" s="25" t="s">
        <v>3232</v>
      </c>
      <c r="D472" s="24" t="s">
        <v>21330</v>
      </c>
      <c r="E472" s="40">
        <v>84</v>
      </c>
      <c r="F472" s="41">
        <v>12252</v>
      </c>
      <c r="G472" s="40">
        <v>66</v>
      </c>
      <c r="H472" s="41">
        <v>9184</v>
      </c>
      <c r="I472" s="41">
        <v>145.85714285714286</v>
      </c>
      <c r="J472" s="41">
        <v>139.15151515151516</v>
      </c>
      <c r="K472" s="42">
        <v>-4.5973941174724718E-2</v>
      </c>
    </row>
    <row r="473" spans="1:11" x14ac:dyDescent="0.25">
      <c r="A473" s="24" t="s">
        <v>7</v>
      </c>
      <c r="B473" s="24" t="s">
        <v>3233</v>
      </c>
      <c r="C473" s="25" t="s">
        <v>3234</v>
      </c>
      <c r="D473" s="24" t="s">
        <v>21331</v>
      </c>
      <c r="E473" s="40">
        <v>3386</v>
      </c>
      <c r="F473" s="41">
        <v>1350618</v>
      </c>
      <c r="G473" s="40">
        <v>3163</v>
      </c>
      <c r="H473" s="41">
        <v>1156874</v>
      </c>
      <c r="I473" s="41">
        <v>398.88304784406381</v>
      </c>
      <c r="J473" s="41">
        <v>365.75213404995259</v>
      </c>
      <c r="K473" s="42">
        <v>-8.3059217415183711E-2</v>
      </c>
    </row>
    <row r="474" spans="1:11" x14ac:dyDescent="0.25">
      <c r="A474" s="24" t="s">
        <v>7</v>
      </c>
      <c r="B474" s="24" t="s">
        <v>3240</v>
      </c>
      <c r="C474" s="25" t="s">
        <v>3241</v>
      </c>
      <c r="D474" s="24" t="s">
        <v>21332</v>
      </c>
      <c r="E474" s="40">
        <v>36</v>
      </c>
      <c r="F474" s="41">
        <v>22536</v>
      </c>
      <c r="G474" s="40">
        <v>46</v>
      </c>
      <c r="H474" s="41">
        <v>25276</v>
      </c>
      <c r="I474" s="41">
        <v>626</v>
      </c>
      <c r="J474" s="41">
        <v>549.47826086956525</v>
      </c>
      <c r="K474" s="42">
        <v>-0.12223919988887341</v>
      </c>
    </row>
    <row r="475" spans="1:11" x14ac:dyDescent="0.25">
      <c r="A475" s="24" t="s">
        <v>7</v>
      </c>
      <c r="B475" s="24" t="s">
        <v>3250</v>
      </c>
      <c r="C475" s="25" t="s">
        <v>3251</v>
      </c>
      <c r="D475" s="24" t="s">
        <v>21333</v>
      </c>
      <c r="G475" s="40">
        <v>1</v>
      </c>
      <c r="H475" s="41">
        <v>106</v>
      </c>
      <c r="J475" s="41">
        <v>106</v>
      </c>
    </row>
    <row r="476" spans="1:11" x14ac:dyDescent="0.25">
      <c r="A476" s="24" t="s">
        <v>7</v>
      </c>
      <c r="B476" s="24" t="s">
        <v>3252</v>
      </c>
      <c r="C476" s="25" t="s">
        <v>3253</v>
      </c>
      <c r="D476" s="24" t="s">
        <v>21334</v>
      </c>
      <c r="E476" s="40">
        <v>103</v>
      </c>
      <c r="F476" s="41">
        <v>20324</v>
      </c>
      <c r="G476" s="40">
        <v>77</v>
      </c>
      <c r="H476" s="41">
        <v>13304</v>
      </c>
      <c r="I476" s="41">
        <v>197.32038834951456</v>
      </c>
      <c r="J476" s="41">
        <v>172.77922077922079</v>
      </c>
      <c r="K476" s="42">
        <v>-0.12437218361249056</v>
      </c>
    </row>
    <row r="477" spans="1:11" x14ac:dyDescent="0.25">
      <c r="A477" s="24" t="s">
        <v>7</v>
      </c>
      <c r="B477" s="24" t="s">
        <v>3255</v>
      </c>
      <c r="C477" s="25" t="s">
        <v>3256</v>
      </c>
      <c r="D477" s="24" t="s">
        <v>21335</v>
      </c>
      <c r="E477" s="40">
        <v>422</v>
      </c>
      <c r="F477" s="41">
        <v>240393</v>
      </c>
      <c r="G477" s="40">
        <v>234</v>
      </c>
      <c r="H477" s="41">
        <v>114159</v>
      </c>
      <c r="I477" s="41">
        <v>569.65165876777246</v>
      </c>
      <c r="J477" s="41">
        <v>487.85897435897436</v>
      </c>
      <c r="K477" s="42">
        <v>-0.14358368513439576</v>
      </c>
    </row>
    <row r="478" spans="1:11" x14ac:dyDescent="0.25">
      <c r="A478" s="24" t="s">
        <v>7</v>
      </c>
      <c r="B478" s="24" t="s">
        <v>3258</v>
      </c>
      <c r="C478" s="25" t="s">
        <v>3259</v>
      </c>
      <c r="D478" s="24" t="s">
        <v>21336</v>
      </c>
      <c r="E478" s="40">
        <v>99</v>
      </c>
      <c r="F478" s="41">
        <v>27339</v>
      </c>
      <c r="G478" s="40">
        <v>73</v>
      </c>
      <c r="H478" s="41">
        <v>17472.560000000001</v>
      </c>
      <c r="I478" s="41">
        <v>276.15151515151513</v>
      </c>
      <c r="J478" s="41">
        <v>239.35013698630138</v>
      </c>
      <c r="K478" s="42">
        <v>-0.13326516838056116</v>
      </c>
    </row>
    <row r="479" spans="1:11" x14ac:dyDescent="0.25">
      <c r="A479" s="24" t="s">
        <v>7</v>
      </c>
      <c r="B479" s="24" t="s">
        <v>3260</v>
      </c>
      <c r="C479" s="25" t="s">
        <v>3261</v>
      </c>
      <c r="D479" s="24" t="s">
        <v>21337</v>
      </c>
      <c r="E479" s="40">
        <v>719</v>
      </c>
      <c r="F479" s="41">
        <v>255020</v>
      </c>
      <c r="G479" s="40">
        <v>698</v>
      </c>
      <c r="H479" s="41">
        <v>219404</v>
      </c>
      <c r="I479" s="41">
        <v>354.68706536856746</v>
      </c>
      <c r="J479" s="41">
        <v>314.33237822349571</v>
      </c>
      <c r="K479" s="42">
        <v>-0.11377546881541287</v>
      </c>
    </row>
    <row r="480" spans="1:11" x14ac:dyDescent="0.25">
      <c r="A480" s="24" t="s">
        <v>7</v>
      </c>
      <c r="B480" s="24" t="s">
        <v>3263</v>
      </c>
      <c r="C480" s="25" t="s">
        <v>3264</v>
      </c>
      <c r="D480" s="24" t="s">
        <v>21337</v>
      </c>
      <c r="E480" s="40">
        <v>803</v>
      </c>
      <c r="F480" s="41">
        <v>225809</v>
      </c>
      <c r="G480" s="40">
        <v>768</v>
      </c>
      <c r="H480" s="41">
        <v>186345</v>
      </c>
      <c r="I480" s="41">
        <v>281.20672478206723</v>
      </c>
      <c r="J480" s="41">
        <v>242.63671875</v>
      </c>
      <c r="K480" s="42">
        <v>-0.13715890351469598</v>
      </c>
    </row>
    <row r="481" spans="1:11" x14ac:dyDescent="0.25">
      <c r="A481" s="24" t="s">
        <v>7</v>
      </c>
      <c r="B481" s="24" t="s">
        <v>3266</v>
      </c>
      <c r="C481" s="25" t="s">
        <v>3267</v>
      </c>
      <c r="D481" s="24" t="s">
        <v>21337</v>
      </c>
      <c r="E481" s="40">
        <v>4</v>
      </c>
      <c r="F481" s="41">
        <v>1135</v>
      </c>
      <c r="G481" s="40">
        <v>4</v>
      </c>
      <c r="H481" s="41">
        <v>1156</v>
      </c>
      <c r="I481" s="41">
        <v>283.75</v>
      </c>
      <c r="J481" s="41">
        <v>289</v>
      </c>
      <c r="K481" s="42">
        <v>1.8502202643171806E-2</v>
      </c>
    </row>
    <row r="482" spans="1:11" x14ac:dyDescent="0.25">
      <c r="A482" s="24" t="s">
        <v>7</v>
      </c>
      <c r="B482" s="24" t="s">
        <v>3269</v>
      </c>
      <c r="C482" s="25" t="s">
        <v>3270</v>
      </c>
      <c r="D482" s="24" t="s">
        <v>21124</v>
      </c>
      <c r="E482" s="40">
        <v>3084</v>
      </c>
      <c r="F482" s="41">
        <v>1669422</v>
      </c>
      <c r="G482" s="40">
        <v>3230</v>
      </c>
      <c r="H482" s="41">
        <v>1534459</v>
      </c>
      <c r="I482" s="41">
        <v>541.31712062256804</v>
      </c>
      <c r="J482" s="41">
        <v>475.06470588235294</v>
      </c>
      <c r="K482" s="42">
        <v>-0.12239113121716581</v>
      </c>
    </row>
    <row r="483" spans="1:11" x14ac:dyDescent="0.25">
      <c r="A483" s="24" t="s">
        <v>7</v>
      </c>
      <c r="B483" s="24" t="s">
        <v>3272</v>
      </c>
      <c r="C483" s="25" t="s">
        <v>3273</v>
      </c>
      <c r="D483" s="24" t="s">
        <v>21338</v>
      </c>
      <c r="E483" s="40">
        <v>324</v>
      </c>
      <c r="F483" s="41">
        <v>172332</v>
      </c>
      <c r="G483" s="40">
        <v>346</v>
      </c>
      <c r="H483" s="41">
        <v>160708</v>
      </c>
      <c r="I483" s="41">
        <v>531.88888888888891</v>
      </c>
      <c r="J483" s="41">
        <v>464.47398843930637</v>
      </c>
      <c r="K483" s="42">
        <v>-0.12674620932656003</v>
      </c>
    </row>
    <row r="484" spans="1:11" x14ac:dyDescent="0.25">
      <c r="A484" s="24" t="s">
        <v>7</v>
      </c>
      <c r="B484" s="24" t="s">
        <v>3277</v>
      </c>
      <c r="C484" s="25" t="s">
        <v>3278</v>
      </c>
      <c r="D484" s="24" t="s">
        <v>21339</v>
      </c>
      <c r="E484" s="40">
        <v>35</v>
      </c>
      <c r="F484" s="41">
        <v>12489</v>
      </c>
      <c r="G484" s="40">
        <v>37</v>
      </c>
      <c r="H484" s="41">
        <v>11023</v>
      </c>
      <c r="I484" s="41">
        <v>356.82857142857142</v>
      </c>
      <c r="J484" s="41">
        <v>297.91891891891891</v>
      </c>
      <c r="K484" s="42">
        <v>-0.16509230825829435</v>
      </c>
    </row>
    <row r="485" spans="1:11" x14ac:dyDescent="0.25">
      <c r="A485" s="24" t="s">
        <v>7</v>
      </c>
      <c r="B485" s="24" t="s">
        <v>3280</v>
      </c>
      <c r="C485" s="25" t="s">
        <v>3281</v>
      </c>
      <c r="D485" s="24" t="s">
        <v>21340</v>
      </c>
      <c r="G485" s="40">
        <v>8</v>
      </c>
      <c r="H485" s="41">
        <v>1945</v>
      </c>
      <c r="J485" s="41">
        <v>243.125</v>
      </c>
    </row>
    <row r="486" spans="1:11" x14ac:dyDescent="0.25">
      <c r="A486" s="24" t="s">
        <v>7</v>
      </c>
      <c r="B486" s="24" t="s">
        <v>3283</v>
      </c>
      <c r="C486" s="25" t="s">
        <v>3284</v>
      </c>
      <c r="D486" s="24" t="s">
        <v>21340</v>
      </c>
      <c r="E486" s="40">
        <v>1386</v>
      </c>
      <c r="F486" s="41">
        <v>427580</v>
      </c>
      <c r="G486" s="40">
        <v>1406</v>
      </c>
      <c r="H486" s="41">
        <v>381046</v>
      </c>
      <c r="I486" s="41">
        <v>308.49927849927849</v>
      </c>
      <c r="J486" s="41">
        <v>271.01422475106688</v>
      </c>
      <c r="K486" s="42">
        <v>-0.12150775175410752</v>
      </c>
    </row>
    <row r="487" spans="1:11" x14ac:dyDescent="0.25">
      <c r="A487" s="24" t="s">
        <v>7</v>
      </c>
      <c r="B487" s="24" t="s">
        <v>3285</v>
      </c>
      <c r="C487" s="25" t="s">
        <v>3286</v>
      </c>
      <c r="D487" s="24" t="s">
        <v>21341</v>
      </c>
      <c r="E487" s="40">
        <v>16</v>
      </c>
      <c r="F487" s="41">
        <v>11324</v>
      </c>
      <c r="G487" s="40">
        <v>11</v>
      </c>
      <c r="H487" s="41">
        <v>7254</v>
      </c>
      <c r="I487" s="41">
        <v>707.75</v>
      </c>
      <c r="J487" s="41">
        <v>659.4545454545455</v>
      </c>
      <c r="K487" s="42">
        <v>-6.8238014193506891E-2</v>
      </c>
    </row>
    <row r="488" spans="1:11" x14ac:dyDescent="0.25">
      <c r="A488" s="24" t="s">
        <v>7</v>
      </c>
      <c r="B488" s="24" t="s">
        <v>3288</v>
      </c>
      <c r="C488" s="25" t="s">
        <v>3289</v>
      </c>
      <c r="D488" s="24" t="s">
        <v>21342</v>
      </c>
      <c r="E488" s="40">
        <v>2402</v>
      </c>
      <c r="F488" s="41">
        <v>1329216</v>
      </c>
      <c r="G488" s="40">
        <v>2532</v>
      </c>
      <c r="H488" s="41">
        <v>1158442</v>
      </c>
      <c r="I488" s="41">
        <v>553.37885095753541</v>
      </c>
      <c r="J488" s="41">
        <v>457.5205371248025</v>
      </c>
      <c r="K488" s="42">
        <v>-0.17322366705352962</v>
      </c>
    </row>
    <row r="489" spans="1:11" x14ac:dyDescent="0.25">
      <c r="A489" s="24" t="s">
        <v>7</v>
      </c>
      <c r="B489" s="24" t="s">
        <v>3291</v>
      </c>
      <c r="C489" s="25" t="s">
        <v>3292</v>
      </c>
      <c r="D489" s="24" t="s">
        <v>21343</v>
      </c>
      <c r="E489" s="40">
        <v>186</v>
      </c>
      <c r="F489" s="41">
        <v>90187</v>
      </c>
      <c r="G489" s="40">
        <v>279</v>
      </c>
      <c r="H489" s="41">
        <v>121557</v>
      </c>
      <c r="I489" s="41">
        <v>484.8763440860215</v>
      </c>
      <c r="J489" s="41">
        <v>435.68817204301075</v>
      </c>
      <c r="K489" s="42">
        <v>-0.10144477585461319</v>
      </c>
    </row>
    <row r="490" spans="1:11" x14ac:dyDescent="0.25">
      <c r="A490" s="24" t="s">
        <v>7</v>
      </c>
      <c r="B490" s="24" t="s">
        <v>3293</v>
      </c>
      <c r="C490" s="25" t="s">
        <v>3294</v>
      </c>
      <c r="D490" s="24" t="s">
        <v>21344</v>
      </c>
      <c r="E490" s="40">
        <v>83</v>
      </c>
      <c r="F490" s="41">
        <v>44460</v>
      </c>
      <c r="G490" s="40">
        <v>82</v>
      </c>
      <c r="H490" s="41">
        <v>37898</v>
      </c>
      <c r="I490" s="41">
        <v>535.6626506024096</v>
      </c>
      <c r="J490" s="41">
        <v>462.17073170731709</v>
      </c>
      <c r="K490" s="42">
        <v>-0.13719813918786952</v>
      </c>
    </row>
    <row r="491" spans="1:11" x14ac:dyDescent="0.25">
      <c r="A491" s="24" t="s">
        <v>7</v>
      </c>
      <c r="B491" s="24" t="s">
        <v>3295</v>
      </c>
      <c r="C491" s="25" t="s">
        <v>3296</v>
      </c>
      <c r="D491" s="24" t="s">
        <v>21345</v>
      </c>
      <c r="E491" s="40">
        <v>82</v>
      </c>
      <c r="F491" s="41">
        <v>39480</v>
      </c>
      <c r="G491" s="40">
        <v>68</v>
      </c>
      <c r="H491" s="41">
        <v>33432</v>
      </c>
      <c r="I491" s="41">
        <v>481.46341463414632</v>
      </c>
      <c r="J491" s="41">
        <v>491.64705882352939</v>
      </c>
      <c r="K491" s="42">
        <v>2.1151439299123914E-2</v>
      </c>
    </row>
    <row r="492" spans="1:11" x14ac:dyDescent="0.25">
      <c r="A492" s="24" t="s">
        <v>7</v>
      </c>
      <c r="B492" s="24" t="s">
        <v>3298</v>
      </c>
      <c r="C492" s="25" t="s">
        <v>3299</v>
      </c>
      <c r="D492" s="24" t="s">
        <v>21346</v>
      </c>
      <c r="E492" s="40">
        <v>2855</v>
      </c>
      <c r="F492" s="41">
        <v>2301061</v>
      </c>
      <c r="G492" s="40">
        <v>2398</v>
      </c>
      <c r="H492" s="41">
        <v>1682874</v>
      </c>
      <c r="I492" s="41">
        <v>805.97583187390546</v>
      </c>
      <c r="J492" s="41">
        <v>701.78231859883238</v>
      </c>
      <c r="K492" s="42">
        <v>-0.12927622535879477</v>
      </c>
    </row>
    <row r="493" spans="1:11" x14ac:dyDescent="0.25">
      <c r="A493" s="24" t="s">
        <v>7</v>
      </c>
      <c r="B493" s="24" t="s">
        <v>3300</v>
      </c>
      <c r="C493" s="25" t="s">
        <v>3301</v>
      </c>
      <c r="D493" s="24" t="s">
        <v>21347</v>
      </c>
      <c r="E493" s="40">
        <v>54</v>
      </c>
      <c r="F493" s="41">
        <v>134379</v>
      </c>
      <c r="G493" s="40">
        <v>73</v>
      </c>
      <c r="H493" s="41">
        <v>164591</v>
      </c>
      <c r="I493" s="41">
        <v>2488.5</v>
      </c>
      <c r="J493" s="41">
        <v>2254.6712328767121</v>
      </c>
      <c r="K493" s="42">
        <v>-9.3963740053561534E-2</v>
      </c>
    </row>
    <row r="494" spans="1:11" x14ac:dyDescent="0.25">
      <c r="A494" s="24" t="s">
        <v>7</v>
      </c>
      <c r="B494" s="24" t="s">
        <v>3303</v>
      </c>
      <c r="C494" s="25" t="s">
        <v>3304</v>
      </c>
      <c r="D494" s="24" t="s">
        <v>21348</v>
      </c>
      <c r="E494" s="40">
        <v>2047</v>
      </c>
      <c r="F494" s="41">
        <v>1517696</v>
      </c>
      <c r="G494" s="40">
        <v>2182</v>
      </c>
      <c r="H494" s="41">
        <v>1313200</v>
      </c>
      <c r="I494" s="41">
        <v>741.42452369320961</v>
      </c>
      <c r="J494" s="41">
        <v>601.83318056828602</v>
      </c>
      <c r="K494" s="42">
        <v>-0.18827451569795173</v>
      </c>
    </row>
    <row r="495" spans="1:11" x14ac:dyDescent="0.25">
      <c r="A495" s="24" t="s">
        <v>7</v>
      </c>
      <c r="B495" s="24" t="s">
        <v>3305</v>
      </c>
      <c r="C495" s="25" t="s">
        <v>3306</v>
      </c>
      <c r="D495" s="24" t="s">
        <v>21349</v>
      </c>
      <c r="E495" s="40">
        <v>1074</v>
      </c>
      <c r="F495" s="41">
        <v>1247770</v>
      </c>
      <c r="G495" s="40">
        <v>1194</v>
      </c>
      <c r="H495" s="41">
        <v>1268922</v>
      </c>
      <c r="I495" s="41">
        <v>1161.7970204841713</v>
      </c>
      <c r="J495" s="41">
        <v>1062.748743718593</v>
      </c>
      <c r="K495" s="42">
        <v>-8.525437319877148E-2</v>
      </c>
    </row>
    <row r="496" spans="1:11" x14ac:dyDescent="0.25">
      <c r="A496" s="24" t="s">
        <v>7</v>
      </c>
      <c r="B496" s="24" t="s">
        <v>3308</v>
      </c>
      <c r="C496" s="25" t="s">
        <v>3309</v>
      </c>
      <c r="D496" s="24" t="s">
        <v>21350</v>
      </c>
      <c r="G496" s="40">
        <v>6</v>
      </c>
      <c r="H496" s="41">
        <v>2706</v>
      </c>
      <c r="J496" s="41">
        <v>451</v>
      </c>
    </row>
    <row r="497" spans="1:11" x14ac:dyDescent="0.25">
      <c r="A497" s="24" t="s">
        <v>7</v>
      </c>
      <c r="B497" s="24" t="s">
        <v>3311</v>
      </c>
      <c r="C497" s="25" t="s">
        <v>3312</v>
      </c>
      <c r="D497" s="24" t="s">
        <v>21351</v>
      </c>
      <c r="E497" s="40">
        <v>314</v>
      </c>
      <c r="F497" s="41">
        <v>97500</v>
      </c>
      <c r="G497" s="40">
        <v>299</v>
      </c>
      <c r="H497" s="41">
        <v>79924</v>
      </c>
      <c r="I497" s="41">
        <v>310.50955414012736</v>
      </c>
      <c r="J497" s="41">
        <v>267.30434782608694</v>
      </c>
      <c r="K497" s="42">
        <v>-0.13914292084726865</v>
      </c>
    </row>
    <row r="498" spans="1:11" x14ac:dyDescent="0.25">
      <c r="A498" s="24" t="s">
        <v>7</v>
      </c>
      <c r="B498" s="24" t="s">
        <v>3314</v>
      </c>
      <c r="C498" s="25" t="s">
        <v>3315</v>
      </c>
      <c r="D498" s="24" t="s">
        <v>21352</v>
      </c>
      <c r="E498" s="40">
        <v>1367</v>
      </c>
      <c r="F498" s="41">
        <v>433068</v>
      </c>
      <c r="G498" s="40">
        <v>1444</v>
      </c>
      <c r="H498" s="41">
        <v>419771</v>
      </c>
      <c r="I498" s="41">
        <v>316.80175566934895</v>
      </c>
      <c r="J498" s="41">
        <v>290.70013850415512</v>
      </c>
      <c r="K498" s="42">
        <v>-8.2391011722916407E-2</v>
      </c>
    </row>
    <row r="499" spans="1:11" x14ac:dyDescent="0.25">
      <c r="A499" s="24" t="s">
        <v>7</v>
      </c>
      <c r="B499" s="24" t="s">
        <v>3320</v>
      </c>
      <c r="C499" s="25" t="s">
        <v>3321</v>
      </c>
      <c r="D499" s="24" t="s">
        <v>21353</v>
      </c>
      <c r="G499" s="40">
        <v>2</v>
      </c>
      <c r="H499" s="41">
        <v>1302</v>
      </c>
      <c r="J499" s="41">
        <v>651</v>
      </c>
    </row>
    <row r="500" spans="1:11" x14ac:dyDescent="0.25">
      <c r="A500" s="24" t="s">
        <v>7</v>
      </c>
      <c r="B500" s="24" t="s">
        <v>3331</v>
      </c>
      <c r="C500" s="25" t="s">
        <v>3332</v>
      </c>
      <c r="D500" s="24" t="s">
        <v>21351</v>
      </c>
      <c r="E500" s="40">
        <v>137</v>
      </c>
      <c r="F500" s="41">
        <v>53253</v>
      </c>
      <c r="G500" s="40">
        <v>142</v>
      </c>
      <c r="H500" s="41">
        <v>47483</v>
      </c>
      <c r="I500" s="41">
        <v>388.70802919708029</v>
      </c>
      <c r="J500" s="41">
        <v>334.38732394366195</v>
      </c>
      <c r="K500" s="42">
        <v>-0.13974680524511882</v>
      </c>
    </row>
    <row r="501" spans="1:11" x14ac:dyDescent="0.25">
      <c r="A501" s="24" t="s">
        <v>7</v>
      </c>
      <c r="B501" s="24" t="s">
        <v>3333</v>
      </c>
      <c r="C501" s="25" t="s">
        <v>3334</v>
      </c>
      <c r="D501" s="24" t="s">
        <v>21354</v>
      </c>
      <c r="E501" s="40">
        <v>155575</v>
      </c>
      <c r="F501" s="41">
        <v>41344840</v>
      </c>
      <c r="G501" s="40">
        <v>163869</v>
      </c>
      <c r="H501" s="41">
        <v>38456752</v>
      </c>
      <c r="I501" s="41">
        <v>265.75503776313673</v>
      </c>
      <c r="J501" s="41">
        <v>234.67984792730778</v>
      </c>
      <c r="K501" s="42">
        <v>-0.11693170559395294</v>
      </c>
    </row>
    <row r="502" spans="1:11" x14ac:dyDescent="0.25">
      <c r="A502" s="24" t="s">
        <v>7</v>
      </c>
      <c r="B502" s="24" t="s">
        <v>3338</v>
      </c>
      <c r="C502" s="25" t="s">
        <v>3339</v>
      </c>
      <c r="D502" s="24" t="s">
        <v>21355</v>
      </c>
      <c r="E502" s="40">
        <v>6821</v>
      </c>
      <c r="F502" s="41">
        <v>2049969</v>
      </c>
      <c r="G502" s="40">
        <v>7411</v>
      </c>
      <c r="H502" s="41">
        <v>1936970</v>
      </c>
      <c r="I502" s="41">
        <v>300.53789766896347</v>
      </c>
      <c r="J502" s="41">
        <v>261.36418836864124</v>
      </c>
      <c r="K502" s="42">
        <v>-0.13034532285000308</v>
      </c>
    </row>
    <row r="503" spans="1:11" x14ac:dyDescent="0.25">
      <c r="A503" s="24" t="s">
        <v>7</v>
      </c>
      <c r="B503" s="24" t="s">
        <v>3341</v>
      </c>
      <c r="C503" s="25" t="s">
        <v>3342</v>
      </c>
      <c r="D503" s="24" t="s">
        <v>21356</v>
      </c>
      <c r="E503" s="40">
        <v>62</v>
      </c>
      <c r="F503" s="41">
        <v>56398</v>
      </c>
      <c r="G503" s="40">
        <v>83</v>
      </c>
      <c r="H503" s="41">
        <v>63782</v>
      </c>
      <c r="I503" s="41">
        <v>909.64516129032256</v>
      </c>
      <c r="J503" s="41">
        <v>768.45783132530119</v>
      </c>
      <c r="K503" s="42">
        <v>-0.15521143405495452</v>
      </c>
    </row>
    <row r="504" spans="1:11" x14ac:dyDescent="0.25">
      <c r="A504" s="24" t="s">
        <v>7</v>
      </c>
      <c r="B504" s="24" t="s">
        <v>3346</v>
      </c>
      <c r="C504" s="25" t="s">
        <v>3347</v>
      </c>
      <c r="D504" s="24" t="s">
        <v>21357</v>
      </c>
      <c r="E504" s="40">
        <v>346</v>
      </c>
      <c r="F504" s="41">
        <v>175120</v>
      </c>
      <c r="G504" s="40">
        <v>419</v>
      </c>
      <c r="H504" s="41">
        <v>216623</v>
      </c>
      <c r="I504" s="41">
        <v>506.12716763005778</v>
      </c>
      <c r="J504" s="41">
        <v>517</v>
      </c>
      <c r="K504" s="42">
        <v>2.1482412060301548E-2</v>
      </c>
    </row>
    <row r="505" spans="1:11" x14ac:dyDescent="0.25">
      <c r="A505" s="24" t="s">
        <v>7</v>
      </c>
      <c r="B505" s="24" t="s">
        <v>3349</v>
      </c>
      <c r="C505" s="25" t="s">
        <v>3350</v>
      </c>
      <c r="D505" s="24" t="s">
        <v>21358</v>
      </c>
      <c r="E505" s="40">
        <v>886</v>
      </c>
      <c r="F505" s="41">
        <v>685312</v>
      </c>
      <c r="G505" s="40">
        <v>816</v>
      </c>
      <c r="H505" s="41">
        <v>531189</v>
      </c>
      <c r="I505" s="41">
        <v>773.48984198645599</v>
      </c>
      <c r="J505" s="41">
        <v>650.96691176470586</v>
      </c>
      <c r="K505" s="42">
        <v>-0.15840276571323808</v>
      </c>
    </row>
    <row r="506" spans="1:11" x14ac:dyDescent="0.25">
      <c r="A506" s="24" t="s">
        <v>7</v>
      </c>
      <c r="B506" s="24" t="s">
        <v>3355</v>
      </c>
      <c r="C506" s="25" t="s">
        <v>3356</v>
      </c>
      <c r="D506" s="24" t="s">
        <v>21359</v>
      </c>
      <c r="E506" s="40">
        <v>299</v>
      </c>
      <c r="F506" s="41">
        <v>189860</v>
      </c>
      <c r="G506" s="40">
        <v>260</v>
      </c>
      <c r="H506" s="41">
        <v>144922</v>
      </c>
      <c r="I506" s="41">
        <v>634.98327759197321</v>
      </c>
      <c r="J506" s="41">
        <v>557.39230769230767</v>
      </c>
      <c r="K506" s="42">
        <v>-0.12219372168966605</v>
      </c>
    </row>
    <row r="507" spans="1:11" x14ac:dyDescent="0.25">
      <c r="A507" s="24" t="s">
        <v>7</v>
      </c>
      <c r="B507" s="24" t="s">
        <v>3358</v>
      </c>
      <c r="C507" s="25" t="s">
        <v>3359</v>
      </c>
      <c r="D507" s="24" t="s">
        <v>21360</v>
      </c>
      <c r="E507" s="40">
        <v>61</v>
      </c>
      <c r="F507" s="41">
        <v>10515</v>
      </c>
      <c r="G507" s="40">
        <v>54</v>
      </c>
      <c r="H507" s="41">
        <v>8724</v>
      </c>
      <c r="I507" s="41">
        <v>172.37704918032787</v>
      </c>
      <c r="J507" s="41">
        <v>161.55555555555554</v>
      </c>
      <c r="K507" s="42">
        <v>-6.2778041950652605E-2</v>
      </c>
    </row>
    <row r="508" spans="1:11" x14ac:dyDescent="0.25">
      <c r="A508" s="24" t="s">
        <v>7</v>
      </c>
      <c r="B508" s="24" t="s">
        <v>3361</v>
      </c>
      <c r="C508" s="25" t="s">
        <v>3362</v>
      </c>
      <c r="D508" s="24" t="s">
        <v>21360</v>
      </c>
      <c r="E508" s="40">
        <v>75</v>
      </c>
      <c r="F508" s="41">
        <v>10290</v>
      </c>
      <c r="G508" s="40">
        <v>54</v>
      </c>
      <c r="H508" s="41">
        <v>6720</v>
      </c>
      <c r="I508" s="41">
        <v>137.19999999999999</v>
      </c>
      <c r="J508" s="41">
        <v>124.44444444444444</v>
      </c>
      <c r="K508" s="42">
        <v>-9.2970521541950055E-2</v>
      </c>
    </row>
    <row r="509" spans="1:11" x14ac:dyDescent="0.25">
      <c r="A509" s="24" t="s">
        <v>7</v>
      </c>
      <c r="B509" s="24" t="s">
        <v>3364</v>
      </c>
      <c r="C509" s="25" t="s">
        <v>3365</v>
      </c>
      <c r="D509" s="24" t="s">
        <v>21360</v>
      </c>
      <c r="E509" s="40">
        <v>65</v>
      </c>
      <c r="F509" s="41">
        <v>11154</v>
      </c>
      <c r="G509" s="40">
        <v>59</v>
      </c>
      <c r="H509" s="41">
        <v>9604</v>
      </c>
      <c r="I509" s="41">
        <v>171.6</v>
      </c>
      <c r="J509" s="41">
        <v>162.77966101694915</v>
      </c>
      <c r="K509" s="42">
        <v>-5.1400576824305627E-2</v>
      </c>
    </row>
    <row r="510" spans="1:11" x14ac:dyDescent="0.25">
      <c r="A510" s="24" t="s">
        <v>7</v>
      </c>
      <c r="B510" s="24" t="s">
        <v>3367</v>
      </c>
      <c r="C510" s="25" t="s">
        <v>3368</v>
      </c>
      <c r="D510" s="24" t="s">
        <v>21361</v>
      </c>
      <c r="E510" s="40">
        <v>13828</v>
      </c>
      <c r="F510" s="41">
        <v>11634096</v>
      </c>
      <c r="G510" s="40">
        <v>15718</v>
      </c>
      <c r="H510" s="41">
        <v>11462376</v>
      </c>
      <c r="I510" s="41">
        <v>841.34336129592134</v>
      </c>
      <c r="J510" s="41">
        <v>729.25155872248376</v>
      </c>
      <c r="K510" s="42">
        <v>-0.13322955612412815</v>
      </c>
    </row>
    <row r="511" spans="1:11" x14ac:dyDescent="0.25">
      <c r="A511" s="24" t="s">
        <v>7</v>
      </c>
      <c r="B511" s="24" t="s">
        <v>3370</v>
      </c>
      <c r="C511" s="25" t="s">
        <v>3371</v>
      </c>
      <c r="D511" s="24" t="s">
        <v>21362</v>
      </c>
      <c r="E511" s="40">
        <v>3726</v>
      </c>
      <c r="F511" s="41">
        <v>1815947</v>
      </c>
      <c r="G511" s="40">
        <v>4177</v>
      </c>
      <c r="H511" s="41">
        <v>1720405</v>
      </c>
      <c r="I511" s="41">
        <v>487.37171229200214</v>
      </c>
      <c r="J511" s="41">
        <v>411.8757481446014</v>
      </c>
      <c r="K511" s="42">
        <v>-0.15490427992293562</v>
      </c>
    </row>
    <row r="512" spans="1:11" x14ac:dyDescent="0.25">
      <c r="A512" s="24" t="s">
        <v>7</v>
      </c>
      <c r="B512" s="24" t="s">
        <v>3375</v>
      </c>
      <c r="C512" s="25" t="s">
        <v>3376</v>
      </c>
      <c r="D512" s="24" t="s">
        <v>21363</v>
      </c>
      <c r="E512" s="40">
        <v>2172</v>
      </c>
      <c r="F512" s="41">
        <v>926824</v>
      </c>
      <c r="G512" s="40">
        <v>1937</v>
      </c>
      <c r="H512" s="41">
        <v>712326</v>
      </c>
      <c r="I512" s="41">
        <v>426.71454880294658</v>
      </c>
      <c r="J512" s="41">
        <v>367.74703149199792</v>
      </c>
      <c r="K512" s="42">
        <v>-0.13818961054027573</v>
      </c>
    </row>
    <row r="513" spans="1:11" x14ac:dyDescent="0.25">
      <c r="A513" s="24" t="s">
        <v>7</v>
      </c>
      <c r="B513" s="24" t="s">
        <v>3377</v>
      </c>
      <c r="C513" s="25" t="s">
        <v>3378</v>
      </c>
      <c r="D513" s="24" t="s">
        <v>21364</v>
      </c>
      <c r="E513" s="40">
        <v>2195</v>
      </c>
      <c r="F513" s="41">
        <v>348557</v>
      </c>
      <c r="G513" s="40">
        <v>1939</v>
      </c>
      <c r="H513" s="41">
        <v>271441</v>
      </c>
      <c r="I513" s="41">
        <v>158.79589977220957</v>
      </c>
      <c r="J513" s="41">
        <v>139.99020113460546</v>
      </c>
      <c r="K513" s="42">
        <v>-0.11842685273725967</v>
      </c>
    </row>
    <row r="514" spans="1:11" x14ac:dyDescent="0.25">
      <c r="A514" s="24" t="s">
        <v>7</v>
      </c>
      <c r="B514" s="24" t="s">
        <v>3380</v>
      </c>
      <c r="C514" s="25" t="s">
        <v>3381</v>
      </c>
      <c r="D514" s="24" t="s">
        <v>21365</v>
      </c>
      <c r="E514" s="40">
        <v>302</v>
      </c>
      <c r="F514" s="41">
        <v>179560</v>
      </c>
      <c r="G514" s="40">
        <v>303</v>
      </c>
      <c r="H514" s="41">
        <v>155140</v>
      </c>
      <c r="I514" s="41">
        <v>594.5695364238411</v>
      </c>
      <c r="J514" s="41">
        <v>512.013201320132</v>
      </c>
      <c r="K514" s="42">
        <v>-0.13885059702227751</v>
      </c>
    </row>
    <row r="515" spans="1:11" x14ac:dyDescent="0.25">
      <c r="A515" s="24" t="s">
        <v>7</v>
      </c>
      <c r="B515" s="24" t="s">
        <v>3383</v>
      </c>
      <c r="C515" s="25" t="s">
        <v>3384</v>
      </c>
      <c r="D515" s="24" t="s">
        <v>21366</v>
      </c>
      <c r="E515" s="40">
        <v>11687</v>
      </c>
      <c r="F515" s="41">
        <v>6961940</v>
      </c>
      <c r="G515" s="40">
        <v>12992</v>
      </c>
      <c r="H515" s="41">
        <v>6756394</v>
      </c>
      <c r="I515" s="41">
        <v>595.69949516556858</v>
      </c>
      <c r="J515" s="41">
        <v>520.04264162561572</v>
      </c>
      <c r="K515" s="42">
        <v>-0.12700506573188353</v>
      </c>
    </row>
    <row r="516" spans="1:11" x14ac:dyDescent="0.25">
      <c r="A516" s="24" t="s">
        <v>7</v>
      </c>
      <c r="B516" s="24" t="s">
        <v>3386</v>
      </c>
      <c r="C516" s="25" t="s">
        <v>3387</v>
      </c>
      <c r="D516" s="24" t="s">
        <v>21367</v>
      </c>
      <c r="E516" s="40">
        <v>2575</v>
      </c>
      <c r="F516" s="41">
        <v>1042552</v>
      </c>
      <c r="G516" s="40">
        <v>2406</v>
      </c>
      <c r="H516" s="41">
        <v>859664</v>
      </c>
      <c r="I516" s="41">
        <v>404.87456310679613</v>
      </c>
      <c r="J516" s="41">
        <v>357.30008312551951</v>
      </c>
      <c r="K516" s="42">
        <v>-0.11750424530554572</v>
      </c>
    </row>
    <row r="517" spans="1:11" x14ac:dyDescent="0.25">
      <c r="A517" s="24" t="s">
        <v>7</v>
      </c>
      <c r="B517" s="24" t="s">
        <v>3389</v>
      </c>
      <c r="C517" s="25" t="s">
        <v>3390</v>
      </c>
      <c r="D517" s="24" t="s">
        <v>21367</v>
      </c>
      <c r="E517" s="40">
        <v>350</v>
      </c>
      <c r="F517" s="41">
        <v>136660</v>
      </c>
      <c r="G517" s="40">
        <v>295</v>
      </c>
      <c r="H517" s="41">
        <v>97743</v>
      </c>
      <c r="I517" s="41">
        <v>390.45714285714286</v>
      </c>
      <c r="J517" s="41">
        <v>331.33220338983051</v>
      </c>
      <c r="K517" s="42">
        <v>-0.151424914485287</v>
      </c>
    </row>
    <row r="518" spans="1:11" x14ac:dyDescent="0.25">
      <c r="A518" s="24" t="s">
        <v>7</v>
      </c>
      <c r="B518" s="24" t="s">
        <v>3392</v>
      </c>
      <c r="C518" s="25" t="s">
        <v>3393</v>
      </c>
      <c r="D518" s="24" t="s">
        <v>21368</v>
      </c>
      <c r="E518" s="40">
        <v>10883</v>
      </c>
      <c r="F518" s="41">
        <v>7010594</v>
      </c>
      <c r="G518" s="40">
        <v>11212</v>
      </c>
      <c r="H518" s="41">
        <v>6225058</v>
      </c>
      <c r="I518" s="41">
        <v>644.17844344390335</v>
      </c>
      <c r="J518" s="41">
        <v>555.21387798787009</v>
      </c>
      <c r="K518" s="42">
        <v>-0.13810546807560242</v>
      </c>
    </row>
    <row r="519" spans="1:11" x14ac:dyDescent="0.25">
      <c r="A519" s="24" t="s">
        <v>7</v>
      </c>
      <c r="B519" s="24" t="s">
        <v>3396</v>
      </c>
      <c r="C519" s="25" t="s">
        <v>3397</v>
      </c>
      <c r="D519" s="24" t="s">
        <v>21369</v>
      </c>
      <c r="E519" s="40">
        <v>39456</v>
      </c>
      <c r="F519" s="41">
        <v>19668878</v>
      </c>
      <c r="G519" s="40">
        <v>42236</v>
      </c>
      <c r="H519" s="41">
        <v>18461964</v>
      </c>
      <c r="I519" s="41">
        <v>498.5015713706407</v>
      </c>
      <c r="J519" s="41">
        <v>437.11440477317927</v>
      </c>
      <c r="K519" s="42">
        <v>-0.12314337631609888</v>
      </c>
    </row>
    <row r="520" spans="1:11" x14ac:dyDescent="0.25">
      <c r="A520" s="24" t="s">
        <v>7</v>
      </c>
      <c r="B520" s="24" t="s">
        <v>3402</v>
      </c>
      <c r="C520" s="25" t="s">
        <v>3403</v>
      </c>
      <c r="D520" s="24" t="s">
        <v>21370</v>
      </c>
      <c r="E520" s="40">
        <v>504</v>
      </c>
      <c r="F520" s="41">
        <v>323512</v>
      </c>
      <c r="G520" s="40">
        <v>762</v>
      </c>
      <c r="H520" s="41">
        <v>449402</v>
      </c>
      <c r="I520" s="41">
        <v>641.88888888888891</v>
      </c>
      <c r="J520" s="41">
        <v>589.76640419947512</v>
      </c>
      <c r="K520" s="42">
        <v>-8.120172445987954E-2</v>
      </c>
    </row>
    <row r="521" spans="1:11" x14ac:dyDescent="0.25">
      <c r="A521" s="24" t="s">
        <v>7</v>
      </c>
      <c r="B521" s="24" t="s">
        <v>3409</v>
      </c>
      <c r="C521" s="25" t="s">
        <v>3410</v>
      </c>
      <c r="D521" s="24" t="s">
        <v>21371</v>
      </c>
      <c r="E521" s="40">
        <v>592</v>
      </c>
      <c r="F521" s="41">
        <v>300398</v>
      </c>
      <c r="G521" s="40">
        <v>903</v>
      </c>
      <c r="H521" s="41">
        <v>441427</v>
      </c>
      <c r="I521" s="41">
        <v>507.42905405405406</v>
      </c>
      <c r="J521" s="41">
        <v>488.84496124031006</v>
      </c>
      <c r="K521" s="42">
        <v>-3.6624021950001175E-2</v>
      </c>
    </row>
    <row r="522" spans="1:11" x14ac:dyDescent="0.25">
      <c r="A522" s="24" t="s">
        <v>7</v>
      </c>
      <c r="B522" s="24" t="s">
        <v>3412</v>
      </c>
      <c r="C522" s="25" t="s">
        <v>3413</v>
      </c>
      <c r="D522" s="24" t="s">
        <v>21372</v>
      </c>
      <c r="E522" s="40">
        <v>587</v>
      </c>
      <c r="F522" s="41">
        <v>162130</v>
      </c>
      <c r="G522" s="40">
        <v>712</v>
      </c>
      <c r="H522" s="41">
        <v>169889</v>
      </c>
      <c r="I522" s="41">
        <v>276.20102214650768</v>
      </c>
      <c r="J522" s="41">
        <v>238.60814606741573</v>
      </c>
      <c r="K522" s="42">
        <v>-0.13610694047015959</v>
      </c>
    </row>
    <row r="523" spans="1:11" x14ac:dyDescent="0.25">
      <c r="A523" s="24" t="s">
        <v>7</v>
      </c>
      <c r="B523" s="24" t="s">
        <v>3418</v>
      </c>
      <c r="C523" s="25" t="s">
        <v>3419</v>
      </c>
      <c r="D523" s="24" t="s">
        <v>21373</v>
      </c>
      <c r="E523" s="40">
        <v>346</v>
      </c>
      <c r="F523" s="41">
        <v>194016</v>
      </c>
      <c r="G523" s="40">
        <v>248</v>
      </c>
      <c r="H523" s="41">
        <v>117653</v>
      </c>
      <c r="I523" s="41">
        <v>560.73988439306356</v>
      </c>
      <c r="J523" s="41">
        <v>474.40725806451616</v>
      </c>
      <c r="K523" s="42">
        <v>-0.15396198617473508</v>
      </c>
    </row>
    <row r="524" spans="1:11" x14ac:dyDescent="0.25">
      <c r="A524" s="24" t="s">
        <v>7</v>
      </c>
      <c r="B524" s="24" t="s">
        <v>3426</v>
      </c>
      <c r="C524" s="25" t="s">
        <v>3427</v>
      </c>
      <c r="D524" s="24" t="s">
        <v>21374</v>
      </c>
      <c r="E524" s="40">
        <v>34</v>
      </c>
      <c r="F524" s="41">
        <v>9852</v>
      </c>
      <c r="G524" s="40">
        <v>13</v>
      </c>
      <c r="H524" s="41">
        <v>2826</v>
      </c>
      <c r="I524" s="41">
        <v>289.76470588235293</v>
      </c>
      <c r="J524" s="41">
        <v>217.38461538461539</v>
      </c>
      <c r="K524" s="42">
        <v>-0.249789187669821</v>
      </c>
    </row>
    <row r="525" spans="1:11" x14ac:dyDescent="0.25">
      <c r="A525" s="24" t="s">
        <v>7</v>
      </c>
      <c r="B525" s="24" t="s">
        <v>3432</v>
      </c>
      <c r="C525" s="25" t="s">
        <v>3433</v>
      </c>
      <c r="D525" s="24" t="s">
        <v>21375</v>
      </c>
      <c r="E525" s="40">
        <v>20833</v>
      </c>
      <c r="F525" s="41">
        <v>6659655</v>
      </c>
      <c r="G525" s="40">
        <v>22960</v>
      </c>
      <c r="H525" s="41">
        <v>6363560</v>
      </c>
      <c r="I525" s="41">
        <v>319.66855469687516</v>
      </c>
      <c r="J525" s="41">
        <v>277.15853658536588</v>
      </c>
      <c r="K525" s="42">
        <v>-0.13298154443692245</v>
      </c>
    </row>
    <row r="526" spans="1:11" x14ac:dyDescent="0.25">
      <c r="A526" s="24" t="s">
        <v>7</v>
      </c>
      <c r="B526" s="24" t="s">
        <v>3437</v>
      </c>
      <c r="C526" s="25" t="s">
        <v>3438</v>
      </c>
      <c r="D526" s="24" t="s">
        <v>21376</v>
      </c>
      <c r="E526" s="40">
        <v>2167</v>
      </c>
      <c r="F526" s="41">
        <v>858045</v>
      </c>
      <c r="G526" s="40">
        <v>2039</v>
      </c>
      <c r="H526" s="41">
        <v>734534</v>
      </c>
      <c r="I526" s="41">
        <v>395.95985233041068</v>
      </c>
      <c r="J526" s="41">
        <v>360.24227562530655</v>
      </c>
      <c r="K526" s="42">
        <v>-9.0205046029008584E-2</v>
      </c>
    </row>
    <row r="527" spans="1:11" x14ac:dyDescent="0.25">
      <c r="A527" s="24" t="s">
        <v>7</v>
      </c>
      <c r="B527" s="24" t="s">
        <v>3439</v>
      </c>
      <c r="C527" s="25" t="s">
        <v>3440</v>
      </c>
      <c r="D527" s="24" t="s">
        <v>21377</v>
      </c>
      <c r="E527" s="40">
        <v>94</v>
      </c>
      <c r="F527" s="41">
        <v>24888</v>
      </c>
      <c r="G527" s="40">
        <v>106</v>
      </c>
      <c r="H527" s="41">
        <v>24944</v>
      </c>
      <c r="I527" s="41">
        <v>264.7659574468085</v>
      </c>
      <c r="J527" s="41">
        <v>235.32075471698113</v>
      </c>
      <c r="K527" s="42">
        <v>-0.11121219288829047</v>
      </c>
    </row>
    <row r="528" spans="1:11" x14ac:dyDescent="0.25">
      <c r="A528" s="24" t="s">
        <v>7</v>
      </c>
      <c r="B528" s="24" t="s">
        <v>3441</v>
      </c>
      <c r="C528" s="25" t="s">
        <v>3442</v>
      </c>
      <c r="D528" s="24" t="s">
        <v>21377</v>
      </c>
      <c r="E528" s="40">
        <v>3</v>
      </c>
      <c r="F528" s="41">
        <v>822</v>
      </c>
      <c r="G528" s="40">
        <v>0</v>
      </c>
      <c r="H528" s="41">
        <v>0</v>
      </c>
      <c r="I528" s="41">
        <v>274</v>
      </c>
    </row>
    <row r="529" spans="1:11" x14ac:dyDescent="0.25">
      <c r="A529" s="24" t="s">
        <v>7</v>
      </c>
      <c r="B529" s="24" t="s">
        <v>3447</v>
      </c>
      <c r="C529" s="25" t="s">
        <v>3448</v>
      </c>
      <c r="D529" s="24" t="s">
        <v>21378</v>
      </c>
      <c r="E529" s="40">
        <v>443</v>
      </c>
      <c r="F529" s="41">
        <v>226399</v>
      </c>
      <c r="G529" s="40">
        <v>389</v>
      </c>
      <c r="H529" s="41">
        <v>167576</v>
      </c>
      <c r="I529" s="41">
        <v>511.05869074492097</v>
      </c>
      <c r="J529" s="41">
        <v>430.78663239074552</v>
      </c>
      <c r="K529" s="42">
        <v>-0.15707013657701546</v>
      </c>
    </row>
    <row r="530" spans="1:11" x14ac:dyDescent="0.25">
      <c r="A530" s="24" t="s">
        <v>7</v>
      </c>
      <c r="B530" s="24" t="s">
        <v>3450</v>
      </c>
      <c r="C530" s="25" t="s">
        <v>3451</v>
      </c>
      <c r="D530" s="24" t="s">
        <v>21379</v>
      </c>
      <c r="E530" s="40">
        <v>48</v>
      </c>
      <c r="F530" s="41">
        <v>9624</v>
      </c>
      <c r="G530" s="40">
        <v>53</v>
      </c>
      <c r="H530" s="41">
        <v>9488</v>
      </c>
      <c r="I530" s="41">
        <v>200.5</v>
      </c>
      <c r="J530" s="41">
        <v>179.01886792452831</v>
      </c>
      <c r="K530" s="42">
        <v>-0.10713781583776405</v>
      </c>
    </row>
    <row r="531" spans="1:11" x14ac:dyDescent="0.25">
      <c r="A531" s="24" t="s">
        <v>7</v>
      </c>
      <c r="B531" s="24" t="s">
        <v>3452</v>
      </c>
      <c r="C531" s="25" t="s">
        <v>3453</v>
      </c>
      <c r="D531" s="24" t="s">
        <v>21380</v>
      </c>
      <c r="E531" s="40">
        <v>1174</v>
      </c>
      <c r="F531" s="41">
        <v>238672</v>
      </c>
      <c r="G531" s="40">
        <v>1228</v>
      </c>
      <c r="H531" s="41">
        <v>217246</v>
      </c>
      <c r="I531" s="41">
        <v>203.29812606473595</v>
      </c>
      <c r="J531" s="41">
        <v>176.91042345276873</v>
      </c>
      <c r="K531" s="42">
        <v>-0.12979806121559934</v>
      </c>
    </row>
    <row r="532" spans="1:11" x14ac:dyDescent="0.25">
      <c r="A532" s="24" t="s">
        <v>7</v>
      </c>
      <c r="B532" s="24" t="s">
        <v>3454</v>
      </c>
      <c r="C532" s="25" t="s">
        <v>3455</v>
      </c>
      <c r="D532" s="24" t="s">
        <v>21381</v>
      </c>
      <c r="E532" s="40">
        <v>566</v>
      </c>
      <c r="F532" s="41">
        <v>360498</v>
      </c>
      <c r="G532" s="40">
        <v>509</v>
      </c>
      <c r="H532" s="41">
        <v>274629</v>
      </c>
      <c r="I532" s="41">
        <v>636.92226148409895</v>
      </c>
      <c r="J532" s="41">
        <v>539.54616895874267</v>
      </c>
      <c r="K532" s="42">
        <v>-0.15288536515972809</v>
      </c>
    </row>
    <row r="533" spans="1:11" x14ac:dyDescent="0.25">
      <c r="A533" s="24" t="s">
        <v>7</v>
      </c>
      <c r="B533" s="24" t="s">
        <v>3456</v>
      </c>
      <c r="C533" s="25" t="s">
        <v>3457</v>
      </c>
      <c r="D533" s="24" t="s">
        <v>21380</v>
      </c>
      <c r="E533" s="40">
        <v>19</v>
      </c>
      <c r="F533" s="41">
        <v>3847</v>
      </c>
      <c r="G533" s="40">
        <v>15</v>
      </c>
      <c r="H533" s="41">
        <v>2931</v>
      </c>
      <c r="I533" s="41">
        <v>202.47368421052633</v>
      </c>
      <c r="J533" s="41">
        <v>195.4</v>
      </c>
      <c r="K533" s="42">
        <v>-3.4936314010917631E-2</v>
      </c>
    </row>
    <row r="534" spans="1:11" x14ac:dyDescent="0.25">
      <c r="A534" s="24" t="s">
        <v>7</v>
      </c>
      <c r="B534" s="24" t="s">
        <v>3460</v>
      </c>
      <c r="C534" s="25" t="s">
        <v>3461</v>
      </c>
      <c r="D534" s="24" t="s">
        <v>21378</v>
      </c>
      <c r="E534" s="40">
        <v>138</v>
      </c>
      <c r="F534" s="41">
        <v>74980</v>
      </c>
      <c r="G534" s="40">
        <v>144</v>
      </c>
      <c r="H534" s="41">
        <v>66610</v>
      </c>
      <c r="I534" s="41">
        <v>543.33333333333337</v>
      </c>
      <c r="J534" s="41">
        <v>462.56944444444446</v>
      </c>
      <c r="K534" s="42">
        <v>-0.14864519427402867</v>
      </c>
    </row>
    <row r="535" spans="1:11" x14ac:dyDescent="0.25">
      <c r="A535" s="24" t="s">
        <v>7</v>
      </c>
      <c r="B535" s="24" t="s">
        <v>3468</v>
      </c>
      <c r="C535" s="25" t="s">
        <v>3469</v>
      </c>
      <c r="D535" s="24" t="s">
        <v>21382</v>
      </c>
      <c r="E535" s="40">
        <v>16</v>
      </c>
      <c r="F535" s="41">
        <v>5868</v>
      </c>
      <c r="G535" s="40">
        <v>21</v>
      </c>
      <c r="H535" s="41">
        <v>6947</v>
      </c>
      <c r="I535" s="41">
        <v>366.75</v>
      </c>
      <c r="J535" s="41">
        <v>330.8095238095238</v>
      </c>
      <c r="K535" s="42">
        <v>-9.799720842665631E-2</v>
      </c>
    </row>
    <row r="536" spans="1:11" x14ac:dyDescent="0.25">
      <c r="A536" s="24" t="s">
        <v>7</v>
      </c>
      <c r="B536" s="24" t="s">
        <v>3470</v>
      </c>
      <c r="C536" s="25" t="s">
        <v>3471</v>
      </c>
      <c r="D536" s="24" t="s">
        <v>21383</v>
      </c>
      <c r="E536" s="40">
        <v>1587</v>
      </c>
      <c r="F536" s="41">
        <v>628605</v>
      </c>
      <c r="G536" s="40">
        <v>2138</v>
      </c>
      <c r="H536" s="41">
        <v>740600</v>
      </c>
      <c r="I536" s="41">
        <v>396.09640831758031</v>
      </c>
      <c r="J536" s="41">
        <v>346.39850327408794</v>
      </c>
      <c r="K536" s="42">
        <v>-0.12546921405973926</v>
      </c>
    </row>
    <row r="537" spans="1:11" x14ac:dyDescent="0.25">
      <c r="A537" s="24" t="s">
        <v>7</v>
      </c>
      <c r="B537" s="24" t="s">
        <v>3472</v>
      </c>
      <c r="C537" s="25" t="s">
        <v>3473</v>
      </c>
      <c r="D537" s="24" t="s">
        <v>21384</v>
      </c>
      <c r="E537" s="40">
        <v>1434</v>
      </c>
      <c r="F537" s="41">
        <v>510990</v>
      </c>
      <c r="G537" s="40">
        <v>1397</v>
      </c>
      <c r="H537" s="41">
        <v>430465</v>
      </c>
      <c r="I537" s="41">
        <v>356.3389121338912</v>
      </c>
      <c r="J537" s="41">
        <v>308.13528990694346</v>
      </c>
      <c r="K537" s="42">
        <v>-0.13527465170246594</v>
      </c>
    </row>
    <row r="538" spans="1:11" x14ac:dyDescent="0.25">
      <c r="A538" s="24" t="s">
        <v>7</v>
      </c>
      <c r="B538" s="24" t="s">
        <v>3477</v>
      </c>
      <c r="C538" s="25" t="s">
        <v>3478</v>
      </c>
      <c r="D538" s="24" t="s">
        <v>21384</v>
      </c>
      <c r="E538" s="40">
        <v>3</v>
      </c>
      <c r="F538" s="41">
        <v>825</v>
      </c>
      <c r="G538" s="40">
        <v>0</v>
      </c>
      <c r="H538" s="41">
        <v>0</v>
      </c>
      <c r="I538" s="41">
        <v>275</v>
      </c>
    </row>
    <row r="539" spans="1:11" x14ac:dyDescent="0.25">
      <c r="A539" s="24" t="s">
        <v>7</v>
      </c>
      <c r="B539" s="24" t="s">
        <v>3479</v>
      </c>
      <c r="C539" s="25" t="s">
        <v>3480</v>
      </c>
      <c r="D539" s="24" t="s">
        <v>21385</v>
      </c>
      <c r="E539" s="40">
        <v>48</v>
      </c>
      <c r="F539" s="41">
        <v>8842</v>
      </c>
      <c r="G539" s="40">
        <v>38</v>
      </c>
      <c r="H539" s="41">
        <v>6670</v>
      </c>
      <c r="I539" s="41">
        <v>184.20833333333334</v>
      </c>
      <c r="J539" s="41">
        <v>175.52631578947367</v>
      </c>
      <c r="K539" s="42">
        <v>-4.7131513470398581E-2</v>
      </c>
    </row>
    <row r="540" spans="1:11" x14ac:dyDescent="0.25">
      <c r="A540" s="24" t="s">
        <v>7</v>
      </c>
      <c r="B540" s="24" t="s">
        <v>3489</v>
      </c>
      <c r="C540" s="25" t="s">
        <v>3490</v>
      </c>
      <c r="D540" s="24" t="s">
        <v>21386</v>
      </c>
      <c r="E540" s="40">
        <v>204</v>
      </c>
      <c r="F540" s="41">
        <v>27582</v>
      </c>
      <c r="G540" s="40">
        <v>227</v>
      </c>
      <c r="H540" s="41">
        <v>26652</v>
      </c>
      <c r="I540" s="41">
        <v>135.20588235294119</v>
      </c>
      <c r="J540" s="41">
        <v>117.40969162995594</v>
      </c>
      <c r="K540" s="42">
        <v>-0.13162290288916648</v>
      </c>
    </row>
    <row r="541" spans="1:11" x14ac:dyDescent="0.25">
      <c r="A541" s="24" t="s">
        <v>7</v>
      </c>
      <c r="B541" s="24" t="s">
        <v>3492</v>
      </c>
      <c r="C541" s="25" t="s">
        <v>3493</v>
      </c>
      <c r="D541" s="24" t="s">
        <v>21132</v>
      </c>
      <c r="E541" s="40">
        <v>5895</v>
      </c>
      <c r="F541" s="41">
        <v>2825973</v>
      </c>
      <c r="G541" s="40">
        <v>6730</v>
      </c>
      <c r="H541" s="41">
        <v>2775798</v>
      </c>
      <c r="I541" s="41">
        <v>479.38473282442749</v>
      </c>
      <c r="J541" s="41">
        <v>412.451411589896</v>
      </c>
      <c r="K541" s="42">
        <v>-0.1396233894228866</v>
      </c>
    </row>
    <row r="542" spans="1:11" x14ac:dyDescent="0.25">
      <c r="A542" s="24" t="s">
        <v>7</v>
      </c>
      <c r="B542" s="24" t="s">
        <v>3494</v>
      </c>
      <c r="C542" s="25" t="s">
        <v>3495</v>
      </c>
      <c r="D542" s="24" t="s">
        <v>21387</v>
      </c>
      <c r="E542" s="40">
        <v>32</v>
      </c>
      <c r="F542" s="41">
        <v>8878</v>
      </c>
      <c r="G542" s="40">
        <v>46</v>
      </c>
      <c r="H542" s="41">
        <v>10594</v>
      </c>
      <c r="I542" s="41">
        <v>277.4375</v>
      </c>
      <c r="J542" s="41">
        <v>230.30434782608697</v>
      </c>
      <c r="K542" s="42">
        <v>-0.16988745996454349</v>
      </c>
    </row>
    <row r="543" spans="1:11" x14ac:dyDescent="0.25">
      <c r="A543" s="24" t="s">
        <v>7</v>
      </c>
      <c r="B543" s="24" t="s">
        <v>3497</v>
      </c>
      <c r="C543" s="25" t="s">
        <v>3498</v>
      </c>
      <c r="D543" s="24" t="s">
        <v>21388</v>
      </c>
      <c r="E543" s="40">
        <v>31</v>
      </c>
      <c r="F543" s="41">
        <v>11407</v>
      </c>
      <c r="G543" s="40">
        <v>46</v>
      </c>
      <c r="H543" s="41">
        <v>12844</v>
      </c>
      <c r="I543" s="41">
        <v>367.96774193548384</v>
      </c>
      <c r="J543" s="41">
        <v>279.21739130434781</v>
      </c>
      <c r="K543" s="42">
        <v>-0.24119057329404903</v>
      </c>
    </row>
    <row r="544" spans="1:11" x14ac:dyDescent="0.25">
      <c r="A544" s="24" t="s">
        <v>7</v>
      </c>
      <c r="B544" s="24" t="s">
        <v>3500</v>
      </c>
      <c r="C544" s="25" t="s">
        <v>3501</v>
      </c>
      <c r="D544" s="24" t="s">
        <v>21389</v>
      </c>
      <c r="E544" s="40">
        <v>145</v>
      </c>
      <c r="F544" s="41">
        <v>60496</v>
      </c>
      <c r="G544" s="40">
        <v>99</v>
      </c>
      <c r="H544" s="41">
        <v>36053</v>
      </c>
      <c r="I544" s="41">
        <v>417.21379310344827</v>
      </c>
      <c r="J544" s="41">
        <v>364.17171717171715</v>
      </c>
      <c r="K544" s="42">
        <v>-0.12713404208709686</v>
      </c>
    </row>
    <row r="545" spans="1:11" x14ac:dyDescent="0.25">
      <c r="A545" s="24" t="s">
        <v>7</v>
      </c>
      <c r="B545" s="24" t="s">
        <v>3502</v>
      </c>
      <c r="C545" s="25" t="s">
        <v>3503</v>
      </c>
      <c r="D545" s="24" t="s">
        <v>21390</v>
      </c>
      <c r="E545" s="40">
        <v>33</v>
      </c>
      <c r="F545" s="41">
        <v>21058</v>
      </c>
      <c r="G545" s="40">
        <v>20</v>
      </c>
      <c r="H545" s="41">
        <v>11250</v>
      </c>
      <c r="I545" s="41">
        <v>638.12121212121212</v>
      </c>
      <c r="J545" s="41">
        <v>562.5</v>
      </c>
      <c r="K545" s="42">
        <v>-0.11850603096210467</v>
      </c>
    </row>
    <row r="546" spans="1:11" x14ac:dyDescent="0.25">
      <c r="A546" s="24" t="s">
        <v>7</v>
      </c>
      <c r="B546" s="24" t="s">
        <v>3504</v>
      </c>
      <c r="C546" s="25" t="s">
        <v>3505</v>
      </c>
      <c r="D546" s="24" t="s">
        <v>21390</v>
      </c>
      <c r="E546" s="40">
        <v>24</v>
      </c>
      <c r="F546" s="41">
        <v>15824</v>
      </c>
      <c r="G546" s="40">
        <v>2</v>
      </c>
      <c r="H546" s="41">
        <v>1352</v>
      </c>
      <c r="I546" s="41">
        <v>659.33333333333337</v>
      </c>
      <c r="J546" s="41">
        <v>676</v>
      </c>
      <c r="K546" s="42">
        <v>2.5278058645095997E-2</v>
      </c>
    </row>
    <row r="547" spans="1:11" x14ac:dyDescent="0.25">
      <c r="A547" s="24" t="s">
        <v>7</v>
      </c>
      <c r="B547" s="24" t="s">
        <v>3506</v>
      </c>
      <c r="C547" s="25" t="s">
        <v>3507</v>
      </c>
      <c r="D547" s="24" t="s">
        <v>21390</v>
      </c>
      <c r="E547" s="40">
        <v>20</v>
      </c>
      <c r="F547" s="41">
        <v>13170</v>
      </c>
      <c r="G547" s="40">
        <v>1</v>
      </c>
      <c r="H547" s="41">
        <v>676</v>
      </c>
      <c r="I547" s="41">
        <v>658.5</v>
      </c>
      <c r="J547" s="41">
        <v>676</v>
      </c>
      <c r="K547" s="42">
        <v>2.6575550493545937E-2</v>
      </c>
    </row>
    <row r="548" spans="1:11" x14ac:dyDescent="0.25">
      <c r="A548" s="24" t="s">
        <v>7</v>
      </c>
      <c r="B548" s="24" t="s">
        <v>3508</v>
      </c>
      <c r="C548" s="25" t="s">
        <v>3509</v>
      </c>
      <c r="D548" s="24" t="s">
        <v>21391</v>
      </c>
      <c r="E548" s="40">
        <v>676</v>
      </c>
      <c r="F548" s="41">
        <v>240393</v>
      </c>
      <c r="G548" s="40">
        <v>538</v>
      </c>
      <c r="H548" s="41">
        <v>163860</v>
      </c>
      <c r="I548" s="41">
        <v>355.6109467455621</v>
      </c>
      <c r="J548" s="41">
        <v>304.57249070631968</v>
      </c>
      <c r="K548" s="42">
        <v>-0.14352329844266629</v>
      </c>
    </row>
    <row r="549" spans="1:11" x14ac:dyDescent="0.25">
      <c r="A549" s="24" t="s">
        <v>7</v>
      </c>
      <c r="B549" s="24" t="s">
        <v>3516</v>
      </c>
      <c r="C549" s="25" t="s">
        <v>3517</v>
      </c>
      <c r="D549" s="24" t="s">
        <v>21392</v>
      </c>
      <c r="E549" s="40">
        <v>22</v>
      </c>
      <c r="F549" s="41">
        <v>5816</v>
      </c>
      <c r="G549" s="40">
        <v>18</v>
      </c>
      <c r="H549" s="41">
        <v>3860</v>
      </c>
      <c r="I549" s="41">
        <v>264.36363636363637</v>
      </c>
      <c r="J549" s="41">
        <v>214.44444444444446</v>
      </c>
      <c r="K549" s="42">
        <v>-0.18882775485251413</v>
      </c>
    </row>
    <row r="550" spans="1:11" x14ac:dyDescent="0.25">
      <c r="A550" s="24" t="s">
        <v>7</v>
      </c>
      <c r="B550" s="24" t="s">
        <v>3524</v>
      </c>
      <c r="C550" s="25" t="s">
        <v>3525</v>
      </c>
      <c r="D550" s="24" t="s">
        <v>21393</v>
      </c>
      <c r="E550" s="40">
        <v>2324</v>
      </c>
      <c r="F550" s="41">
        <v>952583</v>
      </c>
      <c r="G550" s="40">
        <v>2355</v>
      </c>
      <c r="H550" s="41">
        <v>844745</v>
      </c>
      <c r="I550" s="41">
        <v>409.8894148020654</v>
      </c>
      <c r="J550" s="41">
        <v>358.70276008492567</v>
      </c>
      <c r="K550" s="42">
        <v>-0.12487918172236197</v>
      </c>
    </row>
    <row r="551" spans="1:11" x14ac:dyDescent="0.25">
      <c r="A551" s="24" t="s">
        <v>7</v>
      </c>
      <c r="B551" s="24" t="s">
        <v>3529</v>
      </c>
      <c r="C551" s="25" t="s">
        <v>3530</v>
      </c>
      <c r="D551" s="24" t="s">
        <v>21394</v>
      </c>
      <c r="E551" s="40">
        <v>46</v>
      </c>
      <c r="F551" s="41">
        <v>18685</v>
      </c>
      <c r="G551" s="40">
        <v>44</v>
      </c>
      <c r="H551" s="41">
        <v>14809</v>
      </c>
      <c r="I551" s="41">
        <v>406.19565217391306</v>
      </c>
      <c r="J551" s="41">
        <v>336.56818181818181</v>
      </c>
      <c r="K551" s="42">
        <v>-0.17141362784927147</v>
      </c>
    </row>
    <row r="552" spans="1:11" x14ac:dyDescent="0.25">
      <c r="A552" s="24" t="s">
        <v>7</v>
      </c>
      <c r="B552" s="24" t="s">
        <v>3533</v>
      </c>
      <c r="C552" s="25" t="s">
        <v>3534</v>
      </c>
      <c r="D552" s="24" t="s">
        <v>21395</v>
      </c>
      <c r="E552" s="40">
        <v>89</v>
      </c>
      <c r="F552" s="41">
        <v>60480</v>
      </c>
      <c r="G552" s="40">
        <v>158</v>
      </c>
      <c r="H552" s="41">
        <v>78747</v>
      </c>
      <c r="I552" s="41">
        <v>679.55056179775283</v>
      </c>
      <c r="J552" s="41">
        <v>498.3987341772152</v>
      </c>
      <c r="K552" s="42">
        <v>-0.2665759368093229</v>
      </c>
    </row>
    <row r="553" spans="1:11" x14ac:dyDescent="0.25">
      <c r="A553" s="24" t="s">
        <v>7</v>
      </c>
      <c r="B553" s="24" t="s">
        <v>3536</v>
      </c>
      <c r="C553" s="25" t="s">
        <v>3537</v>
      </c>
      <c r="D553" s="24" t="s">
        <v>21396</v>
      </c>
      <c r="E553" s="40">
        <v>1048</v>
      </c>
      <c r="F553" s="41">
        <v>587064</v>
      </c>
      <c r="G553" s="40">
        <v>1102</v>
      </c>
      <c r="H553" s="41">
        <v>540982</v>
      </c>
      <c r="I553" s="41">
        <v>560.17557251908397</v>
      </c>
      <c r="J553" s="41">
        <v>490.90925589836661</v>
      </c>
      <c r="K553" s="42">
        <v>-0.12365108372939201</v>
      </c>
    </row>
    <row r="554" spans="1:11" x14ac:dyDescent="0.25">
      <c r="A554" s="24" t="s">
        <v>7</v>
      </c>
      <c r="B554" s="24" t="s">
        <v>3541</v>
      </c>
      <c r="C554" s="25" t="s">
        <v>3542</v>
      </c>
      <c r="D554" s="24" t="s">
        <v>21397</v>
      </c>
      <c r="E554" s="40">
        <v>637</v>
      </c>
      <c r="F554" s="41">
        <v>347760</v>
      </c>
      <c r="G554" s="40">
        <v>507</v>
      </c>
      <c r="H554" s="41">
        <v>242278</v>
      </c>
      <c r="I554" s="41">
        <v>545.93406593406598</v>
      </c>
      <c r="J554" s="41">
        <v>477.86587771203153</v>
      </c>
      <c r="K554" s="42">
        <v>-0.12468206779800996</v>
      </c>
    </row>
    <row r="555" spans="1:11" x14ac:dyDescent="0.25">
      <c r="A555" s="24" t="s">
        <v>7</v>
      </c>
      <c r="B555" s="24" t="s">
        <v>3546</v>
      </c>
      <c r="C555" s="25" t="s">
        <v>3547</v>
      </c>
      <c r="D555" s="24" t="s">
        <v>21398</v>
      </c>
      <c r="E555" s="40">
        <v>7202</v>
      </c>
      <c r="F555" s="41">
        <v>2071482</v>
      </c>
      <c r="G555" s="40">
        <v>6981</v>
      </c>
      <c r="H555" s="41">
        <v>1817879</v>
      </c>
      <c r="I555" s="41">
        <v>287.62593723965563</v>
      </c>
      <c r="J555" s="41">
        <v>260.40381034235781</v>
      </c>
      <c r="K555" s="42">
        <v>-9.4644200584093355E-2</v>
      </c>
    </row>
    <row r="556" spans="1:11" x14ac:dyDescent="0.25">
      <c r="A556" s="24" t="s">
        <v>7</v>
      </c>
      <c r="B556" s="24" t="s">
        <v>3555</v>
      </c>
      <c r="C556" s="25" t="s">
        <v>3556</v>
      </c>
      <c r="D556" s="24" t="s">
        <v>21399</v>
      </c>
      <c r="G556" s="40">
        <v>4</v>
      </c>
      <c r="H556" s="41">
        <v>428</v>
      </c>
      <c r="J556" s="41">
        <v>107</v>
      </c>
    </row>
    <row r="557" spans="1:11" x14ac:dyDescent="0.25">
      <c r="A557" s="24" t="s">
        <v>7</v>
      </c>
      <c r="B557" s="24" t="s">
        <v>3557</v>
      </c>
      <c r="C557" s="25" t="s">
        <v>3558</v>
      </c>
      <c r="D557" s="24" t="s">
        <v>21400</v>
      </c>
      <c r="E557" s="40">
        <v>1423</v>
      </c>
      <c r="F557" s="41">
        <v>318404</v>
      </c>
      <c r="G557" s="40">
        <v>1664</v>
      </c>
      <c r="H557" s="41">
        <v>348881</v>
      </c>
      <c r="I557" s="41">
        <v>223.75544624033731</v>
      </c>
      <c r="J557" s="41">
        <v>209.6640625</v>
      </c>
      <c r="K557" s="42">
        <v>-6.2976718453599798E-2</v>
      </c>
    </row>
    <row r="558" spans="1:11" x14ac:dyDescent="0.25">
      <c r="A558" s="24" t="s">
        <v>7</v>
      </c>
      <c r="B558" s="24" t="s">
        <v>3559</v>
      </c>
      <c r="C558" s="25" t="s">
        <v>3560</v>
      </c>
      <c r="D558" s="24" t="s">
        <v>21401</v>
      </c>
      <c r="E558" s="40">
        <v>1956</v>
      </c>
      <c r="F558" s="41">
        <v>393681</v>
      </c>
      <c r="G558" s="40">
        <v>2081</v>
      </c>
      <c r="H558" s="41">
        <v>407896</v>
      </c>
      <c r="I558" s="41">
        <v>201.26840490797545</v>
      </c>
      <c r="J558" s="41">
        <v>196.00961076405574</v>
      </c>
      <c r="K558" s="42">
        <v>-2.6128264624167698E-2</v>
      </c>
    </row>
    <row r="559" spans="1:11" x14ac:dyDescent="0.25">
      <c r="A559" s="24" t="s">
        <v>7</v>
      </c>
      <c r="B559" s="24" t="s">
        <v>3562</v>
      </c>
      <c r="C559" s="25" t="s">
        <v>3563</v>
      </c>
      <c r="D559" s="24" t="s">
        <v>21120</v>
      </c>
      <c r="E559" s="40">
        <v>54645</v>
      </c>
      <c r="F559" s="41">
        <v>31521675</v>
      </c>
      <c r="G559" s="40">
        <v>56304</v>
      </c>
      <c r="H559" s="41">
        <v>28451196</v>
      </c>
      <c r="I559" s="41">
        <v>576.84463354378261</v>
      </c>
      <c r="J559" s="41">
        <v>505.31393861892582</v>
      </c>
      <c r="K559" s="42">
        <v>-0.12400339842882077</v>
      </c>
    </row>
    <row r="560" spans="1:11" x14ac:dyDescent="0.25">
      <c r="A560" s="24" t="s">
        <v>7</v>
      </c>
      <c r="B560" s="24" t="s">
        <v>3565</v>
      </c>
      <c r="C560" s="25" t="s">
        <v>3566</v>
      </c>
      <c r="D560" s="24" t="s">
        <v>21402</v>
      </c>
      <c r="E560" s="40">
        <v>813</v>
      </c>
      <c r="F560" s="41">
        <v>355380</v>
      </c>
      <c r="G560" s="40">
        <v>781</v>
      </c>
      <c r="H560" s="41">
        <v>306724</v>
      </c>
      <c r="I560" s="41">
        <v>437.12177121771219</v>
      </c>
      <c r="J560" s="41">
        <v>392.73239436619718</v>
      </c>
      <c r="K560" s="42">
        <v>-0.10154922443660785</v>
      </c>
    </row>
    <row r="561" spans="1:11" x14ac:dyDescent="0.25">
      <c r="A561" s="24" t="s">
        <v>7</v>
      </c>
      <c r="B561" s="24" t="s">
        <v>3579</v>
      </c>
      <c r="C561" s="25" t="s">
        <v>3580</v>
      </c>
      <c r="D561" s="24" t="s">
        <v>21403</v>
      </c>
      <c r="E561" s="40">
        <v>1018</v>
      </c>
      <c r="F561" s="41">
        <v>524435</v>
      </c>
      <c r="G561" s="40">
        <v>1179</v>
      </c>
      <c r="H561" s="41">
        <v>580629</v>
      </c>
      <c r="I561" s="41">
        <v>515.16208251473472</v>
      </c>
      <c r="J561" s="41">
        <v>492.47582697201017</v>
      </c>
      <c r="K561" s="42">
        <v>-4.4037122126657446E-2</v>
      </c>
    </row>
    <row r="562" spans="1:11" x14ac:dyDescent="0.25">
      <c r="A562" s="24" t="s">
        <v>7</v>
      </c>
      <c r="B562" s="24" t="s">
        <v>3582</v>
      </c>
      <c r="C562" s="25" t="s">
        <v>3583</v>
      </c>
      <c r="D562" s="24" t="s">
        <v>21404</v>
      </c>
      <c r="E562" s="40">
        <v>2006</v>
      </c>
      <c r="F562" s="41">
        <v>1015100</v>
      </c>
      <c r="G562" s="40">
        <v>2077</v>
      </c>
      <c r="H562" s="41">
        <v>965585</v>
      </c>
      <c r="I562" s="41">
        <v>506.03190428713856</v>
      </c>
      <c r="J562" s="41">
        <v>464.8940779971112</v>
      </c>
      <c r="K562" s="42">
        <v>-8.1294926152886304E-2</v>
      </c>
    </row>
    <row r="563" spans="1:11" x14ac:dyDescent="0.25">
      <c r="A563" s="24" t="s">
        <v>7</v>
      </c>
      <c r="B563" s="24" t="s">
        <v>3591</v>
      </c>
      <c r="C563" s="25" t="s">
        <v>3592</v>
      </c>
      <c r="D563" s="24" t="s">
        <v>21405</v>
      </c>
      <c r="E563" s="40">
        <v>2140</v>
      </c>
      <c r="F563" s="41">
        <v>1069030</v>
      </c>
      <c r="G563" s="40">
        <v>2241</v>
      </c>
      <c r="H563" s="41">
        <v>1010445</v>
      </c>
      <c r="I563" s="41">
        <v>499.54672897196264</v>
      </c>
      <c r="J563" s="41">
        <v>450.89022757697455</v>
      </c>
      <c r="K563" s="42">
        <v>-9.740130116579937E-2</v>
      </c>
    </row>
    <row r="564" spans="1:11" x14ac:dyDescent="0.25">
      <c r="A564" s="24" t="s">
        <v>7</v>
      </c>
      <c r="B564" s="24" t="s">
        <v>3594</v>
      </c>
      <c r="C564" s="25" t="s">
        <v>3595</v>
      </c>
      <c r="D564" s="24" t="s">
        <v>21406</v>
      </c>
      <c r="E564" s="40">
        <v>7375</v>
      </c>
      <c r="F564" s="41">
        <v>2429741</v>
      </c>
      <c r="G564" s="40">
        <v>2975</v>
      </c>
      <c r="H564" s="41">
        <v>1026375</v>
      </c>
      <c r="I564" s="41">
        <v>329.45640677966099</v>
      </c>
      <c r="J564" s="41">
        <v>345</v>
      </c>
      <c r="K564" s="42">
        <v>4.7179514195134449E-2</v>
      </c>
    </row>
    <row r="565" spans="1:11" x14ac:dyDescent="0.25">
      <c r="A565" s="24" t="s">
        <v>7</v>
      </c>
      <c r="B565" s="24" t="s">
        <v>3596</v>
      </c>
      <c r="C565" s="25" t="s">
        <v>3597</v>
      </c>
      <c r="D565" s="24" t="s">
        <v>21407</v>
      </c>
      <c r="E565" s="40">
        <v>40</v>
      </c>
      <c r="F565" s="41">
        <v>55016</v>
      </c>
      <c r="G565" s="40">
        <v>47</v>
      </c>
      <c r="H565" s="41">
        <v>60206</v>
      </c>
      <c r="I565" s="41">
        <v>1375.4</v>
      </c>
      <c r="J565" s="41">
        <v>1280.9787234042553</v>
      </c>
      <c r="K565" s="42">
        <v>-6.8650048419183332E-2</v>
      </c>
    </row>
    <row r="566" spans="1:11" x14ac:dyDescent="0.25">
      <c r="A566" s="24" t="s">
        <v>7</v>
      </c>
      <c r="B566" s="24" t="s">
        <v>3599</v>
      </c>
      <c r="C566" s="25" t="s">
        <v>3600</v>
      </c>
      <c r="D566" s="24" t="s">
        <v>21408</v>
      </c>
      <c r="E566" s="40">
        <v>3235</v>
      </c>
      <c r="F566" s="41">
        <v>2071936</v>
      </c>
      <c r="G566" s="40">
        <v>3894</v>
      </c>
      <c r="H566" s="41">
        <v>2245058</v>
      </c>
      <c r="I566" s="41">
        <v>640.47480680061824</v>
      </c>
      <c r="J566" s="41">
        <v>576.54288649203909</v>
      </c>
      <c r="K566" s="42">
        <v>-9.9819570777405067E-2</v>
      </c>
    </row>
    <row r="567" spans="1:11" x14ac:dyDescent="0.25">
      <c r="A567" s="24" t="s">
        <v>7</v>
      </c>
      <c r="B567" s="24" t="s">
        <v>3607</v>
      </c>
      <c r="C567" s="25" t="s">
        <v>3608</v>
      </c>
      <c r="D567" s="24" t="s">
        <v>21409</v>
      </c>
      <c r="E567" s="40">
        <v>0</v>
      </c>
      <c r="F567" s="41">
        <v>0</v>
      </c>
      <c r="G567" s="40">
        <v>11</v>
      </c>
      <c r="H567" s="41">
        <v>2334</v>
      </c>
      <c r="J567" s="41">
        <v>212.18181818181819</v>
      </c>
    </row>
    <row r="568" spans="1:11" x14ac:dyDescent="0.25">
      <c r="A568" s="24" t="s">
        <v>7</v>
      </c>
      <c r="B568" s="24" t="s">
        <v>3611</v>
      </c>
      <c r="C568" s="25" t="s">
        <v>3612</v>
      </c>
      <c r="D568" s="24" t="s">
        <v>21410</v>
      </c>
      <c r="E568" s="40">
        <v>131</v>
      </c>
      <c r="F568" s="41">
        <v>11020</v>
      </c>
      <c r="G568" s="40">
        <v>110</v>
      </c>
      <c r="H568" s="41">
        <v>8884</v>
      </c>
      <c r="I568" s="41">
        <v>84.122137404580158</v>
      </c>
      <c r="J568" s="41">
        <v>80.763636363636365</v>
      </c>
      <c r="K568" s="42">
        <v>-3.9924104933179383E-2</v>
      </c>
    </row>
    <row r="569" spans="1:11" x14ac:dyDescent="0.25">
      <c r="A569" s="24" t="s">
        <v>7</v>
      </c>
      <c r="B569" s="24" t="s">
        <v>3613</v>
      </c>
      <c r="C569" s="25" t="s">
        <v>3614</v>
      </c>
      <c r="D569" s="24" t="s">
        <v>21130</v>
      </c>
      <c r="E569" s="40">
        <v>20167</v>
      </c>
      <c r="F569" s="41">
        <v>10294660</v>
      </c>
      <c r="G569" s="40">
        <v>20739</v>
      </c>
      <c r="H569" s="41">
        <v>9159297</v>
      </c>
      <c r="I569" s="41">
        <v>510.47057073436804</v>
      </c>
      <c r="J569" s="41">
        <v>441.64602922030957</v>
      </c>
      <c r="K569" s="42">
        <v>-0.1348256794021383</v>
      </c>
    </row>
    <row r="570" spans="1:11" x14ac:dyDescent="0.25">
      <c r="A570" s="24" t="s">
        <v>7</v>
      </c>
      <c r="B570" s="24" t="s">
        <v>3619</v>
      </c>
      <c r="C570" s="25" t="s">
        <v>3620</v>
      </c>
      <c r="D570" s="24" t="s">
        <v>21411</v>
      </c>
      <c r="E570" s="40">
        <v>3924</v>
      </c>
      <c r="F570" s="41">
        <v>1548444</v>
      </c>
      <c r="G570" s="40">
        <v>3960</v>
      </c>
      <c r="H570" s="41">
        <v>1395695</v>
      </c>
      <c r="I570" s="41">
        <v>394.60856269113151</v>
      </c>
      <c r="J570" s="41">
        <v>352.44823232323233</v>
      </c>
      <c r="K570" s="42">
        <v>-0.1068408908321104</v>
      </c>
    </row>
    <row r="571" spans="1:11" x14ac:dyDescent="0.25">
      <c r="A571" s="24" t="s">
        <v>7</v>
      </c>
      <c r="B571" s="24" t="s">
        <v>3621</v>
      </c>
      <c r="C571" s="25" t="s">
        <v>3622</v>
      </c>
      <c r="D571" s="24" t="s">
        <v>21128</v>
      </c>
      <c r="E571" s="40">
        <v>11624</v>
      </c>
      <c r="F571" s="41">
        <v>5215906</v>
      </c>
      <c r="G571" s="40">
        <v>13138</v>
      </c>
      <c r="H571" s="41">
        <v>5174997</v>
      </c>
      <c r="I571" s="41">
        <v>448.71868547832071</v>
      </c>
      <c r="J571" s="41">
        <v>393.89534175673617</v>
      </c>
      <c r="K571" s="42">
        <v>-0.12217753683055228</v>
      </c>
    </row>
    <row r="572" spans="1:11" x14ac:dyDescent="0.25">
      <c r="A572" s="24" t="s">
        <v>7</v>
      </c>
      <c r="B572" s="24" t="s">
        <v>3626</v>
      </c>
      <c r="C572" s="25" t="s">
        <v>3627</v>
      </c>
      <c r="D572" s="24" t="s">
        <v>21412</v>
      </c>
      <c r="E572" s="40">
        <v>74</v>
      </c>
      <c r="F572" s="41">
        <v>25472</v>
      </c>
      <c r="G572" s="40">
        <v>51</v>
      </c>
      <c r="H572" s="41">
        <v>18313</v>
      </c>
      <c r="I572" s="41">
        <v>344.2162162162162</v>
      </c>
      <c r="J572" s="41">
        <v>359.07843137254901</v>
      </c>
      <c r="K572" s="42">
        <v>4.3176975564095006E-2</v>
      </c>
    </row>
    <row r="573" spans="1:11" x14ac:dyDescent="0.25">
      <c r="A573" s="24" t="s">
        <v>7</v>
      </c>
      <c r="B573" s="24" t="s">
        <v>3632</v>
      </c>
      <c r="C573" s="25" t="s">
        <v>3633</v>
      </c>
      <c r="D573" s="24" t="s">
        <v>21413</v>
      </c>
      <c r="E573" s="40">
        <v>6524</v>
      </c>
      <c r="F573" s="41">
        <v>3668974</v>
      </c>
      <c r="G573" s="40">
        <v>6533</v>
      </c>
      <c r="H573" s="41">
        <v>3401749</v>
      </c>
      <c r="I573" s="41">
        <v>562.38105456774986</v>
      </c>
      <c r="J573" s="41">
        <v>520.7024337976427</v>
      </c>
      <c r="K573" s="42">
        <v>-7.411099721725449E-2</v>
      </c>
    </row>
    <row r="574" spans="1:11" x14ac:dyDescent="0.25">
      <c r="A574" s="24" t="s">
        <v>7</v>
      </c>
      <c r="B574" s="24" t="s">
        <v>3638</v>
      </c>
      <c r="C574" s="25" t="s">
        <v>3639</v>
      </c>
      <c r="D574" s="24" t="s">
        <v>21414</v>
      </c>
      <c r="E574" s="40">
        <v>4979</v>
      </c>
      <c r="F574" s="41">
        <v>2092816</v>
      </c>
      <c r="G574" s="40">
        <v>5105</v>
      </c>
      <c r="H574" s="41">
        <v>1914732</v>
      </c>
      <c r="I574" s="41">
        <v>420.32858003615183</v>
      </c>
      <c r="J574" s="41">
        <v>375.06993143976496</v>
      </c>
      <c r="K574" s="42">
        <v>-0.10767444981374868</v>
      </c>
    </row>
    <row r="575" spans="1:11" x14ac:dyDescent="0.25">
      <c r="A575" s="24" t="s">
        <v>7</v>
      </c>
      <c r="B575" s="24" t="s">
        <v>3641</v>
      </c>
      <c r="C575" s="25" t="s">
        <v>3642</v>
      </c>
      <c r="D575" s="24" t="s">
        <v>21415</v>
      </c>
      <c r="E575" s="40">
        <v>252</v>
      </c>
      <c r="F575" s="41">
        <v>135607</v>
      </c>
      <c r="G575" s="40">
        <v>185</v>
      </c>
      <c r="H575" s="41">
        <v>93950</v>
      </c>
      <c r="I575" s="41">
        <v>538.1230158730159</v>
      </c>
      <c r="J575" s="41">
        <v>507.83783783783781</v>
      </c>
      <c r="K575" s="42">
        <v>-5.6279283996142369E-2</v>
      </c>
    </row>
    <row r="576" spans="1:11" x14ac:dyDescent="0.25">
      <c r="A576" s="24" t="s">
        <v>7</v>
      </c>
      <c r="B576" s="24" t="s">
        <v>3644</v>
      </c>
      <c r="C576" s="25" t="s">
        <v>3645</v>
      </c>
      <c r="D576" s="24" t="s">
        <v>21416</v>
      </c>
      <c r="E576" s="40">
        <v>1258</v>
      </c>
      <c r="F576" s="41">
        <v>380550</v>
      </c>
      <c r="G576" s="40">
        <v>1241</v>
      </c>
      <c r="H576" s="41">
        <v>342418</v>
      </c>
      <c r="I576" s="41">
        <v>302.50397456279808</v>
      </c>
      <c r="J576" s="41">
        <v>275.92103142626911</v>
      </c>
      <c r="K576" s="42">
        <v>-8.7876343360277082E-2</v>
      </c>
    </row>
    <row r="577" spans="1:11" x14ac:dyDescent="0.25">
      <c r="A577" s="24" t="s">
        <v>7</v>
      </c>
      <c r="B577" s="24" t="s">
        <v>3653</v>
      </c>
      <c r="C577" s="25" t="s">
        <v>3654</v>
      </c>
      <c r="D577" s="24" t="s">
        <v>21417</v>
      </c>
      <c r="E577" s="40">
        <v>7596</v>
      </c>
      <c r="F577" s="41">
        <v>3133128</v>
      </c>
      <c r="G577" s="40">
        <v>7557</v>
      </c>
      <c r="H577" s="41">
        <v>2859341</v>
      </c>
      <c r="I577" s="41">
        <v>412.47077409162716</v>
      </c>
      <c r="J577" s="41">
        <v>378.36985576286884</v>
      </c>
      <c r="K577" s="42">
        <v>-8.2674750481068204E-2</v>
      </c>
    </row>
    <row r="578" spans="1:11" x14ac:dyDescent="0.25">
      <c r="A578" s="24" t="s">
        <v>7</v>
      </c>
      <c r="B578" s="24" t="s">
        <v>3655</v>
      </c>
      <c r="C578" s="25" t="s">
        <v>3656</v>
      </c>
      <c r="D578" s="24" t="s">
        <v>21418</v>
      </c>
      <c r="E578" s="40">
        <v>60</v>
      </c>
      <c r="F578" s="41">
        <v>21468</v>
      </c>
      <c r="G578" s="40">
        <v>88</v>
      </c>
      <c r="H578" s="41">
        <v>31580</v>
      </c>
      <c r="I578" s="41">
        <v>357.8</v>
      </c>
      <c r="J578" s="41">
        <v>358.86363636363637</v>
      </c>
      <c r="K578" s="42">
        <v>2.972712028050203E-3</v>
      </c>
    </row>
    <row r="579" spans="1:11" x14ac:dyDescent="0.25">
      <c r="A579" s="24" t="s">
        <v>7</v>
      </c>
      <c r="B579" s="24" t="s">
        <v>3658</v>
      </c>
      <c r="C579" s="25" t="s">
        <v>3659</v>
      </c>
      <c r="D579" s="24" t="s">
        <v>21419</v>
      </c>
      <c r="E579" s="40">
        <v>7582</v>
      </c>
      <c r="F579" s="41">
        <v>1737944</v>
      </c>
      <c r="G579" s="40">
        <v>7549</v>
      </c>
      <c r="H579" s="41">
        <v>1592899</v>
      </c>
      <c r="I579" s="41">
        <v>229.21973094170403</v>
      </c>
      <c r="J579" s="41">
        <v>211.0079480725924</v>
      </c>
      <c r="K579" s="42">
        <v>-7.9451200794504531E-2</v>
      </c>
    </row>
    <row r="580" spans="1:11" x14ac:dyDescent="0.25">
      <c r="A580" s="24" t="s">
        <v>7</v>
      </c>
      <c r="B580" s="24" t="s">
        <v>3666</v>
      </c>
      <c r="C580" s="25" t="s">
        <v>3667</v>
      </c>
      <c r="D580" s="24" t="s">
        <v>21420</v>
      </c>
      <c r="E580" s="40">
        <v>674</v>
      </c>
      <c r="F580" s="41">
        <v>190187</v>
      </c>
      <c r="G580" s="40">
        <v>636</v>
      </c>
      <c r="H580" s="41">
        <v>157644</v>
      </c>
      <c r="I580" s="41">
        <v>282.1765578635015</v>
      </c>
      <c r="J580" s="41">
        <v>247.8679245283019</v>
      </c>
      <c r="K580" s="42">
        <v>-0.12158569654037621</v>
      </c>
    </row>
    <row r="581" spans="1:11" x14ac:dyDescent="0.25">
      <c r="A581" s="24" t="s">
        <v>7</v>
      </c>
      <c r="B581" s="24" t="s">
        <v>3669</v>
      </c>
      <c r="C581" s="25" t="s">
        <v>3670</v>
      </c>
      <c r="D581" s="24" t="s">
        <v>21421</v>
      </c>
      <c r="E581" s="40">
        <v>38</v>
      </c>
      <c r="F581" s="41">
        <v>42056</v>
      </c>
      <c r="G581" s="40">
        <v>13</v>
      </c>
      <c r="H581" s="41">
        <v>12985</v>
      </c>
      <c r="I581" s="41">
        <v>1106.7368421052631</v>
      </c>
      <c r="J581" s="41">
        <v>998.84615384615381</v>
      </c>
      <c r="K581" s="42">
        <v>-9.7485404076615795E-2</v>
      </c>
    </row>
    <row r="582" spans="1:11" x14ac:dyDescent="0.25">
      <c r="A582" s="24" t="s">
        <v>7</v>
      </c>
      <c r="B582" s="24" t="s">
        <v>3675</v>
      </c>
      <c r="C582" s="25" t="s">
        <v>3676</v>
      </c>
      <c r="D582" s="24" t="s">
        <v>21422</v>
      </c>
      <c r="E582" s="40">
        <v>472</v>
      </c>
      <c r="F582" s="41">
        <v>316908</v>
      </c>
      <c r="G582" s="40">
        <v>340</v>
      </c>
      <c r="H582" s="41">
        <v>206357</v>
      </c>
      <c r="I582" s="41">
        <v>671.41525423728808</v>
      </c>
      <c r="J582" s="41">
        <v>606.93235294117642</v>
      </c>
      <c r="K582" s="42">
        <v>-9.6040268506205922E-2</v>
      </c>
    </row>
    <row r="583" spans="1:11" x14ac:dyDescent="0.25">
      <c r="A583" s="24" t="s">
        <v>7</v>
      </c>
      <c r="B583" s="24" t="s">
        <v>3678</v>
      </c>
      <c r="C583" s="25" t="s">
        <v>3679</v>
      </c>
      <c r="D583" s="24" t="s">
        <v>21423</v>
      </c>
      <c r="E583" s="40">
        <v>1194</v>
      </c>
      <c r="F583" s="41">
        <v>493189</v>
      </c>
      <c r="G583" s="40">
        <v>1199</v>
      </c>
      <c r="H583" s="41">
        <v>502077</v>
      </c>
      <c r="I583" s="41">
        <v>413.05611390284758</v>
      </c>
      <c r="J583" s="41">
        <v>418.74645537948288</v>
      </c>
      <c r="K583" s="42">
        <v>1.3776194771380838E-2</v>
      </c>
    </row>
    <row r="584" spans="1:11" x14ac:dyDescent="0.25">
      <c r="A584" s="24" t="s">
        <v>7</v>
      </c>
      <c r="B584" s="24" t="s">
        <v>3685</v>
      </c>
      <c r="C584" s="25" t="s">
        <v>3686</v>
      </c>
      <c r="D584" s="24" t="s">
        <v>21424</v>
      </c>
      <c r="E584" s="40">
        <v>331</v>
      </c>
      <c r="F584" s="41">
        <v>132561</v>
      </c>
      <c r="G584" s="40">
        <v>295</v>
      </c>
      <c r="H584" s="41">
        <v>106198</v>
      </c>
      <c r="I584" s="41">
        <v>400.48640483383684</v>
      </c>
      <c r="J584" s="41">
        <v>359.99322033898306</v>
      </c>
      <c r="K584" s="42">
        <v>-0.10111001024280596</v>
      </c>
    </row>
    <row r="585" spans="1:11" x14ac:dyDescent="0.25">
      <c r="A585" s="24" t="s">
        <v>7</v>
      </c>
      <c r="B585" s="24" t="s">
        <v>3689</v>
      </c>
      <c r="C585" s="25" t="s">
        <v>3690</v>
      </c>
      <c r="D585" s="24" t="s">
        <v>21425</v>
      </c>
      <c r="E585" s="40">
        <v>76</v>
      </c>
      <c r="F585" s="41">
        <v>13457</v>
      </c>
      <c r="G585" s="40">
        <v>66</v>
      </c>
      <c r="H585" s="41">
        <v>11646</v>
      </c>
      <c r="I585" s="41">
        <v>177.06578947368422</v>
      </c>
      <c r="J585" s="41">
        <v>176.45454545454547</v>
      </c>
      <c r="K585" s="42">
        <v>-3.4520729326406444E-3</v>
      </c>
    </row>
    <row r="586" spans="1:11" x14ac:dyDescent="0.25">
      <c r="A586" s="24" t="s">
        <v>7</v>
      </c>
      <c r="B586" s="24" t="s">
        <v>3692</v>
      </c>
      <c r="C586" s="25" t="s">
        <v>3693</v>
      </c>
      <c r="D586" s="24" t="s">
        <v>21425</v>
      </c>
      <c r="E586" s="40">
        <v>75</v>
      </c>
      <c r="F586" s="41">
        <v>13276</v>
      </c>
      <c r="G586" s="40">
        <v>64</v>
      </c>
      <c r="H586" s="41">
        <v>11284</v>
      </c>
      <c r="I586" s="41">
        <v>177.01333333333332</v>
      </c>
      <c r="J586" s="41">
        <v>176.3125</v>
      </c>
      <c r="K586" s="42">
        <v>-3.9592121120818839E-3</v>
      </c>
    </row>
    <row r="587" spans="1:11" x14ac:dyDescent="0.25">
      <c r="A587" s="24" t="s">
        <v>7</v>
      </c>
      <c r="B587" s="24" t="s">
        <v>3697</v>
      </c>
      <c r="C587" s="25" t="s">
        <v>3698</v>
      </c>
      <c r="D587" s="24" t="s">
        <v>21426</v>
      </c>
      <c r="E587" s="40">
        <v>877</v>
      </c>
      <c r="F587" s="41">
        <v>330048</v>
      </c>
      <c r="G587" s="40">
        <v>905</v>
      </c>
      <c r="H587" s="41">
        <v>347520</v>
      </c>
      <c r="I587" s="41">
        <v>376.33751425313568</v>
      </c>
      <c r="J587" s="41">
        <v>384</v>
      </c>
      <c r="K587" s="42">
        <v>2.0360674810936619E-2</v>
      </c>
    </row>
    <row r="588" spans="1:11" x14ac:dyDescent="0.25">
      <c r="A588" s="24" t="s">
        <v>7</v>
      </c>
      <c r="B588" s="24" t="s">
        <v>3700</v>
      </c>
      <c r="C588" s="25" t="s">
        <v>3701</v>
      </c>
      <c r="D588" s="24" t="s">
        <v>21427</v>
      </c>
      <c r="G588" s="40">
        <v>22</v>
      </c>
      <c r="H588" s="41">
        <v>8897.7800000000007</v>
      </c>
      <c r="J588" s="41">
        <v>404.4445454545455</v>
      </c>
    </row>
    <row r="589" spans="1:11" x14ac:dyDescent="0.25">
      <c r="A589" s="24" t="s">
        <v>7</v>
      </c>
      <c r="B589" s="24" t="s">
        <v>3708</v>
      </c>
      <c r="C589" s="25" t="s">
        <v>3709</v>
      </c>
      <c r="D589" s="24" t="s">
        <v>21428</v>
      </c>
      <c r="E589" s="40">
        <v>189</v>
      </c>
      <c r="F589" s="41">
        <v>2242</v>
      </c>
      <c r="G589" s="40">
        <v>1112</v>
      </c>
      <c r="H589" s="41">
        <v>55246</v>
      </c>
      <c r="I589" s="41">
        <v>11.862433862433862</v>
      </c>
      <c r="J589" s="41">
        <v>49.681654676258994</v>
      </c>
      <c r="K589" s="42">
        <v>3.1881501934937333</v>
      </c>
    </row>
    <row r="590" spans="1:11" x14ac:dyDescent="0.25">
      <c r="A590" s="24" t="s">
        <v>7</v>
      </c>
      <c r="B590" s="24" t="s">
        <v>3711</v>
      </c>
      <c r="C590" s="25" t="s">
        <v>3712</v>
      </c>
      <c r="D590" s="24" t="s">
        <v>21429</v>
      </c>
      <c r="E590" s="40">
        <v>18</v>
      </c>
      <c r="F590" s="41">
        <v>1599</v>
      </c>
      <c r="G590" s="40">
        <v>24</v>
      </c>
      <c r="H590" s="41">
        <v>3085</v>
      </c>
      <c r="I590" s="41">
        <v>88.833333333333329</v>
      </c>
      <c r="J590" s="41">
        <v>128.54166666666666</v>
      </c>
      <c r="K590" s="42">
        <v>0.44699812382739207</v>
      </c>
    </row>
    <row r="591" spans="1:11" x14ac:dyDescent="0.25">
      <c r="A591" s="24" t="s">
        <v>7</v>
      </c>
      <c r="B591" s="24" t="s">
        <v>3725</v>
      </c>
      <c r="C591" s="25" t="s">
        <v>3726</v>
      </c>
      <c r="D591" s="24" t="s">
        <v>21430</v>
      </c>
      <c r="E591" s="40">
        <v>145</v>
      </c>
      <c r="F591" s="41">
        <v>57945</v>
      </c>
      <c r="G591" s="40">
        <v>88</v>
      </c>
      <c r="H591" s="41">
        <v>33715</v>
      </c>
      <c r="I591" s="41">
        <v>399.62068965517244</v>
      </c>
      <c r="J591" s="41">
        <v>383.125</v>
      </c>
      <c r="K591" s="42">
        <v>-4.1278367417378614E-2</v>
      </c>
    </row>
    <row r="592" spans="1:11" x14ac:dyDescent="0.25">
      <c r="A592" s="24" t="s">
        <v>7</v>
      </c>
      <c r="B592" s="24" t="s">
        <v>3734</v>
      </c>
      <c r="C592" s="25" t="s">
        <v>3735</v>
      </c>
      <c r="D592" s="24" t="s">
        <v>21431</v>
      </c>
      <c r="E592" s="40">
        <v>4828</v>
      </c>
      <c r="F592" s="41">
        <v>1032036</v>
      </c>
      <c r="G592" s="40">
        <v>4643</v>
      </c>
      <c r="H592" s="41">
        <v>953517</v>
      </c>
      <c r="I592" s="41">
        <v>213.7605633802817</v>
      </c>
      <c r="J592" s="41">
        <v>205.36657333620505</v>
      </c>
      <c r="K592" s="42">
        <v>-3.9268188253900098E-2</v>
      </c>
    </row>
    <row r="593" spans="1:11" x14ac:dyDescent="0.25">
      <c r="A593" s="24" t="s">
        <v>7</v>
      </c>
      <c r="B593" s="24" t="s">
        <v>3737</v>
      </c>
      <c r="C593" s="25" t="s">
        <v>3738</v>
      </c>
      <c r="D593" s="24" t="s">
        <v>21432</v>
      </c>
      <c r="E593" s="40">
        <v>504</v>
      </c>
      <c r="F593" s="41">
        <v>81384</v>
      </c>
      <c r="G593" s="40">
        <v>387</v>
      </c>
      <c r="H593" s="41">
        <v>63807</v>
      </c>
      <c r="I593" s="41">
        <v>161.47619047619048</v>
      </c>
      <c r="J593" s="41">
        <v>164.87596899224806</v>
      </c>
      <c r="K593" s="42">
        <v>2.1054364151344495E-2</v>
      </c>
    </row>
    <row r="594" spans="1:11" x14ac:dyDescent="0.25">
      <c r="A594" s="24" t="s">
        <v>7</v>
      </c>
      <c r="B594" s="24" t="s">
        <v>3740</v>
      </c>
      <c r="C594" s="25" t="s">
        <v>3741</v>
      </c>
      <c r="D594" s="24" t="s">
        <v>21433</v>
      </c>
      <c r="E594" s="40">
        <v>952</v>
      </c>
      <c r="F594" s="41">
        <v>557124</v>
      </c>
      <c r="G594" s="40">
        <v>914</v>
      </c>
      <c r="H594" s="41">
        <v>504658</v>
      </c>
      <c r="I594" s="41">
        <v>585.21428571428567</v>
      </c>
      <c r="J594" s="41">
        <v>552.14223194748354</v>
      </c>
      <c r="K594" s="42">
        <v>-5.6512724610671285E-2</v>
      </c>
    </row>
    <row r="595" spans="1:11" x14ac:dyDescent="0.25">
      <c r="A595" s="24" t="s">
        <v>7</v>
      </c>
      <c r="B595" s="24" t="s">
        <v>3743</v>
      </c>
      <c r="C595" s="25" t="s">
        <v>3744</v>
      </c>
      <c r="D595" s="24" t="s">
        <v>21433</v>
      </c>
      <c r="E595" s="40">
        <v>14</v>
      </c>
      <c r="F595" s="41">
        <v>8138</v>
      </c>
      <c r="G595" s="40">
        <v>10</v>
      </c>
      <c r="H595" s="41">
        <v>4658</v>
      </c>
      <c r="I595" s="41">
        <v>581.28571428571433</v>
      </c>
      <c r="J595" s="41">
        <v>465.8</v>
      </c>
      <c r="K595" s="42">
        <v>-0.19867289260260512</v>
      </c>
    </row>
    <row r="596" spans="1:11" x14ac:dyDescent="0.25">
      <c r="A596" s="24" t="s">
        <v>7</v>
      </c>
      <c r="B596" s="24" t="s">
        <v>3747</v>
      </c>
      <c r="C596" s="25" t="s">
        <v>3748</v>
      </c>
      <c r="D596" s="24" t="s">
        <v>21434</v>
      </c>
      <c r="E596" s="40">
        <v>17</v>
      </c>
      <c r="F596" s="41">
        <v>2919</v>
      </c>
      <c r="G596" s="40">
        <v>15</v>
      </c>
      <c r="H596" s="41">
        <v>2668</v>
      </c>
      <c r="I596" s="41">
        <v>171.70588235294119</v>
      </c>
      <c r="J596" s="41">
        <v>177.86666666666667</v>
      </c>
      <c r="K596" s="42">
        <v>3.5879867534543766E-2</v>
      </c>
    </row>
    <row r="597" spans="1:11" x14ac:dyDescent="0.25">
      <c r="A597" s="24" t="s">
        <v>7</v>
      </c>
      <c r="B597" s="24" t="s">
        <v>3750</v>
      </c>
      <c r="C597" s="25" t="s">
        <v>3751</v>
      </c>
      <c r="D597" s="24" t="s">
        <v>21435</v>
      </c>
      <c r="E597" s="40">
        <v>6522</v>
      </c>
      <c r="F597" s="41">
        <v>2844978</v>
      </c>
      <c r="G597" s="40">
        <v>7162</v>
      </c>
      <c r="H597" s="41">
        <v>2956309</v>
      </c>
      <c r="I597" s="41">
        <v>436.21251149954003</v>
      </c>
      <c r="J597" s="41">
        <v>412.77701759285117</v>
      </c>
      <c r="K597" s="42">
        <v>-5.3724946646133906E-2</v>
      </c>
    </row>
    <row r="598" spans="1:11" x14ac:dyDescent="0.25">
      <c r="A598" s="24" t="s">
        <v>7</v>
      </c>
      <c r="B598" s="24" t="s">
        <v>3753</v>
      </c>
      <c r="C598" s="25" t="s">
        <v>3754</v>
      </c>
      <c r="D598" s="24" t="s">
        <v>21436</v>
      </c>
      <c r="E598" s="40">
        <v>17558</v>
      </c>
      <c r="F598" s="41">
        <v>15597220</v>
      </c>
      <c r="G598" s="40">
        <v>15080</v>
      </c>
      <c r="H598" s="41">
        <v>12258932</v>
      </c>
      <c r="I598" s="41">
        <v>888.3255496070168</v>
      </c>
      <c r="J598" s="41">
        <v>812.92652519893898</v>
      </c>
      <c r="K598" s="42">
        <v>-8.4877694265839063E-2</v>
      </c>
    </row>
    <row r="599" spans="1:11" x14ac:dyDescent="0.25">
      <c r="A599" s="24" t="s">
        <v>7</v>
      </c>
      <c r="B599" s="24" t="s">
        <v>3758</v>
      </c>
      <c r="C599" s="25" t="s">
        <v>3759</v>
      </c>
      <c r="D599" s="24" t="s">
        <v>21435</v>
      </c>
      <c r="E599" s="40">
        <v>29</v>
      </c>
      <c r="F599" s="41">
        <v>10968</v>
      </c>
      <c r="G599" s="40">
        <v>54</v>
      </c>
      <c r="H599" s="41">
        <v>18672</v>
      </c>
      <c r="I599" s="41">
        <v>378.20689655172413</v>
      </c>
      <c r="J599" s="41">
        <v>345.77777777777777</v>
      </c>
      <c r="K599" s="42">
        <v>-8.5744387713753131E-2</v>
      </c>
    </row>
    <row r="600" spans="1:11" x14ac:dyDescent="0.25">
      <c r="A600" s="24" t="s">
        <v>7</v>
      </c>
      <c r="B600" s="24" t="s">
        <v>3765</v>
      </c>
      <c r="C600" s="25" t="s">
        <v>3766</v>
      </c>
      <c r="D600" s="24" t="s">
        <v>21435</v>
      </c>
      <c r="E600" s="40">
        <v>4</v>
      </c>
      <c r="F600" s="41">
        <v>1052</v>
      </c>
      <c r="G600" s="40">
        <v>4</v>
      </c>
      <c r="H600" s="41">
        <v>970</v>
      </c>
      <c r="I600" s="41">
        <v>263</v>
      </c>
      <c r="J600" s="41">
        <v>242.5</v>
      </c>
      <c r="K600" s="42">
        <v>-7.7946768060836502E-2</v>
      </c>
    </row>
    <row r="601" spans="1:11" x14ac:dyDescent="0.25">
      <c r="A601" s="24" t="s">
        <v>7</v>
      </c>
      <c r="B601" s="24" t="s">
        <v>3770</v>
      </c>
      <c r="C601" s="25" t="s">
        <v>3771</v>
      </c>
      <c r="D601" s="24" t="s">
        <v>21433</v>
      </c>
      <c r="E601" s="40">
        <v>594</v>
      </c>
      <c r="F601" s="41">
        <v>410078</v>
      </c>
      <c r="G601" s="40">
        <v>713</v>
      </c>
      <c r="H601" s="41">
        <v>444961</v>
      </c>
      <c r="I601" s="41">
        <v>690.36700336700335</v>
      </c>
      <c r="J601" s="41">
        <v>624.06872370266478</v>
      </c>
      <c r="K601" s="42">
        <v>-9.6033384186952508E-2</v>
      </c>
    </row>
    <row r="602" spans="1:11" x14ac:dyDescent="0.25">
      <c r="A602" s="24" t="s">
        <v>7</v>
      </c>
      <c r="B602" s="24" t="s">
        <v>3778</v>
      </c>
      <c r="C602" s="25" t="s">
        <v>3779</v>
      </c>
      <c r="D602" s="24" t="s">
        <v>21433</v>
      </c>
      <c r="E602" s="40">
        <v>273</v>
      </c>
      <c r="F602" s="41">
        <v>158625</v>
      </c>
      <c r="G602" s="40">
        <v>229</v>
      </c>
      <c r="H602" s="41">
        <v>123921</v>
      </c>
      <c r="I602" s="41">
        <v>581.04395604395609</v>
      </c>
      <c r="J602" s="41">
        <v>541.13973799126643</v>
      </c>
      <c r="K602" s="42">
        <v>-6.8676762984298034E-2</v>
      </c>
    </row>
    <row r="603" spans="1:11" x14ac:dyDescent="0.25">
      <c r="A603" s="24" t="s">
        <v>7</v>
      </c>
      <c r="B603" s="24" t="s">
        <v>3780</v>
      </c>
      <c r="C603" s="25" t="s">
        <v>3781</v>
      </c>
      <c r="D603" s="24" t="s">
        <v>21433</v>
      </c>
      <c r="G603" s="40">
        <v>3</v>
      </c>
      <c r="H603" s="41">
        <v>1836</v>
      </c>
      <c r="J603" s="41">
        <v>612</v>
      </c>
    </row>
    <row r="604" spans="1:11" x14ac:dyDescent="0.25">
      <c r="A604" s="24" t="s">
        <v>7</v>
      </c>
      <c r="B604" s="24" t="s">
        <v>3782</v>
      </c>
      <c r="C604" s="25" t="s">
        <v>3783</v>
      </c>
      <c r="D604" s="24" t="s">
        <v>21433</v>
      </c>
      <c r="E604" s="40">
        <v>164</v>
      </c>
      <c r="F604" s="41">
        <v>83768</v>
      </c>
      <c r="G604" s="40">
        <v>248</v>
      </c>
      <c r="H604" s="41">
        <v>120168</v>
      </c>
      <c r="I604" s="41">
        <v>510.78048780487802</v>
      </c>
      <c r="J604" s="41">
        <v>484.54838709677421</v>
      </c>
      <c r="K604" s="42">
        <v>-5.1356896620774348E-2</v>
      </c>
    </row>
    <row r="605" spans="1:11" x14ac:dyDescent="0.25">
      <c r="A605" s="24" t="s">
        <v>7</v>
      </c>
      <c r="B605" s="24" t="s">
        <v>3784</v>
      </c>
      <c r="C605" s="25" t="s">
        <v>3785</v>
      </c>
      <c r="D605" s="24" t="s">
        <v>21433</v>
      </c>
      <c r="E605" s="40">
        <v>54</v>
      </c>
      <c r="F605" s="41">
        <v>35870</v>
      </c>
      <c r="G605" s="40">
        <v>49</v>
      </c>
      <c r="H605" s="41">
        <v>27977</v>
      </c>
      <c r="I605" s="41">
        <v>664.25925925925924</v>
      </c>
      <c r="J605" s="41">
        <v>570.9591836734694</v>
      </c>
      <c r="K605" s="42">
        <v>-0.14045732036890582</v>
      </c>
    </row>
    <row r="606" spans="1:11" x14ac:dyDescent="0.25">
      <c r="A606" s="24" t="s">
        <v>7</v>
      </c>
      <c r="B606" s="24" t="s">
        <v>3786</v>
      </c>
      <c r="C606" s="25" t="s">
        <v>3787</v>
      </c>
      <c r="D606" s="24" t="s">
        <v>21433</v>
      </c>
      <c r="E606" s="40">
        <v>580</v>
      </c>
      <c r="F606" s="41">
        <v>405207</v>
      </c>
      <c r="G606" s="40">
        <v>597</v>
      </c>
      <c r="H606" s="41">
        <v>382353</v>
      </c>
      <c r="I606" s="41">
        <v>698.63275862068963</v>
      </c>
      <c r="J606" s="41">
        <v>640.4572864321608</v>
      </c>
      <c r="K606" s="42">
        <v>-8.327046144155141E-2</v>
      </c>
    </row>
    <row r="607" spans="1:11" x14ac:dyDescent="0.25">
      <c r="A607" s="24" t="s">
        <v>7</v>
      </c>
      <c r="B607" s="24" t="s">
        <v>3790</v>
      </c>
      <c r="C607" s="25" t="s">
        <v>3791</v>
      </c>
      <c r="D607" s="24" t="s">
        <v>21433</v>
      </c>
      <c r="E607" s="40">
        <v>3</v>
      </c>
      <c r="F607" s="41">
        <v>1950</v>
      </c>
      <c r="G607" s="40">
        <v>7</v>
      </c>
      <c r="H607" s="41">
        <v>4550</v>
      </c>
      <c r="I607" s="41">
        <v>650</v>
      </c>
      <c r="J607" s="41">
        <v>650</v>
      </c>
      <c r="K607" s="42">
        <v>0</v>
      </c>
    </row>
    <row r="608" spans="1:11" x14ac:dyDescent="0.25">
      <c r="A608" s="24" t="s">
        <v>7</v>
      </c>
      <c r="B608" s="24" t="s">
        <v>3794</v>
      </c>
      <c r="C608" s="25" t="s">
        <v>3795</v>
      </c>
      <c r="D608" s="24" t="s">
        <v>21437</v>
      </c>
      <c r="E608" s="40">
        <v>802</v>
      </c>
      <c r="F608" s="41">
        <v>696290</v>
      </c>
      <c r="G608" s="40">
        <v>871</v>
      </c>
      <c r="H608" s="41">
        <v>682040</v>
      </c>
      <c r="I608" s="41">
        <v>868.19201995012463</v>
      </c>
      <c r="J608" s="41">
        <v>783.0539609644087</v>
      </c>
      <c r="K608" s="42">
        <v>-9.8063627664542324E-2</v>
      </c>
    </row>
    <row r="609" spans="1:11" x14ac:dyDescent="0.25">
      <c r="A609" s="24" t="s">
        <v>7</v>
      </c>
      <c r="B609" s="24" t="s">
        <v>3797</v>
      </c>
      <c r="C609" s="25" t="s">
        <v>3798</v>
      </c>
      <c r="D609" s="24" t="s">
        <v>21438</v>
      </c>
      <c r="E609" s="40">
        <v>167</v>
      </c>
      <c r="F609" s="41">
        <v>19603</v>
      </c>
      <c r="G609" s="40">
        <v>226</v>
      </c>
      <c r="H609" s="41">
        <v>29633</v>
      </c>
      <c r="I609" s="41">
        <v>117.38323353293413</v>
      </c>
      <c r="J609" s="41">
        <v>131.11946902654867</v>
      </c>
      <c r="K609" s="42">
        <v>0.11702042174328567</v>
      </c>
    </row>
    <row r="610" spans="1:11" x14ac:dyDescent="0.25">
      <c r="A610" s="24" t="s">
        <v>7</v>
      </c>
      <c r="B610" s="24" t="s">
        <v>3800</v>
      </c>
      <c r="C610" s="25" t="s">
        <v>3801</v>
      </c>
      <c r="D610" s="24" t="s">
        <v>21433</v>
      </c>
      <c r="E610" s="40">
        <v>91</v>
      </c>
      <c r="F610" s="41">
        <v>72791</v>
      </c>
      <c r="G610" s="40">
        <v>125</v>
      </c>
      <c r="H610" s="41">
        <v>89074</v>
      </c>
      <c r="I610" s="41">
        <v>799.90109890109886</v>
      </c>
      <c r="J610" s="41">
        <v>712.59199999999998</v>
      </c>
      <c r="K610" s="42">
        <v>-0.10914986742866561</v>
      </c>
    </row>
    <row r="611" spans="1:11" x14ac:dyDescent="0.25">
      <c r="A611" s="24" t="s">
        <v>7</v>
      </c>
      <c r="B611" s="24" t="s">
        <v>3806</v>
      </c>
      <c r="C611" s="25" t="s">
        <v>3807</v>
      </c>
      <c r="D611" s="24" t="s">
        <v>21435</v>
      </c>
      <c r="E611" s="40">
        <v>171</v>
      </c>
      <c r="F611" s="41">
        <v>43396</v>
      </c>
      <c r="G611" s="40">
        <v>124</v>
      </c>
      <c r="H611" s="41">
        <v>31304</v>
      </c>
      <c r="I611" s="41">
        <v>253.77777777777777</v>
      </c>
      <c r="J611" s="41">
        <v>252.45161290322579</v>
      </c>
      <c r="K611" s="42">
        <v>-5.2256934636461475E-3</v>
      </c>
    </row>
    <row r="612" spans="1:11" x14ac:dyDescent="0.25">
      <c r="A612" s="24" t="s">
        <v>7</v>
      </c>
      <c r="B612" s="24" t="s">
        <v>3810</v>
      </c>
      <c r="C612" s="25" t="s">
        <v>3811</v>
      </c>
      <c r="D612" s="24" t="s">
        <v>21439</v>
      </c>
      <c r="G612" s="40">
        <v>1182</v>
      </c>
      <c r="H612" s="41">
        <v>242274</v>
      </c>
      <c r="J612" s="41">
        <v>204.96954314720813</v>
      </c>
    </row>
    <row r="613" spans="1:11" x14ac:dyDescent="0.25">
      <c r="A613" s="24" t="s">
        <v>7</v>
      </c>
      <c r="B613" s="24" t="s">
        <v>3813</v>
      </c>
      <c r="C613" s="25" t="s">
        <v>3814</v>
      </c>
      <c r="D613" s="24" t="s">
        <v>21440</v>
      </c>
      <c r="E613" s="40">
        <v>8143</v>
      </c>
      <c r="F613" s="41">
        <v>4952477</v>
      </c>
      <c r="G613" s="40">
        <v>8652</v>
      </c>
      <c r="H613" s="41">
        <v>4740498</v>
      </c>
      <c r="I613" s="41">
        <v>608.18825985509022</v>
      </c>
      <c r="J613" s="41">
        <v>547.90776699029129</v>
      </c>
      <c r="K613" s="42">
        <v>-9.9114857756645358E-2</v>
      </c>
    </row>
    <row r="614" spans="1:11" x14ac:dyDescent="0.25">
      <c r="A614" s="24" t="s">
        <v>7</v>
      </c>
      <c r="B614" s="24" t="s">
        <v>3816</v>
      </c>
      <c r="C614" s="25" t="s">
        <v>3817</v>
      </c>
      <c r="D614" s="24" t="s">
        <v>21438</v>
      </c>
      <c r="E614" s="40">
        <v>51</v>
      </c>
      <c r="F614" s="41">
        <v>5889</v>
      </c>
      <c r="G614" s="40">
        <v>21</v>
      </c>
      <c r="H614" s="41">
        <v>2499</v>
      </c>
      <c r="I614" s="41">
        <v>115.47058823529412</v>
      </c>
      <c r="J614" s="41">
        <v>119</v>
      </c>
      <c r="K614" s="42">
        <v>3.0565461029037202E-2</v>
      </c>
    </row>
    <row r="615" spans="1:11" x14ac:dyDescent="0.25">
      <c r="A615" s="24" t="s">
        <v>7</v>
      </c>
      <c r="B615" s="24" t="s">
        <v>3818</v>
      </c>
      <c r="C615" s="25" t="s">
        <v>3819</v>
      </c>
      <c r="D615" s="24" t="s">
        <v>21435</v>
      </c>
      <c r="E615" s="40">
        <v>840</v>
      </c>
      <c r="F615" s="41">
        <v>236481</v>
      </c>
      <c r="G615" s="40">
        <v>902</v>
      </c>
      <c r="H615" s="41">
        <v>248589</v>
      </c>
      <c r="I615" s="41">
        <v>281.52499999999998</v>
      </c>
      <c r="J615" s="41">
        <v>275.59756097560978</v>
      </c>
      <c r="K615" s="42">
        <v>-2.1054751884877709E-2</v>
      </c>
    </row>
    <row r="616" spans="1:11" x14ac:dyDescent="0.25">
      <c r="A616" s="24" t="s">
        <v>7</v>
      </c>
      <c r="B616" s="24" t="s">
        <v>3820</v>
      </c>
      <c r="C616" s="25" t="s">
        <v>3821</v>
      </c>
      <c r="D616" s="24" t="s">
        <v>21439</v>
      </c>
      <c r="E616" s="40">
        <v>599</v>
      </c>
      <c r="F616" s="41">
        <v>507370</v>
      </c>
      <c r="G616" s="40">
        <v>547</v>
      </c>
      <c r="H616" s="41">
        <v>404175</v>
      </c>
      <c r="I616" s="41">
        <v>847.0283806343906</v>
      </c>
      <c r="J616" s="41">
        <v>738.8939670932358</v>
      </c>
      <c r="K616" s="42">
        <v>-0.12766327081055587</v>
      </c>
    </row>
    <row r="617" spans="1:11" x14ac:dyDescent="0.25">
      <c r="A617" s="24" t="s">
        <v>7</v>
      </c>
      <c r="B617" s="24" t="s">
        <v>3822</v>
      </c>
      <c r="C617" s="25" t="s">
        <v>3823</v>
      </c>
      <c r="D617" s="24" t="s">
        <v>21441</v>
      </c>
      <c r="E617" s="40">
        <v>36</v>
      </c>
      <c r="F617" s="41">
        <v>27938</v>
      </c>
      <c r="G617" s="40">
        <v>5</v>
      </c>
      <c r="H617" s="41">
        <v>3995</v>
      </c>
      <c r="I617" s="41">
        <v>776.05555555555554</v>
      </c>
      <c r="J617" s="41">
        <v>799</v>
      </c>
      <c r="K617" s="42">
        <v>2.9565466389863286E-2</v>
      </c>
    </row>
    <row r="618" spans="1:11" x14ac:dyDescent="0.25">
      <c r="A618" s="24" t="s">
        <v>7</v>
      </c>
      <c r="B618" s="24" t="s">
        <v>3825</v>
      </c>
      <c r="C618" s="25" t="s">
        <v>3826</v>
      </c>
      <c r="D618" s="24" t="s">
        <v>21442</v>
      </c>
      <c r="E618" s="40">
        <v>1083</v>
      </c>
      <c r="F618" s="41">
        <v>189662</v>
      </c>
      <c r="G618" s="40">
        <v>1224</v>
      </c>
      <c r="H618" s="41">
        <v>216528</v>
      </c>
      <c r="I618" s="41">
        <v>175.12650046168051</v>
      </c>
      <c r="J618" s="41">
        <v>176.90196078431373</v>
      </c>
      <c r="K618" s="42">
        <v>1.0138159090443946E-2</v>
      </c>
    </row>
    <row r="619" spans="1:11" x14ac:dyDescent="0.25">
      <c r="A619" s="24" t="s">
        <v>7</v>
      </c>
      <c r="B619" s="24" t="s">
        <v>3828</v>
      </c>
      <c r="C619" s="25" t="s">
        <v>3829</v>
      </c>
      <c r="D619" s="24" t="s">
        <v>21443</v>
      </c>
      <c r="E619" s="40">
        <v>81</v>
      </c>
      <c r="F619" s="41">
        <v>11463</v>
      </c>
      <c r="G619" s="40">
        <v>72</v>
      </c>
      <c r="H619" s="41">
        <v>10728</v>
      </c>
      <c r="I619" s="41">
        <v>141.5185185185185</v>
      </c>
      <c r="J619" s="41">
        <v>149</v>
      </c>
      <c r="K619" s="42">
        <v>5.2865741952368595E-2</v>
      </c>
    </row>
    <row r="620" spans="1:11" x14ac:dyDescent="0.25">
      <c r="A620" s="24" t="s">
        <v>7</v>
      </c>
      <c r="B620" s="24" t="s">
        <v>3831</v>
      </c>
      <c r="C620" s="25" t="s">
        <v>3832</v>
      </c>
      <c r="D620" s="24" t="s">
        <v>21444</v>
      </c>
      <c r="E620" s="40">
        <v>882</v>
      </c>
      <c r="F620" s="41">
        <v>537388</v>
      </c>
      <c r="G620" s="40">
        <v>778</v>
      </c>
      <c r="H620" s="41">
        <v>445044</v>
      </c>
      <c r="I620" s="41">
        <v>609.28344671201819</v>
      </c>
      <c r="J620" s="41">
        <v>572.03598971722363</v>
      </c>
      <c r="K620" s="42">
        <v>-6.1133216724989767E-2</v>
      </c>
    </row>
    <row r="621" spans="1:11" x14ac:dyDescent="0.25">
      <c r="A621" s="24" t="s">
        <v>7</v>
      </c>
      <c r="B621" s="24" t="s">
        <v>3834</v>
      </c>
      <c r="C621" s="25" t="s">
        <v>3835</v>
      </c>
      <c r="D621" s="24" t="s">
        <v>21433</v>
      </c>
      <c r="E621" s="40">
        <v>1135</v>
      </c>
      <c r="F621" s="41">
        <v>659511</v>
      </c>
      <c r="G621" s="40">
        <v>1078</v>
      </c>
      <c r="H621" s="41">
        <v>597646</v>
      </c>
      <c r="I621" s="41">
        <v>581.06696035242294</v>
      </c>
      <c r="J621" s="41">
        <v>554.40259740259739</v>
      </c>
      <c r="K621" s="42">
        <v>-4.5888623462007443E-2</v>
      </c>
    </row>
    <row r="622" spans="1:11" x14ac:dyDescent="0.25">
      <c r="A622" s="24" t="s">
        <v>7</v>
      </c>
      <c r="B622" s="24" t="s">
        <v>3836</v>
      </c>
      <c r="C622" s="25" t="s">
        <v>3837</v>
      </c>
      <c r="D622" s="24" t="s">
        <v>21444</v>
      </c>
      <c r="E622" s="40">
        <v>25</v>
      </c>
      <c r="F622" s="41">
        <v>13687</v>
      </c>
      <c r="G622" s="40">
        <v>1</v>
      </c>
      <c r="H622" s="41">
        <v>571</v>
      </c>
      <c r="I622" s="41">
        <v>547.48</v>
      </c>
      <c r="J622" s="41">
        <v>571</v>
      </c>
      <c r="K622" s="42">
        <v>4.2960473441952182E-2</v>
      </c>
    </row>
    <row r="623" spans="1:11" x14ac:dyDescent="0.25">
      <c r="A623" s="24" t="s">
        <v>7</v>
      </c>
      <c r="B623" s="24" t="s">
        <v>3841</v>
      </c>
      <c r="C623" s="25" t="s">
        <v>3842</v>
      </c>
      <c r="D623" s="24" t="s">
        <v>21445</v>
      </c>
      <c r="E623" s="40">
        <v>7</v>
      </c>
      <c r="F623" s="41">
        <v>2175</v>
      </c>
      <c r="G623" s="40">
        <v>14</v>
      </c>
      <c r="H623" s="41">
        <v>4099.04</v>
      </c>
      <c r="I623" s="41">
        <v>310.71428571428572</v>
      </c>
      <c r="J623" s="41">
        <v>292.7885714285714</v>
      </c>
      <c r="K623" s="42">
        <v>-5.7691954022988615E-2</v>
      </c>
    </row>
    <row r="624" spans="1:11" x14ac:dyDescent="0.25">
      <c r="A624" s="24" t="s">
        <v>7</v>
      </c>
      <c r="B624" s="24" t="s">
        <v>3846</v>
      </c>
      <c r="C624" s="25" t="s">
        <v>3847</v>
      </c>
      <c r="D624" s="24" t="s">
        <v>21446</v>
      </c>
      <c r="E624" s="40">
        <v>618</v>
      </c>
      <c r="F624" s="41">
        <v>116208</v>
      </c>
      <c r="G624" s="40">
        <v>502</v>
      </c>
      <c r="H624" s="41">
        <v>92214</v>
      </c>
      <c r="I624" s="41">
        <v>188.03883495145632</v>
      </c>
      <c r="J624" s="41">
        <v>183.69322709163347</v>
      </c>
      <c r="K624" s="42">
        <v>-2.3110161584146704E-2</v>
      </c>
    </row>
    <row r="625" spans="1:11" x14ac:dyDescent="0.25">
      <c r="A625" s="24" t="s">
        <v>7</v>
      </c>
      <c r="B625" s="24" t="s">
        <v>3849</v>
      </c>
      <c r="C625" s="25" t="s">
        <v>3850</v>
      </c>
      <c r="D625" s="24" t="s">
        <v>21447</v>
      </c>
      <c r="E625" s="40">
        <v>664</v>
      </c>
      <c r="F625" s="41">
        <v>592108</v>
      </c>
      <c r="G625" s="40">
        <v>561</v>
      </c>
      <c r="H625" s="41">
        <v>462270</v>
      </c>
      <c r="I625" s="41">
        <v>891.72891566265059</v>
      </c>
      <c r="J625" s="41">
        <v>824.01069518716577</v>
      </c>
      <c r="K625" s="42">
        <v>-7.5940366277304008E-2</v>
      </c>
    </row>
    <row r="626" spans="1:11" x14ac:dyDescent="0.25">
      <c r="A626" s="24" t="s">
        <v>7</v>
      </c>
      <c r="B626" s="24" t="s">
        <v>3852</v>
      </c>
      <c r="C626" s="25" t="s">
        <v>3853</v>
      </c>
      <c r="D626" s="24" t="s">
        <v>21435</v>
      </c>
      <c r="E626" s="40">
        <v>8</v>
      </c>
      <c r="F626" s="41">
        <v>2214</v>
      </c>
      <c r="G626" s="40">
        <v>4</v>
      </c>
      <c r="H626" s="41">
        <v>1058</v>
      </c>
      <c r="I626" s="41">
        <v>276.75</v>
      </c>
      <c r="J626" s="41">
        <v>264.5</v>
      </c>
      <c r="K626" s="42">
        <v>-4.4263775971093045E-2</v>
      </c>
    </row>
    <row r="627" spans="1:11" x14ac:dyDescent="0.25">
      <c r="A627" s="24" t="s">
        <v>7</v>
      </c>
      <c r="B627" s="24" t="s">
        <v>3863</v>
      </c>
      <c r="C627" s="25" t="s">
        <v>3864</v>
      </c>
      <c r="D627" s="24" t="s">
        <v>21448</v>
      </c>
      <c r="E627" s="40">
        <v>4141</v>
      </c>
      <c r="F627" s="41">
        <v>2527129</v>
      </c>
      <c r="G627" s="40">
        <v>4292</v>
      </c>
      <c r="H627" s="41">
        <v>2306395</v>
      </c>
      <c r="I627" s="41">
        <v>610.2702245834339</v>
      </c>
      <c r="J627" s="41">
        <v>537.37068965517244</v>
      </c>
      <c r="K627" s="42">
        <v>-0.11945451701829654</v>
      </c>
    </row>
    <row r="628" spans="1:11" x14ac:dyDescent="0.25">
      <c r="A628" s="24" t="s">
        <v>7</v>
      </c>
      <c r="B628" s="24" t="s">
        <v>3865</v>
      </c>
      <c r="C628" s="25" t="s">
        <v>3866</v>
      </c>
      <c r="D628" s="24" t="s">
        <v>21449</v>
      </c>
      <c r="E628" s="40">
        <v>908</v>
      </c>
      <c r="F628" s="41">
        <v>201458</v>
      </c>
      <c r="G628" s="40">
        <v>790</v>
      </c>
      <c r="H628" s="41">
        <v>168914</v>
      </c>
      <c r="I628" s="41">
        <v>221.87004405286345</v>
      </c>
      <c r="J628" s="41">
        <v>213.81518987341772</v>
      </c>
      <c r="K628" s="42">
        <v>-3.6304379051398897E-2</v>
      </c>
    </row>
    <row r="629" spans="1:11" x14ac:dyDescent="0.25">
      <c r="A629" s="24" t="s">
        <v>7</v>
      </c>
      <c r="B629" s="24" t="s">
        <v>3868</v>
      </c>
      <c r="C629" s="25" t="s">
        <v>3869</v>
      </c>
      <c r="D629" s="24" t="s">
        <v>21450</v>
      </c>
      <c r="E629" s="40">
        <v>14</v>
      </c>
      <c r="F629" s="41">
        <v>5125</v>
      </c>
      <c r="G629" s="40">
        <v>16</v>
      </c>
      <c r="H629" s="41">
        <v>6314</v>
      </c>
      <c r="I629" s="41">
        <v>366.07142857142856</v>
      </c>
      <c r="J629" s="41">
        <v>394.625</v>
      </c>
      <c r="K629" s="42">
        <v>7.8000000000000042E-2</v>
      </c>
    </row>
    <row r="630" spans="1:11" x14ac:dyDescent="0.25">
      <c r="A630" s="24" t="s">
        <v>7</v>
      </c>
      <c r="B630" s="24" t="s">
        <v>3871</v>
      </c>
      <c r="C630" s="25" t="s">
        <v>3872</v>
      </c>
      <c r="D630" s="24" t="s">
        <v>21451</v>
      </c>
      <c r="E630" s="40">
        <v>191</v>
      </c>
      <c r="F630" s="41">
        <v>58647</v>
      </c>
      <c r="G630" s="40">
        <v>170</v>
      </c>
      <c r="H630" s="41">
        <v>47639</v>
      </c>
      <c r="I630" s="41">
        <v>307.0523560209424</v>
      </c>
      <c r="J630" s="41">
        <v>280.2294117647059</v>
      </c>
      <c r="K630" s="42">
        <v>-8.7356256124629925E-2</v>
      </c>
    </row>
    <row r="631" spans="1:11" x14ac:dyDescent="0.25">
      <c r="A631" s="24" t="s">
        <v>7</v>
      </c>
      <c r="B631" s="24" t="s">
        <v>3874</v>
      </c>
      <c r="C631" s="25" t="s">
        <v>3875</v>
      </c>
      <c r="D631" s="24" t="s">
        <v>21452</v>
      </c>
      <c r="E631" s="40">
        <v>1773</v>
      </c>
      <c r="F631" s="41">
        <v>519778</v>
      </c>
      <c r="G631" s="40">
        <v>1512</v>
      </c>
      <c r="H631" s="41">
        <v>410524</v>
      </c>
      <c r="I631" s="41">
        <v>293.16300056401582</v>
      </c>
      <c r="J631" s="41">
        <v>271.51058201058203</v>
      </c>
      <c r="K631" s="42">
        <v>-7.385795107764874E-2</v>
      </c>
    </row>
    <row r="632" spans="1:11" x14ac:dyDescent="0.25">
      <c r="A632" s="24" t="s">
        <v>7</v>
      </c>
      <c r="B632" s="24" t="s">
        <v>3880</v>
      </c>
      <c r="C632" s="25" t="s">
        <v>3881</v>
      </c>
      <c r="D632" s="24" t="s">
        <v>21453</v>
      </c>
      <c r="E632" s="40">
        <v>354</v>
      </c>
      <c r="F632" s="41">
        <v>160982</v>
      </c>
      <c r="G632" s="40">
        <v>305</v>
      </c>
      <c r="H632" s="41">
        <v>122549</v>
      </c>
      <c r="I632" s="41">
        <v>454.75141242937855</v>
      </c>
      <c r="J632" s="41">
        <v>401.8</v>
      </c>
      <c r="K632" s="42">
        <v>-0.11644034736802873</v>
      </c>
    </row>
    <row r="633" spans="1:11" x14ac:dyDescent="0.25">
      <c r="A633" s="24" t="s">
        <v>7</v>
      </c>
      <c r="B633" s="24" t="s">
        <v>3883</v>
      </c>
      <c r="C633" s="25" t="s">
        <v>3884</v>
      </c>
      <c r="D633" s="24" t="s">
        <v>21453</v>
      </c>
      <c r="E633" s="40">
        <v>15</v>
      </c>
      <c r="F633" s="41">
        <v>6442</v>
      </c>
      <c r="G633" s="40">
        <v>25</v>
      </c>
      <c r="H633" s="41">
        <v>9445</v>
      </c>
      <c r="I633" s="41">
        <v>429.46666666666664</v>
      </c>
      <c r="J633" s="41">
        <v>377.8</v>
      </c>
      <c r="K633" s="42">
        <v>-0.12030425333747276</v>
      </c>
    </row>
    <row r="634" spans="1:11" x14ac:dyDescent="0.25">
      <c r="A634" s="24" t="s">
        <v>7</v>
      </c>
      <c r="B634" s="24" t="s">
        <v>3890</v>
      </c>
      <c r="C634" s="25" t="s">
        <v>3891</v>
      </c>
      <c r="D634" s="24" t="s">
        <v>21134</v>
      </c>
      <c r="E634" s="40">
        <v>24845</v>
      </c>
      <c r="F634" s="41">
        <v>17998455</v>
      </c>
      <c r="G634" s="40">
        <v>27246</v>
      </c>
      <c r="H634" s="41">
        <v>17778868</v>
      </c>
      <c r="I634" s="41">
        <v>724.4296639162809</v>
      </c>
      <c r="J634" s="41">
        <v>652.5313073478676</v>
      </c>
      <c r="K634" s="42">
        <v>-9.9248222635900066E-2</v>
      </c>
    </row>
    <row r="635" spans="1:11" x14ac:dyDescent="0.25">
      <c r="A635" s="24" t="s">
        <v>7</v>
      </c>
      <c r="B635" s="24" t="s">
        <v>3892</v>
      </c>
      <c r="C635" s="25" t="s">
        <v>3893</v>
      </c>
      <c r="D635" s="24" t="s">
        <v>21454</v>
      </c>
      <c r="E635" s="40">
        <v>415</v>
      </c>
      <c r="F635" s="41">
        <v>29620</v>
      </c>
      <c r="G635" s="40">
        <v>325</v>
      </c>
      <c r="H635" s="41">
        <v>23125</v>
      </c>
      <c r="I635" s="41">
        <v>71.373493975903614</v>
      </c>
      <c r="J635" s="41">
        <v>71.15384615384616</v>
      </c>
      <c r="K635" s="42">
        <v>-3.0774424764970676E-3</v>
      </c>
    </row>
    <row r="636" spans="1:11" x14ac:dyDescent="0.25">
      <c r="A636" s="24" t="s">
        <v>7</v>
      </c>
      <c r="B636" s="24" t="s">
        <v>3895</v>
      </c>
      <c r="C636" s="25" t="s">
        <v>3896</v>
      </c>
      <c r="D636" s="24" t="s">
        <v>21455</v>
      </c>
      <c r="E636" s="40">
        <v>27</v>
      </c>
      <c r="F636" s="41">
        <v>13423</v>
      </c>
      <c r="G636" s="40">
        <v>41</v>
      </c>
      <c r="H636" s="41">
        <v>20787</v>
      </c>
      <c r="I636" s="41">
        <v>497.14814814814815</v>
      </c>
      <c r="J636" s="41">
        <v>507</v>
      </c>
      <c r="K636" s="42">
        <v>1.981673247411159E-2</v>
      </c>
    </row>
    <row r="637" spans="1:11" x14ac:dyDescent="0.25">
      <c r="A637" s="24" t="s">
        <v>7</v>
      </c>
      <c r="B637" s="24" t="s">
        <v>3898</v>
      </c>
      <c r="C637" s="25" t="s">
        <v>3899</v>
      </c>
      <c r="D637" s="24" t="s">
        <v>21455</v>
      </c>
      <c r="E637" s="40">
        <v>27</v>
      </c>
      <c r="F637" s="41">
        <v>13423</v>
      </c>
      <c r="G637" s="40">
        <v>43</v>
      </c>
      <c r="H637" s="41">
        <v>21801</v>
      </c>
      <c r="I637" s="41">
        <v>497.14814814814815</v>
      </c>
      <c r="J637" s="41">
        <v>507</v>
      </c>
      <c r="K637" s="42">
        <v>1.981673247411159E-2</v>
      </c>
    </row>
    <row r="638" spans="1:11" x14ac:dyDescent="0.25">
      <c r="A638" s="24" t="s">
        <v>7</v>
      </c>
      <c r="B638" s="24" t="s">
        <v>3901</v>
      </c>
      <c r="C638" s="25" t="s">
        <v>3902</v>
      </c>
      <c r="D638" s="24" t="s">
        <v>21456</v>
      </c>
      <c r="E638" s="40">
        <v>415</v>
      </c>
      <c r="F638" s="41">
        <v>29620</v>
      </c>
      <c r="G638" s="40">
        <v>325</v>
      </c>
      <c r="H638" s="41">
        <v>26275</v>
      </c>
      <c r="I638" s="41">
        <v>71.373493975903614</v>
      </c>
      <c r="J638" s="41">
        <v>80.84615384615384</v>
      </c>
      <c r="K638" s="42">
        <v>0.13271957616994745</v>
      </c>
    </row>
    <row r="639" spans="1:11" x14ac:dyDescent="0.25">
      <c r="A639" s="24" t="s">
        <v>7</v>
      </c>
      <c r="B639" s="24" t="s">
        <v>3904</v>
      </c>
      <c r="C639" s="25" t="s">
        <v>3905</v>
      </c>
      <c r="D639" s="24" t="s">
        <v>21457</v>
      </c>
      <c r="E639" s="40">
        <v>42</v>
      </c>
      <c r="F639" s="41">
        <v>114072</v>
      </c>
      <c r="G639" s="40">
        <v>89</v>
      </c>
      <c r="H639" s="41">
        <v>205170</v>
      </c>
      <c r="I639" s="41">
        <v>2716</v>
      </c>
      <c r="J639" s="41">
        <v>2305.2808988764045</v>
      </c>
      <c r="K639" s="42">
        <v>-0.15122205490559479</v>
      </c>
    </row>
    <row r="640" spans="1:11" x14ac:dyDescent="0.25">
      <c r="A640" s="24" t="s">
        <v>7</v>
      </c>
      <c r="B640" s="24" t="s">
        <v>3907</v>
      </c>
      <c r="C640" s="25" t="s">
        <v>3908</v>
      </c>
      <c r="D640" s="24" t="s">
        <v>21458</v>
      </c>
      <c r="G640" s="40">
        <v>7</v>
      </c>
      <c r="H640" s="41">
        <v>4148.6899999999996</v>
      </c>
      <c r="J640" s="41">
        <v>592.66999999999996</v>
      </c>
    </row>
    <row r="641" spans="1:11" x14ac:dyDescent="0.25">
      <c r="A641" s="24" t="s">
        <v>7</v>
      </c>
      <c r="B641" s="24" t="s">
        <v>3910</v>
      </c>
      <c r="C641" s="25" t="s">
        <v>3911</v>
      </c>
      <c r="D641" s="24" t="s">
        <v>21459</v>
      </c>
      <c r="E641" s="40">
        <v>509</v>
      </c>
      <c r="F641" s="41">
        <v>1155582</v>
      </c>
      <c r="G641" s="40">
        <v>530</v>
      </c>
      <c r="H641" s="41">
        <v>1230660</v>
      </c>
      <c r="I641" s="41">
        <v>2270.2986247544204</v>
      </c>
      <c r="J641" s="41">
        <v>2322</v>
      </c>
      <c r="K641" s="42">
        <v>2.277294038847958E-2</v>
      </c>
    </row>
    <row r="642" spans="1:11" x14ac:dyDescent="0.25">
      <c r="A642" s="24" t="s">
        <v>7</v>
      </c>
      <c r="B642" s="24" t="s">
        <v>3913</v>
      </c>
      <c r="C642" s="25" t="s">
        <v>3914</v>
      </c>
      <c r="D642" s="24" t="s">
        <v>21460</v>
      </c>
      <c r="G642" s="40">
        <v>7</v>
      </c>
      <c r="H642" s="41">
        <v>4148.6899999999996</v>
      </c>
      <c r="J642" s="41">
        <v>592.66999999999996</v>
      </c>
    </row>
    <row r="643" spans="1:11" x14ac:dyDescent="0.25">
      <c r="A643" s="24" t="s">
        <v>7</v>
      </c>
      <c r="B643" s="24" t="s">
        <v>3916</v>
      </c>
      <c r="C643" s="25" t="s">
        <v>3917</v>
      </c>
      <c r="D643" s="24" t="s">
        <v>21461</v>
      </c>
      <c r="E643" s="40">
        <v>2370</v>
      </c>
      <c r="F643" s="41">
        <v>5639700</v>
      </c>
      <c r="G643" s="40">
        <v>2793</v>
      </c>
      <c r="H643" s="41">
        <v>6498670</v>
      </c>
      <c r="I643" s="41">
        <v>2379.6202531645567</v>
      </c>
      <c r="J643" s="41">
        <v>2326.7704976727532</v>
      </c>
      <c r="K643" s="42">
        <v>-2.2209323282368635E-2</v>
      </c>
    </row>
    <row r="644" spans="1:11" x14ac:dyDescent="0.25">
      <c r="A644" s="24" t="s">
        <v>7</v>
      </c>
      <c r="B644" s="24" t="s">
        <v>3925</v>
      </c>
      <c r="C644" s="25" t="s">
        <v>3926</v>
      </c>
      <c r="D644" s="24" t="s">
        <v>21462</v>
      </c>
      <c r="E644" s="40">
        <v>24</v>
      </c>
      <c r="F644" s="41">
        <v>59634</v>
      </c>
      <c r="G644" s="40">
        <v>27</v>
      </c>
      <c r="H644" s="41">
        <v>65851</v>
      </c>
      <c r="I644" s="41">
        <v>2484.75</v>
      </c>
      <c r="J644" s="41">
        <v>2438.9259259259261</v>
      </c>
      <c r="K644" s="42">
        <v>-1.8442126601901161E-2</v>
      </c>
    </row>
    <row r="645" spans="1:11" x14ac:dyDescent="0.25">
      <c r="A645" s="24" t="s">
        <v>7</v>
      </c>
      <c r="B645" s="24" t="s">
        <v>3928</v>
      </c>
      <c r="C645" s="25" t="s">
        <v>3929</v>
      </c>
      <c r="D645" s="24" t="s">
        <v>21463</v>
      </c>
      <c r="E645" s="40">
        <v>839</v>
      </c>
      <c r="F645" s="41">
        <v>249333</v>
      </c>
      <c r="G645" s="40">
        <v>803</v>
      </c>
      <c r="H645" s="41">
        <v>243309</v>
      </c>
      <c r="I645" s="41">
        <v>297.17878426698451</v>
      </c>
      <c r="J645" s="41">
        <v>303</v>
      </c>
      <c r="K645" s="42">
        <v>1.958826148163299E-2</v>
      </c>
    </row>
    <row r="646" spans="1:11" x14ac:dyDescent="0.25">
      <c r="A646" s="24" t="s">
        <v>7</v>
      </c>
      <c r="B646" s="24" t="s">
        <v>3931</v>
      </c>
      <c r="C646" s="25" t="s">
        <v>3932</v>
      </c>
      <c r="D646" s="24" t="s">
        <v>21464</v>
      </c>
      <c r="G646" s="40">
        <v>7</v>
      </c>
      <c r="H646" s="41">
        <v>1995</v>
      </c>
      <c r="J646" s="41">
        <v>285</v>
      </c>
    </row>
    <row r="647" spans="1:11" x14ac:dyDescent="0.25">
      <c r="A647" s="24" t="s">
        <v>7</v>
      </c>
      <c r="B647" s="24" t="s">
        <v>3934</v>
      </c>
      <c r="C647" s="25" t="s">
        <v>3935</v>
      </c>
      <c r="D647" s="24" t="s">
        <v>21464</v>
      </c>
      <c r="G647" s="40">
        <v>7</v>
      </c>
      <c r="H647" s="41">
        <v>1995</v>
      </c>
      <c r="J647" s="41">
        <v>285</v>
      </c>
    </row>
    <row r="648" spans="1:11" x14ac:dyDescent="0.25">
      <c r="A648" s="24" t="s">
        <v>7</v>
      </c>
      <c r="B648" s="24" t="s">
        <v>3939</v>
      </c>
      <c r="C648" s="25" t="s">
        <v>3940</v>
      </c>
      <c r="D648" s="24" t="s">
        <v>21465</v>
      </c>
      <c r="E648" s="40">
        <v>5504</v>
      </c>
      <c r="F648" s="41">
        <v>2267770</v>
      </c>
      <c r="G648" s="40">
        <v>6425</v>
      </c>
      <c r="H648" s="41">
        <v>2387073</v>
      </c>
      <c r="I648" s="41">
        <v>412.02216569767444</v>
      </c>
      <c r="J648" s="41">
        <v>371.52887159533071</v>
      </c>
      <c r="K648" s="42">
        <v>-9.827940696777003E-2</v>
      </c>
    </row>
    <row r="649" spans="1:11" x14ac:dyDescent="0.25">
      <c r="A649" s="24" t="s">
        <v>7</v>
      </c>
      <c r="B649" s="24" t="s">
        <v>3941</v>
      </c>
      <c r="C649" s="25" t="s">
        <v>3942</v>
      </c>
      <c r="D649" s="24" t="s">
        <v>21466</v>
      </c>
      <c r="E649" s="40">
        <v>2169</v>
      </c>
      <c r="F649" s="41">
        <v>280788</v>
      </c>
      <c r="G649" s="40">
        <v>2149</v>
      </c>
      <c r="H649" s="41">
        <v>233884</v>
      </c>
      <c r="I649" s="41">
        <v>129.45504840940526</v>
      </c>
      <c r="J649" s="41">
        <v>108.83387622149837</v>
      </c>
      <c r="K649" s="42">
        <v>-0.15929214380803328</v>
      </c>
    </row>
    <row r="650" spans="1:11" x14ac:dyDescent="0.25">
      <c r="A650" s="24" t="s">
        <v>7</v>
      </c>
      <c r="B650" s="24" t="s">
        <v>3947</v>
      </c>
      <c r="C650" s="25" t="s">
        <v>3948</v>
      </c>
      <c r="D650" s="24" t="s">
        <v>21452</v>
      </c>
      <c r="E650" s="40">
        <v>179</v>
      </c>
      <c r="F650" s="41">
        <v>37362</v>
      </c>
      <c r="G650" s="40">
        <v>148</v>
      </c>
      <c r="H650" s="41">
        <v>29832</v>
      </c>
      <c r="I650" s="41">
        <v>208.72625698324023</v>
      </c>
      <c r="J650" s="41">
        <v>201.56756756756758</v>
      </c>
      <c r="K650" s="42">
        <v>-3.4297023858610491E-2</v>
      </c>
    </row>
    <row r="651" spans="1:11" x14ac:dyDescent="0.25">
      <c r="A651" s="24" t="s">
        <v>7</v>
      </c>
      <c r="B651" s="24" t="s">
        <v>3950</v>
      </c>
      <c r="C651" s="25" t="s">
        <v>3951</v>
      </c>
      <c r="D651" s="24" t="s">
        <v>21467</v>
      </c>
      <c r="E651" s="40">
        <v>7469</v>
      </c>
      <c r="F651" s="41">
        <v>1801931</v>
      </c>
      <c r="G651" s="40">
        <v>8838</v>
      </c>
      <c r="H651" s="41">
        <v>2021418</v>
      </c>
      <c r="I651" s="41">
        <v>241.2546525639309</v>
      </c>
      <c r="J651" s="41">
        <v>228.71894093686353</v>
      </c>
      <c r="K651" s="42">
        <v>-5.1960496901693909E-2</v>
      </c>
    </row>
    <row r="652" spans="1:11" x14ac:dyDescent="0.25">
      <c r="A652" s="24" t="s">
        <v>7</v>
      </c>
      <c r="B652" s="24" t="s">
        <v>3955</v>
      </c>
      <c r="C652" s="25" t="s">
        <v>3956</v>
      </c>
      <c r="D652" s="24" t="s">
        <v>21468</v>
      </c>
      <c r="E652" s="40">
        <v>46</v>
      </c>
      <c r="F652" s="41">
        <v>77414</v>
      </c>
      <c r="G652" s="40">
        <v>151</v>
      </c>
      <c r="H652" s="41">
        <v>154187</v>
      </c>
      <c r="I652" s="41">
        <v>1682.9130434782608</v>
      </c>
      <c r="J652" s="41">
        <v>1021.1059602649007</v>
      </c>
      <c r="K652" s="42">
        <v>-0.39325090846377359</v>
      </c>
    </row>
    <row r="653" spans="1:11" x14ac:dyDescent="0.25">
      <c r="A653" s="24" t="s">
        <v>7</v>
      </c>
      <c r="B653" s="24" t="s">
        <v>3958</v>
      </c>
      <c r="C653" s="25" t="s">
        <v>3959</v>
      </c>
      <c r="D653" s="24" t="s">
        <v>21469</v>
      </c>
      <c r="E653" s="40">
        <v>572</v>
      </c>
      <c r="F653" s="41">
        <v>256060</v>
      </c>
      <c r="G653" s="40">
        <v>575</v>
      </c>
      <c r="H653" s="41">
        <v>259179</v>
      </c>
      <c r="I653" s="41">
        <v>447.65734265734267</v>
      </c>
      <c r="J653" s="41">
        <v>450.74608695652176</v>
      </c>
      <c r="K653" s="42">
        <v>6.8997959038133395E-3</v>
      </c>
    </row>
    <row r="654" spans="1:11" x14ac:dyDescent="0.25">
      <c r="A654" s="24" t="s">
        <v>7</v>
      </c>
      <c r="B654" s="24" t="s">
        <v>3961</v>
      </c>
      <c r="C654" s="25" t="s">
        <v>3962</v>
      </c>
      <c r="D654" s="24" t="s">
        <v>21470</v>
      </c>
      <c r="E654" s="40">
        <v>168</v>
      </c>
      <c r="F654" s="41">
        <v>88904</v>
      </c>
      <c r="G654" s="40">
        <v>181</v>
      </c>
      <c r="H654" s="41">
        <v>86475</v>
      </c>
      <c r="I654" s="41">
        <v>529.19047619047615</v>
      </c>
      <c r="J654" s="41">
        <v>477.76243093922653</v>
      </c>
      <c r="K654" s="42">
        <v>-9.718248450249635E-2</v>
      </c>
    </row>
    <row r="655" spans="1:11" x14ac:dyDescent="0.25">
      <c r="A655" s="24" t="s">
        <v>7</v>
      </c>
      <c r="B655" s="24" t="s">
        <v>3971</v>
      </c>
      <c r="C655" s="25" t="s">
        <v>3972</v>
      </c>
      <c r="D655" s="24" t="s">
        <v>21471</v>
      </c>
      <c r="E655" s="40">
        <v>31</v>
      </c>
      <c r="F655" s="41">
        <v>8261</v>
      </c>
      <c r="G655" s="40">
        <v>45</v>
      </c>
      <c r="H655" s="41">
        <v>11325</v>
      </c>
      <c r="I655" s="41">
        <v>266.48387096774195</v>
      </c>
      <c r="J655" s="41">
        <v>251.66666666666666</v>
      </c>
      <c r="K655" s="42">
        <v>-5.560263083565356E-2</v>
      </c>
    </row>
    <row r="656" spans="1:11" x14ac:dyDescent="0.25">
      <c r="A656" s="24" t="s">
        <v>7</v>
      </c>
      <c r="B656" s="24" t="s">
        <v>3990</v>
      </c>
      <c r="C656" s="25" t="s">
        <v>3991</v>
      </c>
      <c r="D656" s="24" t="s">
        <v>21472</v>
      </c>
      <c r="E656" s="40">
        <v>5980</v>
      </c>
      <c r="F656" s="41">
        <v>577740</v>
      </c>
      <c r="G656" s="40">
        <v>5730</v>
      </c>
      <c r="H656" s="41">
        <v>505908</v>
      </c>
      <c r="I656" s="41">
        <v>96.61204013377926</v>
      </c>
      <c r="J656" s="41">
        <v>88.291099476439797</v>
      </c>
      <c r="K656" s="42">
        <v>-8.6127367208242447E-2</v>
      </c>
    </row>
    <row r="657" spans="1:11" x14ac:dyDescent="0.25">
      <c r="A657" s="24" t="s">
        <v>7</v>
      </c>
      <c r="B657" s="24" t="s">
        <v>3999</v>
      </c>
      <c r="C657" s="25" t="s">
        <v>4000</v>
      </c>
      <c r="D657" s="24" t="s">
        <v>21473</v>
      </c>
      <c r="E657" s="40">
        <v>1694</v>
      </c>
      <c r="F657" s="41">
        <v>16348</v>
      </c>
      <c r="G657" s="40">
        <v>1618</v>
      </c>
      <c r="H657" s="41">
        <v>27450</v>
      </c>
      <c r="I657" s="41">
        <v>9.6505312868949229</v>
      </c>
      <c r="J657" s="41">
        <v>16.965389369592089</v>
      </c>
      <c r="K657" s="42">
        <v>0.75797465084958404</v>
      </c>
    </row>
    <row r="658" spans="1:11" x14ac:dyDescent="0.25">
      <c r="A658" s="24" t="s">
        <v>7</v>
      </c>
      <c r="B658" s="24" t="s">
        <v>4004</v>
      </c>
      <c r="C658" s="25" t="s">
        <v>4005</v>
      </c>
      <c r="D658" s="24" t="s">
        <v>21473</v>
      </c>
      <c r="E658" s="40">
        <v>1201</v>
      </c>
      <c r="F658" s="41">
        <v>147937</v>
      </c>
      <c r="G658" s="40">
        <v>1205</v>
      </c>
      <c r="H658" s="41">
        <v>143592</v>
      </c>
      <c r="I658" s="41">
        <v>123.1781848459617</v>
      </c>
      <c r="J658" s="41">
        <v>119.16348547717843</v>
      </c>
      <c r="K658" s="42">
        <v>-3.2592616734885164E-2</v>
      </c>
    </row>
    <row r="659" spans="1:11" x14ac:dyDescent="0.25">
      <c r="A659" s="24" t="s">
        <v>7</v>
      </c>
      <c r="B659" s="24" t="s">
        <v>4012</v>
      </c>
      <c r="C659" s="25" t="s">
        <v>4013</v>
      </c>
      <c r="D659" s="24" t="s">
        <v>21474</v>
      </c>
      <c r="E659" s="40">
        <v>72883</v>
      </c>
      <c r="F659" s="41">
        <v>7752842</v>
      </c>
      <c r="G659" s="40">
        <v>84516</v>
      </c>
      <c r="H659" s="41">
        <v>8153469</v>
      </c>
      <c r="I659" s="41">
        <v>106.37380459091969</v>
      </c>
      <c r="J659" s="41">
        <v>96.472490416015901</v>
      </c>
      <c r="K659" s="42">
        <v>-9.3080380202448701E-2</v>
      </c>
    </row>
    <row r="660" spans="1:11" x14ac:dyDescent="0.25">
      <c r="A660" s="24" t="s">
        <v>7</v>
      </c>
      <c r="B660" s="24" t="s">
        <v>4018</v>
      </c>
      <c r="C660" s="25" t="s">
        <v>4019</v>
      </c>
      <c r="D660" s="24" t="s">
        <v>21474</v>
      </c>
      <c r="E660" s="40">
        <v>1839</v>
      </c>
      <c r="F660" s="41">
        <v>195323</v>
      </c>
      <c r="G660" s="40">
        <v>1680</v>
      </c>
      <c r="H660" s="41">
        <v>164145</v>
      </c>
      <c r="I660" s="41">
        <v>106.21152800435019</v>
      </c>
      <c r="J660" s="41">
        <v>97.705357142857139</v>
      </c>
      <c r="K660" s="42">
        <v>-8.0087077375863125E-2</v>
      </c>
    </row>
    <row r="661" spans="1:11" x14ac:dyDescent="0.25">
      <c r="A661" s="24" t="s">
        <v>7</v>
      </c>
      <c r="B661" s="24" t="s">
        <v>4024</v>
      </c>
      <c r="C661" s="25" t="s">
        <v>4025</v>
      </c>
      <c r="D661" s="24" t="s">
        <v>21475</v>
      </c>
      <c r="E661" s="40">
        <v>338</v>
      </c>
      <c r="F661" s="41">
        <v>154136</v>
      </c>
      <c r="G661" s="40">
        <v>236</v>
      </c>
      <c r="H661" s="41">
        <v>114958</v>
      </c>
      <c r="I661" s="41">
        <v>456.02366863905326</v>
      </c>
      <c r="J661" s="41">
        <v>487.11016949152543</v>
      </c>
      <c r="K661" s="42">
        <v>6.8168612706542231E-2</v>
      </c>
    </row>
    <row r="662" spans="1:11" x14ac:dyDescent="0.25">
      <c r="A662" s="24" t="s">
        <v>7</v>
      </c>
      <c r="B662" s="24" t="s">
        <v>4027</v>
      </c>
      <c r="C662" s="25" t="s">
        <v>4028</v>
      </c>
      <c r="D662" s="24" t="s">
        <v>21476</v>
      </c>
      <c r="E662" s="40">
        <v>1896</v>
      </c>
      <c r="F662" s="41">
        <v>794472</v>
      </c>
      <c r="G662" s="40">
        <v>833</v>
      </c>
      <c r="H662" s="41">
        <v>354522</v>
      </c>
      <c r="I662" s="41">
        <v>419.02531645569621</v>
      </c>
      <c r="J662" s="41">
        <v>425.59663865546219</v>
      </c>
      <c r="K662" s="42">
        <v>1.5682398990469498E-2</v>
      </c>
    </row>
    <row r="663" spans="1:11" x14ac:dyDescent="0.25">
      <c r="A663" s="24" t="s">
        <v>7</v>
      </c>
      <c r="B663" s="24" t="s">
        <v>4030</v>
      </c>
      <c r="C663" s="25" t="s">
        <v>4031</v>
      </c>
      <c r="D663" s="24" t="s">
        <v>21477</v>
      </c>
      <c r="G663" s="40">
        <v>1</v>
      </c>
      <c r="H663" s="41">
        <v>199</v>
      </c>
      <c r="J663" s="41">
        <v>199</v>
      </c>
    </row>
    <row r="664" spans="1:11" x14ac:dyDescent="0.25">
      <c r="A664" s="24" t="s">
        <v>7</v>
      </c>
      <c r="B664" s="24" t="s">
        <v>4036</v>
      </c>
      <c r="C664" s="25" t="s">
        <v>4037</v>
      </c>
      <c r="D664" s="24" t="s">
        <v>21478</v>
      </c>
      <c r="E664" s="40">
        <v>913</v>
      </c>
      <c r="F664" s="41">
        <v>474822</v>
      </c>
      <c r="G664" s="40">
        <v>820</v>
      </c>
      <c r="H664" s="41">
        <v>427057</v>
      </c>
      <c r="I664" s="41">
        <v>520.06790799561884</v>
      </c>
      <c r="J664" s="41">
        <v>520.80121951219508</v>
      </c>
      <c r="K664" s="42">
        <v>1.4100303158533175E-3</v>
      </c>
    </row>
    <row r="665" spans="1:11" x14ac:dyDescent="0.25">
      <c r="A665" s="24" t="s">
        <v>7</v>
      </c>
      <c r="B665" s="24" t="s">
        <v>4048</v>
      </c>
      <c r="C665" s="25" t="s">
        <v>4049</v>
      </c>
      <c r="D665" s="24" t="s">
        <v>21479</v>
      </c>
      <c r="G665" s="40">
        <v>1</v>
      </c>
      <c r="H665" s="41">
        <v>394</v>
      </c>
      <c r="J665" s="41">
        <v>394</v>
      </c>
    </row>
    <row r="666" spans="1:11" x14ac:dyDescent="0.25">
      <c r="A666" s="24" t="s">
        <v>7</v>
      </c>
      <c r="B666" s="24" t="s">
        <v>4054</v>
      </c>
      <c r="C666" s="25" t="s">
        <v>4055</v>
      </c>
      <c r="D666" s="24" t="s">
        <v>21480</v>
      </c>
      <c r="E666" s="40">
        <v>216</v>
      </c>
      <c r="F666" s="41">
        <v>22256</v>
      </c>
      <c r="G666" s="40">
        <v>241</v>
      </c>
      <c r="H666" s="41">
        <v>33336</v>
      </c>
      <c r="I666" s="41">
        <v>103.03703703703704</v>
      </c>
      <c r="J666" s="41">
        <v>138.32365145228215</v>
      </c>
      <c r="K666" s="42">
        <v>0.3424653447920985</v>
      </c>
    </row>
    <row r="667" spans="1:11" x14ac:dyDescent="0.25">
      <c r="A667" s="24" t="s">
        <v>7</v>
      </c>
      <c r="B667" s="24" t="s">
        <v>4057</v>
      </c>
      <c r="C667" s="25" t="s">
        <v>4058</v>
      </c>
      <c r="D667" s="24" t="s">
        <v>21481</v>
      </c>
      <c r="E667" s="40">
        <v>22</v>
      </c>
      <c r="F667" s="41">
        <v>3548</v>
      </c>
      <c r="G667" s="40">
        <v>10</v>
      </c>
      <c r="H667" s="41">
        <v>1640</v>
      </c>
      <c r="I667" s="41">
        <v>161.27272727272728</v>
      </c>
      <c r="J667" s="41">
        <v>164</v>
      </c>
      <c r="K667" s="42">
        <v>1.6910935738444145E-2</v>
      </c>
    </row>
    <row r="668" spans="1:11" x14ac:dyDescent="0.25">
      <c r="A668" s="24" t="s">
        <v>7</v>
      </c>
      <c r="B668" s="24" t="s">
        <v>4060</v>
      </c>
      <c r="C668" s="25" t="s">
        <v>4061</v>
      </c>
      <c r="D668" s="24" t="s">
        <v>21482</v>
      </c>
      <c r="E668" s="40">
        <v>715</v>
      </c>
      <c r="F668" s="41">
        <v>497974</v>
      </c>
      <c r="G668" s="40">
        <v>339</v>
      </c>
      <c r="H668" s="41">
        <v>253013</v>
      </c>
      <c r="I668" s="41">
        <v>696.46713286713282</v>
      </c>
      <c r="J668" s="41">
        <v>746.35103244837762</v>
      </c>
      <c r="K668" s="42">
        <v>7.1624197650058105E-2</v>
      </c>
    </row>
    <row r="669" spans="1:11" x14ac:dyDescent="0.25">
      <c r="A669" s="24" t="s">
        <v>7</v>
      </c>
      <c r="B669" s="24" t="s">
        <v>4063</v>
      </c>
      <c r="C669" s="25" t="s">
        <v>4064</v>
      </c>
      <c r="D669" s="24" t="s">
        <v>21483</v>
      </c>
      <c r="E669" s="40">
        <v>67</v>
      </c>
      <c r="F669" s="41">
        <v>59602</v>
      </c>
      <c r="G669" s="40">
        <v>19</v>
      </c>
      <c r="H669" s="41">
        <v>22267</v>
      </c>
      <c r="I669" s="41">
        <v>889.58208955223881</v>
      </c>
      <c r="J669" s="41">
        <v>1171.9473684210527</v>
      </c>
      <c r="K669" s="42">
        <v>0.31741340364770532</v>
      </c>
    </row>
    <row r="670" spans="1:11" x14ac:dyDescent="0.25">
      <c r="A670" s="24" t="s">
        <v>7</v>
      </c>
      <c r="B670" s="24" t="s">
        <v>4066</v>
      </c>
      <c r="C670" s="25" t="s">
        <v>4067</v>
      </c>
      <c r="D670" s="24" t="s">
        <v>21484</v>
      </c>
      <c r="E670" s="40">
        <v>446</v>
      </c>
      <c r="F670" s="41">
        <v>45956</v>
      </c>
      <c r="G670" s="40">
        <v>497</v>
      </c>
      <c r="H670" s="41">
        <v>64928</v>
      </c>
      <c r="I670" s="41">
        <v>103.04035874439462</v>
      </c>
      <c r="J670" s="41">
        <v>130.63983903420524</v>
      </c>
      <c r="K670" s="42">
        <v>0.2678511665344141</v>
      </c>
    </row>
    <row r="671" spans="1:11" x14ac:dyDescent="0.25">
      <c r="A671" s="24" t="s">
        <v>7</v>
      </c>
      <c r="B671" s="24" t="s">
        <v>4068</v>
      </c>
      <c r="C671" s="25" t="s">
        <v>4069</v>
      </c>
      <c r="D671" s="24" t="s">
        <v>21485</v>
      </c>
      <c r="E671" s="40">
        <v>438</v>
      </c>
      <c r="F671" s="41">
        <v>82448</v>
      </c>
      <c r="G671" s="40">
        <v>372</v>
      </c>
      <c r="H671" s="41">
        <v>87968</v>
      </c>
      <c r="I671" s="41">
        <v>188.23744292237444</v>
      </c>
      <c r="J671" s="41">
        <v>236.47311827956989</v>
      </c>
      <c r="K671" s="42">
        <v>0.25624910011706292</v>
      </c>
    </row>
    <row r="672" spans="1:11" x14ac:dyDescent="0.25">
      <c r="A672" s="24" t="s">
        <v>7</v>
      </c>
      <c r="B672" s="24" t="s">
        <v>4071</v>
      </c>
      <c r="C672" s="25" t="s">
        <v>4072</v>
      </c>
      <c r="D672" s="24" t="s">
        <v>21486</v>
      </c>
      <c r="E672" s="40">
        <v>1718</v>
      </c>
      <c r="F672" s="41">
        <v>322908</v>
      </c>
      <c r="G672" s="40">
        <v>779</v>
      </c>
      <c r="H672" s="41">
        <v>175943</v>
      </c>
      <c r="I672" s="41">
        <v>187.95576251455179</v>
      </c>
      <c r="J672" s="41">
        <v>225.85750962772786</v>
      </c>
      <c r="K672" s="42">
        <v>0.20165248783070253</v>
      </c>
    </row>
    <row r="673" spans="1:11" x14ac:dyDescent="0.25">
      <c r="A673" s="24" t="s">
        <v>7</v>
      </c>
      <c r="B673" s="24" t="s">
        <v>4074</v>
      </c>
      <c r="C673" s="25" t="s">
        <v>4075</v>
      </c>
      <c r="D673" s="24" t="s">
        <v>21487</v>
      </c>
      <c r="E673" s="40">
        <v>55</v>
      </c>
      <c r="F673" s="41">
        <v>24447</v>
      </c>
      <c r="G673" s="40">
        <v>41</v>
      </c>
      <c r="H673" s="41">
        <v>20510</v>
      </c>
      <c r="I673" s="41">
        <v>444.4909090909091</v>
      </c>
      <c r="J673" s="41">
        <v>500.2439024390244</v>
      </c>
      <c r="K673" s="42">
        <v>0.12543112177961882</v>
      </c>
    </row>
    <row r="674" spans="1:11" x14ac:dyDescent="0.25">
      <c r="A674" s="24" t="s">
        <v>7</v>
      </c>
      <c r="B674" s="24" t="s">
        <v>4077</v>
      </c>
      <c r="C674" s="25" t="s">
        <v>4078</v>
      </c>
      <c r="D674" s="24" t="s">
        <v>21488</v>
      </c>
      <c r="E674" s="40">
        <v>282</v>
      </c>
      <c r="F674" s="41">
        <v>136186</v>
      </c>
      <c r="G674" s="40">
        <v>202</v>
      </c>
      <c r="H674" s="41">
        <v>97260</v>
      </c>
      <c r="I674" s="41">
        <v>482.92907801418437</v>
      </c>
      <c r="J674" s="41">
        <v>481.48514851485146</v>
      </c>
      <c r="K674" s="42">
        <v>-2.9899411012283246E-3</v>
      </c>
    </row>
    <row r="675" spans="1:11" x14ac:dyDescent="0.25">
      <c r="A675" s="24" t="s">
        <v>7</v>
      </c>
      <c r="B675" s="24" t="s">
        <v>4080</v>
      </c>
      <c r="C675" s="25" t="s">
        <v>4081</v>
      </c>
      <c r="D675" s="24" t="s">
        <v>21489</v>
      </c>
      <c r="E675" s="40">
        <v>50</v>
      </c>
      <c r="F675" s="41">
        <v>12116</v>
      </c>
      <c r="G675" s="40">
        <v>35</v>
      </c>
      <c r="H675" s="41">
        <v>8451</v>
      </c>
      <c r="I675" s="41">
        <v>242.32</v>
      </c>
      <c r="J675" s="41">
        <v>241.45714285714286</v>
      </c>
      <c r="K675" s="42">
        <v>-3.5608168655378741E-3</v>
      </c>
    </row>
    <row r="676" spans="1:11" x14ac:dyDescent="0.25">
      <c r="A676" s="24" t="s">
        <v>7</v>
      </c>
      <c r="B676" s="24" t="s">
        <v>4083</v>
      </c>
      <c r="C676" s="25" t="s">
        <v>4084</v>
      </c>
      <c r="D676" s="24" t="s">
        <v>21490</v>
      </c>
      <c r="E676" s="40">
        <v>550</v>
      </c>
      <c r="F676" s="41">
        <v>186166</v>
      </c>
      <c r="G676" s="40">
        <v>514</v>
      </c>
      <c r="H676" s="41">
        <v>179060</v>
      </c>
      <c r="I676" s="41">
        <v>338.48363636363638</v>
      </c>
      <c r="J676" s="41">
        <v>348.3657587548638</v>
      </c>
      <c r="K676" s="42">
        <v>2.9195273654561437E-2</v>
      </c>
    </row>
    <row r="677" spans="1:11" x14ac:dyDescent="0.25">
      <c r="A677" s="24" t="s">
        <v>7</v>
      </c>
      <c r="B677" s="24" t="s">
        <v>4093</v>
      </c>
      <c r="C677" s="25" t="s">
        <v>4094</v>
      </c>
      <c r="D677" s="24" t="s">
        <v>21491</v>
      </c>
      <c r="E677" s="40">
        <v>2880</v>
      </c>
      <c r="F677" s="41">
        <v>1729966</v>
      </c>
      <c r="G677" s="40">
        <v>2745</v>
      </c>
      <c r="H677" s="41">
        <v>2052602</v>
      </c>
      <c r="I677" s="41">
        <v>600.68263888888885</v>
      </c>
      <c r="J677" s="41">
        <v>747.76029143897995</v>
      </c>
      <c r="K677" s="42">
        <v>0.24485084640060117</v>
      </c>
    </row>
    <row r="678" spans="1:11" x14ac:dyDescent="0.25">
      <c r="A678" s="24" t="s">
        <v>7</v>
      </c>
      <c r="B678" s="24" t="s">
        <v>4096</v>
      </c>
      <c r="C678" s="25" t="s">
        <v>4097</v>
      </c>
      <c r="D678" s="24" t="s">
        <v>21492</v>
      </c>
      <c r="E678" s="40">
        <v>360</v>
      </c>
      <c r="F678" s="41">
        <v>176132</v>
      </c>
      <c r="G678" s="40">
        <v>342</v>
      </c>
      <c r="H678" s="41">
        <v>162368</v>
      </c>
      <c r="I678" s="41">
        <v>489.25555555555553</v>
      </c>
      <c r="J678" s="41">
        <v>474.76023391812868</v>
      </c>
      <c r="K678" s="42">
        <v>-2.9627301055308905E-2</v>
      </c>
    </row>
    <row r="679" spans="1:11" x14ac:dyDescent="0.25">
      <c r="A679" s="24" t="s">
        <v>7</v>
      </c>
      <c r="B679" s="24" t="s">
        <v>4099</v>
      </c>
      <c r="C679" s="25" t="s">
        <v>4100</v>
      </c>
      <c r="D679" s="24" t="s">
        <v>21493</v>
      </c>
      <c r="E679" s="40">
        <v>630</v>
      </c>
      <c r="F679" s="41">
        <v>888748</v>
      </c>
      <c r="G679" s="40">
        <v>644</v>
      </c>
      <c r="H679" s="41">
        <v>887869</v>
      </c>
      <c r="I679" s="41">
        <v>1410.7111111111112</v>
      </c>
      <c r="J679" s="41">
        <v>1378.6785714285713</v>
      </c>
      <c r="K679" s="42">
        <v>-2.2706661505848824E-2</v>
      </c>
    </row>
    <row r="680" spans="1:11" x14ac:dyDescent="0.25">
      <c r="A680" s="24" t="s">
        <v>7</v>
      </c>
      <c r="B680" s="24" t="s">
        <v>4107</v>
      </c>
      <c r="C680" s="25" t="s">
        <v>4108</v>
      </c>
      <c r="D680" s="24" t="s">
        <v>21494</v>
      </c>
      <c r="E680" s="40">
        <v>110</v>
      </c>
      <c r="F680" s="41">
        <v>37712</v>
      </c>
      <c r="G680" s="40">
        <v>151</v>
      </c>
      <c r="H680" s="41">
        <v>58931</v>
      </c>
      <c r="I680" s="41">
        <v>342.83636363636361</v>
      </c>
      <c r="J680" s="41">
        <v>390.27152317880797</v>
      </c>
      <c r="K680" s="42">
        <v>0.13836093417662493</v>
      </c>
    </row>
    <row r="681" spans="1:11" x14ac:dyDescent="0.25">
      <c r="A681" s="24" t="s">
        <v>7</v>
      </c>
      <c r="B681" s="24" t="s">
        <v>4148</v>
      </c>
      <c r="C681" s="25" t="s">
        <v>4149</v>
      </c>
      <c r="D681" s="24" t="s">
        <v>21495</v>
      </c>
      <c r="E681" s="40">
        <v>129</v>
      </c>
      <c r="F681" s="41">
        <v>89048</v>
      </c>
      <c r="G681" s="40">
        <v>132</v>
      </c>
      <c r="H681" s="41">
        <v>119408</v>
      </c>
      <c r="I681" s="41">
        <v>690.2945736434109</v>
      </c>
      <c r="J681" s="41">
        <v>904.60606060606062</v>
      </c>
      <c r="K681" s="42">
        <v>0.31046381522529209</v>
      </c>
    </row>
    <row r="682" spans="1:11" x14ac:dyDescent="0.25">
      <c r="A682" s="24" t="s">
        <v>7</v>
      </c>
      <c r="B682" s="24" t="s">
        <v>4188</v>
      </c>
      <c r="C682" s="25" t="s">
        <v>4189</v>
      </c>
      <c r="D682" s="24" t="s">
        <v>21496</v>
      </c>
      <c r="E682" s="40">
        <v>22880</v>
      </c>
      <c r="F682" s="41">
        <v>35605190</v>
      </c>
      <c r="G682" s="40">
        <v>24604</v>
      </c>
      <c r="H682" s="41">
        <v>33437489</v>
      </c>
      <c r="I682" s="41">
        <v>1556.1708916083917</v>
      </c>
      <c r="J682" s="41">
        <v>1359.0265403999349</v>
      </c>
      <c r="K682" s="42">
        <v>-0.12668554094640391</v>
      </c>
    </row>
    <row r="683" spans="1:11" x14ac:dyDescent="0.25">
      <c r="A683" s="24" t="s">
        <v>7</v>
      </c>
      <c r="B683" s="24" t="s">
        <v>4191</v>
      </c>
      <c r="C683" s="25" t="s">
        <v>4192</v>
      </c>
      <c r="D683" s="24" t="s">
        <v>21497</v>
      </c>
      <c r="G683" s="40">
        <v>2</v>
      </c>
      <c r="H683" s="41">
        <v>6376</v>
      </c>
      <c r="J683" s="41">
        <v>3188</v>
      </c>
    </row>
    <row r="684" spans="1:11" x14ac:dyDescent="0.25">
      <c r="A684" s="24" t="s">
        <v>7</v>
      </c>
      <c r="B684" s="24" t="s">
        <v>4221</v>
      </c>
      <c r="C684" s="25" t="s">
        <v>4222</v>
      </c>
      <c r="D684" s="24" t="s">
        <v>21498</v>
      </c>
      <c r="G684" s="40">
        <v>2</v>
      </c>
      <c r="H684" s="41">
        <v>15662</v>
      </c>
      <c r="J684" s="41">
        <v>7831</v>
      </c>
    </row>
    <row r="685" spans="1:11" x14ac:dyDescent="0.25">
      <c r="A685" s="24" t="s">
        <v>7</v>
      </c>
      <c r="B685" s="24" t="s">
        <v>4284</v>
      </c>
      <c r="C685" s="25" t="s">
        <v>4285</v>
      </c>
      <c r="E685" s="40">
        <v>4</v>
      </c>
      <c r="F685" s="41">
        <v>10938</v>
      </c>
      <c r="G685" s="40">
        <v>8</v>
      </c>
      <c r="H685" s="41">
        <v>24012</v>
      </c>
      <c r="I685" s="41">
        <v>2734.5</v>
      </c>
      <c r="J685" s="41">
        <v>3001.5</v>
      </c>
      <c r="K685" s="42">
        <v>9.764125068568294E-2</v>
      </c>
    </row>
    <row r="686" spans="1:11" x14ac:dyDescent="0.25">
      <c r="A686" s="24" t="s">
        <v>7</v>
      </c>
      <c r="B686" s="24" t="s">
        <v>4287</v>
      </c>
      <c r="C686" s="25" t="s">
        <v>4288</v>
      </c>
      <c r="G686" s="40">
        <v>1</v>
      </c>
      <c r="H686" s="41">
        <v>18012</v>
      </c>
      <c r="J686" s="41">
        <v>18012</v>
      </c>
    </row>
    <row r="687" spans="1:11" x14ac:dyDescent="0.25">
      <c r="A687" s="24" t="s">
        <v>7</v>
      </c>
      <c r="B687" s="24" t="s">
        <v>4290</v>
      </c>
      <c r="C687" s="25" t="s">
        <v>4291</v>
      </c>
      <c r="E687" s="40">
        <v>2</v>
      </c>
      <c r="F687" s="41">
        <v>11200</v>
      </c>
      <c r="G687" s="40">
        <v>3</v>
      </c>
      <c r="H687" s="41">
        <v>12707</v>
      </c>
      <c r="I687" s="41">
        <v>5600</v>
      </c>
      <c r="J687" s="41">
        <v>4235.666666666667</v>
      </c>
      <c r="K687" s="42">
        <v>-0.24363095238095234</v>
      </c>
    </row>
    <row r="688" spans="1:11" x14ac:dyDescent="0.25">
      <c r="A688" s="24" t="s">
        <v>7</v>
      </c>
      <c r="B688" s="24" t="s">
        <v>4305</v>
      </c>
      <c r="C688" s="25" t="s">
        <v>4306</v>
      </c>
      <c r="E688" s="40">
        <v>11</v>
      </c>
      <c r="F688" s="41">
        <v>705159</v>
      </c>
      <c r="G688" s="40">
        <v>3</v>
      </c>
      <c r="H688" s="41">
        <v>199017</v>
      </c>
      <c r="I688" s="41">
        <v>64105.36363636364</v>
      </c>
      <c r="J688" s="41">
        <v>66339</v>
      </c>
      <c r="K688" s="42">
        <v>3.4843205574912842E-2</v>
      </c>
    </row>
    <row r="689" spans="1:11" x14ac:dyDescent="0.25">
      <c r="A689" s="24" t="s">
        <v>7</v>
      </c>
      <c r="B689" s="24" t="s">
        <v>4311</v>
      </c>
      <c r="C689" s="25" t="s">
        <v>4312</v>
      </c>
      <c r="E689" s="40">
        <v>10</v>
      </c>
      <c r="F689" s="41">
        <v>867250</v>
      </c>
      <c r="G689" s="40">
        <v>13</v>
      </c>
      <c r="H689" s="41">
        <v>818013</v>
      </c>
      <c r="I689" s="41">
        <v>86725</v>
      </c>
      <c r="J689" s="41">
        <v>62924.076923076922</v>
      </c>
      <c r="K689" s="42">
        <v>-0.27444131538683286</v>
      </c>
    </row>
    <row r="690" spans="1:11" x14ac:dyDescent="0.25">
      <c r="A690" s="24" t="s">
        <v>7</v>
      </c>
      <c r="B690" s="24" t="s">
        <v>4317</v>
      </c>
      <c r="C690" s="25" t="s">
        <v>4318</v>
      </c>
      <c r="E690" s="40">
        <v>17</v>
      </c>
      <c r="F690" s="41">
        <v>1108107</v>
      </c>
      <c r="G690" s="40">
        <v>25</v>
      </c>
      <c r="H690" s="41">
        <v>1286955</v>
      </c>
      <c r="I690" s="41">
        <v>65182.76470588235</v>
      </c>
      <c r="J690" s="41">
        <v>51478.2</v>
      </c>
      <c r="K690" s="42">
        <v>-0.21024828829706879</v>
      </c>
    </row>
    <row r="691" spans="1:11" x14ac:dyDescent="0.25">
      <c r="A691" s="24" t="s">
        <v>7</v>
      </c>
      <c r="B691" s="24" t="s">
        <v>4320</v>
      </c>
      <c r="C691" s="25" t="s">
        <v>4321</v>
      </c>
      <c r="G691" s="40">
        <v>5</v>
      </c>
      <c r="H691" s="41">
        <v>277591</v>
      </c>
      <c r="J691" s="41">
        <v>55518.2</v>
      </c>
    </row>
    <row r="692" spans="1:11" x14ac:dyDescent="0.25">
      <c r="A692" s="24" t="s">
        <v>7</v>
      </c>
      <c r="B692" s="24" t="s">
        <v>4323</v>
      </c>
      <c r="C692" s="25" t="s">
        <v>4324</v>
      </c>
      <c r="E692" s="40">
        <v>38</v>
      </c>
      <c r="F692" s="41">
        <v>3282704</v>
      </c>
      <c r="G692" s="40">
        <v>45</v>
      </c>
      <c r="H692" s="41">
        <v>3980520</v>
      </c>
      <c r="I692" s="41">
        <v>86386.947368421053</v>
      </c>
      <c r="J692" s="41">
        <v>88456</v>
      </c>
      <c r="K692" s="42">
        <v>2.3950986747510578E-2</v>
      </c>
    </row>
    <row r="693" spans="1:11" x14ac:dyDescent="0.25">
      <c r="A693" s="24" t="s">
        <v>7</v>
      </c>
      <c r="B693" s="24" t="s">
        <v>4326</v>
      </c>
      <c r="C693" s="25" t="s">
        <v>4327</v>
      </c>
      <c r="G693" s="40">
        <v>8</v>
      </c>
      <c r="H693" s="41">
        <v>922952</v>
      </c>
      <c r="J693" s="41">
        <v>115369</v>
      </c>
    </row>
    <row r="694" spans="1:11" x14ac:dyDescent="0.25">
      <c r="A694" s="24" t="s">
        <v>7</v>
      </c>
      <c r="B694" s="24" t="s">
        <v>4329</v>
      </c>
      <c r="C694" s="25" t="s">
        <v>4330</v>
      </c>
      <c r="E694" s="40">
        <v>30</v>
      </c>
      <c r="F694" s="41">
        <v>1945944</v>
      </c>
      <c r="G694" s="40">
        <v>45</v>
      </c>
      <c r="H694" s="41">
        <v>2472552</v>
      </c>
      <c r="I694" s="41">
        <v>64864.800000000003</v>
      </c>
      <c r="J694" s="41">
        <v>54945.599999999999</v>
      </c>
      <c r="K694" s="42">
        <v>-0.15292115292115299</v>
      </c>
    </row>
    <row r="695" spans="1:11" x14ac:dyDescent="0.25">
      <c r="A695" s="24" t="s">
        <v>7</v>
      </c>
      <c r="B695" s="24" t="s">
        <v>4332</v>
      </c>
      <c r="C695" s="25" t="s">
        <v>4333</v>
      </c>
      <c r="E695" s="40">
        <v>9</v>
      </c>
      <c r="F695" s="41">
        <v>407147</v>
      </c>
      <c r="G695" s="40">
        <v>17</v>
      </c>
      <c r="H695" s="41">
        <v>775438</v>
      </c>
      <c r="I695" s="41">
        <v>45238.555555555555</v>
      </c>
      <c r="J695" s="41">
        <v>45614</v>
      </c>
      <c r="K695" s="42">
        <v>8.299213797473658E-3</v>
      </c>
    </row>
    <row r="696" spans="1:11" x14ac:dyDescent="0.25">
      <c r="A696" s="24" t="s">
        <v>7</v>
      </c>
      <c r="B696" s="24" t="s">
        <v>4335</v>
      </c>
      <c r="C696" s="25" t="s">
        <v>4336</v>
      </c>
      <c r="E696" s="40">
        <v>26</v>
      </c>
      <c r="F696" s="41">
        <v>2267096</v>
      </c>
      <c r="G696" s="40">
        <v>31</v>
      </c>
      <c r="H696" s="41">
        <v>2742136</v>
      </c>
      <c r="I696" s="41">
        <v>87196</v>
      </c>
      <c r="J696" s="41">
        <v>88456</v>
      </c>
      <c r="K696" s="42">
        <v>1.4450204137804486E-2</v>
      </c>
    </row>
    <row r="697" spans="1:11" x14ac:dyDescent="0.25">
      <c r="A697" s="24" t="s">
        <v>7</v>
      </c>
      <c r="B697" s="24" t="s">
        <v>4338</v>
      </c>
      <c r="C697" s="25" t="s">
        <v>4339</v>
      </c>
      <c r="E697" s="40">
        <v>2</v>
      </c>
      <c r="F697" s="41">
        <v>146168</v>
      </c>
      <c r="G697" s="40">
        <v>11</v>
      </c>
      <c r="H697" s="41">
        <v>803924</v>
      </c>
      <c r="I697" s="41">
        <v>73084</v>
      </c>
      <c r="J697" s="41">
        <v>73084</v>
      </c>
      <c r="K697" s="42">
        <v>0</v>
      </c>
    </row>
    <row r="698" spans="1:11" x14ac:dyDescent="0.25">
      <c r="A698" s="24" t="s">
        <v>7</v>
      </c>
      <c r="B698" s="24" t="s">
        <v>4341</v>
      </c>
      <c r="C698" s="25" t="s">
        <v>4342</v>
      </c>
      <c r="G698" s="40">
        <v>1</v>
      </c>
      <c r="H698" s="41">
        <v>107624</v>
      </c>
      <c r="J698" s="41">
        <v>107624</v>
      </c>
    </row>
    <row r="699" spans="1:11" x14ac:dyDescent="0.25">
      <c r="A699" s="24" t="s">
        <v>7</v>
      </c>
      <c r="B699" s="24" t="s">
        <v>4353</v>
      </c>
      <c r="C699" s="25" t="s">
        <v>4354</v>
      </c>
      <c r="D699" s="24" t="s">
        <v>21499</v>
      </c>
      <c r="E699" s="40">
        <v>22</v>
      </c>
      <c r="F699" s="41">
        <v>39409</v>
      </c>
      <c r="G699" s="40">
        <v>4</v>
      </c>
      <c r="H699" s="41">
        <v>7288</v>
      </c>
      <c r="I699" s="41">
        <v>1791.3181818181818</v>
      </c>
      <c r="J699" s="41">
        <v>1822</v>
      </c>
      <c r="K699" s="42">
        <v>1.7128067192773259E-2</v>
      </c>
    </row>
    <row r="700" spans="1:11" x14ac:dyDescent="0.25">
      <c r="A700" s="24" t="s">
        <v>7</v>
      </c>
      <c r="B700" s="24" t="s">
        <v>4371</v>
      </c>
      <c r="C700" s="25" t="s">
        <v>4372</v>
      </c>
      <c r="G700" s="40">
        <v>8</v>
      </c>
      <c r="H700" s="41">
        <v>711296</v>
      </c>
      <c r="J700" s="41">
        <v>88912</v>
      </c>
    </row>
    <row r="701" spans="1:11" x14ac:dyDescent="0.25">
      <c r="A701" s="24" t="s">
        <v>7</v>
      </c>
      <c r="B701" s="24" t="s">
        <v>4377</v>
      </c>
      <c r="C701" s="25" t="s">
        <v>4378</v>
      </c>
      <c r="E701" s="40">
        <v>9</v>
      </c>
      <c r="F701" s="41">
        <v>53563</v>
      </c>
      <c r="G701" s="40">
        <v>4</v>
      </c>
      <c r="H701" s="41">
        <v>24828</v>
      </c>
      <c r="I701" s="41">
        <v>5951.4444444444443</v>
      </c>
      <c r="J701" s="41">
        <v>6207</v>
      </c>
      <c r="K701" s="42">
        <v>4.2940089240707226E-2</v>
      </c>
    </row>
    <row r="702" spans="1:11" x14ac:dyDescent="0.25">
      <c r="A702" s="24" t="s">
        <v>7</v>
      </c>
      <c r="B702" s="24" t="s">
        <v>4380</v>
      </c>
      <c r="C702" s="25" t="s">
        <v>4381</v>
      </c>
      <c r="E702" s="40">
        <v>81</v>
      </c>
      <c r="F702" s="41">
        <v>913365</v>
      </c>
      <c r="G702" s="40">
        <v>74</v>
      </c>
      <c r="H702" s="41">
        <v>707604</v>
      </c>
      <c r="I702" s="41">
        <v>11276.111111111111</v>
      </c>
      <c r="J702" s="41">
        <v>9562.2162162162167</v>
      </c>
      <c r="K702" s="42">
        <v>-0.15199343798644185</v>
      </c>
    </row>
    <row r="703" spans="1:11" x14ac:dyDescent="0.25">
      <c r="A703" s="24" t="s">
        <v>7</v>
      </c>
      <c r="B703" s="24" t="s">
        <v>4386</v>
      </c>
      <c r="C703" s="25" t="s">
        <v>4387</v>
      </c>
      <c r="G703" s="40">
        <v>2</v>
      </c>
      <c r="H703" s="41">
        <v>9420</v>
      </c>
      <c r="J703" s="41">
        <v>4710</v>
      </c>
    </row>
    <row r="704" spans="1:11" x14ac:dyDescent="0.25">
      <c r="A704" s="24" t="s">
        <v>7</v>
      </c>
      <c r="B704" s="24" t="s">
        <v>4403</v>
      </c>
      <c r="C704" s="25" t="s">
        <v>4404</v>
      </c>
      <c r="D704" s="24" t="s">
        <v>21500</v>
      </c>
      <c r="G704" s="40">
        <v>1</v>
      </c>
      <c r="H704" s="41">
        <v>21991</v>
      </c>
      <c r="J704" s="41">
        <v>21991</v>
      </c>
    </row>
    <row r="705" spans="1:11" x14ac:dyDescent="0.25">
      <c r="A705" s="24" t="s">
        <v>7</v>
      </c>
      <c r="B705" s="24" t="s">
        <v>4409</v>
      </c>
      <c r="C705" s="25" t="s">
        <v>4410</v>
      </c>
      <c r="D705" s="24" t="s">
        <v>21501</v>
      </c>
      <c r="E705" s="40">
        <v>22</v>
      </c>
      <c r="F705" s="41">
        <v>237656</v>
      </c>
      <c r="G705" s="40">
        <v>26</v>
      </c>
      <c r="H705" s="41">
        <v>271144</v>
      </c>
      <c r="I705" s="41">
        <v>10802.545454545454</v>
      </c>
      <c r="J705" s="41">
        <v>10428.615384615385</v>
      </c>
      <c r="K705" s="42">
        <v>-3.4614996206540231E-2</v>
      </c>
    </row>
    <row r="706" spans="1:11" x14ac:dyDescent="0.25">
      <c r="A706" s="24" t="s">
        <v>7</v>
      </c>
      <c r="B706" s="24" t="s">
        <v>4418</v>
      </c>
      <c r="C706" s="25" t="s">
        <v>4419</v>
      </c>
      <c r="D706" s="24" t="s">
        <v>21502</v>
      </c>
      <c r="E706" s="40">
        <v>1</v>
      </c>
      <c r="F706" s="41">
        <v>27443</v>
      </c>
      <c r="G706" s="40">
        <v>0</v>
      </c>
      <c r="H706" s="41">
        <v>0</v>
      </c>
      <c r="I706" s="41">
        <v>27443</v>
      </c>
    </row>
    <row r="707" spans="1:11" x14ac:dyDescent="0.25">
      <c r="A707" s="24" t="s">
        <v>7</v>
      </c>
      <c r="B707" s="24" t="s">
        <v>4421</v>
      </c>
      <c r="C707" s="25" t="s">
        <v>4422</v>
      </c>
      <c r="G707" s="40">
        <v>3</v>
      </c>
      <c r="H707" s="41">
        <v>8115</v>
      </c>
      <c r="J707" s="41">
        <v>2705</v>
      </c>
    </row>
    <row r="708" spans="1:11" x14ac:dyDescent="0.25">
      <c r="A708" s="24" t="s">
        <v>7</v>
      </c>
      <c r="B708" s="24" t="s">
        <v>4424</v>
      </c>
      <c r="C708" s="25" t="s">
        <v>4425</v>
      </c>
      <c r="E708" s="40">
        <v>12</v>
      </c>
      <c r="F708" s="41">
        <v>234316</v>
      </c>
      <c r="G708" s="40">
        <v>7</v>
      </c>
      <c r="H708" s="41">
        <v>124457</v>
      </c>
      <c r="I708" s="41">
        <v>19526.333333333332</v>
      </c>
      <c r="J708" s="41">
        <v>17779.571428571428</v>
      </c>
      <c r="K708" s="42">
        <v>-8.9456728764330459E-2</v>
      </c>
    </row>
    <row r="709" spans="1:11" x14ac:dyDescent="0.25">
      <c r="A709" s="24" t="s">
        <v>7</v>
      </c>
      <c r="B709" s="24" t="s">
        <v>4427</v>
      </c>
      <c r="C709" s="25" t="s">
        <v>4428</v>
      </c>
      <c r="E709" s="40">
        <v>3</v>
      </c>
      <c r="F709" s="41">
        <v>75586</v>
      </c>
      <c r="G709" s="40">
        <v>0</v>
      </c>
      <c r="H709" s="41">
        <v>0</v>
      </c>
      <c r="I709" s="41">
        <v>25195.333333333332</v>
      </c>
    </row>
    <row r="710" spans="1:11" x14ac:dyDescent="0.25">
      <c r="A710" s="24" t="s">
        <v>7</v>
      </c>
      <c r="B710" s="24" t="s">
        <v>4445</v>
      </c>
      <c r="C710" s="25" t="s">
        <v>4446</v>
      </c>
      <c r="D710" s="24" t="s">
        <v>21503</v>
      </c>
      <c r="E710" s="40">
        <v>29</v>
      </c>
      <c r="F710" s="41">
        <v>99026</v>
      </c>
      <c r="G710" s="40">
        <v>44</v>
      </c>
      <c r="H710" s="41">
        <v>137456</v>
      </c>
      <c r="I710" s="41">
        <v>3414.6896551724139</v>
      </c>
      <c r="J710" s="41">
        <v>3124</v>
      </c>
      <c r="K710" s="42">
        <v>-8.5129157998909424E-2</v>
      </c>
    </row>
    <row r="711" spans="1:11" x14ac:dyDescent="0.25">
      <c r="A711" s="24" t="s">
        <v>7</v>
      </c>
      <c r="B711" s="24" t="s">
        <v>4448</v>
      </c>
      <c r="C711" s="25" t="s">
        <v>4449</v>
      </c>
      <c r="D711" s="24" t="s">
        <v>21504</v>
      </c>
      <c r="E711" s="40">
        <v>10</v>
      </c>
      <c r="F711" s="41">
        <v>40130</v>
      </c>
      <c r="G711" s="40">
        <v>14</v>
      </c>
      <c r="H711" s="41">
        <v>55922</v>
      </c>
      <c r="I711" s="41">
        <v>4013</v>
      </c>
      <c r="J711" s="41">
        <v>3994.4285714285716</v>
      </c>
      <c r="K711" s="42">
        <v>-4.6278167384571243E-3</v>
      </c>
    </row>
    <row r="712" spans="1:11" x14ac:dyDescent="0.25">
      <c r="A712" s="24" t="s">
        <v>7</v>
      </c>
      <c r="B712" s="24" t="s">
        <v>4454</v>
      </c>
      <c r="C712" s="25" t="s">
        <v>4455</v>
      </c>
      <c r="E712" s="40">
        <v>5</v>
      </c>
      <c r="F712" s="41">
        <v>247765</v>
      </c>
      <c r="G712" s="40">
        <v>1</v>
      </c>
      <c r="H712" s="41">
        <v>49553</v>
      </c>
      <c r="I712" s="41">
        <v>49553</v>
      </c>
      <c r="J712" s="41">
        <v>49553</v>
      </c>
      <c r="K712" s="42">
        <v>0</v>
      </c>
    </row>
    <row r="713" spans="1:11" x14ac:dyDescent="0.25">
      <c r="A713" s="24" t="s">
        <v>7</v>
      </c>
      <c r="B713" s="24" t="s">
        <v>4457</v>
      </c>
      <c r="C713" s="25" t="s">
        <v>4458</v>
      </c>
      <c r="E713" s="40">
        <v>55</v>
      </c>
      <c r="F713" s="41">
        <v>1910457</v>
      </c>
      <c r="G713" s="40">
        <v>59</v>
      </c>
      <c r="H713" s="41">
        <v>1904687</v>
      </c>
      <c r="I713" s="41">
        <v>34735.581818181818</v>
      </c>
      <c r="J713" s="41">
        <v>32282.830508474577</v>
      </c>
      <c r="K713" s="42">
        <v>-7.061206927656484E-2</v>
      </c>
    </row>
    <row r="714" spans="1:11" x14ac:dyDescent="0.25">
      <c r="A714" s="24" t="s">
        <v>7</v>
      </c>
      <c r="B714" s="24" t="s">
        <v>4460</v>
      </c>
      <c r="C714" s="25" t="s">
        <v>4461</v>
      </c>
      <c r="G714" s="40">
        <v>1</v>
      </c>
      <c r="H714" s="41">
        <v>15250</v>
      </c>
      <c r="J714" s="41">
        <v>15250</v>
      </c>
    </row>
    <row r="715" spans="1:11" x14ac:dyDescent="0.25">
      <c r="A715" s="24" t="s">
        <v>7</v>
      </c>
      <c r="B715" s="24" t="s">
        <v>4463</v>
      </c>
      <c r="C715" s="25" t="s">
        <v>4464</v>
      </c>
      <c r="G715" s="40">
        <v>1</v>
      </c>
      <c r="H715" s="41">
        <v>14377</v>
      </c>
      <c r="J715" s="41">
        <v>14377</v>
      </c>
    </row>
    <row r="716" spans="1:11" x14ac:dyDescent="0.25">
      <c r="A716" s="24" t="s">
        <v>7</v>
      </c>
      <c r="B716" s="24" t="s">
        <v>4466</v>
      </c>
      <c r="C716" s="25" t="s">
        <v>4467</v>
      </c>
      <c r="E716" s="40">
        <v>10</v>
      </c>
      <c r="F716" s="41">
        <v>19746</v>
      </c>
      <c r="G716" s="40">
        <v>14</v>
      </c>
      <c r="H716" s="41">
        <v>22350</v>
      </c>
      <c r="I716" s="41">
        <v>1974.6</v>
      </c>
      <c r="J716" s="41">
        <v>1596.4285714285713</v>
      </c>
      <c r="K716" s="42">
        <v>-0.19151799279420065</v>
      </c>
    </row>
    <row r="717" spans="1:11" x14ac:dyDescent="0.25">
      <c r="A717" s="24" t="s">
        <v>7</v>
      </c>
      <c r="B717" s="24" t="s">
        <v>4472</v>
      </c>
      <c r="C717" s="25" t="s">
        <v>4473</v>
      </c>
      <c r="E717" s="40">
        <v>21</v>
      </c>
      <c r="F717" s="41">
        <v>499605</v>
      </c>
      <c r="G717" s="40">
        <v>20</v>
      </c>
      <c r="H717" s="41">
        <v>370614</v>
      </c>
      <c r="I717" s="41">
        <v>23790.714285714286</v>
      </c>
      <c r="J717" s="41">
        <v>18530.7</v>
      </c>
      <c r="K717" s="42">
        <v>-0.22109526525955503</v>
      </c>
    </row>
    <row r="718" spans="1:11" x14ac:dyDescent="0.25">
      <c r="A718" s="24" t="s">
        <v>7</v>
      </c>
      <c r="B718" s="24" t="s">
        <v>4496</v>
      </c>
      <c r="C718" s="25" t="s">
        <v>4497</v>
      </c>
      <c r="G718" s="40">
        <v>2</v>
      </c>
      <c r="H718" s="41">
        <v>9106</v>
      </c>
      <c r="J718" s="41">
        <v>4553</v>
      </c>
    </row>
    <row r="719" spans="1:11" x14ac:dyDescent="0.25">
      <c r="A719" s="24" t="s">
        <v>7</v>
      </c>
      <c r="B719" s="24" t="s">
        <v>4502</v>
      </c>
      <c r="C719" s="25" t="s">
        <v>4503</v>
      </c>
      <c r="G719" s="40">
        <v>1</v>
      </c>
      <c r="H719" s="41">
        <v>9954</v>
      </c>
      <c r="J719" s="41">
        <v>9954</v>
      </c>
    </row>
    <row r="720" spans="1:11" x14ac:dyDescent="0.25">
      <c r="A720" s="24" t="s">
        <v>7</v>
      </c>
      <c r="B720" s="24" t="s">
        <v>4505</v>
      </c>
      <c r="C720" s="25" t="s">
        <v>4506</v>
      </c>
      <c r="G720" s="40">
        <v>6</v>
      </c>
      <c r="H720" s="41">
        <v>126450</v>
      </c>
      <c r="J720" s="41">
        <v>21075</v>
      </c>
    </row>
    <row r="721" spans="1:11" x14ac:dyDescent="0.25">
      <c r="A721" s="24" t="s">
        <v>7</v>
      </c>
      <c r="B721" s="24" t="s">
        <v>4514</v>
      </c>
      <c r="C721" s="25" t="s">
        <v>4515</v>
      </c>
      <c r="G721" s="40">
        <v>2</v>
      </c>
      <c r="H721" s="41">
        <v>39766</v>
      </c>
      <c r="J721" s="41">
        <v>19883</v>
      </c>
    </row>
    <row r="722" spans="1:11" x14ac:dyDescent="0.25">
      <c r="A722" s="24" t="s">
        <v>7</v>
      </c>
      <c r="B722" s="24" t="s">
        <v>4517</v>
      </c>
      <c r="C722" s="25" t="s">
        <v>4518</v>
      </c>
      <c r="G722" s="40">
        <v>3</v>
      </c>
      <c r="H722" s="41">
        <v>65016</v>
      </c>
      <c r="J722" s="41">
        <v>21672</v>
      </c>
    </row>
    <row r="723" spans="1:11" x14ac:dyDescent="0.25">
      <c r="A723" s="24" t="s">
        <v>7</v>
      </c>
      <c r="B723" s="24" t="s">
        <v>4520</v>
      </c>
      <c r="C723" s="25" t="s">
        <v>4521</v>
      </c>
      <c r="E723" s="40">
        <v>16</v>
      </c>
      <c r="F723" s="41">
        <v>63552</v>
      </c>
      <c r="G723" s="40">
        <v>20</v>
      </c>
      <c r="H723" s="41">
        <v>79058</v>
      </c>
      <c r="I723" s="41">
        <v>3972</v>
      </c>
      <c r="J723" s="41">
        <v>3952.9</v>
      </c>
      <c r="K723" s="42">
        <v>-4.8086606243705711E-3</v>
      </c>
    </row>
    <row r="724" spans="1:11" x14ac:dyDescent="0.25">
      <c r="A724" s="24" t="s">
        <v>7</v>
      </c>
      <c r="B724" s="24" t="s">
        <v>4523</v>
      </c>
      <c r="C724" s="25" t="s">
        <v>4524</v>
      </c>
      <c r="G724" s="40">
        <v>2</v>
      </c>
      <c r="H724" s="41">
        <v>10780</v>
      </c>
      <c r="J724" s="41">
        <v>5390</v>
      </c>
    </row>
    <row r="725" spans="1:11" x14ac:dyDescent="0.25">
      <c r="A725" s="24" t="s">
        <v>7</v>
      </c>
      <c r="B725" s="24" t="s">
        <v>4526</v>
      </c>
      <c r="C725" s="25" t="s">
        <v>4527</v>
      </c>
      <c r="E725" s="40">
        <v>33</v>
      </c>
      <c r="F725" s="41">
        <v>132121</v>
      </c>
      <c r="G725" s="40">
        <v>28</v>
      </c>
      <c r="H725" s="41">
        <v>138500</v>
      </c>
      <c r="I725" s="41">
        <v>4003.6666666666665</v>
      </c>
      <c r="J725" s="41">
        <v>4946.4285714285716</v>
      </c>
      <c r="K725" s="42">
        <v>0.23547462445139583</v>
      </c>
    </row>
    <row r="726" spans="1:11" x14ac:dyDescent="0.25">
      <c r="A726" s="24" t="s">
        <v>7</v>
      </c>
      <c r="B726" s="24" t="s">
        <v>4532</v>
      </c>
      <c r="C726" s="25" t="s">
        <v>4533</v>
      </c>
      <c r="D726" s="24" t="s">
        <v>21116</v>
      </c>
      <c r="E726" s="40">
        <v>23</v>
      </c>
      <c r="F726" s="41">
        <v>12827</v>
      </c>
      <c r="G726" s="40">
        <v>22</v>
      </c>
      <c r="H726" s="41">
        <v>12430</v>
      </c>
      <c r="I726" s="41">
        <v>557.695652173913</v>
      </c>
      <c r="J726" s="41">
        <v>565</v>
      </c>
      <c r="K726" s="42">
        <v>1.3097372729398996E-2</v>
      </c>
    </row>
    <row r="727" spans="1:11" x14ac:dyDescent="0.25">
      <c r="A727" s="24" t="s">
        <v>7</v>
      </c>
      <c r="B727" s="24" t="s">
        <v>4534</v>
      </c>
      <c r="C727" s="25" t="s">
        <v>4535</v>
      </c>
      <c r="D727" s="24" t="s">
        <v>21505</v>
      </c>
      <c r="E727" s="40">
        <v>35</v>
      </c>
      <c r="F727" s="41">
        <v>1421532</v>
      </c>
      <c r="G727" s="40">
        <v>27</v>
      </c>
      <c r="H727" s="41">
        <v>978218</v>
      </c>
      <c r="I727" s="41">
        <v>40615.199999999997</v>
      </c>
      <c r="J727" s="41">
        <v>36230.296296296299</v>
      </c>
      <c r="K727" s="42">
        <v>-0.10796213495695449</v>
      </c>
    </row>
    <row r="728" spans="1:11" x14ac:dyDescent="0.25">
      <c r="A728" s="24" t="s">
        <v>7</v>
      </c>
      <c r="B728" s="24" t="s">
        <v>4537</v>
      </c>
      <c r="C728" s="25" t="s">
        <v>4538</v>
      </c>
      <c r="D728" s="24" t="s">
        <v>21506</v>
      </c>
      <c r="E728" s="40">
        <v>4</v>
      </c>
      <c r="F728" s="41">
        <v>38880</v>
      </c>
      <c r="G728" s="40">
        <v>12</v>
      </c>
      <c r="H728" s="41">
        <v>105774</v>
      </c>
      <c r="I728" s="41">
        <v>9720</v>
      </c>
      <c r="J728" s="41">
        <v>8814.5</v>
      </c>
      <c r="K728" s="42">
        <v>-9.3158436213991766E-2</v>
      </c>
    </row>
    <row r="729" spans="1:11" x14ac:dyDescent="0.25">
      <c r="A729" s="24" t="s">
        <v>7</v>
      </c>
      <c r="B729" s="24" t="s">
        <v>4540</v>
      </c>
      <c r="C729" s="25" t="s">
        <v>4541</v>
      </c>
      <c r="D729" s="24" t="s">
        <v>21507</v>
      </c>
      <c r="G729" s="40">
        <v>10</v>
      </c>
      <c r="H729" s="41">
        <v>181844</v>
      </c>
      <c r="J729" s="41">
        <v>18184.400000000001</v>
      </c>
    </row>
    <row r="730" spans="1:11" x14ac:dyDescent="0.25">
      <c r="A730" s="24" t="s">
        <v>7</v>
      </c>
      <c r="B730" s="24" t="s">
        <v>4543</v>
      </c>
      <c r="C730" s="25" t="s">
        <v>4544</v>
      </c>
      <c r="D730" s="24" t="s">
        <v>21508</v>
      </c>
      <c r="G730" s="40">
        <v>3</v>
      </c>
      <c r="H730" s="41">
        <v>24993</v>
      </c>
      <c r="J730" s="41">
        <v>8331</v>
      </c>
    </row>
    <row r="731" spans="1:11" x14ac:dyDescent="0.25">
      <c r="A731" s="24" t="s">
        <v>7</v>
      </c>
      <c r="B731" s="24" t="s">
        <v>4564</v>
      </c>
      <c r="C731" s="25" t="s">
        <v>4565</v>
      </c>
      <c r="D731" s="24" t="s">
        <v>21509</v>
      </c>
      <c r="G731" s="40">
        <v>9</v>
      </c>
      <c r="H731" s="41">
        <v>475632</v>
      </c>
      <c r="J731" s="41">
        <v>52848</v>
      </c>
    </row>
    <row r="732" spans="1:11" x14ac:dyDescent="0.25">
      <c r="A732" s="24" t="s">
        <v>7</v>
      </c>
      <c r="B732" s="24" t="s">
        <v>4570</v>
      </c>
      <c r="C732" s="25" t="s">
        <v>4571</v>
      </c>
      <c r="D732" s="24" t="s">
        <v>21510</v>
      </c>
      <c r="E732" s="40">
        <v>11</v>
      </c>
      <c r="F732" s="41">
        <v>88917</v>
      </c>
      <c r="G732" s="40">
        <v>3</v>
      </c>
      <c r="H732" s="41">
        <v>24921</v>
      </c>
      <c r="I732" s="41">
        <v>8083.363636363636</v>
      </c>
      <c r="J732" s="41">
        <v>8307</v>
      </c>
      <c r="K732" s="42">
        <v>2.7666250548264153E-2</v>
      </c>
    </row>
    <row r="733" spans="1:11" x14ac:dyDescent="0.25">
      <c r="A733" s="24" t="s">
        <v>7</v>
      </c>
      <c r="B733" s="24" t="s">
        <v>4589</v>
      </c>
      <c r="C733" s="25" t="s">
        <v>4590</v>
      </c>
      <c r="G733" s="40">
        <v>14</v>
      </c>
      <c r="H733" s="41">
        <v>679840</v>
      </c>
      <c r="J733" s="41">
        <v>48560</v>
      </c>
    </row>
    <row r="734" spans="1:11" x14ac:dyDescent="0.25">
      <c r="A734" s="24" t="s">
        <v>7</v>
      </c>
      <c r="B734" s="24" t="s">
        <v>4592</v>
      </c>
      <c r="C734" s="25" t="s">
        <v>4593</v>
      </c>
      <c r="E734" s="40">
        <v>99</v>
      </c>
      <c r="F734" s="41">
        <v>5673816</v>
      </c>
      <c r="G734" s="40">
        <v>98</v>
      </c>
      <c r="H734" s="41">
        <v>5732314</v>
      </c>
      <c r="I734" s="41">
        <v>57311.272727272728</v>
      </c>
      <c r="J734" s="41">
        <v>58493</v>
      </c>
      <c r="K734" s="42">
        <v>2.0619456112076939E-2</v>
      </c>
    </row>
    <row r="735" spans="1:11" x14ac:dyDescent="0.25">
      <c r="A735" s="24" t="s">
        <v>7</v>
      </c>
      <c r="B735" s="24" t="s">
        <v>4595</v>
      </c>
      <c r="C735" s="25" t="s">
        <v>4596</v>
      </c>
      <c r="E735" s="40">
        <v>1</v>
      </c>
      <c r="F735" s="41">
        <v>30359</v>
      </c>
      <c r="G735" s="40">
        <v>0</v>
      </c>
      <c r="H735" s="41">
        <v>0</v>
      </c>
      <c r="I735" s="41">
        <v>30359</v>
      </c>
    </row>
    <row r="736" spans="1:11" x14ac:dyDescent="0.25">
      <c r="A736" s="24" t="s">
        <v>7</v>
      </c>
      <c r="B736" s="24" t="s">
        <v>4601</v>
      </c>
      <c r="C736" s="25" t="s">
        <v>4602</v>
      </c>
      <c r="G736" s="40">
        <v>1</v>
      </c>
      <c r="H736" s="41">
        <v>19286</v>
      </c>
      <c r="J736" s="41">
        <v>19286</v>
      </c>
    </row>
    <row r="737" spans="1:11" x14ac:dyDescent="0.25">
      <c r="A737" s="24" t="s">
        <v>7</v>
      </c>
      <c r="B737" s="24" t="s">
        <v>4607</v>
      </c>
      <c r="C737" s="25" t="s">
        <v>4608</v>
      </c>
      <c r="G737" s="40">
        <v>2</v>
      </c>
      <c r="H737" s="41">
        <v>34058</v>
      </c>
      <c r="J737" s="41">
        <v>17029</v>
      </c>
    </row>
    <row r="738" spans="1:11" x14ac:dyDescent="0.25">
      <c r="A738" s="24" t="s">
        <v>7</v>
      </c>
      <c r="B738" s="24" t="s">
        <v>4613</v>
      </c>
      <c r="C738" s="25" t="s">
        <v>4614</v>
      </c>
      <c r="G738" s="40">
        <v>1</v>
      </c>
      <c r="H738" s="41">
        <v>26196</v>
      </c>
      <c r="J738" s="41">
        <v>26196</v>
      </c>
    </row>
    <row r="739" spans="1:11" x14ac:dyDescent="0.25">
      <c r="A739" s="24" t="s">
        <v>7</v>
      </c>
      <c r="B739" s="24" t="s">
        <v>4619</v>
      </c>
      <c r="C739" s="25" t="s">
        <v>4620</v>
      </c>
      <c r="E739" s="40">
        <v>13</v>
      </c>
      <c r="F739" s="41">
        <v>132952</v>
      </c>
      <c r="G739" s="40">
        <v>17</v>
      </c>
      <c r="H739" s="41">
        <v>176885</v>
      </c>
      <c r="I739" s="41">
        <v>10227.076923076924</v>
      </c>
      <c r="J739" s="41">
        <v>10405</v>
      </c>
      <c r="K739" s="42">
        <v>1.7397256152596356E-2</v>
      </c>
    </row>
    <row r="740" spans="1:11" x14ac:dyDescent="0.25">
      <c r="A740" s="24" t="s">
        <v>7</v>
      </c>
      <c r="B740" s="24" t="s">
        <v>4625</v>
      </c>
      <c r="C740" s="25" t="s">
        <v>4626</v>
      </c>
      <c r="G740" s="40">
        <v>1</v>
      </c>
      <c r="H740" s="41">
        <v>85712</v>
      </c>
      <c r="J740" s="41">
        <v>85712</v>
      </c>
    </row>
    <row r="741" spans="1:11" x14ac:dyDescent="0.25">
      <c r="A741" s="24" t="s">
        <v>7</v>
      </c>
      <c r="B741" s="24" t="s">
        <v>4628</v>
      </c>
      <c r="C741" s="25" t="s">
        <v>4629</v>
      </c>
      <c r="E741" s="40">
        <v>28</v>
      </c>
      <c r="F741" s="41">
        <v>2576568</v>
      </c>
      <c r="G741" s="40">
        <v>28</v>
      </c>
      <c r="H741" s="41">
        <v>1671111</v>
      </c>
      <c r="I741" s="41">
        <v>92020.28571428571</v>
      </c>
      <c r="J741" s="41">
        <v>59682.535714285717</v>
      </c>
      <c r="K741" s="42">
        <v>-0.35141979563512388</v>
      </c>
    </row>
    <row r="742" spans="1:11" x14ac:dyDescent="0.25">
      <c r="A742" s="24" t="s">
        <v>7</v>
      </c>
      <c r="B742" s="24" t="s">
        <v>4631</v>
      </c>
      <c r="C742" s="25" t="s">
        <v>4632</v>
      </c>
      <c r="G742" s="40">
        <v>2</v>
      </c>
      <c r="H742" s="41">
        <v>204938</v>
      </c>
      <c r="J742" s="41">
        <v>102469</v>
      </c>
    </row>
    <row r="743" spans="1:11" x14ac:dyDescent="0.25">
      <c r="A743" s="24" t="s">
        <v>7</v>
      </c>
      <c r="B743" s="24" t="s">
        <v>4637</v>
      </c>
      <c r="C743" s="25" t="s">
        <v>4638</v>
      </c>
      <c r="G743" s="40">
        <v>3</v>
      </c>
      <c r="H743" s="41">
        <v>111285</v>
      </c>
      <c r="J743" s="41">
        <v>37095</v>
      </c>
    </row>
    <row r="744" spans="1:11" x14ac:dyDescent="0.25">
      <c r="A744" s="24" t="s">
        <v>7</v>
      </c>
      <c r="B744" s="24" t="s">
        <v>4640</v>
      </c>
      <c r="C744" s="25" t="s">
        <v>4641</v>
      </c>
      <c r="E744" s="40">
        <v>42</v>
      </c>
      <c r="F744" s="41">
        <v>8337283</v>
      </c>
      <c r="G744" s="40">
        <v>50</v>
      </c>
      <c r="H744" s="41">
        <v>8372586</v>
      </c>
      <c r="I744" s="41">
        <v>198506.73809523811</v>
      </c>
      <c r="J744" s="41">
        <v>167451.72</v>
      </c>
      <c r="K744" s="42">
        <v>-0.15644314340775051</v>
      </c>
    </row>
    <row r="745" spans="1:11" x14ac:dyDescent="0.25">
      <c r="A745" s="24" t="s">
        <v>7</v>
      </c>
      <c r="B745" s="24" t="s">
        <v>4643</v>
      </c>
      <c r="C745" s="25" t="s">
        <v>4644</v>
      </c>
      <c r="G745" s="40">
        <v>2</v>
      </c>
      <c r="H745" s="41">
        <v>437174</v>
      </c>
      <c r="J745" s="41">
        <v>218587</v>
      </c>
    </row>
    <row r="746" spans="1:11" x14ac:dyDescent="0.25">
      <c r="A746" s="24" t="s">
        <v>7</v>
      </c>
      <c r="B746" s="24" t="s">
        <v>4646</v>
      </c>
      <c r="C746" s="25" t="s">
        <v>4647</v>
      </c>
      <c r="E746" s="40">
        <v>2</v>
      </c>
      <c r="F746" s="41">
        <v>81906</v>
      </c>
      <c r="G746" s="40">
        <v>2</v>
      </c>
      <c r="H746" s="41">
        <v>81906</v>
      </c>
      <c r="I746" s="41">
        <v>40953</v>
      </c>
      <c r="J746" s="41">
        <v>40953</v>
      </c>
      <c r="K746" s="42">
        <v>0</v>
      </c>
    </row>
    <row r="747" spans="1:11" x14ac:dyDescent="0.25">
      <c r="A747" s="24" t="s">
        <v>7</v>
      </c>
      <c r="B747" s="24" t="s">
        <v>4649</v>
      </c>
      <c r="C747" s="25" t="s">
        <v>4650</v>
      </c>
      <c r="E747" s="40">
        <v>3</v>
      </c>
      <c r="F747" s="41">
        <v>34062</v>
      </c>
      <c r="G747" s="40">
        <v>2</v>
      </c>
      <c r="H747" s="41">
        <v>12681</v>
      </c>
      <c r="I747" s="41">
        <v>11354</v>
      </c>
      <c r="J747" s="41">
        <v>6340.5</v>
      </c>
      <c r="K747" s="42">
        <v>-0.44156244495332042</v>
      </c>
    </row>
    <row r="748" spans="1:11" x14ac:dyDescent="0.25">
      <c r="A748" s="24" t="s">
        <v>7</v>
      </c>
      <c r="B748" s="24" t="s">
        <v>4652</v>
      </c>
      <c r="C748" s="25" t="s">
        <v>4653</v>
      </c>
      <c r="D748" s="24" t="s">
        <v>21511</v>
      </c>
      <c r="G748" s="40">
        <v>2</v>
      </c>
      <c r="H748" s="41">
        <v>17760</v>
      </c>
      <c r="J748" s="41">
        <v>8880</v>
      </c>
    </row>
    <row r="749" spans="1:11" x14ac:dyDescent="0.25">
      <c r="A749" s="24" t="s">
        <v>7</v>
      </c>
      <c r="B749" s="24" t="s">
        <v>4658</v>
      </c>
      <c r="C749" s="25" t="s">
        <v>4659</v>
      </c>
      <c r="D749" s="24" t="s">
        <v>21512</v>
      </c>
      <c r="E749" s="40">
        <v>173</v>
      </c>
      <c r="F749" s="41">
        <v>6049477</v>
      </c>
      <c r="G749" s="40">
        <v>182</v>
      </c>
      <c r="H749" s="41">
        <v>5728982</v>
      </c>
      <c r="I749" s="41">
        <v>34968.075144508672</v>
      </c>
      <c r="J749" s="41">
        <v>31477.923076923078</v>
      </c>
      <c r="K749" s="42">
        <v>-9.9809670768614814E-2</v>
      </c>
    </row>
    <row r="750" spans="1:11" x14ac:dyDescent="0.25">
      <c r="A750" s="24" t="s">
        <v>7</v>
      </c>
      <c r="B750" s="24" t="s">
        <v>4661</v>
      </c>
      <c r="C750" s="25" t="s">
        <v>4662</v>
      </c>
      <c r="D750" s="24" t="s">
        <v>21513</v>
      </c>
      <c r="E750" s="40">
        <v>18</v>
      </c>
      <c r="F750" s="41">
        <v>801180</v>
      </c>
      <c r="G750" s="40">
        <v>11</v>
      </c>
      <c r="H750" s="41">
        <v>469142</v>
      </c>
      <c r="I750" s="41">
        <v>44510</v>
      </c>
      <c r="J750" s="41">
        <v>42649.272727272728</v>
      </c>
      <c r="K750" s="42">
        <v>-4.1804701701354127E-2</v>
      </c>
    </row>
    <row r="751" spans="1:11" x14ac:dyDescent="0.25">
      <c r="A751" s="24" t="s">
        <v>7</v>
      </c>
      <c r="B751" s="24" t="s">
        <v>4664</v>
      </c>
      <c r="C751" s="25" t="s">
        <v>4665</v>
      </c>
      <c r="D751" s="24" t="s">
        <v>21514</v>
      </c>
      <c r="E751" s="40">
        <v>6</v>
      </c>
      <c r="F751" s="41">
        <v>220012</v>
      </c>
      <c r="G751" s="40">
        <v>2</v>
      </c>
      <c r="H751" s="41">
        <v>75194</v>
      </c>
      <c r="I751" s="41">
        <v>36668.666666666664</v>
      </c>
      <c r="J751" s="41">
        <v>37597</v>
      </c>
      <c r="K751" s="42">
        <v>2.5316800901769063E-2</v>
      </c>
    </row>
    <row r="752" spans="1:11" x14ac:dyDescent="0.25">
      <c r="A752" s="24" t="s">
        <v>7</v>
      </c>
      <c r="B752" s="24" t="s">
        <v>4667</v>
      </c>
      <c r="C752" s="25" t="s">
        <v>4668</v>
      </c>
      <c r="D752" s="24" t="s">
        <v>21515</v>
      </c>
      <c r="E752" s="40">
        <v>547</v>
      </c>
      <c r="F752" s="41">
        <v>33899069</v>
      </c>
      <c r="G752" s="40">
        <v>559</v>
      </c>
      <c r="H752" s="41">
        <v>30324762</v>
      </c>
      <c r="I752" s="41">
        <v>61972.703839122485</v>
      </c>
      <c r="J752" s="41">
        <v>54248.232558139534</v>
      </c>
      <c r="K752" s="42">
        <v>-0.12464312193050713</v>
      </c>
    </row>
    <row r="753" spans="1:11" x14ac:dyDescent="0.25">
      <c r="A753" s="24" t="s">
        <v>7</v>
      </c>
      <c r="B753" s="24" t="s">
        <v>4670</v>
      </c>
      <c r="C753" s="25" t="s">
        <v>4671</v>
      </c>
      <c r="D753" s="24" t="s">
        <v>21516</v>
      </c>
      <c r="E753" s="40">
        <v>19</v>
      </c>
      <c r="F753" s="41">
        <v>1310723</v>
      </c>
      <c r="G753" s="40">
        <v>16</v>
      </c>
      <c r="H753" s="41">
        <v>934534</v>
      </c>
      <c r="I753" s="41">
        <v>68985.421052631573</v>
      </c>
      <c r="J753" s="41">
        <v>58408.375</v>
      </c>
      <c r="K753" s="42">
        <v>-0.15332291796207123</v>
      </c>
    </row>
    <row r="754" spans="1:11" x14ac:dyDescent="0.25">
      <c r="A754" s="24" t="s">
        <v>7</v>
      </c>
      <c r="B754" s="24" t="s">
        <v>4673</v>
      </c>
      <c r="C754" s="25" t="s">
        <v>4674</v>
      </c>
      <c r="D754" s="24" t="s">
        <v>21517</v>
      </c>
      <c r="E754" s="40">
        <v>22</v>
      </c>
      <c r="F754" s="41">
        <v>1412986</v>
      </c>
      <c r="G754" s="40">
        <v>28</v>
      </c>
      <c r="H754" s="41">
        <v>1529811</v>
      </c>
      <c r="I754" s="41">
        <v>64226.63636363636</v>
      </c>
      <c r="J754" s="41">
        <v>54636.107142857145</v>
      </c>
      <c r="K754" s="42">
        <v>-0.14932323664717326</v>
      </c>
    </row>
    <row r="755" spans="1:11" x14ac:dyDescent="0.25">
      <c r="A755" s="24" t="s">
        <v>7</v>
      </c>
      <c r="B755" s="24" t="s">
        <v>4676</v>
      </c>
      <c r="C755" s="25" t="s">
        <v>4677</v>
      </c>
      <c r="D755" s="24" t="s">
        <v>21518</v>
      </c>
      <c r="G755" s="40">
        <v>3</v>
      </c>
      <c r="H755" s="41">
        <v>244950</v>
      </c>
      <c r="J755" s="41">
        <v>81650</v>
      </c>
    </row>
    <row r="756" spans="1:11" x14ac:dyDescent="0.25">
      <c r="A756" s="24" t="s">
        <v>7</v>
      </c>
      <c r="B756" s="24" t="s">
        <v>4679</v>
      </c>
      <c r="C756" s="25" t="s">
        <v>4680</v>
      </c>
      <c r="D756" s="24" t="s">
        <v>21519</v>
      </c>
      <c r="E756" s="40">
        <v>3</v>
      </c>
      <c r="F756" s="41">
        <v>94470</v>
      </c>
      <c r="G756" s="40">
        <v>1</v>
      </c>
      <c r="H756" s="41">
        <v>31490</v>
      </c>
      <c r="I756" s="41">
        <v>31490</v>
      </c>
      <c r="J756" s="41">
        <v>31490</v>
      </c>
      <c r="K756" s="42">
        <v>0</v>
      </c>
    </row>
    <row r="757" spans="1:11" x14ac:dyDescent="0.25">
      <c r="A757" s="24" t="s">
        <v>7</v>
      </c>
      <c r="B757" s="24" t="s">
        <v>4685</v>
      </c>
      <c r="C757" s="25" t="s">
        <v>4686</v>
      </c>
      <c r="D757" s="24" t="s">
        <v>21520</v>
      </c>
      <c r="G757" s="40">
        <v>2</v>
      </c>
      <c r="H757" s="41">
        <v>12386</v>
      </c>
      <c r="J757" s="41">
        <v>6193</v>
      </c>
    </row>
    <row r="758" spans="1:11" x14ac:dyDescent="0.25">
      <c r="A758" s="24" t="s">
        <v>7</v>
      </c>
      <c r="B758" s="24" t="s">
        <v>4688</v>
      </c>
      <c r="C758" s="25" t="s">
        <v>4689</v>
      </c>
      <c r="D758" s="24" t="s">
        <v>21521</v>
      </c>
      <c r="E758" s="40">
        <v>26</v>
      </c>
      <c r="F758" s="41">
        <v>65638</v>
      </c>
      <c r="G758" s="40">
        <v>51</v>
      </c>
      <c r="H758" s="41">
        <v>139321</v>
      </c>
      <c r="I758" s="41">
        <v>2524.5384615384614</v>
      </c>
      <c r="J758" s="41">
        <v>2731.7843137254904</v>
      </c>
      <c r="K758" s="42">
        <v>8.2092570719137586E-2</v>
      </c>
    </row>
    <row r="759" spans="1:11" x14ac:dyDescent="0.25">
      <c r="A759" s="24" t="s">
        <v>7</v>
      </c>
      <c r="B759" s="24" t="s">
        <v>4697</v>
      </c>
      <c r="C759" s="25" t="s">
        <v>4698</v>
      </c>
      <c r="D759" s="24" t="s">
        <v>21522</v>
      </c>
      <c r="E759" s="40">
        <v>21</v>
      </c>
      <c r="F759" s="41">
        <v>40634</v>
      </c>
      <c r="G759" s="40">
        <v>15</v>
      </c>
      <c r="H759" s="41">
        <v>30195</v>
      </c>
      <c r="I759" s="41">
        <v>1934.952380952381</v>
      </c>
      <c r="J759" s="41">
        <v>2013</v>
      </c>
      <c r="K759" s="42">
        <v>4.0335679480238217E-2</v>
      </c>
    </row>
    <row r="760" spans="1:11" x14ac:dyDescent="0.25">
      <c r="A760" s="24" t="s">
        <v>7</v>
      </c>
      <c r="B760" s="24" t="s">
        <v>4700</v>
      </c>
      <c r="C760" s="25" t="s">
        <v>4701</v>
      </c>
      <c r="G760" s="40">
        <v>1</v>
      </c>
      <c r="H760" s="41">
        <v>33485</v>
      </c>
      <c r="J760" s="41">
        <v>33485</v>
      </c>
    </row>
    <row r="761" spans="1:11" x14ac:dyDescent="0.25">
      <c r="A761" s="24" t="s">
        <v>7</v>
      </c>
      <c r="B761" s="24" t="s">
        <v>4703</v>
      </c>
      <c r="C761" s="25" t="s">
        <v>4704</v>
      </c>
      <c r="E761" s="40">
        <v>31</v>
      </c>
      <c r="F761" s="41">
        <v>277659</v>
      </c>
      <c r="G761" s="40">
        <v>32</v>
      </c>
      <c r="H761" s="41">
        <v>295808</v>
      </c>
      <c r="I761" s="41">
        <v>8956.7419354838712</v>
      </c>
      <c r="J761" s="41">
        <v>9244</v>
      </c>
      <c r="K761" s="42">
        <v>3.2071713864848583E-2</v>
      </c>
    </row>
    <row r="762" spans="1:11" x14ac:dyDescent="0.25">
      <c r="A762" s="24" t="s">
        <v>7</v>
      </c>
      <c r="B762" s="24" t="s">
        <v>4706</v>
      </c>
      <c r="C762" s="25" t="s">
        <v>4707</v>
      </c>
      <c r="D762" s="24" t="s">
        <v>21523</v>
      </c>
      <c r="E762" s="40">
        <v>3</v>
      </c>
      <c r="F762" s="41">
        <v>159048</v>
      </c>
      <c r="G762" s="40">
        <v>0</v>
      </c>
      <c r="H762" s="41">
        <v>0</v>
      </c>
      <c r="I762" s="41">
        <v>53016</v>
      </c>
    </row>
    <row r="763" spans="1:11" x14ac:dyDescent="0.25">
      <c r="A763" s="24" t="s">
        <v>7</v>
      </c>
      <c r="B763" s="24" t="s">
        <v>4709</v>
      </c>
      <c r="C763" s="25" t="s">
        <v>4710</v>
      </c>
      <c r="D763" s="24" t="s">
        <v>21524</v>
      </c>
      <c r="E763" s="40">
        <v>20</v>
      </c>
      <c r="F763" s="41">
        <v>2241980</v>
      </c>
      <c r="G763" s="40">
        <v>16</v>
      </c>
      <c r="H763" s="41">
        <v>1512781</v>
      </c>
      <c r="I763" s="41">
        <v>112099</v>
      </c>
      <c r="J763" s="41">
        <v>94548.8125</v>
      </c>
      <c r="K763" s="42">
        <v>-0.15655971507328345</v>
      </c>
    </row>
    <row r="764" spans="1:11" x14ac:dyDescent="0.25">
      <c r="A764" s="24" t="s">
        <v>7</v>
      </c>
      <c r="B764" s="24" t="s">
        <v>4712</v>
      </c>
      <c r="C764" s="25" t="s">
        <v>4713</v>
      </c>
      <c r="D764" s="24" t="s">
        <v>21525</v>
      </c>
      <c r="E764" s="40">
        <v>8</v>
      </c>
      <c r="F764" s="41">
        <v>905252</v>
      </c>
      <c r="G764" s="40">
        <v>6</v>
      </c>
      <c r="H764" s="41">
        <v>685284</v>
      </c>
      <c r="I764" s="41">
        <v>113156.5</v>
      </c>
      <c r="J764" s="41">
        <v>114214</v>
      </c>
      <c r="K764" s="42">
        <v>9.3454640254868257E-3</v>
      </c>
    </row>
    <row r="765" spans="1:11" x14ac:dyDescent="0.25">
      <c r="A765" s="24" t="s">
        <v>7</v>
      </c>
      <c r="B765" s="24" t="s">
        <v>4715</v>
      </c>
      <c r="C765" s="25" t="s">
        <v>4716</v>
      </c>
      <c r="D765" s="24" t="s">
        <v>21526</v>
      </c>
      <c r="E765" s="40">
        <v>33</v>
      </c>
      <c r="F765" s="41">
        <v>162131</v>
      </c>
      <c r="G765" s="40">
        <v>49</v>
      </c>
      <c r="H765" s="41">
        <v>245147</v>
      </c>
      <c r="I765" s="41">
        <v>4913.060606060606</v>
      </c>
      <c r="J765" s="41">
        <v>5003</v>
      </c>
      <c r="K765" s="42">
        <v>1.8306184505122412E-2</v>
      </c>
    </row>
    <row r="766" spans="1:11" x14ac:dyDescent="0.25">
      <c r="A766" s="24" t="s">
        <v>7</v>
      </c>
      <c r="B766" s="24" t="s">
        <v>4718</v>
      </c>
      <c r="C766" s="25" t="s">
        <v>4719</v>
      </c>
      <c r="D766" s="24" t="s">
        <v>21527</v>
      </c>
      <c r="G766" s="40">
        <v>4</v>
      </c>
      <c r="H766" s="41">
        <v>139844</v>
      </c>
      <c r="J766" s="41">
        <v>34961</v>
      </c>
    </row>
    <row r="767" spans="1:11" x14ac:dyDescent="0.25">
      <c r="A767" s="24" t="s">
        <v>7</v>
      </c>
      <c r="B767" s="24" t="s">
        <v>4721</v>
      </c>
      <c r="C767" s="25" t="s">
        <v>4722</v>
      </c>
      <c r="D767" s="24" t="s">
        <v>21528</v>
      </c>
      <c r="E767" s="40">
        <v>18</v>
      </c>
      <c r="F767" s="41">
        <v>102824</v>
      </c>
      <c r="G767" s="40">
        <v>18</v>
      </c>
      <c r="H767" s="41">
        <v>104544</v>
      </c>
      <c r="I767" s="41">
        <v>5712.4444444444443</v>
      </c>
      <c r="J767" s="41">
        <v>5808</v>
      </c>
      <c r="K767" s="42">
        <v>1.6727612230607657E-2</v>
      </c>
    </row>
    <row r="768" spans="1:11" x14ac:dyDescent="0.25">
      <c r="A768" s="24" t="s">
        <v>7</v>
      </c>
      <c r="B768" s="24" t="s">
        <v>4723</v>
      </c>
      <c r="C768" s="25" t="s">
        <v>4724</v>
      </c>
      <c r="D768" s="24" t="s">
        <v>21529</v>
      </c>
      <c r="E768" s="40">
        <v>8</v>
      </c>
      <c r="F768" s="41">
        <v>879872</v>
      </c>
      <c r="G768" s="40">
        <v>12</v>
      </c>
      <c r="H768" s="41">
        <v>1157262</v>
      </c>
      <c r="I768" s="41">
        <v>109984</v>
      </c>
      <c r="J768" s="41">
        <v>96438.5</v>
      </c>
      <c r="K768" s="42">
        <v>-0.12315882310154204</v>
      </c>
    </row>
    <row r="769" spans="1:11" x14ac:dyDescent="0.25">
      <c r="A769" s="24" t="s">
        <v>7</v>
      </c>
      <c r="B769" s="24" t="s">
        <v>4726</v>
      </c>
      <c r="C769" s="25" t="s">
        <v>4727</v>
      </c>
      <c r="D769" s="24" t="s">
        <v>21530</v>
      </c>
      <c r="G769" s="40">
        <v>4</v>
      </c>
      <c r="H769" s="41">
        <v>148240</v>
      </c>
      <c r="J769" s="41">
        <v>37060</v>
      </c>
    </row>
    <row r="770" spans="1:11" x14ac:dyDescent="0.25">
      <c r="A770" s="24" t="s">
        <v>7</v>
      </c>
      <c r="B770" s="24" t="s">
        <v>4732</v>
      </c>
      <c r="C770" s="25" t="s">
        <v>4733</v>
      </c>
      <c r="D770" s="24" t="s">
        <v>21531</v>
      </c>
      <c r="G770" s="40">
        <v>1</v>
      </c>
      <c r="H770" s="41">
        <v>3417</v>
      </c>
      <c r="J770" s="41">
        <v>3417</v>
      </c>
    </row>
    <row r="771" spans="1:11" x14ac:dyDescent="0.25">
      <c r="A771" s="24" t="s">
        <v>7</v>
      </c>
      <c r="B771" s="24" t="s">
        <v>4734</v>
      </c>
      <c r="C771" s="25" t="s">
        <v>4735</v>
      </c>
      <c r="E771" s="40">
        <v>2</v>
      </c>
      <c r="F771" s="41">
        <v>23013</v>
      </c>
      <c r="G771" s="40">
        <v>3</v>
      </c>
      <c r="H771" s="41">
        <v>35847</v>
      </c>
      <c r="I771" s="41">
        <v>11506.5</v>
      </c>
      <c r="J771" s="41">
        <v>11949</v>
      </c>
      <c r="K771" s="42">
        <v>3.8456524573067398E-2</v>
      </c>
    </row>
    <row r="772" spans="1:11" x14ac:dyDescent="0.25">
      <c r="A772" s="24" t="s">
        <v>7</v>
      </c>
      <c r="B772" s="24" t="s">
        <v>4736</v>
      </c>
      <c r="C772" s="25" t="s">
        <v>4737</v>
      </c>
      <c r="E772" s="40">
        <v>41</v>
      </c>
      <c r="F772" s="41">
        <v>607063</v>
      </c>
      <c r="G772" s="40">
        <v>48</v>
      </c>
      <c r="H772" s="41">
        <v>731856</v>
      </c>
      <c r="I772" s="41">
        <v>14806.414634146342</v>
      </c>
      <c r="J772" s="41">
        <v>15247</v>
      </c>
      <c r="K772" s="42">
        <v>2.9756384427975312E-2</v>
      </c>
    </row>
    <row r="773" spans="1:11" x14ac:dyDescent="0.25">
      <c r="A773" s="24" t="s">
        <v>7</v>
      </c>
      <c r="B773" s="24" t="s">
        <v>4739</v>
      </c>
      <c r="C773" s="25" t="s">
        <v>4740</v>
      </c>
      <c r="G773" s="40">
        <v>5</v>
      </c>
      <c r="H773" s="41">
        <v>18660</v>
      </c>
      <c r="J773" s="41">
        <v>3732</v>
      </c>
    </row>
    <row r="774" spans="1:11" x14ac:dyDescent="0.25">
      <c r="A774" s="24" t="s">
        <v>7</v>
      </c>
      <c r="B774" s="24" t="s">
        <v>4742</v>
      </c>
      <c r="C774" s="25" t="s">
        <v>4743</v>
      </c>
      <c r="G774" s="40">
        <v>1</v>
      </c>
      <c r="H774" s="41">
        <v>19298</v>
      </c>
      <c r="J774" s="41">
        <v>19298</v>
      </c>
    </row>
    <row r="775" spans="1:11" x14ac:dyDescent="0.25">
      <c r="A775" s="24" t="s">
        <v>7</v>
      </c>
      <c r="B775" s="24" t="s">
        <v>4745</v>
      </c>
      <c r="C775" s="25" t="s">
        <v>4746</v>
      </c>
      <c r="G775" s="40">
        <v>1</v>
      </c>
      <c r="H775" s="41">
        <v>25747</v>
      </c>
      <c r="J775" s="41">
        <v>25747</v>
      </c>
    </row>
    <row r="776" spans="1:11" x14ac:dyDescent="0.25">
      <c r="A776" s="24" t="s">
        <v>7</v>
      </c>
      <c r="B776" s="24" t="s">
        <v>4748</v>
      </c>
      <c r="C776" s="25" t="s">
        <v>4749</v>
      </c>
      <c r="E776" s="40">
        <v>4</v>
      </c>
      <c r="F776" s="41">
        <v>45988</v>
      </c>
      <c r="G776" s="40">
        <v>6</v>
      </c>
      <c r="H776" s="41">
        <v>68982</v>
      </c>
      <c r="I776" s="41">
        <v>11497</v>
      </c>
      <c r="J776" s="41">
        <v>11497</v>
      </c>
      <c r="K776" s="42">
        <v>0</v>
      </c>
    </row>
    <row r="777" spans="1:11" x14ac:dyDescent="0.25">
      <c r="A777" s="24" t="s">
        <v>7</v>
      </c>
      <c r="B777" s="24" t="s">
        <v>4765</v>
      </c>
      <c r="C777" s="25" t="s">
        <v>4766</v>
      </c>
      <c r="D777" s="24" t="s">
        <v>21532</v>
      </c>
      <c r="E777" s="40">
        <v>1</v>
      </c>
      <c r="F777" s="41">
        <v>1188</v>
      </c>
      <c r="G777" s="40">
        <v>1</v>
      </c>
      <c r="H777" s="41">
        <v>1188</v>
      </c>
      <c r="I777" s="41">
        <v>1188</v>
      </c>
      <c r="J777" s="41">
        <v>1188</v>
      </c>
      <c r="K777" s="42">
        <v>0</v>
      </c>
    </row>
    <row r="778" spans="1:11" x14ac:dyDescent="0.25">
      <c r="A778" s="24" t="s">
        <v>7</v>
      </c>
      <c r="B778" s="24" t="s">
        <v>4788</v>
      </c>
      <c r="C778" s="25" t="s">
        <v>4789</v>
      </c>
      <c r="E778" s="40">
        <v>4</v>
      </c>
      <c r="F778" s="41">
        <v>91792</v>
      </c>
      <c r="G778" s="40">
        <v>4</v>
      </c>
      <c r="H778" s="41">
        <v>93524</v>
      </c>
      <c r="I778" s="41">
        <v>22948</v>
      </c>
      <c r="J778" s="41">
        <v>23381</v>
      </c>
      <c r="K778" s="42">
        <v>1.8868746731741329E-2</v>
      </c>
    </row>
    <row r="779" spans="1:11" x14ac:dyDescent="0.25">
      <c r="A779" s="24" t="s">
        <v>7</v>
      </c>
      <c r="B779" s="24" t="s">
        <v>4806</v>
      </c>
      <c r="C779" s="25" t="s">
        <v>4807</v>
      </c>
      <c r="E779" s="40">
        <v>1</v>
      </c>
      <c r="F779" s="41">
        <v>3374</v>
      </c>
      <c r="G779" s="40">
        <v>1</v>
      </c>
      <c r="H779" s="41">
        <v>3374</v>
      </c>
      <c r="I779" s="41">
        <v>3374</v>
      </c>
      <c r="J779" s="41">
        <v>3374</v>
      </c>
      <c r="K779" s="42">
        <v>0</v>
      </c>
    </row>
    <row r="780" spans="1:11" x14ac:dyDescent="0.25">
      <c r="A780" s="24" t="s">
        <v>7</v>
      </c>
      <c r="B780" s="24" t="s">
        <v>4812</v>
      </c>
      <c r="C780" s="25" t="s">
        <v>4813</v>
      </c>
      <c r="G780" s="40">
        <v>1</v>
      </c>
      <c r="H780" s="41">
        <v>76068</v>
      </c>
      <c r="J780" s="41">
        <v>76068</v>
      </c>
    </row>
    <row r="781" spans="1:11" x14ac:dyDescent="0.25">
      <c r="A781" s="24" t="s">
        <v>7</v>
      </c>
      <c r="B781" s="24" t="s">
        <v>4821</v>
      </c>
      <c r="C781" s="25" t="s">
        <v>4822</v>
      </c>
      <c r="D781" s="24" t="s">
        <v>21533</v>
      </c>
      <c r="E781" s="40">
        <v>1</v>
      </c>
      <c r="F781" s="41">
        <v>20813</v>
      </c>
      <c r="G781" s="40">
        <v>1</v>
      </c>
      <c r="H781" s="41">
        <v>22478</v>
      </c>
      <c r="I781" s="41">
        <v>20813</v>
      </c>
      <c r="J781" s="41">
        <v>22478</v>
      </c>
      <c r="K781" s="42">
        <v>7.9998078124249264E-2</v>
      </c>
    </row>
    <row r="782" spans="1:11" x14ac:dyDescent="0.25">
      <c r="A782" s="24" t="s">
        <v>7</v>
      </c>
      <c r="B782" s="24" t="s">
        <v>4824</v>
      </c>
      <c r="C782" s="25" t="s">
        <v>4825</v>
      </c>
      <c r="D782" s="24" t="s">
        <v>21534</v>
      </c>
      <c r="E782" s="40">
        <v>127</v>
      </c>
      <c r="F782" s="41">
        <v>911284</v>
      </c>
      <c r="G782" s="40">
        <v>163</v>
      </c>
      <c r="H782" s="41">
        <v>1127121</v>
      </c>
      <c r="I782" s="41">
        <v>7175.464566929134</v>
      </c>
      <c r="J782" s="41">
        <v>6914.8527607361966</v>
      </c>
      <c r="K782" s="42">
        <v>-3.6319851315839022E-2</v>
      </c>
    </row>
    <row r="783" spans="1:11" x14ac:dyDescent="0.25">
      <c r="A783" s="24" t="s">
        <v>7</v>
      </c>
      <c r="B783" s="24" t="s">
        <v>4827</v>
      </c>
      <c r="C783" s="25" t="s">
        <v>4828</v>
      </c>
      <c r="D783" s="24" t="s">
        <v>21535</v>
      </c>
      <c r="E783" s="40">
        <v>6</v>
      </c>
      <c r="F783" s="41">
        <v>67452</v>
      </c>
      <c r="G783" s="40">
        <v>10</v>
      </c>
      <c r="H783" s="41">
        <v>95968</v>
      </c>
      <c r="I783" s="41">
        <v>11242</v>
      </c>
      <c r="J783" s="41">
        <v>9596.7999999999993</v>
      </c>
      <c r="K783" s="42">
        <v>-0.14634406689201215</v>
      </c>
    </row>
    <row r="784" spans="1:11" x14ac:dyDescent="0.25">
      <c r="A784" s="24" t="s">
        <v>7</v>
      </c>
      <c r="B784" s="24" t="s">
        <v>4833</v>
      </c>
      <c r="C784" s="25" t="s">
        <v>4834</v>
      </c>
      <c r="D784" s="24" t="s">
        <v>21536</v>
      </c>
      <c r="E784" s="40">
        <v>82</v>
      </c>
      <c r="F784" s="41">
        <v>1201016</v>
      </c>
      <c r="G784" s="40">
        <v>122</v>
      </c>
      <c r="H784" s="41">
        <v>1642438</v>
      </c>
      <c r="I784" s="41">
        <v>14646.536585365853</v>
      </c>
      <c r="J784" s="41">
        <v>13462.606557377048</v>
      </c>
      <c r="K784" s="42">
        <v>-8.0833446261400349E-2</v>
      </c>
    </row>
    <row r="785" spans="1:11" x14ac:dyDescent="0.25">
      <c r="A785" s="24" t="s">
        <v>7</v>
      </c>
      <c r="B785" s="24" t="s">
        <v>4836</v>
      </c>
      <c r="C785" s="25" t="s">
        <v>4837</v>
      </c>
      <c r="D785" s="24" t="s">
        <v>21537</v>
      </c>
      <c r="E785" s="40">
        <v>46</v>
      </c>
      <c r="F785" s="41">
        <v>537230</v>
      </c>
      <c r="G785" s="40">
        <v>69</v>
      </c>
      <c r="H785" s="41">
        <v>727095</v>
      </c>
      <c r="I785" s="41">
        <v>11678.91304347826</v>
      </c>
      <c r="J785" s="41">
        <v>10537.608695652174</v>
      </c>
      <c r="K785" s="42">
        <v>-9.7723507622433523E-2</v>
      </c>
    </row>
    <row r="786" spans="1:11" x14ac:dyDescent="0.25">
      <c r="A786" s="24" t="s">
        <v>7</v>
      </c>
      <c r="B786" s="24" t="s">
        <v>4839</v>
      </c>
      <c r="C786" s="25" t="s">
        <v>4840</v>
      </c>
      <c r="D786" s="24" t="s">
        <v>21538</v>
      </c>
      <c r="E786" s="40">
        <v>14</v>
      </c>
      <c r="F786" s="41">
        <v>219519</v>
      </c>
      <c r="G786" s="40">
        <v>6</v>
      </c>
      <c r="H786" s="41">
        <v>90971</v>
      </c>
      <c r="I786" s="41">
        <v>15679.928571428571</v>
      </c>
      <c r="J786" s="41">
        <v>15161.833333333334</v>
      </c>
      <c r="K786" s="42">
        <v>-3.3041938662864326E-2</v>
      </c>
    </row>
    <row r="787" spans="1:11" x14ac:dyDescent="0.25">
      <c r="A787" s="24" t="s">
        <v>7</v>
      </c>
      <c r="B787" s="24" t="s">
        <v>4848</v>
      </c>
      <c r="C787" s="25" t="s">
        <v>4849</v>
      </c>
      <c r="D787" s="24" t="s">
        <v>21539</v>
      </c>
      <c r="E787" s="40">
        <v>8</v>
      </c>
      <c r="F787" s="41">
        <v>160276</v>
      </c>
      <c r="G787" s="40">
        <v>4</v>
      </c>
      <c r="H787" s="41">
        <v>84028</v>
      </c>
      <c r="I787" s="41">
        <v>20034.5</v>
      </c>
      <c r="J787" s="41">
        <v>21007</v>
      </c>
      <c r="K787" s="42">
        <v>4.8541266315605583E-2</v>
      </c>
    </row>
    <row r="788" spans="1:11" x14ac:dyDescent="0.25">
      <c r="A788" s="24" t="s">
        <v>7</v>
      </c>
      <c r="B788" s="24" t="s">
        <v>4851</v>
      </c>
      <c r="C788" s="25" t="s">
        <v>4852</v>
      </c>
      <c r="D788" s="24" t="s">
        <v>21540</v>
      </c>
      <c r="G788" s="40">
        <v>1</v>
      </c>
      <c r="H788" s="41">
        <v>4750</v>
      </c>
      <c r="J788" s="41">
        <v>4750</v>
      </c>
    </row>
    <row r="789" spans="1:11" x14ac:dyDescent="0.25">
      <c r="A789" s="24" t="s">
        <v>7</v>
      </c>
      <c r="B789" s="24" t="s">
        <v>4854</v>
      </c>
      <c r="C789" s="25" t="s">
        <v>4855</v>
      </c>
      <c r="D789" s="24" t="s">
        <v>21541</v>
      </c>
      <c r="G789" s="40">
        <v>10</v>
      </c>
      <c r="H789" s="41">
        <v>257930</v>
      </c>
      <c r="J789" s="41">
        <v>25793</v>
      </c>
    </row>
    <row r="790" spans="1:11" x14ac:dyDescent="0.25">
      <c r="A790" s="24" t="s">
        <v>7</v>
      </c>
      <c r="B790" s="24" t="s">
        <v>4860</v>
      </c>
      <c r="C790" s="25" t="s">
        <v>4861</v>
      </c>
      <c r="D790" s="24" t="s">
        <v>21542</v>
      </c>
      <c r="E790" s="40">
        <v>2</v>
      </c>
      <c r="F790" s="41">
        <v>10258</v>
      </c>
      <c r="G790" s="40">
        <v>15</v>
      </c>
      <c r="H790" s="41">
        <v>74383</v>
      </c>
      <c r="I790" s="41">
        <v>5129</v>
      </c>
      <c r="J790" s="41">
        <v>4958.8666666666668</v>
      </c>
      <c r="K790" s="42">
        <v>-3.3170858516929851E-2</v>
      </c>
    </row>
    <row r="791" spans="1:11" x14ac:dyDescent="0.25">
      <c r="A791" s="24" t="s">
        <v>7</v>
      </c>
      <c r="B791" s="24" t="s">
        <v>4863</v>
      </c>
      <c r="C791" s="25" t="s">
        <v>4864</v>
      </c>
      <c r="D791" s="24" t="s">
        <v>21543</v>
      </c>
      <c r="E791" s="40">
        <v>1</v>
      </c>
      <c r="F791" s="41">
        <v>3762</v>
      </c>
      <c r="G791" s="40">
        <v>12</v>
      </c>
      <c r="H791" s="41">
        <v>47042</v>
      </c>
      <c r="I791" s="41">
        <v>3762</v>
      </c>
      <c r="J791" s="41">
        <v>3920.1666666666665</v>
      </c>
      <c r="K791" s="42">
        <v>4.2043239411660424E-2</v>
      </c>
    </row>
    <row r="792" spans="1:11" x14ac:dyDescent="0.25">
      <c r="A792" s="24" t="s">
        <v>7</v>
      </c>
      <c r="B792" s="24" t="s">
        <v>4866</v>
      </c>
      <c r="C792" s="25" t="s">
        <v>4867</v>
      </c>
      <c r="D792" s="24" t="s">
        <v>21544</v>
      </c>
      <c r="E792" s="40">
        <v>3</v>
      </c>
      <c r="F792" s="41">
        <v>44466</v>
      </c>
      <c r="G792" s="40">
        <v>17</v>
      </c>
      <c r="H792" s="41">
        <v>231260</v>
      </c>
      <c r="I792" s="41">
        <v>14822</v>
      </c>
      <c r="J792" s="41">
        <v>13603.529411764706</v>
      </c>
      <c r="K792" s="42">
        <v>-8.22068943621167E-2</v>
      </c>
    </row>
    <row r="793" spans="1:11" x14ac:dyDescent="0.25">
      <c r="A793" s="24" t="s">
        <v>7</v>
      </c>
      <c r="B793" s="24" t="s">
        <v>4869</v>
      </c>
      <c r="C793" s="25" t="s">
        <v>4870</v>
      </c>
      <c r="D793" s="24" t="s">
        <v>21545</v>
      </c>
      <c r="G793" s="40">
        <v>4</v>
      </c>
      <c r="H793" s="41">
        <v>23146</v>
      </c>
      <c r="J793" s="41">
        <v>5786.5</v>
      </c>
    </row>
    <row r="794" spans="1:11" x14ac:dyDescent="0.25">
      <c r="A794" s="24" t="s">
        <v>7</v>
      </c>
      <c r="B794" s="24" t="s">
        <v>4872</v>
      </c>
      <c r="C794" s="25" t="s">
        <v>4873</v>
      </c>
      <c r="D794" s="24" t="s">
        <v>21546</v>
      </c>
      <c r="G794" s="40">
        <v>2</v>
      </c>
      <c r="H794" s="41">
        <v>61362</v>
      </c>
      <c r="J794" s="41">
        <v>30681</v>
      </c>
    </row>
    <row r="795" spans="1:11" x14ac:dyDescent="0.25">
      <c r="A795" s="24" t="s">
        <v>7</v>
      </c>
      <c r="B795" s="24" t="s">
        <v>4887</v>
      </c>
      <c r="C795" s="25" t="s">
        <v>4888</v>
      </c>
      <c r="D795" s="24" t="s">
        <v>21547</v>
      </c>
      <c r="E795" s="40">
        <v>2</v>
      </c>
      <c r="F795" s="41">
        <v>18950</v>
      </c>
      <c r="G795" s="40">
        <v>5</v>
      </c>
      <c r="H795" s="41">
        <v>47375</v>
      </c>
      <c r="I795" s="41">
        <v>9475</v>
      </c>
      <c r="J795" s="41">
        <v>9475</v>
      </c>
      <c r="K795" s="42">
        <v>0</v>
      </c>
    </row>
    <row r="796" spans="1:11" x14ac:dyDescent="0.25">
      <c r="A796" s="24" t="s">
        <v>7</v>
      </c>
      <c r="B796" s="24" t="s">
        <v>4905</v>
      </c>
      <c r="C796" s="25" t="s">
        <v>4906</v>
      </c>
      <c r="D796" s="24" t="s">
        <v>21548</v>
      </c>
      <c r="E796" s="40">
        <v>13</v>
      </c>
      <c r="F796" s="41">
        <v>57101</v>
      </c>
      <c r="G796" s="40">
        <v>26</v>
      </c>
      <c r="H796" s="41">
        <v>132992</v>
      </c>
      <c r="I796" s="41">
        <v>4392.3846153846152</v>
      </c>
      <c r="J796" s="41">
        <v>5115.0769230769229</v>
      </c>
      <c r="K796" s="42">
        <v>0.16453302043747042</v>
      </c>
    </row>
    <row r="797" spans="1:11" x14ac:dyDescent="0.25">
      <c r="A797" s="24" t="s">
        <v>7</v>
      </c>
      <c r="B797" s="24" t="s">
        <v>4913</v>
      </c>
      <c r="C797" s="25" t="s">
        <v>4914</v>
      </c>
      <c r="E797" s="40">
        <v>16</v>
      </c>
      <c r="F797" s="41">
        <v>59016</v>
      </c>
      <c r="G797" s="40">
        <v>54</v>
      </c>
      <c r="H797" s="41">
        <v>213460</v>
      </c>
      <c r="I797" s="41">
        <v>3688.5</v>
      </c>
      <c r="J797" s="41">
        <v>3952.962962962963</v>
      </c>
      <c r="K797" s="42">
        <v>7.169932573213042E-2</v>
      </c>
    </row>
    <row r="798" spans="1:11" x14ac:dyDescent="0.25">
      <c r="A798" s="24" t="s">
        <v>7</v>
      </c>
      <c r="B798" s="24" t="s">
        <v>4916</v>
      </c>
      <c r="C798" s="25" t="s">
        <v>4917</v>
      </c>
      <c r="D798" s="24" t="s">
        <v>21549</v>
      </c>
      <c r="E798" s="40">
        <v>1</v>
      </c>
      <c r="F798" s="41">
        <v>6570</v>
      </c>
      <c r="G798" s="40">
        <v>0</v>
      </c>
      <c r="H798" s="41">
        <v>0</v>
      </c>
      <c r="I798" s="41">
        <v>6570</v>
      </c>
    </row>
    <row r="799" spans="1:11" x14ac:dyDescent="0.25">
      <c r="A799" s="24" t="s">
        <v>7</v>
      </c>
      <c r="B799" s="24" t="s">
        <v>4922</v>
      </c>
      <c r="C799" s="25" t="s">
        <v>4923</v>
      </c>
      <c r="D799" s="24" t="s">
        <v>21550</v>
      </c>
      <c r="E799" s="40">
        <v>10</v>
      </c>
      <c r="F799" s="41">
        <v>18506</v>
      </c>
      <c r="G799" s="40">
        <v>9</v>
      </c>
      <c r="H799" s="41">
        <v>17531</v>
      </c>
      <c r="I799" s="41">
        <v>1850.6</v>
      </c>
      <c r="J799" s="41">
        <v>1947.8888888888889</v>
      </c>
      <c r="K799" s="42">
        <v>5.2571538359931377E-2</v>
      </c>
    </row>
    <row r="800" spans="1:11" x14ac:dyDescent="0.25">
      <c r="A800" s="24" t="s">
        <v>7</v>
      </c>
      <c r="B800" s="24" t="s">
        <v>4925</v>
      </c>
      <c r="C800" s="25" t="s">
        <v>4926</v>
      </c>
      <c r="D800" s="24" t="s">
        <v>21551</v>
      </c>
      <c r="E800" s="40">
        <v>10</v>
      </c>
      <c r="F800" s="41">
        <v>40078</v>
      </c>
      <c r="G800" s="40">
        <v>8</v>
      </c>
      <c r="H800" s="41">
        <v>31377</v>
      </c>
      <c r="I800" s="41">
        <v>4007.8</v>
      </c>
      <c r="J800" s="41">
        <v>3922.125</v>
      </c>
      <c r="K800" s="42">
        <v>-2.1377064723788655E-2</v>
      </c>
    </row>
    <row r="801" spans="1:11" x14ac:dyDescent="0.25">
      <c r="A801" s="24" t="s">
        <v>7</v>
      </c>
      <c r="B801" s="24" t="s">
        <v>4928</v>
      </c>
      <c r="C801" s="25" t="s">
        <v>4929</v>
      </c>
      <c r="D801" s="24" t="s">
        <v>21552</v>
      </c>
      <c r="E801" s="40">
        <v>391</v>
      </c>
      <c r="F801" s="41">
        <v>931350</v>
      </c>
      <c r="G801" s="40">
        <v>516</v>
      </c>
      <c r="H801" s="41">
        <v>1253624</v>
      </c>
      <c r="I801" s="41">
        <v>2381.9693094629156</v>
      </c>
      <c r="J801" s="41">
        <v>2429.5038759689924</v>
      </c>
      <c r="K801" s="42">
        <v>1.9955994528239672E-2</v>
      </c>
    </row>
    <row r="802" spans="1:11" x14ac:dyDescent="0.25">
      <c r="A802" s="24" t="s">
        <v>7</v>
      </c>
      <c r="B802" s="24" t="s">
        <v>4931</v>
      </c>
      <c r="C802" s="25" t="s">
        <v>4932</v>
      </c>
      <c r="D802" s="24" t="s">
        <v>21553</v>
      </c>
      <c r="G802" s="40">
        <v>2</v>
      </c>
      <c r="H802" s="41">
        <v>4770</v>
      </c>
      <c r="J802" s="41">
        <v>2385</v>
      </c>
    </row>
    <row r="803" spans="1:11" x14ac:dyDescent="0.25">
      <c r="A803" s="24" t="s">
        <v>7</v>
      </c>
      <c r="B803" s="24" t="s">
        <v>4934</v>
      </c>
      <c r="C803" s="25" t="s">
        <v>4935</v>
      </c>
      <c r="E803" s="40">
        <v>3</v>
      </c>
      <c r="F803" s="41">
        <v>6376</v>
      </c>
      <c r="G803" s="40">
        <v>2</v>
      </c>
      <c r="H803" s="41">
        <v>4358</v>
      </c>
      <c r="I803" s="41">
        <v>2125.3333333333335</v>
      </c>
      <c r="J803" s="41">
        <v>2179</v>
      </c>
      <c r="K803" s="42">
        <v>2.5250941028858144E-2</v>
      </c>
    </row>
    <row r="804" spans="1:11" x14ac:dyDescent="0.25">
      <c r="A804" s="24" t="s">
        <v>7</v>
      </c>
      <c r="B804" s="24" t="s">
        <v>4937</v>
      </c>
      <c r="C804" s="25" t="s">
        <v>4938</v>
      </c>
      <c r="D804" s="24" t="s">
        <v>21554</v>
      </c>
      <c r="E804" s="40">
        <v>23</v>
      </c>
      <c r="F804" s="41">
        <v>78526</v>
      </c>
      <c r="G804" s="40">
        <v>12</v>
      </c>
      <c r="H804" s="41">
        <v>41916</v>
      </c>
      <c r="I804" s="41">
        <v>3414.1739130434785</v>
      </c>
      <c r="J804" s="41">
        <v>3493</v>
      </c>
      <c r="K804" s="42">
        <v>2.3087894455339566E-2</v>
      </c>
    </row>
    <row r="805" spans="1:11" x14ac:dyDescent="0.25">
      <c r="A805" s="24" t="s">
        <v>7</v>
      </c>
      <c r="B805" s="24" t="s">
        <v>4940</v>
      </c>
      <c r="C805" s="25" t="s">
        <v>4941</v>
      </c>
      <c r="D805" s="24" t="s">
        <v>21555</v>
      </c>
      <c r="E805" s="40">
        <v>22</v>
      </c>
      <c r="F805" s="41">
        <v>263992</v>
      </c>
      <c r="G805" s="40">
        <v>38</v>
      </c>
      <c r="H805" s="41">
        <v>512978</v>
      </c>
      <c r="I805" s="41">
        <v>11999.636363636364</v>
      </c>
      <c r="J805" s="41">
        <v>13499.421052631578</v>
      </c>
      <c r="K805" s="42">
        <v>0.12498584486611228</v>
      </c>
    </row>
    <row r="806" spans="1:11" x14ac:dyDescent="0.25">
      <c r="A806" s="24" t="s">
        <v>7</v>
      </c>
      <c r="B806" s="24" t="s">
        <v>4943</v>
      </c>
      <c r="C806" s="25" t="s">
        <v>4944</v>
      </c>
      <c r="D806" s="24" t="s">
        <v>21556</v>
      </c>
      <c r="E806" s="40">
        <v>4</v>
      </c>
      <c r="F806" s="41">
        <v>4684</v>
      </c>
      <c r="G806" s="40">
        <v>2</v>
      </c>
      <c r="H806" s="41">
        <v>1975</v>
      </c>
      <c r="I806" s="41">
        <v>1171</v>
      </c>
      <c r="J806" s="41">
        <v>987.5</v>
      </c>
      <c r="K806" s="42">
        <v>-0.15670367207514946</v>
      </c>
    </row>
    <row r="807" spans="1:11" x14ac:dyDescent="0.25">
      <c r="A807" s="24" t="s">
        <v>7</v>
      </c>
      <c r="B807" s="24" t="s">
        <v>4946</v>
      </c>
      <c r="C807" s="25" t="s">
        <v>4947</v>
      </c>
      <c r="G807" s="40">
        <v>3</v>
      </c>
      <c r="H807" s="41">
        <v>37359</v>
      </c>
      <c r="J807" s="41">
        <v>12453</v>
      </c>
    </row>
    <row r="808" spans="1:11" x14ac:dyDescent="0.25">
      <c r="A808" s="24" t="s">
        <v>7</v>
      </c>
      <c r="B808" s="24" t="s">
        <v>4949</v>
      </c>
      <c r="C808" s="25" t="s">
        <v>4950</v>
      </c>
      <c r="G808" s="40">
        <v>10</v>
      </c>
      <c r="H808" s="41">
        <v>119870</v>
      </c>
      <c r="J808" s="41">
        <v>11987</v>
      </c>
    </row>
    <row r="809" spans="1:11" x14ac:dyDescent="0.25">
      <c r="A809" s="24" t="s">
        <v>7</v>
      </c>
      <c r="B809" s="24" t="s">
        <v>4960</v>
      </c>
      <c r="C809" s="25" t="s">
        <v>4961</v>
      </c>
      <c r="E809" s="40">
        <v>1</v>
      </c>
      <c r="F809" s="41">
        <v>21233</v>
      </c>
      <c r="G809" s="40">
        <v>5</v>
      </c>
      <c r="H809" s="41">
        <v>106165</v>
      </c>
      <c r="I809" s="41">
        <v>21233</v>
      </c>
      <c r="J809" s="41">
        <v>21233</v>
      </c>
      <c r="K809" s="42">
        <v>0</v>
      </c>
    </row>
    <row r="810" spans="1:11" x14ac:dyDescent="0.25">
      <c r="A810" s="24" t="s">
        <v>7</v>
      </c>
      <c r="B810" s="24" t="s">
        <v>4963</v>
      </c>
      <c r="C810" s="25" t="s">
        <v>4964</v>
      </c>
      <c r="G810" s="40">
        <v>16</v>
      </c>
      <c r="H810" s="41">
        <v>300425</v>
      </c>
      <c r="J810" s="41">
        <v>18776.5625</v>
      </c>
    </row>
    <row r="811" spans="1:11" x14ac:dyDescent="0.25">
      <c r="A811" s="24" t="s">
        <v>7</v>
      </c>
      <c r="B811" s="24" t="s">
        <v>4966</v>
      </c>
      <c r="C811" s="25" t="s">
        <v>4967</v>
      </c>
      <c r="E811" s="40">
        <v>102</v>
      </c>
      <c r="F811" s="41">
        <v>4118238</v>
      </c>
      <c r="G811" s="40">
        <v>163</v>
      </c>
      <c r="H811" s="41">
        <v>5974086</v>
      </c>
      <c r="I811" s="41">
        <v>40374.882352941175</v>
      </c>
      <c r="J811" s="41">
        <v>36650.834355828221</v>
      </c>
      <c r="K811" s="42">
        <v>-9.2236751665523281E-2</v>
      </c>
    </row>
    <row r="812" spans="1:11" x14ac:dyDescent="0.25">
      <c r="A812" s="24" t="s">
        <v>7</v>
      </c>
      <c r="B812" s="24" t="s">
        <v>4969</v>
      </c>
      <c r="C812" s="25" t="s">
        <v>4970</v>
      </c>
      <c r="E812" s="40">
        <v>56</v>
      </c>
      <c r="F812" s="41">
        <v>2247147</v>
      </c>
      <c r="G812" s="40">
        <v>101</v>
      </c>
      <c r="H812" s="41">
        <v>3823285</v>
      </c>
      <c r="I812" s="41">
        <v>40127.625</v>
      </c>
      <c r="J812" s="41">
        <v>37854.30693069307</v>
      </c>
      <c r="K812" s="42">
        <v>-5.6652195820383833E-2</v>
      </c>
    </row>
    <row r="813" spans="1:11" x14ac:dyDescent="0.25">
      <c r="A813" s="24" t="s">
        <v>7</v>
      </c>
      <c r="B813" s="24" t="s">
        <v>4972</v>
      </c>
      <c r="C813" s="25" t="s">
        <v>4973</v>
      </c>
      <c r="E813" s="40">
        <v>30</v>
      </c>
      <c r="F813" s="41">
        <v>893145</v>
      </c>
      <c r="G813" s="40">
        <v>61</v>
      </c>
      <c r="H813" s="41">
        <v>1418800</v>
      </c>
      <c r="I813" s="41">
        <v>29771.5</v>
      </c>
      <c r="J813" s="41">
        <v>23259.016393442624</v>
      </c>
      <c r="K813" s="42">
        <v>-0.21874892452706032</v>
      </c>
    </row>
    <row r="814" spans="1:11" x14ac:dyDescent="0.25">
      <c r="A814" s="24" t="s">
        <v>7</v>
      </c>
      <c r="B814" s="24" t="s">
        <v>4975</v>
      </c>
      <c r="C814" s="25" t="s">
        <v>4976</v>
      </c>
      <c r="E814" s="40">
        <v>21</v>
      </c>
      <c r="F814" s="41">
        <v>707442</v>
      </c>
      <c r="G814" s="40">
        <v>18</v>
      </c>
      <c r="H814" s="41">
        <v>565112</v>
      </c>
      <c r="I814" s="41">
        <v>33687.714285714283</v>
      </c>
      <c r="J814" s="41">
        <v>31395.111111111109</v>
      </c>
      <c r="K814" s="42">
        <v>-6.8054577854674503E-2</v>
      </c>
    </row>
    <row r="815" spans="1:11" x14ac:dyDescent="0.25">
      <c r="A815" s="24" t="s">
        <v>7</v>
      </c>
      <c r="B815" s="24" t="s">
        <v>4978</v>
      </c>
      <c r="C815" s="25" t="s">
        <v>4979</v>
      </c>
      <c r="G815" s="40">
        <v>1</v>
      </c>
      <c r="H815" s="41">
        <v>23787</v>
      </c>
      <c r="J815" s="41">
        <v>23787</v>
      </c>
    </row>
    <row r="816" spans="1:11" x14ac:dyDescent="0.25">
      <c r="A816" s="24" t="s">
        <v>7</v>
      </c>
      <c r="B816" s="24" t="s">
        <v>4983</v>
      </c>
      <c r="C816" s="25" t="s">
        <v>4984</v>
      </c>
      <c r="G816" s="40">
        <v>4</v>
      </c>
      <c r="H816" s="41">
        <v>109936</v>
      </c>
      <c r="J816" s="41">
        <v>27484</v>
      </c>
    </row>
    <row r="817" spans="1:11" x14ac:dyDescent="0.25">
      <c r="A817" s="24" t="s">
        <v>7</v>
      </c>
      <c r="B817" s="24" t="s">
        <v>4985</v>
      </c>
      <c r="C817" s="25" t="s">
        <v>4986</v>
      </c>
      <c r="E817" s="40">
        <v>13</v>
      </c>
      <c r="F817" s="41">
        <v>4016576</v>
      </c>
      <c r="G817" s="40">
        <v>11</v>
      </c>
      <c r="H817" s="41">
        <v>2508419</v>
      </c>
      <c r="I817" s="41">
        <v>308967.38461538462</v>
      </c>
      <c r="J817" s="41">
        <v>228038.09090909091</v>
      </c>
      <c r="K817" s="42">
        <v>-0.26193474695407687</v>
      </c>
    </row>
    <row r="818" spans="1:11" x14ac:dyDescent="0.25">
      <c r="A818" s="24" t="s">
        <v>7</v>
      </c>
      <c r="B818" s="24" t="s">
        <v>4988</v>
      </c>
      <c r="C818" s="25" t="s">
        <v>4989</v>
      </c>
      <c r="E818" s="40">
        <v>5</v>
      </c>
      <c r="F818" s="41">
        <v>1530672</v>
      </c>
      <c r="G818" s="40">
        <v>4</v>
      </c>
      <c r="H818" s="41">
        <v>1242952</v>
      </c>
      <c r="I818" s="41">
        <v>306134.40000000002</v>
      </c>
      <c r="J818" s="41">
        <v>310738</v>
      </c>
      <c r="K818" s="42">
        <v>1.5037839589409019E-2</v>
      </c>
    </row>
    <row r="819" spans="1:11" x14ac:dyDescent="0.25">
      <c r="A819" s="24" t="s">
        <v>7</v>
      </c>
      <c r="B819" s="24" t="s">
        <v>4990</v>
      </c>
      <c r="C819" s="25" t="s">
        <v>4269</v>
      </c>
      <c r="D819" s="24" t="s">
        <v>21557</v>
      </c>
      <c r="E819" s="40">
        <v>34</v>
      </c>
      <c r="F819" s="41">
        <v>102498</v>
      </c>
      <c r="G819" s="40">
        <v>37</v>
      </c>
      <c r="H819" s="41">
        <v>111593</v>
      </c>
      <c r="I819" s="41">
        <v>3014.6470588235293</v>
      </c>
      <c r="J819" s="41">
        <v>3016.0270270270271</v>
      </c>
      <c r="K819" s="42">
        <v>4.577544822233171E-4</v>
      </c>
    </row>
    <row r="820" spans="1:11" x14ac:dyDescent="0.25">
      <c r="A820" s="24" t="s">
        <v>7</v>
      </c>
      <c r="B820" s="24" t="s">
        <v>4998</v>
      </c>
      <c r="C820" s="25" t="s">
        <v>4999</v>
      </c>
      <c r="E820" s="40">
        <v>4</v>
      </c>
      <c r="F820" s="41">
        <v>45486</v>
      </c>
      <c r="G820" s="40">
        <v>0</v>
      </c>
      <c r="H820" s="41">
        <v>0</v>
      </c>
      <c r="I820" s="41">
        <v>11371.5</v>
      </c>
    </row>
    <row r="821" spans="1:11" x14ac:dyDescent="0.25">
      <c r="A821" s="24" t="s">
        <v>7</v>
      </c>
      <c r="B821" s="24" t="s">
        <v>5011</v>
      </c>
      <c r="C821" s="25" t="s">
        <v>5012</v>
      </c>
      <c r="E821" s="40">
        <v>70</v>
      </c>
      <c r="F821" s="41">
        <v>307974</v>
      </c>
      <c r="G821" s="40">
        <v>100</v>
      </c>
      <c r="H821" s="41">
        <v>464664</v>
      </c>
      <c r="I821" s="41">
        <v>4399.6285714285714</v>
      </c>
      <c r="J821" s="41">
        <v>4646.6400000000003</v>
      </c>
      <c r="K821" s="42">
        <v>5.614370044224521E-2</v>
      </c>
    </row>
    <row r="822" spans="1:11" x14ac:dyDescent="0.25">
      <c r="A822" s="24" t="s">
        <v>7</v>
      </c>
      <c r="B822" s="24" t="s">
        <v>5014</v>
      </c>
      <c r="C822" s="25" t="s">
        <v>5015</v>
      </c>
      <c r="E822" s="40">
        <v>133</v>
      </c>
      <c r="F822" s="41">
        <v>3187416</v>
      </c>
      <c r="G822" s="40">
        <v>148</v>
      </c>
      <c r="H822" s="41">
        <v>3329538</v>
      </c>
      <c r="I822" s="41">
        <v>23965.533834586466</v>
      </c>
      <c r="J822" s="41">
        <v>22496.87837837838</v>
      </c>
      <c r="K822" s="42">
        <v>-6.1281983799941826E-2</v>
      </c>
    </row>
    <row r="823" spans="1:11" x14ac:dyDescent="0.25">
      <c r="A823" s="24" t="s">
        <v>7</v>
      </c>
      <c r="B823" s="24" t="s">
        <v>5016</v>
      </c>
      <c r="C823" s="25" t="s">
        <v>5017</v>
      </c>
      <c r="E823" s="40">
        <v>216</v>
      </c>
      <c r="F823" s="41">
        <v>2023126</v>
      </c>
      <c r="G823" s="40">
        <v>197</v>
      </c>
      <c r="H823" s="41">
        <v>1824697</v>
      </c>
      <c r="I823" s="41">
        <v>9366.3240740740748</v>
      </c>
      <c r="J823" s="41">
        <v>9262.4213197969548</v>
      </c>
      <c r="K823" s="42">
        <v>-1.1093226484093392E-2</v>
      </c>
    </row>
    <row r="824" spans="1:11" x14ac:dyDescent="0.25">
      <c r="A824" s="24" t="s">
        <v>7</v>
      </c>
      <c r="B824" s="24" t="s">
        <v>5019</v>
      </c>
      <c r="C824" s="25" t="s">
        <v>5020</v>
      </c>
      <c r="G824" s="40">
        <v>1</v>
      </c>
      <c r="H824" s="41">
        <v>10054</v>
      </c>
      <c r="J824" s="41">
        <v>10054</v>
      </c>
    </row>
    <row r="825" spans="1:11" x14ac:dyDescent="0.25">
      <c r="A825" s="24" t="s">
        <v>7</v>
      </c>
      <c r="B825" s="24" t="s">
        <v>5024</v>
      </c>
      <c r="C825" s="25" t="s">
        <v>5025</v>
      </c>
      <c r="E825" s="40">
        <v>2549</v>
      </c>
      <c r="F825" s="41">
        <v>27473947</v>
      </c>
      <c r="G825" s="40">
        <v>2667</v>
      </c>
      <c r="H825" s="41">
        <v>25868120</v>
      </c>
      <c r="I825" s="41">
        <v>10778.323656335819</v>
      </c>
      <c r="J825" s="41">
        <v>9699.3325834270709</v>
      </c>
      <c r="K825" s="42">
        <v>-0.10010750347754539</v>
      </c>
    </row>
    <row r="826" spans="1:11" x14ac:dyDescent="0.25">
      <c r="A826" s="24" t="s">
        <v>7</v>
      </c>
      <c r="B826" s="24" t="s">
        <v>5030</v>
      </c>
      <c r="C826" s="25" t="s">
        <v>5031</v>
      </c>
      <c r="E826" s="40">
        <v>7</v>
      </c>
      <c r="F826" s="41">
        <v>26366</v>
      </c>
      <c r="G826" s="40">
        <v>8</v>
      </c>
      <c r="H826" s="41">
        <v>36202</v>
      </c>
      <c r="I826" s="41">
        <v>3766.5714285714284</v>
      </c>
      <c r="J826" s="41">
        <v>4525.25</v>
      </c>
      <c r="K826" s="42">
        <v>0.20142418265948575</v>
      </c>
    </row>
    <row r="827" spans="1:11" x14ac:dyDescent="0.25">
      <c r="A827" s="24" t="s">
        <v>7</v>
      </c>
      <c r="B827" s="24" t="s">
        <v>5035</v>
      </c>
      <c r="C827" s="25" t="s">
        <v>5036</v>
      </c>
      <c r="E827" s="40">
        <v>36</v>
      </c>
      <c r="F827" s="41">
        <v>85156</v>
      </c>
      <c r="G827" s="40">
        <v>50</v>
      </c>
      <c r="H827" s="41">
        <v>110541</v>
      </c>
      <c r="I827" s="41">
        <v>2365.4444444444443</v>
      </c>
      <c r="J827" s="41">
        <v>2210.8200000000002</v>
      </c>
      <c r="K827" s="42">
        <v>-6.5368030438254385E-2</v>
      </c>
    </row>
    <row r="828" spans="1:11" x14ac:dyDescent="0.25">
      <c r="A828" s="24" t="s">
        <v>7</v>
      </c>
      <c r="B828" s="24" t="s">
        <v>5038</v>
      </c>
      <c r="C828" s="25" t="s">
        <v>5039</v>
      </c>
      <c r="E828" s="40">
        <v>85</v>
      </c>
      <c r="F828" s="41">
        <v>158344</v>
      </c>
      <c r="G828" s="40">
        <v>90</v>
      </c>
      <c r="H828" s="41">
        <v>179680</v>
      </c>
      <c r="I828" s="41">
        <v>1862.870588235294</v>
      </c>
      <c r="J828" s="41">
        <v>1996.4444444444443</v>
      </c>
      <c r="K828" s="42">
        <v>7.1703239641399602E-2</v>
      </c>
    </row>
    <row r="829" spans="1:11" x14ac:dyDescent="0.25">
      <c r="A829" s="24" t="s">
        <v>7</v>
      </c>
      <c r="B829" s="24" t="s">
        <v>5044</v>
      </c>
      <c r="C829" s="25" t="s">
        <v>5045</v>
      </c>
      <c r="G829" s="40">
        <v>4</v>
      </c>
      <c r="H829" s="41">
        <v>9644</v>
      </c>
      <c r="J829" s="41">
        <v>2411</v>
      </c>
    </row>
    <row r="830" spans="1:11" x14ac:dyDescent="0.25">
      <c r="A830" s="24" t="s">
        <v>7</v>
      </c>
      <c r="B830" s="24" t="s">
        <v>5047</v>
      </c>
      <c r="C830" s="25" t="s">
        <v>5048</v>
      </c>
      <c r="E830" s="40">
        <v>16</v>
      </c>
      <c r="F830" s="41">
        <v>94715</v>
      </c>
      <c r="G830" s="40">
        <v>25</v>
      </c>
      <c r="H830" s="41">
        <v>134584</v>
      </c>
      <c r="I830" s="41">
        <v>5919.6875</v>
      </c>
      <c r="J830" s="41">
        <v>5383.36</v>
      </c>
      <c r="K830" s="42">
        <v>-9.0600644037375333E-2</v>
      </c>
    </row>
    <row r="831" spans="1:11" x14ac:dyDescent="0.25">
      <c r="A831" s="24" t="s">
        <v>7</v>
      </c>
      <c r="B831" s="24" t="s">
        <v>5050</v>
      </c>
      <c r="C831" s="25" t="s">
        <v>5051</v>
      </c>
      <c r="E831" s="40">
        <v>17</v>
      </c>
      <c r="F831" s="41">
        <v>723990</v>
      </c>
      <c r="G831" s="40">
        <v>34</v>
      </c>
      <c r="H831" s="41">
        <v>1300896</v>
      </c>
      <c r="I831" s="41">
        <v>42587.647058823532</v>
      </c>
      <c r="J831" s="41">
        <v>38261.647058823532</v>
      </c>
      <c r="K831" s="42">
        <v>-0.1015787510877222</v>
      </c>
    </row>
    <row r="832" spans="1:11" x14ac:dyDescent="0.25">
      <c r="A832" s="24" t="s">
        <v>7</v>
      </c>
      <c r="B832" s="24" t="s">
        <v>5059</v>
      </c>
      <c r="C832" s="25" t="s">
        <v>5060</v>
      </c>
      <c r="E832" s="40">
        <v>7</v>
      </c>
      <c r="F832" s="41">
        <v>585959</v>
      </c>
      <c r="G832" s="40">
        <v>7</v>
      </c>
      <c r="H832" s="41">
        <v>374129</v>
      </c>
      <c r="I832" s="41">
        <v>83708.428571428565</v>
      </c>
      <c r="J832" s="41">
        <v>53447</v>
      </c>
      <c r="K832" s="42">
        <v>-0.36150993499545186</v>
      </c>
    </row>
    <row r="833" spans="1:11" x14ac:dyDescent="0.25">
      <c r="A833" s="24" t="s">
        <v>7</v>
      </c>
      <c r="B833" s="24" t="s">
        <v>5062</v>
      </c>
      <c r="C833" s="25" t="s">
        <v>5063</v>
      </c>
      <c r="G833" s="40">
        <v>1</v>
      </c>
      <c r="H833" s="41">
        <v>131041</v>
      </c>
      <c r="J833" s="41">
        <v>131041</v>
      </c>
    </row>
    <row r="834" spans="1:11" x14ac:dyDescent="0.25">
      <c r="A834" s="24" t="s">
        <v>7</v>
      </c>
      <c r="B834" s="24" t="s">
        <v>5065</v>
      </c>
      <c r="C834" s="25" t="s">
        <v>5066</v>
      </c>
      <c r="G834" s="40">
        <v>6</v>
      </c>
      <c r="H834" s="41">
        <v>256644</v>
      </c>
      <c r="J834" s="41">
        <v>42774</v>
      </c>
    </row>
    <row r="835" spans="1:11" x14ac:dyDescent="0.25">
      <c r="A835" s="24" t="s">
        <v>7</v>
      </c>
      <c r="B835" s="24" t="s">
        <v>5071</v>
      </c>
      <c r="C835" s="25" t="s">
        <v>5072</v>
      </c>
      <c r="D835" s="24" t="s">
        <v>21558</v>
      </c>
      <c r="E835" s="40">
        <v>404</v>
      </c>
      <c r="F835" s="41">
        <v>440063</v>
      </c>
      <c r="G835" s="40">
        <v>406</v>
      </c>
      <c r="H835" s="41">
        <v>433900</v>
      </c>
      <c r="I835" s="41">
        <v>1089.2648514851485</v>
      </c>
      <c r="J835" s="41">
        <v>1068.7192118226601</v>
      </c>
      <c r="K835" s="42">
        <v>-1.8861932095280236E-2</v>
      </c>
    </row>
    <row r="836" spans="1:11" x14ac:dyDescent="0.25">
      <c r="A836" s="24" t="s">
        <v>7</v>
      </c>
      <c r="B836" s="24" t="s">
        <v>5074</v>
      </c>
      <c r="C836" s="25" t="s">
        <v>5075</v>
      </c>
      <c r="D836" s="24" t="s">
        <v>21559</v>
      </c>
      <c r="G836" s="40">
        <v>5</v>
      </c>
      <c r="H836" s="41">
        <v>15915</v>
      </c>
      <c r="J836" s="41">
        <v>3183</v>
      </c>
    </row>
    <row r="837" spans="1:11" x14ac:dyDescent="0.25">
      <c r="A837" s="24" t="s">
        <v>7</v>
      </c>
      <c r="B837" s="24" t="s">
        <v>5089</v>
      </c>
      <c r="C837" s="25" t="s">
        <v>5090</v>
      </c>
      <c r="E837" s="40">
        <v>11</v>
      </c>
      <c r="F837" s="41">
        <v>305590</v>
      </c>
      <c r="G837" s="40">
        <v>33</v>
      </c>
      <c r="H837" s="41">
        <v>823703</v>
      </c>
      <c r="I837" s="41">
        <v>27780.909090909092</v>
      </c>
      <c r="J837" s="41">
        <v>24960.696969696968</v>
      </c>
      <c r="K837" s="42">
        <v>-0.10151619272009346</v>
      </c>
    </row>
    <row r="838" spans="1:11" x14ac:dyDescent="0.25">
      <c r="A838" s="24" t="s">
        <v>7</v>
      </c>
      <c r="B838" s="24" t="s">
        <v>5092</v>
      </c>
      <c r="C838" s="25" t="s">
        <v>5093</v>
      </c>
      <c r="G838" s="40">
        <v>11</v>
      </c>
      <c r="H838" s="41">
        <v>38206</v>
      </c>
      <c r="J838" s="41">
        <v>3473.2727272727275</v>
      </c>
    </row>
    <row r="839" spans="1:11" x14ac:dyDescent="0.25">
      <c r="A839" s="24" t="s">
        <v>7</v>
      </c>
      <c r="B839" s="24" t="s">
        <v>5098</v>
      </c>
      <c r="C839" s="25" t="s">
        <v>5099</v>
      </c>
      <c r="E839" s="40">
        <v>2</v>
      </c>
      <c r="F839" s="41">
        <v>67794</v>
      </c>
      <c r="G839" s="40">
        <v>22</v>
      </c>
      <c r="H839" s="41">
        <v>671016</v>
      </c>
      <c r="I839" s="41">
        <v>33897</v>
      </c>
      <c r="J839" s="41">
        <v>30500.727272727272</v>
      </c>
      <c r="K839" s="42">
        <v>-0.10019390291980788</v>
      </c>
    </row>
    <row r="840" spans="1:11" x14ac:dyDescent="0.25">
      <c r="A840" s="24" t="s">
        <v>7</v>
      </c>
      <c r="B840" s="24" t="s">
        <v>5107</v>
      </c>
      <c r="C840" s="25" t="s">
        <v>5108</v>
      </c>
      <c r="E840" s="40">
        <v>22</v>
      </c>
      <c r="F840" s="41">
        <v>831656</v>
      </c>
      <c r="G840" s="40">
        <v>29</v>
      </c>
      <c r="H840" s="41">
        <v>965843</v>
      </c>
      <c r="I840" s="41">
        <v>37802.545454545456</v>
      </c>
      <c r="J840" s="41">
        <v>33304.931034482761</v>
      </c>
      <c r="K840" s="42">
        <v>-0.11897649658197534</v>
      </c>
    </row>
    <row r="841" spans="1:11" x14ac:dyDescent="0.25">
      <c r="A841" s="24" t="s">
        <v>7</v>
      </c>
      <c r="B841" s="24" t="s">
        <v>5110</v>
      </c>
      <c r="C841" s="25" t="s">
        <v>5111</v>
      </c>
      <c r="E841" s="40">
        <v>3</v>
      </c>
      <c r="F841" s="41">
        <v>72873</v>
      </c>
      <c r="G841" s="40">
        <v>1</v>
      </c>
      <c r="H841" s="41">
        <v>24291</v>
      </c>
      <c r="I841" s="41">
        <v>24291</v>
      </c>
      <c r="J841" s="41">
        <v>24291</v>
      </c>
      <c r="K841" s="42">
        <v>0</v>
      </c>
    </row>
    <row r="842" spans="1:11" x14ac:dyDescent="0.25">
      <c r="A842" s="24" t="s">
        <v>7</v>
      </c>
      <c r="B842" s="24" t="s">
        <v>5115</v>
      </c>
      <c r="C842" s="25" t="s">
        <v>5116</v>
      </c>
      <c r="E842" s="40">
        <v>1</v>
      </c>
      <c r="F842" s="41">
        <v>16624</v>
      </c>
      <c r="G842" s="40">
        <v>2</v>
      </c>
      <c r="H842" s="41">
        <v>19413</v>
      </c>
      <c r="I842" s="41">
        <v>16624</v>
      </c>
      <c r="J842" s="41">
        <v>9706.5</v>
      </c>
      <c r="K842" s="42">
        <v>-0.41611525505293551</v>
      </c>
    </row>
    <row r="843" spans="1:11" x14ac:dyDescent="0.25">
      <c r="A843" s="24" t="s">
        <v>7</v>
      </c>
      <c r="B843" s="24" t="s">
        <v>5120</v>
      </c>
      <c r="C843" s="25" t="s">
        <v>5121</v>
      </c>
      <c r="E843" s="40">
        <v>1</v>
      </c>
      <c r="F843" s="41">
        <v>18287</v>
      </c>
      <c r="G843" s="40">
        <v>1</v>
      </c>
      <c r="H843" s="41">
        <v>18287</v>
      </c>
      <c r="I843" s="41">
        <v>18287</v>
      </c>
      <c r="J843" s="41">
        <v>18287</v>
      </c>
      <c r="K843" s="42">
        <v>0</v>
      </c>
    </row>
    <row r="844" spans="1:11" x14ac:dyDescent="0.25">
      <c r="A844" s="24" t="s">
        <v>7</v>
      </c>
      <c r="B844" s="24" t="s">
        <v>5122</v>
      </c>
      <c r="C844" s="25" t="s">
        <v>5123</v>
      </c>
      <c r="E844" s="40">
        <v>3</v>
      </c>
      <c r="F844" s="41">
        <v>58152</v>
      </c>
      <c r="G844" s="40">
        <v>0</v>
      </c>
      <c r="H844" s="41">
        <v>0</v>
      </c>
      <c r="I844" s="41">
        <v>19384</v>
      </c>
    </row>
    <row r="845" spans="1:11" x14ac:dyDescent="0.25">
      <c r="A845" s="24" t="s">
        <v>7</v>
      </c>
      <c r="B845" s="24" t="s">
        <v>5125</v>
      </c>
      <c r="C845" s="25" t="s">
        <v>5126</v>
      </c>
      <c r="E845" s="40">
        <v>4</v>
      </c>
      <c r="F845" s="41">
        <v>183529</v>
      </c>
      <c r="G845" s="40">
        <v>1</v>
      </c>
      <c r="H845" s="41">
        <v>46748</v>
      </c>
      <c r="I845" s="41">
        <v>45882.25</v>
      </c>
      <c r="J845" s="41">
        <v>46748</v>
      </c>
      <c r="K845" s="42">
        <v>1.8868952590598762E-2</v>
      </c>
    </row>
    <row r="846" spans="1:11" x14ac:dyDescent="0.25">
      <c r="A846" s="24" t="s">
        <v>7</v>
      </c>
      <c r="B846" s="24" t="s">
        <v>5128</v>
      </c>
      <c r="C846" s="25" t="s">
        <v>5129</v>
      </c>
      <c r="G846" s="40">
        <v>4</v>
      </c>
      <c r="H846" s="41">
        <v>198212</v>
      </c>
      <c r="J846" s="41">
        <v>49553</v>
      </c>
    </row>
    <row r="847" spans="1:11" x14ac:dyDescent="0.25">
      <c r="A847" s="24" t="s">
        <v>7</v>
      </c>
      <c r="B847" s="24" t="s">
        <v>5130</v>
      </c>
      <c r="C847" s="25" t="s">
        <v>5131</v>
      </c>
      <c r="G847" s="40">
        <v>1</v>
      </c>
      <c r="H847" s="41">
        <v>20268</v>
      </c>
      <c r="J847" s="41">
        <v>20268</v>
      </c>
    </row>
    <row r="848" spans="1:11" x14ac:dyDescent="0.25">
      <c r="A848" s="24" t="s">
        <v>7</v>
      </c>
      <c r="B848" s="24" t="s">
        <v>5133</v>
      </c>
      <c r="C848" s="25" t="s">
        <v>5134</v>
      </c>
      <c r="E848" s="40">
        <v>1</v>
      </c>
      <c r="F848" s="41">
        <v>17803</v>
      </c>
      <c r="G848" s="40">
        <v>4</v>
      </c>
      <c r="H848" s="41">
        <v>62781</v>
      </c>
      <c r="I848" s="41">
        <v>17803</v>
      </c>
      <c r="J848" s="41">
        <v>15695.25</v>
      </c>
      <c r="K848" s="42">
        <v>-0.11839296747739145</v>
      </c>
    </row>
    <row r="849" spans="1:11" x14ac:dyDescent="0.25">
      <c r="A849" s="24" t="s">
        <v>7</v>
      </c>
      <c r="B849" s="24" t="s">
        <v>5136</v>
      </c>
      <c r="C849" s="25" t="s">
        <v>5137</v>
      </c>
      <c r="G849" s="40">
        <v>1</v>
      </c>
      <c r="H849" s="41">
        <v>21483</v>
      </c>
      <c r="J849" s="41">
        <v>21483</v>
      </c>
    </row>
    <row r="850" spans="1:11" x14ac:dyDescent="0.25">
      <c r="A850" s="24" t="s">
        <v>7</v>
      </c>
      <c r="B850" s="24" t="s">
        <v>5139</v>
      </c>
      <c r="C850" s="25" t="s">
        <v>5140</v>
      </c>
      <c r="G850" s="40">
        <v>1</v>
      </c>
      <c r="H850" s="41">
        <v>20197</v>
      </c>
      <c r="J850" s="41">
        <v>20197</v>
      </c>
    </row>
    <row r="851" spans="1:11" x14ac:dyDescent="0.25">
      <c r="A851" s="24" t="s">
        <v>7</v>
      </c>
      <c r="B851" s="24" t="s">
        <v>5142</v>
      </c>
      <c r="C851" s="25" t="s">
        <v>5143</v>
      </c>
      <c r="E851" s="40">
        <v>1</v>
      </c>
      <c r="F851" s="41">
        <v>16275</v>
      </c>
      <c r="G851" s="40">
        <v>6</v>
      </c>
      <c r="H851" s="41">
        <v>105018</v>
      </c>
      <c r="I851" s="41">
        <v>16275</v>
      </c>
      <c r="J851" s="41">
        <v>17503</v>
      </c>
      <c r="K851" s="42">
        <v>7.5453149001536102E-2</v>
      </c>
    </row>
    <row r="852" spans="1:11" x14ac:dyDescent="0.25">
      <c r="A852" s="24" t="s">
        <v>7</v>
      </c>
      <c r="B852" s="24" t="s">
        <v>5145</v>
      </c>
      <c r="C852" s="25" t="s">
        <v>5146</v>
      </c>
      <c r="G852" s="40">
        <v>2</v>
      </c>
      <c r="H852" s="41">
        <v>42637</v>
      </c>
      <c r="J852" s="41">
        <v>21318.5</v>
      </c>
    </row>
    <row r="853" spans="1:11" x14ac:dyDescent="0.25">
      <c r="A853" s="24" t="s">
        <v>7</v>
      </c>
      <c r="B853" s="24" t="s">
        <v>5148</v>
      </c>
      <c r="C853" s="25" t="s">
        <v>5149</v>
      </c>
      <c r="E853" s="40">
        <v>7</v>
      </c>
      <c r="F853" s="41">
        <v>474850</v>
      </c>
      <c r="G853" s="40">
        <v>12</v>
      </c>
      <c r="H853" s="41">
        <v>796705</v>
      </c>
      <c r="I853" s="41">
        <v>67835.71428571429</v>
      </c>
      <c r="J853" s="41">
        <v>66392.083333333328</v>
      </c>
      <c r="K853" s="42">
        <v>-2.1281281808290468E-2</v>
      </c>
    </row>
    <row r="854" spans="1:11" x14ac:dyDescent="0.25">
      <c r="A854" s="24" t="s">
        <v>7</v>
      </c>
      <c r="B854" s="24" t="s">
        <v>5151</v>
      </c>
      <c r="C854" s="25" t="s">
        <v>5152</v>
      </c>
      <c r="E854" s="40">
        <v>3</v>
      </c>
      <c r="F854" s="41">
        <v>146097</v>
      </c>
      <c r="G854" s="40">
        <v>1</v>
      </c>
      <c r="H854" s="41">
        <v>48699</v>
      </c>
      <c r="I854" s="41">
        <v>48699</v>
      </c>
      <c r="J854" s="41">
        <v>48699</v>
      </c>
      <c r="K854" s="42">
        <v>0</v>
      </c>
    </row>
    <row r="855" spans="1:11" x14ac:dyDescent="0.25">
      <c r="A855" s="24" t="s">
        <v>7</v>
      </c>
      <c r="B855" s="24" t="s">
        <v>5157</v>
      </c>
      <c r="C855" s="25" t="s">
        <v>5158</v>
      </c>
      <c r="E855" s="40">
        <v>6</v>
      </c>
      <c r="F855" s="41">
        <v>288587</v>
      </c>
      <c r="G855" s="40">
        <v>10</v>
      </c>
      <c r="H855" s="41">
        <v>442710</v>
      </c>
      <c r="I855" s="41">
        <v>48097.833333333336</v>
      </c>
      <c r="J855" s="41">
        <v>44271</v>
      </c>
      <c r="K855" s="42">
        <v>-7.9563528502669956E-2</v>
      </c>
    </row>
    <row r="856" spans="1:11" x14ac:dyDescent="0.25">
      <c r="A856" s="24" t="s">
        <v>7</v>
      </c>
      <c r="B856" s="24" t="s">
        <v>5160</v>
      </c>
      <c r="C856" s="25" t="s">
        <v>5161</v>
      </c>
      <c r="G856" s="40">
        <v>2</v>
      </c>
      <c r="H856" s="41">
        <v>7691</v>
      </c>
      <c r="J856" s="41">
        <v>3845.5</v>
      </c>
    </row>
    <row r="857" spans="1:11" x14ac:dyDescent="0.25">
      <c r="A857" s="24" t="s">
        <v>7</v>
      </c>
      <c r="B857" s="24" t="s">
        <v>5165</v>
      </c>
      <c r="C857" s="25" t="s">
        <v>5166</v>
      </c>
      <c r="E857" s="40">
        <v>26</v>
      </c>
      <c r="F857" s="41">
        <v>208239</v>
      </c>
      <c r="G857" s="40">
        <v>25</v>
      </c>
      <c r="H857" s="41">
        <v>190254</v>
      </c>
      <c r="I857" s="41">
        <v>8009.1923076923076</v>
      </c>
      <c r="J857" s="41">
        <v>7610.16</v>
      </c>
      <c r="K857" s="42">
        <v>-4.9821791307103867E-2</v>
      </c>
    </row>
    <row r="858" spans="1:11" x14ac:dyDescent="0.25">
      <c r="A858" s="24" t="s">
        <v>7</v>
      </c>
      <c r="B858" s="24" t="s">
        <v>5168</v>
      </c>
      <c r="C858" s="25" t="s">
        <v>5169</v>
      </c>
      <c r="E858" s="40">
        <v>5</v>
      </c>
      <c r="F858" s="41">
        <v>50960</v>
      </c>
      <c r="G858" s="40">
        <v>12</v>
      </c>
      <c r="H858" s="41">
        <v>102092</v>
      </c>
      <c r="I858" s="41">
        <v>10192</v>
      </c>
      <c r="J858" s="41">
        <v>8507.6666666666661</v>
      </c>
      <c r="K858" s="42">
        <v>-0.16526033490319211</v>
      </c>
    </row>
    <row r="859" spans="1:11" x14ac:dyDescent="0.25">
      <c r="A859" s="24" t="s">
        <v>7</v>
      </c>
      <c r="B859" s="24" t="s">
        <v>5171</v>
      </c>
      <c r="C859" s="25" t="s">
        <v>5172</v>
      </c>
      <c r="E859" s="40">
        <v>46</v>
      </c>
      <c r="F859" s="41">
        <v>481181</v>
      </c>
      <c r="G859" s="40">
        <v>66</v>
      </c>
      <c r="H859" s="41">
        <v>598928</v>
      </c>
      <c r="I859" s="41">
        <v>10460.45652173913</v>
      </c>
      <c r="J859" s="41">
        <v>9074.6666666666661</v>
      </c>
      <c r="K859" s="42">
        <v>-0.1324789077983822</v>
      </c>
    </row>
    <row r="860" spans="1:11" x14ac:dyDescent="0.25">
      <c r="A860" s="24" t="s">
        <v>7</v>
      </c>
      <c r="B860" s="24" t="s">
        <v>5174</v>
      </c>
      <c r="C860" s="25" t="s">
        <v>5175</v>
      </c>
      <c r="G860" s="40">
        <v>3</v>
      </c>
      <c r="H860" s="41">
        <v>6684</v>
      </c>
      <c r="J860" s="41">
        <v>2228</v>
      </c>
    </row>
    <row r="861" spans="1:11" x14ac:dyDescent="0.25">
      <c r="A861" s="24" t="s">
        <v>7</v>
      </c>
      <c r="B861" s="24" t="s">
        <v>5177</v>
      </c>
      <c r="C861" s="25" t="s">
        <v>5178</v>
      </c>
      <c r="G861" s="40">
        <v>3</v>
      </c>
      <c r="H861" s="41">
        <v>63939</v>
      </c>
      <c r="J861" s="41">
        <v>21313</v>
      </c>
    </row>
    <row r="862" spans="1:11" x14ac:dyDescent="0.25">
      <c r="A862" s="24" t="s">
        <v>7</v>
      </c>
      <c r="B862" s="24" t="s">
        <v>5180</v>
      </c>
      <c r="C862" s="25" t="s">
        <v>5181</v>
      </c>
      <c r="E862" s="40">
        <v>3</v>
      </c>
      <c r="F862" s="41">
        <v>70422</v>
      </c>
      <c r="G862" s="40">
        <v>5</v>
      </c>
      <c r="H862" s="41">
        <v>83134</v>
      </c>
      <c r="I862" s="41">
        <v>23474</v>
      </c>
      <c r="J862" s="41">
        <v>16626.8</v>
      </c>
      <c r="K862" s="42">
        <v>-0.2916929368663202</v>
      </c>
    </row>
    <row r="863" spans="1:11" x14ac:dyDescent="0.25">
      <c r="A863" s="24" t="s">
        <v>7</v>
      </c>
      <c r="B863" s="24" t="s">
        <v>5192</v>
      </c>
      <c r="C863" s="25" t="s">
        <v>5193</v>
      </c>
      <c r="G863" s="40">
        <v>1</v>
      </c>
      <c r="H863" s="41">
        <v>42732</v>
      </c>
      <c r="J863" s="41">
        <v>42732</v>
      </c>
    </row>
    <row r="864" spans="1:11" x14ac:dyDescent="0.25">
      <c r="A864" s="24" t="s">
        <v>7</v>
      </c>
      <c r="B864" s="24" t="s">
        <v>5198</v>
      </c>
      <c r="C864" s="25" t="s">
        <v>5199</v>
      </c>
      <c r="G864" s="40">
        <v>17</v>
      </c>
      <c r="H864" s="41">
        <v>328156</v>
      </c>
      <c r="J864" s="41">
        <v>19303.294117647059</v>
      </c>
    </row>
    <row r="865" spans="1:11" x14ac:dyDescent="0.25">
      <c r="A865" s="24" t="s">
        <v>7</v>
      </c>
      <c r="B865" s="24" t="s">
        <v>5201</v>
      </c>
      <c r="C865" s="25" t="s">
        <v>5202</v>
      </c>
      <c r="G865" s="40">
        <v>1</v>
      </c>
      <c r="H865" s="41">
        <v>5737</v>
      </c>
      <c r="J865" s="41">
        <v>5737</v>
      </c>
    </row>
    <row r="866" spans="1:11" x14ac:dyDescent="0.25">
      <c r="A866" s="24" t="s">
        <v>7</v>
      </c>
      <c r="B866" s="24" t="s">
        <v>5204</v>
      </c>
      <c r="C866" s="25" t="s">
        <v>5205</v>
      </c>
      <c r="G866" s="40">
        <v>1</v>
      </c>
      <c r="H866" s="41">
        <v>3207</v>
      </c>
      <c r="J866" s="41">
        <v>3207</v>
      </c>
    </row>
    <row r="867" spans="1:11" x14ac:dyDescent="0.25">
      <c r="A867" s="24" t="s">
        <v>7</v>
      </c>
      <c r="B867" s="24" t="s">
        <v>5207</v>
      </c>
      <c r="C867" s="25" t="s">
        <v>5208</v>
      </c>
      <c r="E867" s="40">
        <v>9</v>
      </c>
      <c r="F867" s="41">
        <v>13554</v>
      </c>
      <c r="G867" s="40">
        <v>9</v>
      </c>
      <c r="H867" s="41">
        <v>14007</v>
      </c>
      <c r="I867" s="41">
        <v>1506</v>
      </c>
      <c r="J867" s="41">
        <v>1556.3333333333333</v>
      </c>
      <c r="K867" s="42">
        <v>3.3421868083222617E-2</v>
      </c>
    </row>
    <row r="868" spans="1:11" x14ac:dyDescent="0.25">
      <c r="A868" s="24" t="s">
        <v>7</v>
      </c>
      <c r="B868" s="24" t="s">
        <v>5212</v>
      </c>
      <c r="C868" s="25" t="s">
        <v>5213</v>
      </c>
      <c r="G868" s="40">
        <v>1</v>
      </c>
      <c r="H868" s="41">
        <v>5282</v>
      </c>
      <c r="J868" s="41">
        <v>5282</v>
      </c>
    </row>
    <row r="869" spans="1:11" x14ac:dyDescent="0.25">
      <c r="A869" s="24" t="s">
        <v>7</v>
      </c>
      <c r="B869" s="24" t="s">
        <v>5224</v>
      </c>
      <c r="C869" s="25" t="s">
        <v>5225</v>
      </c>
      <c r="E869" s="40">
        <v>2</v>
      </c>
      <c r="F869" s="41">
        <v>56298</v>
      </c>
      <c r="G869" s="40">
        <v>1</v>
      </c>
      <c r="H869" s="41">
        <v>28149</v>
      </c>
      <c r="I869" s="41">
        <v>28149</v>
      </c>
      <c r="J869" s="41">
        <v>28149</v>
      </c>
      <c r="K869" s="42">
        <v>0</v>
      </c>
    </row>
    <row r="870" spans="1:11" x14ac:dyDescent="0.25">
      <c r="A870" s="24" t="s">
        <v>7</v>
      </c>
      <c r="B870" s="24" t="s">
        <v>5227</v>
      </c>
      <c r="C870" s="25" t="s">
        <v>5228</v>
      </c>
      <c r="G870" s="40">
        <v>6</v>
      </c>
      <c r="H870" s="41">
        <v>327810</v>
      </c>
      <c r="J870" s="41">
        <v>54635</v>
      </c>
    </row>
    <row r="871" spans="1:11" x14ac:dyDescent="0.25">
      <c r="A871" s="24" t="s">
        <v>7</v>
      </c>
      <c r="B871" s="24" t="s">
        <v>5230</v>
      </c>
      <c r="C871" s="25" t="s">
        <v>5231</v>
      </c>
      <c r="E871" s="40">
        <v>19</v>
      </c>
      <c r="F871" s="41">
        <v>1598610</v>
      </c>
      <c r="G871" s="40">
        <v>31</v>
      </c>
      <c r="H871" s="41">
        <v>2490808</v>
      </c>
      <c r="I871" s="41">
        <v>84137.368421052626</v>
      </c>
      <c r="J871" s="41">
        <v>80348.645161290318</v>
      </c>
      <c r="K871" s="42">
        <v>-4.5030208703488561E-2</v>
      </c>
    </row>
    <row r="872" spans="1:11" x14ac:dyDescent="0.25">
      <c r="A872" s="24" t="s">
        <v>7</v>
      </c>
      <c r="B872" s="24" t="s">
        <v>5232</v>
      </c>
      <c r="C872" s="25" t="s">
        <v>5233</v>
      </c>
      <c r="E872" s="40">
        <v>3</v>
      </c>
      <c r="F872" s="41">
        <v>39281</v>
      </c>
      <c r="G872" s="40">
        <v>2</v>
      </c>
      <c r="H872" s="41">
        <v>26850</v>
      </c>
      <c r="I872" s="41">
        <v>13093.666666666666</v>
      </c>
      <c r="J872" s="41">
        <v>13425</v>
      </c>
      <c r="K872" s="42">
        <v>2.5304854764389956E-2</v>
      </c>
    </row>
    <row r="873" spans="1:11" x14ac:dyDescent="0.25">
      <c r="A873" s="24" t="s">
        <v>7</v>
      </c>
      <c r="B873" s="24" t="s">
        <v>5235</v>
      </c>
      <c r="C873" s="25" t="s">
        <v>5236</v>
      </c>
      <c r="E873" s="40">
        <v>4</v>
      </c>
      <c r="F873" s="41">
        <v>8979</v>
      </c>
      <c r="G873" s="40">
        <v>5</v>
      </c>
      <c r="H873" s="41">
        <v>11435</v>
      </c>
      <c r="I873" s="41">
        <v>2244.75</v>
      </c>
      <c r="J873" s="41">
        <v>2287</v>
      </c>
      <c r="K873" s="42">
        <v>1.8821695066265732E-2</v>
      </c>
    </row>
    <row r="874" spans="1:11" x14ac:dyDescent="0.25">
      <c r="A874" s="24" t="s">
        <v>7</v>
      </c>
      <c r="B874" s="24" t="s">
        <v>5238</v>
      </c>
      <c r="C874" s="25" t="s">
        <v>5239</v>
      </c>
      <c r="E874" s="40">
        <v>15</v>
      </c>
      <c r="F874" s="41">
        <v>193423</v>
      </c>
      <c r="G874" s="40">
        <v>10</v>
      </c>
      <c r="H874" s="41">
        <v>110130</v>
      </c>
      <c r="I874" s="41">
        <v>12894.866666666667</v>
      </c>
      <c r="J874" s="41">
        <v>11013</v>
      </c>
      <c r="K874" s="42">
        <v>-0.14593921095216186</v>
      </c>
    </row>
    <row r="875" spans="1:11" x14ac:dyDescent="0.25">
      <c r="A875" s="24" t="s">
        <v>7</v>
      </c>
      <c r="B875" s="24" t="s">
        <v>5240</v>
      </c>
      <c r="C875" s="25" t="s">
        <v>5241</v>
      </c>
      <c r="E875" s="40">
        <v>7</v>
      </c>
      <c r="F875" s="41">
        <v>91987</v>
      </c>
      <c r="G875" s="40">
        <v>9</v>
      </c>
      <c r="H875" s="41">
        <v>98941</v>
      </c>
      <c r="I875" s="41">
        <v>13141</v>
      </c>
      <c r="J875" s="41">
        <v>10993.444444444445</v>
      </c>
      <c r="K875" s="42">
        <v>-0.16342405871361043</v>
      </c>
    </row>
    <row r="876" spans="1:11" x14ac:dyDescent="0.25">
      <c r="A876" s="24" t="s">
        <v>7</v>
      </c>
      <c r="B876" s="24" t="s">
        <v>5242</v>
      </c>
      <c r="C876" s="25" t="s">
        <v>5243</v>
      </c>
      <c r="E876" s="40">
        <v>119</v>
      </c>
      <c r="F876" s="41">
        <v>1572725</v>
      </c>
      <c r="G876" s="40">
        <v>164</v>
      </c>
      <c r="H876" s="41">
        <v>1918578</v>
      </c>
      <c r="I876" s="41">
        <v>13216.176470588236</v>
      </c>
      <c r="J876" s="41">
        <v>11698.646341463415</v>
      </c>
      <c r="K876" s="42">
        <v>-0.1148236884171446</v>
      </c>
    </row>
    <row r="877" spans="1:11" x14ac:dyDescent="0.25">
      <c r="A877" s="24" t="s">
        <v>7</v>
      </c>
      <c r="B877" s="24" t="s">
        <v>5244</v>
      </c>
      <c r="C877" s="25" t="s">
        <v>5245</v>
      </c>
      <c r="G877" s="40">
        <v>1</v>
      </c>
      <c r="H877" s="41">
        <v>12140</v>
      </c>
      <c r="J877" s="41">
        <v>12140</v>
      </c>
    </row>
    <row r="878" spans="1:11" x14ac:dyDescent="0.25">
      <c r="A878" s="24" t="s">
        <v>7</v>
      </c>
      <c r="B878" s="24" t="s">
        <v>5246</v>
      </c>
      <c r="C878" s="25" t="s">
        <v>5247</v>
      </c>
      <c r="E878" s="40">
        <v>5</v>
      </c>
      <c r="F878" s="41">
        <v>64143</v>
      </c>
      <c r="G878" s="40">
        <v>2</v>
      </c>
      <c r="H878" s="41">
        <v>26850</v>
      </c>
      <c r="I878" s="41">
        <v>12828.6</v>
      </c>
      <c r="J878" s="41">
        <v>13425</v>
      </c>
      <c r="K878" s="42">
        <v>4.6489874187362584E-2</v>
      </c>
    </row>
    <row r="879" spans="1:11" x14ac:dyDescent="0.25">
      <c r="A879" s="24" t="s">
        <v>7</v>
      </c>
      <c r="B879" s="24" t="s">
        <v>5248</v>
      </c>
      <c r="C879" s="25" t="s">
        <v>5249</v>
      </c>
      <c r="G879" s="40">
        <v>3</v>
      </c>
      <c r="H879" s="41">
        <v>37854</v>
      </c>
      <c r="J879" s="41">
        <v>12618</v>
      </c>
    </row>
    <row r="880" spans="1:11" x14ac:dyDescent="0.25">
      <c r="A880" s="24" t="s">
        <v>7</v>
      </c>
      <c r="B880" s="24" t="s">
        <v>5250</v>
      </c>
      <c r="C880" s="25" t="s">
        <v>5251</v>
      </c>
      <c r="E880" s="40">
        <v>3</v>
      </c>
      <c r="F880" s="41">
        <v>36919</v>
      </c>
      <c r="G880" s="40">
        <v>4</v>
      </c>
      <c r="H880" s="41">
        <v>42797</v>
      </c>
      <c r="I880" s="41">
        <v>12306.333333333334</v>
      </c>
      <c r="J880" s="41">
        <v>10699.25</v>
      </c>
      <c r="K880" s="42">
        <v>-0.13058994013922376</v>
      </c>
    </row>
    <row r="881" spans="1:11" x14ac:dyDescent="0.25">
      <c r="A881" s="24" t="s">
        <v>7</v>
      </c>
      <c r="B881" s="24" t="s">
        <v>5252</v>
      </c>
      <c r="C881" s="25" t="s">
        <v>5253</v>
      </c>
      <c r="G881" s="40">
        <v>1</v>
      </c>
      <c r="H881" s="41">
        <v>10664</v>
      </c>
      <c r="J881" s="41">
        <v>10664</v>
      </c>
    </row>
    <row r="882" spans="1:11" x14ac:dyDescent="0.25">
      <c r="A882" s="24" t="s">
        <v>7</v>
      </c>
      <c r="B882" s="24" t="s">
        <v>5254</v>
      </c>
      <c r="C882" s="25" t="s">
        <v>5255</v>
      </c>
      <c r="E882" s="40">
        <v>3</v>
      </c>
      <c r="F882" s="41">
        <v>15243</v>
      </c>
      <c r="G882" s="40">
        <v>19</v>
      </c>
      <c r="H882" s="41">
        <v>88899</v>
      </c>
      <c r="I882" s="41">
        <v>5081</v>
      </c>
      <c r="J882" s="41">
        <v>4678.894736842105</v>
      </c>
      <c r="K882" s="42">
        <v>-7.9139000818322189E-2</v>
      </c>
    </row>
    <row r="883" spans="1:11" x14ac:dyDescent="0.25">
      <c r="A883" s="24" t="s">
        <v>7</v>
      </c>
      <c r="B883" s="24" t="s">
        <v>5266</v>
      </c>
      <c r="C883" s="25" t="s">
        <v>5267</v>
      </c>
      <c r="G883" s="40">
        <v>1</v>
      </c>
      <c r="H883" s="41">
        <v>50553</v>
      </c>
      <c r="J883" s="41">
        <v>50553</v>
      </c>
    </row>
    <row r="884" spans="1:11" x14ac:dyDescent="0.25">
      <c r="A884" s="24" t="s">
        <v>7</v>
      </c>
      <c r="B884" s="24" t="s">
        <v>5269</v>
      </c>
      <c r="C884" s="25" t="s">
        <v>5270</v>
      </c>
      <c r="G884" s="40">
        <v>18</v>
      </c>
      <c r="H884" s="41">
        <v>49608</v>
      </c>
      <c r="J884" s="41">
        <v>2756</v>
      </c>
    </row>
    <row r="885" spans="1:11" x14ac:dyDescent="0.25">
      <c r="A885" s="24" t="s">
        <v>7</v>
      </c>
      <c r="B885" s="24" t="s">
        <v>5271</v>
      </c>
      <c r="C885" s="25" t="s">
        <v>5272</v>
      </c>
      <c r="G885" s="40">
        <v>1</v>
      </c>
      <c r="H885" s="41">
        <v>2863</v>
      </c>
      <c r="J885" s="41">
        <v>2863</v>
      </c>
    </row>
    <row r="886" spans="1:11" x14ac:dyDescent="0.25">
      <c r="A886" s="24" t="s">
        <v>7</v>
      </c>
      <c r="B886" s="24" t="s">
        <v>5276</v>
      </c>
      <c r="C886" s="25" t="s">
        <v>5277</v>
      </c>
      <c r="E886" s="40">
        <v>10</v>
      </c>
      <c r="F886" s="41">
        <v>35684</v>
      </c>
      <c r="G886" s="40">
        <v>2</v>
      </c>
      <c r="H886" s="41">
        <v>7244</v>
      </c>
      <c r="I886" s="41">
        <v>3568.4</v>
      </c>
      <c r="J886" s="41">
        <v>3622</v>
      </c>
      <c r="K886" s="42">
        <v>1.5020737585472455E-2</v>
      </c>
    </row>
    <row r="887" spans="1:11" x14ac:dyDescent="0.25">
      <c r="A887" s="24" t="s">
        <v>7</v>
      </c>
      <c r="B887" s="24" t="s">
        <v>5281</v>
      </c>
      <c r="C887" s="25" t="s">
        <v>5282</v>
      </c>
      <c r="D887" s="24" t="s">
        <v>21560</v>
      </c>
      <c r="G887" s="40">
        <v>279</v>
      </c>
      <c r="H887" s="41">
        <v>209842</v>
      </c>
      <c r="J887" s="41">
        <v>752.12186379928312</v>
      </c>
    </row>
    <row r="888" spans="1:11" x14ac:dyDescent="0.25">
      <c r="A888" s="24" t="s">
        <v>7</v>
      </c>
      <c r="B888" s="24" t="s">
        <v>5284</v>
      </c>
      <c r="C888" s="25" t="s">
        <v>5285</v>
      </c>
      <c r="D888" s="24" t="s">
        <v>21561</v>
      </c>
      <c r="G888" s="40">
        <v>227</v>
      </c>
      <c r="H888" s="41">
        <v>76839</v>
      </c>
      <c r="J888" s="41">
        <v>338.49779735682819</v>
      </c>
    </row>
    <row r="889" spans="1:11" x14ac:dyDescent="0.25">
      <c r="A889" s="24" t="s">
        <v>7</v>
      </c>
      <c r="B889" s="24" t="s">
        <v>5287</v>
      </c>
      <c r="C889" s="25" t="s">
        <v>5288</v>
      </c>
      <c r="D889" s="24" t="s">
        <v>21562</v>
      </c>
      <c r="E889" s="40">
        <v>1695</v>
      </c>
      <c r="F889" s="41">
        <v>1288956</v>
      </c>
      <c r="G889" s="40">
        <v>1545</v>
      </c>
      <c r="H889" s="41">
        <v>1202010</v>
      </c>
      <c r="I889" s="41">
        <v>760.44601769911503</v>
      </c>
      <c r="J889" s="41">
        <v>778</v>
      </c>
      <c r="K889" s="42">
        <v>2.3083798050515317E-2</v>
      </c>
    </row>
    <row r="890" spans="1:11" x14ac:dyDescent="0.25">
      <c r="A890" s="24" t="s">
        <v>7</v>
      </c>
      <c r="B890" s="24" t="s">
        <v>5289</v>
      </c>
      <c r="C890" s="25" t="s">
        <v>5290</v>
      </c>
      <c r="D890" s="24" t="s">
        <v>21563</v>
      </c>
      <c r="E890" s="40">
        <v>2241</v>
      </c>
      <c r="F890" s="41">
        <v>1704174</v>
      </c>
      <c r="G890" s="40">
        <v>2655</v>
      </c>
      <c r="H890" s="41">
        <v>2065590</v>
      </c>
      <c r="I890" s="41">
        <v>760.45247657295852</v>
      </c>
      <c r="J890" s="41">
        <v>778</v>
      </c>
      <c r="K890" s="42">
        <v>2.3075108527650323E-2</v>
      </c>
    </row>
    <row r="891" spans="1:11" x14ac:dyDescent="0.25">
      <c r="A891" s="24" t="s">
        <v>7</v>
      </c>
      <c r="B891" s="24" t="s">
        <v>5297</v>
      </c>
      <c r="C891" s="25" t="s">
        <v>5298</v>
      </c>
      <c r="E891" s="40">
        <v>2</v>
      </c>
      <c r="F891" s="41">
        <v>25942</v>
      </c>
      <c r="G891" s="40">
        <v>2</v>
      </c>
      <c r="H891" s="41">
        <v>25942</v>
      </c>
      <c r="I891" s="41">
        <v>12971</v>
      </c>
      <c r="J891" s="41">
        <v>12971</v>
      </c>
      <c r="K891" s="42">
        <v>0</v>
      </c>
    </row>
    <row r="892" spans="1:11" x14ac:dyDescent="0.25">
      <c r="A892" s="24" t="s">
        <v>7</v>
      </c>
      <c r="B892" s="24" t="s">
        <v>5300</v>
      </c>
      <c r="C892" s="25" t="s">
        <v>5301</v>
      </c>
      <c r="E892" s="40">
        <v>6</v>
      </c>
      <c r="F892" s="41">
        <v>153724</v>
      </c>
      <c r="G892" s="40">
        <v>5</v>
      </c>
      <c r="H892" s="41">
        <v>129705</v>
      </c>
      <c r="I892" s="41">
        <v>25620.666666666668</v>
      </c>
      <c r="J892" s="41">
        <v>25941</v>
      </c>
      <c r="K892" s="42">
        <v>1.2502927324295443E-2</v>
      </c>
    </row>
    <row r="893" spans="1:11" x14ac:dyDescent="0.25">
      <c r="A893" s="24" t="s">
        <v>7</v>
      </c>
      <c r="B893" s="24" t="s">
        <v>5309</v>
      </c>
      <c r="C893" s="25" t="s">
        <v>5310</v>
      </c>
      <c r="G893" s="40">
        <v>2</v>
      </c>
      <c r="H893" s="41">
        <v>26168</v>
      </c>
      <c r="J893" s="41">
        <v>13084</v>
      </c>
    </row>
    <row r="894" spans="1:11" x14ac:dyDescent="0.25">
      <c r="A894" s="24" t="s">
        <v>7</v>
      </c>
      <c r="B894" s="24" t="s">
        <v>5312</v>
      </c>
      <c r="C894" s="25" t="s">
        <v>5313</v>
      </c>
      <c r="E894" s="40">
        <v>7</v>
      </c>
      <c r="F894" s="41">
        <v>62363</v>
      </c>
      <c r="G894" s="40">
        <v>4</v>
      </c>
      <c r="H894" s="41">
        <v>29167</v>
      </c>
      <c r="I894" s="41">
        <v>8909</v>
      </c>
      <c r="J894" s="41">
        <v>7291.75</v>
      </c>
      <c r="K894" s="42">
        <v>-0.18152991357054662</v>
      </c>
    </row>
    <row r="895" spans="1:11" x14ac:dyDescent="0.25">
      <c r="A895" s="24" t="s">
        <v>7</v>
      </c>
      <c r="B895" s="24" t="s">
        <v>5321</v>
      </c>
      <c r="C895" s="25" t="s">
        <v>5322</v>
      </c>
      <c r="G895" s="40">
        <v>1</v>
      </c>
      <c r="H895" s="41">
        <v>8864</v>
      </c>
      <c r="J895" s="41">
        <v>8864</v>
      </c>
    </row>
    <row r="896" spans="1:11" x14ac:dyDescent="0.25">
      <c r="A896" s="24" t="s">
        <v>7</v>
      </c>
      <c r="B896" s="24" t="s">
        <v>5324</v>
      </c>
      <c r="C896" s="25" t="s">
        <v>5325</v>
      </c>
      <c r="E896" s="40">
        <v>2</v>
      </c>
      <c r="F896" s="41">
        <v>8337</v>
      </c>
      <c r="G896" s="40">
        <v>5</v>
      </c>
      <c r="H896" s="41">
        <v>19205</v>
      </c>
      <c r="I896" s="41">
        <v>4168.5</v>
      </c>
      <c r="J896" s="41">
        <v>3841</v>
      </c>
      <c r="K896" s="42">
        <v>-7.8565431210267489E-2</v>
      </c>
    </row>
    <row r="897" spans="1:11" x14ac:dyDescent="0.25">
      <c r="A897" s="24" t="s">
        <v>7</v>
      </c>
      <c r="B897" s="24" t="s">
        <v>5342</v>
      </c>
      <c r="C897" s="25" t="s">
        <v>5343</v>
      </c>
      <c r="D897" s="24" t="s">
        <v>21564</v>
      </c>
      <c r="E897" s="40">
        <v>147</v>
      </c>
      <c r="F897" s="41">
        <v>11299647</v>
      </c>
      <c r="G897" s="40">
        <v>185</v>
      </c>
      <c r="H897" s="41">
        <v>12103215</v>
      </c>
      <c r="I897" s="41">
        <v>76868.346938775503</v>
      </c>
      <c r="J897" s="41">
        <v>65422.783783783787</v>
      </c>
      <c r="K897" s="42">
        <v>-0.14889826060794487</v>
      </c>
    </row>
    <row r="898" spans="1:11" x14ac:dyDescent="0.25">
      <c r="A898" s="24" t="s">
        <v>7</v>
      </c>
      <c r="B898" s="24" t="s">
        <v>5345</v>
      </c>
      <c r="C898" s="25" t="s">
        <v>5346</v>
      </c>
      <c r="D898" s="24" t="s">
        <v>21565</v>
      </c>
      <c r="E898" s="40">
        <v>9</v>
      </c>
      <c r="F898" s="41">
        <v>325362</v>
      </c>
      <c r="G898" s="40">
        <v>20</v>
      </c>
      <c r="H898" s="41">
        <v>660631</v>
      </c>
      <c r="I898" s="41">
        <v>36151.333333333336</v>
      </c>
      <c r="J898" s="41">
        <v>33031.550000000003</v>
      </c>
      <c r="K898" s="42">
        <v>-8.6297877441127088E-2</v>
      </c>
    </row>
    <row r="899" spans="1:11" x14ac:dyDescent="0.25">
      <c r="A899" s="24" t="s">
        <v>7</v>
      </c>
      <c r="B899" s="24" t="s">
        <v>5348</v>
      </c>
      <c r="C899" s="25" t="s">
        <v>5349</v>
      </c>
      <c r="D899" s="24" t="s">
        <v>21566</v>
      </c>
      <c r="E899" s="40">
        <v>6</v>
      </c>
      <c r="F899" s="41">
        <v>449070</v>
      </c>
      <c r="G899" s="40">
        <v>3</v>
      </c>
      <c r="H899" s="41">
        <v>165845</v>
      </c>
      <c r="I899" s="41">
        <v>74845</v>
      </c>
      <c r="J899" s="41">
        <v>55281.666666666664</v>
      </c>
      <c r="K899" s="42">
        <v>-0.26138463936580048</v>
      </c>
    </row>
    <row r="900" spans="1:11" x14ac:dyDescent="0.25">
      <c r="A900" s="24" t="s">
        <v>7</v>
      </c>
      <c r="B900" s="24" t="s">
        <v>5354</v>
      </c>
      <c r="C900" s="25" t="s">
        <v>5355</v>
      </c>
      <c r="D900" s="24" t="s">
        <v>21567</v>
      </c>
      <c r="E900" s="40">
        <v>2</v>
      </c>
      <c r="F900" s="41">
        <v>163342</v>
      </c>
      <c r="G900" s="40">
        <v>0</v>
      </c>
      <c r="H900" s="41">
        <v>0</v>
      </c>
      <c r="I900" s="41">
        <v>81671</v>
      </c>
    </row>
    <row r="901" spans="1:11" x14ac:dyDescent="0.25">
      <c r="A901" s="24" t="s">
        <v>7</v>
      </c>
      <c r="B901" s="24" t="s">
        <v>5360</v>
      </c>
      <c r="C901" s="25" t="s">
        <v>5361</v>
      </c>
      <c r="D901" s="24" t="s">
        <v>21568</v>
      </c>
      <c r="E901" s="40">
        <v>45</v>
      </c>
      <c r="F901" s="41">
        <v>3572345</v>
      </c>
      <c r="G901" s="40">
        <v>46</v>
      </c>
      <c r="H901" s="41">
        <v>3390406</v>
      </c>
      <c r="I901" s="41">
        <v>79385.444444444438</v>
      </c>
      <c r="J901" s="41">
        <v>73704.478260869568</v>
      </c>
      <c r="K901" s="42">
        <v>-7.1561811152301688E-2</v>
      </c>
    </row>
    <row r="902" spans="1:11" x14ac:dyDescent="0.25">
      <c r="A902" s="24" t="s">
        <v>7</v>
      </c>
      <c r="B902" s="24" t="s">
        <v>5363</v>
      </c>
      <c r="C902" s="25" t="s">
        <v>5364</v>
      </c>
      <c r="D902" s="24" t="s">
        <v>21569</v>
      </c>
      <c r="G902" s="40">
        <v>2</v>
      </c>
      <c r="H902" s="41">
        <v>90050</v>
      </c>
      <c r="J902" s="41">
        <v>45025</v>
      </c>
    </row>
    <row r="903" spans="1:11" x14ac:dyDescent="0.25">
      <c r="A903" s="24" t="s">
        <v>7</v>
      </c>
      <c r="B903" s="24" t="s">
        <v>5369</v>
      </c>
      <c r="C903" s="25" t="s">
        <v>5370</v>
      </c>
      <c r="G903" s="40">
        <v>2</v>
      </c>
      <c r="H903" s="41">
        <v>85420</v>
      </c>
      <c r="J903" s="41">
        <v>42710</v>
      </c>
    </row>
    <row r="904" spans="1:11" x14ac:dyDescent="0.25">
      <c r="A904" s="24" t="s">
        <v>7</v>
      </c>
      <c r="B904" s="24" t="s">
        <v>5372</v>
      </c>
      <c r="C904" s="25" t="s">
        <v>5373</v>
      </c>
      <c r="G904" s="40">
        <v>5</v>
      </c>
      <c r="H904" s="41">
        <v>343630.5</v>
      </c>
      <c r="J904" s="41">
        <v>68726.100000000006</v>
      </c>
    </row>
    <row r="905" spans="1:11" x14ac:dyDescent="0.25">
      <c r="A905" s="24" t="s">
        <v>7</v>
      </c>
      <c r="B905" s="24" t="s">
        <v>5375</v>
      </c>
      <c r="C905" s="25" t="s">
        <v>5376</v>
      </c>
      <c r="G905" s="40">
        <v>5</v>
      </c>
      <c r="H905" s="41">
        <v>547724</v>
      </c>
      <c r="J905" s="41">
        <v>109544.8</v>
      </c>
    </row>
    <row r="906" spans="1:11" x14ac:dyDescent="0.25">
      <c r="A906" s="24" t="s">
        <v>7</v>
      </c>
      <c r="B906" s="24" t="s">
        <v>5378</v>
      </c>
      <c r="C906" s="25" t="s">
        <v>5379</v>
      </c>
      <c r="G906" s="40">
        <v>3</v>
      </c>
      <c r="H906" s="41">
        <v>328634.40000000002</v>
      </c>
      <c r="J906" s="41">
        <v>109544.8</v>
      </c>
    </row>
    <row r="907" spans="1:11" x14ac:dyDescent="0.25">
      <c r="A907" s="24" t="s">
        <v>7</v>
      </c>
      <c r="B907" s="24" t="s">
        <v>5380</v>
      </c>
      <c r="C907" s="25" t="s">
        <v>5381</v>
      </c>
      <c r="G907" s="40">
        <v>1</v>
      </c>
      <c r="H907" s="41">
        <v>109544.8</v>
      </c>
      <c r="J907" s="41">
        <v>109544.8</v>
      </c>
    </row>
    <row r="908" spans="1:11" x14ac:dyDescent="0.25">
      <c r="A908" s="24" t="s">
        <v>7</v>
      </c>
      <c r="B908" s="24" t="s">
        <v>5383</v>
      </c>
      <c r="C908" s="25" t="s">
        <v>5384</v>
      </c>
      <c r="G908" s="40">
        <v>14</v>
      </c>
      <c r="H908" s="41">
        <v>962165.4</v>
      </c>
      <c r="J908" s="41">
        <v>68726.100000000006</v>
      </c>
    </row>
    <row r="909" spans="1:11" x14ac:dyDescent="0.25">
      <c r="A909" s="24" t="s">
        <v>7</v>
      </c>
      <c r="B909" s="24" t="s">
        <v>5388</v>
      </c>
      <c r="C909" s="25" t="s">
        <v>5379</v>
      </c>
      <c r="G909" s="40">
        <v>2</v>
      </c>
      <c r="H909" s="41">
        <v>219089.6</v>
      </c>
      <c r="J909" s="41">
        <v>109544.8</v>
      </c>
    </row>
    <row r="910" spans="1:11" x14ac:dyDescent="0.25">
      <c r="A910" s="24" t="s">
        <v>7</v>
      </c>
      <c r="B910" s="24" t="s">
        <v>5442</v>
      </c>
      <c r="C910" s="25" t="s">
        <v>4198</v>
      </c>
      <c r="D910" s="24" t="s">
        <v>21570</v>
      </c>
      <c r="E910" s="40">
        <v>5</v>
      </c>
      <c r="F910" s="41">
        <v>7971</v>
      </c>
      <c r="G910" s="40">
        <v>0</v>
      </c>
      <c r="H910" s="41">
        <v>0</v>
      </c>
      <c r="I910" s="41">
        <v>1594.2</v>
      </c>
    </row>
    <row r="911" spans="1:11" x14ac:dyDescent="0.25">
      <c r="A911" s="24" t="s">
        <v>7</v>
      </c>
      <c r="B911" s="24" t="s">
        <v>5443</v>
      </c>
      <c r="C911" s="25" t="s">
        <v>4252</v>
      </c>
      <c r="D911" s="24" t="s">
        <v>21571</v>
      </c>
      <c r="G911" s="40">
        <v>2</v>
      </c>
      <c r="H911" s="41">
        <v>2540</v>
      </c>
      <c r="J911" s="41">
        <v>1270</v>
      </c>
    </row>
    <row r="912" spans="1:11" x14ac:dyDescent="0.25">
      <c r="A912" s="24" t="s">
        <v>7</v>
      </c>
      <c r="B912" s="24" t="s">
        <v>5447</v>
      </c>
      <c r="C912" s="25" t="s">
        <v>5448</v>
      </c>
      <c r="D912" s="24" t="s">
        <v>21572</v>
      </c>
      <c r="E912" s="40">
        <v>331</v>
      </c>
      <c r="F912" s="41">
        <v>1811764</v>
      </c>
      <c r="G912" s="40">
        <v>352</v>
      </c>
      <c r="H912" s="41">
        <v>1921991</v>
      </c>
      <c r="I912" s="41">
        <v>5473.6072507552872</v>
      </c>
      <c r="J912" s="41">
        <v>5460.201704545455</v>
      </c>
      <c r="K912" s="42">
        <v>-2.4491246075396471E-3</v>
      </c>
    </row>
    <row r="913" spans="1:11" x14ac:dyDescent="0.25">
      <c r="A913" s="24" t="s">
        <v>7</v>
      </c>
      <c r="B913" s="24" t="s">
        <v>5450</v>
      </c>
      <c r="C913" s="25" t="s">
        <v>4222</v>
      </c>
      <c r="D913" s="24" t="s">
        <v>21498</v>
      </c>
      <c r="E913" s="40">
        <v>5927</v>
      </c>
      <c r="F913" s="41">
        <v>45314077</v>
      </c>
      <c r="G913" s="40">
        <v>6229</v>
      </c>
      <c r="H913" s="41">
        <v>44020831</v>
      </c>
      <c r="I913" s="41">
        <v>7645.364771385186</v>
      </c>
      <c r="J913" s="41">
        <v>7067.0783432332637</v>
      </c>
      <c r="K913" s="42">
        <v>-7.5638827635316153E-2</v>
      </c>
    </row>
    <row r="914" spans="1:11" x14ac:dyDescent="0.25">
      <c r="A914" s="24" t="s">
        <v>7</v>
      </c>
      <c r="B914" s="24" t="s">
        <v>5451</v>
      </c>
      <c r="C914" s="25" t="s">
        <v>4228</v>
      </c>
      <c r="D914" s="24" t="s">
        <v>21573</v>
      </c>
      <c r="E914" s="40">
        <v>57</v>
      </c>
      <c r="F914" s="41">
        <v>78156</v>
      </c>
      <c r="G914" s="40">
        <v>61</v>
      </c>
      <c r="H914" s="41">
        <v>107532</v>
      </c>
      <c r="I914" s="41">
        <v>1371.1578947368421</v>
      </c>
      <c r="J914" s="41">
        <v>1762.8196721311476</v>
      </c>
      <c r="K914" s="42">
        <v>0.28564308960892854</v>
      </c>
    </row>
    <row r="915" spans="1:11" x14ac:dyDescent="0.25">
      <c r="A915" s="24" t="s">
        <v>7</v>
      </c>
      <c r="B915" s="24" t="s">
        <v>5452</v>
      </c>
      <c r="C915" s="25" t="s">
        <v>4231</v>
      </c>
      <c r="D915" s="24" t="s">
        <v>21574</v>
      </c>
      <c r="E915" s="40">
        <v>86</v>
      </c>
      <c r="F915" s="41">
        <v>118144</v>
      </c>
      <c r="G915" s="40">
        <v>83</v>
      </c>
      <c r="H915" s="41">
        <v>116604</v>
      </c>
      <c r="I915" s="41">
        <v>1373.7674418604652</v>
      </c>
      <c r="J915" s="41">
        <v>1404.867469879518</v>
      </c>
      <c r="K915" s="42">
        <v>2.2638495477032641E-2</v>
      </c>
    </row>
    <row r="916" spans="1:11" x14ac:dyDescent="0.25">
      <c r="A916" s="24" t="s">
        <v>7</v>
      </c>
      <c r="B916" s="24" t="s">
        <v>5453</v>
      </c>
      <c r="C916" s="25" t="s">
        <v>4234</v>
      </c>
      <c r="D916" s="24" t="s">
        <v>21575</v>
      </c>
      <c r="G916" s="40">
        <v>17</v>
      </c>
      <c r="H916" s="41">
        <v>102910</v>
      </c>
      <c r="J916" s="41">
        <v>6053.5294117647063</v>
      </c>
    </row>
    <row r="917" spans="1:11" x14ac:dyDescent="0.25">
      <c r="A917" s="24" t="s">
        <v>7</v>
      </c>
      <c r="B917" s="24" t="s">
        <v>5454</v>
      </c>
      <c r="C917" s="25" t="s">
        <v>5455</v>
      </c>
      <c r="D917" s="24" t="s">
        <v>21576</v>
      </c>
      <c r="E917" s="40">
        <v>82</v>
      </c>
      <c r="F917" s="41">
        <v>828812</v>
      </c>
      <c r="G917" s="40">
        <v>85</v>
      </c>
      <c r="H917" s="41">
        <v>803277</v>
      </c>
      <c r="I917" s="41">
        <v>10107.463414634147</v>
      </c>
      <c r="J917" s="41">
        <v>9450.3176470588242</v>
      </c>
      <c r="K917" s="42">
        <v>-6.5015893762610161E-2</v>
      </c>
    </row>
    <row r="918" spans="1:11" x14ac:dyDescent="0.25">
      <c r="A918" s="24" t="s">
        <v>7</v>
      </c>
      <c r="B918" s="24" t="s">
        <v>5458</v>
      </c>
      <c r="C918" s="25" t="s">
        <v>4246</v>
      </c>
      <c r="D918" s="24" t="s">
        <v>21577</v>
      </c>
      <c r="E918" s="40">
        <v>2246</v>
      </c>
      <c r="F918" s="41">
        <v>8250232</v>
      </c>
      <c r="G918" s="40">
        <v>2415</v>
      </c>
      <c r="H918" s="41">
        <v>8935935</v>
      </c>
      <c r="I918" s="41">
        <v>3673.3000890471949</v>
      </c>
      <c r="J918" s="41">
        <v>3700.1801242236024</v>
      </c>
      <c r="K918" s="42">
        <v>7.317680158110869E-3</v>
      </c>
    </row>
    <row r="919" spans="1:11" x14ac:dyDescent="0.25">
      <c r="A919" s="24" t="s">
        <v>7</v>
      </c>
      <c r="B919" s="24" t="s">
        <v>5459</v>
      </c>
      <c r="C919" s="25" t="s">
        <v>4261</v>
      </c>
      <c r="D919" s="24" t="s">
        <v>21578</v>
      </c>
      <c r="E919" s="40">
        <v>35</v>
      </c>
      <c r="F919" s="41">
        <v>83409</v>
      </c>
      <c r="G919" s="40">
        <v>30</v>
      </c>
      <c r="H919" s="41">
        <v>70449</v>
      </c>
      <c r="I919" s="41">
        <v>2383.1142857142859</v>
      </c>
      <c r="J919" s="41">
        <v>2348.3000000000002</v>
      </c>
      <c r="K919" s="42">
        <v>-1.4608735268376303E-2</v>
      </c>
    </row>
    <row r="920" spans="1:11" x14ac:dyDescent="0.25">
      <c r="A920" s="24" t="s">
        <v>7</v>
      </c>
      <c r="B920" s="24" t="s">
        <v>5461</v>
      </c>
      <c r="C920" s="25" t="s">
        <v>4240</v>
      </c>
      <c r="D920" s="24" t="s">
        <v>21579</v>
      </c>
      <c r="E920" s="40">
        <v>1058</v>
      </c>
      <c r="F920" s="41">
        <v>3970782</v>
      </c>
      <c r="G920" s="40">
        <v>1124</v>
      </c>
      <c r="H920" s="41">
        <v>4380702</v>
      </c>
      <c r="I920" s="41">
        <v>3753.1020793950852</v>
      </c>
      <c r="J920" s="41">
        <v>3897.4217081850534</v>
      </c>
      <c r="K920" s="42">
        <v>3.8453424856813176E-2</v>
      </c>
    </row>
    <row r="921" spans="1:11" x14ac:dyDescent="0.25">
      <c r="A921" s="24" t="s">
        <v>7</v>
      </c>
      <c r="B921" s="24" t="s">
        <v>5463</v>
      </c>
      <c r="C921" s="25" t="s">
        <v>4243</v>
      </c>
      <c r="D921" s="24" t="s">
        <v>21580</v>
      </c>
      <c r="E921" s="40">
        <v>4</v>
      </c>
      <c r="F921" s="41">
        <v>15492</v>
      </c>
      <c r="G921" s="40">
        <v>9</v>
      </c>
      <c r="H921" s="41">
        <v>36198</v>
      </c>
      <c r="I921" s="41">
        <v>3873</v>
      </c>
      <c r="J921" s="41">
        <v>4022</v>
      </c>
      <c r="K921" s="42">
        <v>3.8471469145365353E-2</v>
      </c>
    </row>
    <row r="922" spans="1:11" x14ac:dyDescent="0.25">
      <c r="A922" s="24" t="s">
        <v>7</v>
      </c>
      <c r="B922" s="24" t="s">
        <v>5465</v>
      </c>
      <c r="C922" s="25" t="s">
        <v>4255</v>
      </c>
      <c r="D922" s="24" t="s">
        <v>21581</v>
      </c>
      <c r="E922" s="40">
        <v>579</v>
      </c>
      <c r="F922" s="41">
        <v>1868760</v>
      </c>
      <c r="G922" s="40">
        <v>602</v>
      </c>
      <c r="H922" s="41">
        <v>2091620</v>
      </c>
      <c r="I922" s="41">
        <v>3227.5647668393781</v>
      </c>
      <c r="J922" s="41">
        <v>3474.4518272425248</v>
      </c>
      <c r="K922" s="42">
        <v>7.6493293934706413E-2</v>
      </c>
    </row>
    <row r="923" spans="1:11" x14ac:dyDescent="0.25">
      <c r="A923" s="24" t="s">
        <v>7</v>
      </c>
      <c r="B923" s="24" t="s">
        <v>5467</v>
      </c>
      <c r="C923" s="25" t="s">
        <v>4258</v>
      </c>
      <c r="D923" s="24" t="s">
        <v>21582</v>
      </c>
      <c r="E923" s="40">
        <v>100</v>
      </c>
      <c r="F923" s="41">
        <v>159080</v>
      </c>
      <c r="G923" s="40">
        <v>108</v>
      </c>
      <c r="H923" s="41">
        <v>210111</v>
      </c>
      <c r="I923" s="41">
        <v>1590.8</v>
      </c>
      <c r="J923" s="41">
        <v>1945.4722222222222</v>
      </c>
      <c r="K923" s="42">
        <v>0.22295211354175398</v>
      </c>
    </row>
    <row r="924" spans="1:11" x14ac:dyDescent="0.25">
      <c r="A924" s="24" t="s">
        <v>7</v>
      </c>
      <c r="B924" s="24" t="s">
        <v>5468</v>
      </c>
      <c r="C924" s="25" t="s">
        <v>4264</v>
      </c>
      <c r="D924" s="24" t="s">
        <v>21583</v>
      </c>
      <c r="E924" s="40">
        <v>46</v>
      </c>
      <c r="F924" s="41">
        <v>68438</v>
      </c>
      <c r="G924" s="40">
        <v>33</v>
      </c>
      <c r="H924" s="41">
        <v>44079</v>
      </c>
      <c r="I924" s="41">
        <v>1487.7826086956522</v>
      </c>
      <c r="J924" s="41">
        <v>1335.7272727272727</v>
      </c>
      <c r="K924" s="42">
        <v>-0.10220265721595395</v>
      </c>
    </row>
    <row r="925" spans="1:11" x14ac:dyDescent="0.25">
      <c r="A925" s="24" t="s">
        <v>7</v>
      </c>
      <c r="B925" s="24" t="s">
        <v>5471</v>
      </c>
      <c r="C925" s="25" t="s">
        <v>5472</v>
      </c>
      <c r="D925" s="24" t="s">
        <v>21584</v>
      </c>
      <c r="G925" s="40">
        <v>1</v>
      </c>
      <c r="H925" s="41">
        <v>7777</v>
      </c>
      <c r="J925" s="41">
        <v>7777</v>
      </c>
    </row>
    <row r="926" spans="1:11" x14ac:dyDescent="0.25">
      <c r="A926" s="24" t="s">
        <v>7</v>
      </c>
      <c r="B926" s="24" t="s">
        <v>5474</v>
      </c>
      <c r="C926" s="25" t="s">
        <v>4249</v>
      </c>
      <c r="D926" s="24" t="s">
        <v>21585</v>
      </c>
      <c r="E926" s="40">
        <v>916</v>
      </c>
      <c r="F926" s="41">
        <v>3713508</v>
      </c>
      <c r="G926" s="40">
        <v>943</v>
      </c>
      <c r="H926" s="41">
        <v>3621957</v>
      </c>
      <c r="I926" s="41">
        <v>4054.048034934498</v>
      </c>
      <c r="J926" s="41">
        <v>3840.8875927889712</v>
      </c>
      <c r="K926" s="42">
        <v>-5.2579653795091462E-2</v>
      </c>
    </row>
    <row r="927" spans="1:11" x14ac:dyDescent="0.25">
      <c r="A927" s="24" t="s">
        <v>7</v>
      </c>
      <c r="B927" s="24" t="s">
        <v>5476</v>
      </c>
      <c r="C927" s="25" t="s">
        <v>4274</v>
      </c>
      <c r="D927" s="24" t="s">
        <v>21586</v>
      </c>
      <c r="E927" s="40">
        <v>20</v>
      </c>
      <c r="F927" s="41">
        <v>93880</v>
      </c>
      <c r="G927" s="40">
        <v>8</v>
      </c>
      <c r="H927" s="41">
        <v>38848</v>
      </c>
      <c r="I927" s="41">
        <v>4694</v>
      </c>
      <c r="J927" s="41">
        <v>4856</v>
      </c>
      <c r="K927" s="42">
        <v>3.4512143161482746E-2</v>
      </c>
    </row>
    <row r="928" spans="1:11" x14ac:dyDescent="0.25">
      <c r="A928" s="24" t="s">
        <v>7</v>
      </c>
      <c r="B928" s="24" t="s">
        <v>5477</v>
      </c>
      <c r="C928" s="25" t="s">
        <v>4277</v>
      </c>
      <c r="D928" s="24" t="s">
        <v>21587</v>
      </c>
      <c r="E928" s="40">
        <v>10</v>
      </c>
      <c r="F928" s="41">
        <v>47120</v>
      </c>
      <c r="G928" s="40">
        <v>12</v>
      </c>
      <c r="H928" s="41">
        <v>57132</v>
      </c>
      <c r="I928" s="41">
        <v>4712</v>
      </c>
      <c r="J928" s="41">
        <v>4761</v>
      </c>
      <c r="K928" s="42">
        <v>1.0398981324278437E-2</v>
      </c>
    </row>
    <row r="929" spans="1:11" x14ac:dyDescent="0.25">
      <c r="A929" s="24" t="s">
        <v>7</v>
      </c>
      <c r="B929" s="24" t="s">
        <v>5478</v>
      </c>
      <c r="C929" s="25" t="s">
        <v>4280</v>
      </c>
      <c r="D929" s="24" t="s">
        <v>21588</v>
      </c>
      <c r="G929" s="40">
        <v>1</v>
      </c>
      <c r="H929" s="41">
        <v>9488</v>
      </c>
      <c r="J929" s="41">
        <v>9488</v>
      </c>
    </row>
    <row r="930" spans="1:11" x14ac:dyDescent="0.25">
      <c r="A930" s="24" t="s">
        <v>7</v>
      </c>
      <c r="B930" s="24" t="s">
        <v>5480</v>
      </c>
      <c r="C930" s="25" t="s">
        <v>4192</v>
      </c>
      <c r="D930" s="24" t="s">
        <v>21497</v>
      </c>
      <c r="E930" s="40">
        <v>817</v>
      </c>
      <c r="F930" s="41">
        <v>2754622</v>
      </c>
      <c r="G930" s="40">
        <v>804</v>
      </c>
      <c r="H930" s="41">
        <v>2416444</v>
      </c>
      <c r="I930" s="41">
        <v>3371.6303549571603</v>
      </c>
      <c r="J930" s="41">
        <v>3005.5273631840796</v>
      </c>
      <c r="K930" s="42">
        <v>-0.10858337161273196</v>
      </c>
    </row>
    <row r="931" spans="1:11" x14ac:dyDescent="0.25">
      <c r="A931" s="24" t="s">
        <v>7</v>
      </c>
      <c r="B931" s="24" t="s">
        <v>5483</v>
      </c>
      <c r="C931" s="25" t="s">
        <v>5484</v>
      </c>
      <c r="D931" s="24" t="s">
        <v>21589</v>
      </c>
      <c r="E931" s="40">
        <v>126</v>
      </c>
      <c r="F931" s="41">
        <v>263052</v>
      </c>
      <c r="G931" s="40">
        <v>363</v>
      </c>
      <c r="H931" s="41">
        <v>782798</v>
      </c>
      <c r="I931" s="41">
        <v>2087.7142857142858</v>
      </c>
      <c r="J931" s="41">
        <v>2156.4683195592288</v>
      </c>
      <c r="K931" s="42">
        <v>3.293268351680588E-2</v>
      </c>
    </row>
    <row r="932" spans="1:11" x14ac:dyDescent="0.25">
      <c r="A932" s="24" t="s">
        <v>7</v>
      </c>
      <c r="B932" s="24" t="s">
        <v>5486</v>
      </c>
      <c r="C932" s="25" t="s">
        <v>5487</v>
      </c>
      <c r="D932" s="24" t="s">
        <v>21590</v>
      </c>
      <c r="E932" s="40">
        <v>79</v>
      </c>
      <c r="F932" s="41">
        <v>318844</v>
      </c>
      <c r="G932" s="40">
        <v>42</v>
      </c>
      <c r="H932" s="41">
        <v>169512</v>
      </c>
      <c r="I932" s="41">
        <v>4036</v>
      </c>
      <c r="J932" s="41">
        <v>4036</v>
      </c>
      <c r="K932" s="42">
        <v>0</v>
      </c>
    </row>
    <row r="933" spans="1:11" x14ac:dyDescent="0.25">
      <c r="A933" s="24" t="s">
        <v>7</v>
      </c>
      <c r="B933" s="24" t="s">
        <v>5521</v>
      </c>
      <c r="C933" s="25" t="s">
        <v>5522</v>
      </c>
      <c r="D933" s="24" t="s">
        <v>21591</v>
      </c>
      <c r="G933" s="40">
        <v>1028</v>
      </c>
      <c r="H933" s="41">
        <v>723712</v>
      </c>
      <c r="J933" s="41">
        <v>704</v>
      </c>
    </row>
    <row r="934" spans="1:11" x14ac:dyDescent="0.25">
      <c r="A934" s="24" t="s">
        <v>7</v>
      </c>
      <c r="B934" s="24" t="s">
        <v>5539</v>
      </c>
      <c r="C934" s="25" t="s">
        <v>5540</v>
      </c>
      <c r="D934" s="24" t="s">
        <v>21592</v>
      </c>
      <c r="E934" s="40">
        <v>13</v>
      </c>
      <c r="F934" s="41">
        <v>21379</v>
      </c>
      <c r="G934" s="40">
        <v>10</v>
      </c>
      <c r="H934" s="41">
        <v>14931</v>
      </c>
      <c r="I934" s="41">
        <v>1644.5384615384614</v>
      </c>
      <c r="J934" s="41">
        <v>1493.1</v>
      </c>
      <c r="K934" s="42">
        <v>-9.2085691566490477E-2</v>
      </c>
    </row>
    <row r="935" spans="1:11" x14ac:dyDescent="0.25">
      <c r="A935" s="24" t="s">
        <v>7</v>
      </c>
      <c r="B935" s="24" t="s">
        <v>5545</v>
      </c>
      <c r="C935" s="25" t="s">
        <v>5546</v>
      </c>
      <c r="D935" s="24" t="s">
        <v>21593</v>
      </c>
      <c r="E935" s="40">
        <v>3</v>
      </c>
      <c r="F935" s="41">
        <v>3903</v>
      </c>
      <c r="G935" s="40">
        <v>7</v>
      </c>
      <c r="H935" s="41">
        <v>9343</v>
      </c>
      <c r="I935" s="41">
        <v>1301</v>
      </c>
      <c r="J935" s="41">
        <v>1334.7142857142858</v>
      </c>
      <c r="K935" s="42">
        <v>2.5914131986384151E-2</v>
      </c>
    </row>
    <row r="936" spans="1:11" x14ac:dyDescent="0.25">
      <c r="A936" s="24" t="s">
        <v>7</v>
      </c>
      <c r="B936" s="24" t="s">
        <v>5548</v>
      </c>
      <c r="C936" s="25" t="s">
        <v>5549</v>
      </c>
      <c r="D936" s="24" t="s">
        <v>21594</v>
      </c>
      <c r="E936" s="40">
        <v>7</v>
      </c>
      <c r="F936" s="41">
        <v>12321</v>
      </c>
      <c r="G936" s="40">
        <v>17</v>
      </c>
      <c r="H936" s="41">
        <v>31538</v>
      </c>
      <c r="I936" s="41">
        <v>1760.1428571428571</v>
      </c>
      <c r="J936" s="41">
        <v>1855.1764705882354</v>
      </c>
      <c r="K936" s="42">
        <v>5.3991988809158981E-2</v>
      </c>
    </row>
    <row r="937" spans="1:11" x14ac:dyDescent="0.25">
      <c r="A937" s="24" t="s">
        <v>7</v>
      </c>
      <c r="B937" s="24" t="s">
        <v>5551</v>
      </c>
      <c r="C937" s="25" t="s">
        <v>5552</v>
      </c>
      <c r="D937" s="24" t="s">
        <v>21595</v>
      </c>
      <c r="E937" s="40">
        <v>1</v>
      </c>
      <c r="F937" s="41">
        <v>1443</v>
      </c>
      <c r="G937" s="40">
        <v>6</v>
      </c>
      <c r="H937" s="41">
        <v>8658</v>
      </c>
      <c r="I937" s="41">
        <v>1443</v>
      </c>
      <c r="J937" s="41">
        <v>1443</v>
      </c>
      <c r="K937" s="42">
        <v>0</v>
      </c>
    </row>
    <row r="938" spans="1:11" x14ac:dyDescent="0.25">
      <c r="A938" s="24" t="s">
        <v>7</v>
      </c>
      <c r="B938" s="24" t="s">
        <v>5554</v>
      </c>
      <c r="C938" s="25" t="s">
        <v>5555</v>
      </c>
      <c r="D938" s="24" t="s">
        <v>21596</v>
      </c>
      <c r="E938" s="40">
        <v>17</v>
      </c>
      <c r="F938" s="41">
        <v>21024</v>
      </c>
      <c r="G938" s="40">
        <v>15</v>
      </c>
      <c r="H938" s="41">
        <v>18150</v>
      </c>
      <c r="I938" s="41">
        <v>1236.7058823529412</v>
      </c>
      <c r="J938" s="41">
        <v>1210</v>
      </c>
      <c r="K938" s="42">
        <v>-2.1594368340943713E-2</v>
      </c>
    </row>
    <row r="939" spans="1:11" x14ac:dyDescent="0.25">
      <c r="A939" s="24" t="s">
        <v>7</v>
      </c>
      <c r="B939" s="24" t="s">
        <v>5557</v>
      </c>
      <c r="C939" s="25" t="s">
        <v>5558</v>
      </c>
      <c r="D939" s="24" t="s">
        <v>21597</v>
      </c>
      <c r="G939" s="40">
        <v>1</v>
      </c>
      <c r="H939" s="41">
        <v>1051</v>
      </c>
      <c r="J939" s="41">
        <v>1051</v>
      </c>
    </row>
    <row r="940" spans="1:11" x14ac:dyDescent="0.25">
      <c r="A940" s="24" t="s">
        <v>7</v>
      </c>
      <c r="B940" s="24" t="s">
        <v>5560</v>
      </c>
      <c r="C940" s="25" t="s">
        <v>5561</v>
      </c>
      <c r="D940" s="24" t="s">
        <v>21598</v>
      </c>
      <c r="G940" s="40">
        <v>3</v>
      </c>
      <c r="H940" s="41">
        <v>6102</v>
      </c>
      <c r="J940" s="41">
        <v>2034</v>
      </c>
    </row>
    <row r="941" spans="1:11" x14ac:dyDescent="0.25">
      <c r="A941" s="24" t="s">
        <v>7</v>
      </c>
      <c r="B941" s="24" t="s">
        <v>5563</v>
      </c>
      <c r="C941" s="25" t="s">
        <v>5564</v>
      </c>
      <c r="D941" s="24" t="s">
        <v>21599</v>
      </c>
      <c r="E941" s="40">
        <v>5</v>
      </c>
      <c r="F941" s="41">
        <v>5793</v>
      </c>
      <c r="G941" s="40">
        <v>5</v>
      </c>
      <c r="H941" s="41">
        <v>5880</v>
      </c>
      <c r="I941" s="41">
        <v>1158.5999999999999</v>
      </c>
      <c r="J941" s="41">
        <v>1176</v>
      </c>
      <c r="K941" s="42">
        <v>1.5018125323666573E-2</v>
      </c>
    </row>
    <row r="942" spans="1:11" x14ac:dyDescent="0.25">
      <c r="A942" s="24" t="s">
        <v>7</v>
      </c>
      <c r="B942" s="24" t="s">
        <v>5565</v>
      </c>
      <c r="C942" s="25" t="s">
        <v>5566</v>
      </c>
      <c r="D942" s="24" t="s">
        <v>21600</v>
      </c>
      <c r="G942" s="40">
        <v>3</v>
      </c>
      <c r="H942" s="41">
        <v>6111</v>
      </c>
      <c r="J942" s="41">
        <v>2037</v>
      </c>
    </row>
    <row r="943" spans="1:11" x14ac:dyDescent="0.25">
      <c r="A943" s="24" t="s">
        <v>7</v>
      </c>
      <c r="B943" s="24" t="s">
        <v>5568</v>
      </c>
      <c r="C943" s="25" t="s">
        <v>5569</v>
      </c>
      <c r="D943" s="24" t="s">
        <v>21601</v>
      </c>
      <c r="G943" s="40">
        <v>1</v>
      </c>
      <c r="H943" s="41">
        <v>1496</v>
      </c>
      <c r="J943" s="41">
        <v>1496</v>
      </c>
    </row>
    <row r="944" spans="1:11" x14ac:dyDescent="0.25">
      <c r="A944" s="24" t="s">
        <v>7</v>
      </c>
      <c r="B944" s="24" t="s">
        <v>5571</v>
      </c>
      <c r="C944" s="25" t="s">
        <v>5572</v>
      </c>
      <c r="D944" s="24" t="s">
        <v>21602</v>
      </c>
      <c r="E944" s="40">
        <v>46</v>
      </c>
      <c r="F944" s="41">
        <v>55030</v>
      </c>
      <c r="G944" s="40">
        <v>63</v>
      </c>
      <c r="H944" s="41">
        <v>80324</v>
      </c>
      <c r="I944" s="41">
        <v>1196.304347826087</v>
      </c>
      <c r="J944" s="41">
        <v>1274.984126984127</v>
      </c>
      <c r="K944" s="42">
        <v>6.5769032187349433E-2</v>
      </c>
    </row>
    <row r="945" spans="1:11" x14ac:dyDescent="0.25">
      <c r="A945" s="24" t="s">
        <v>7</v>
      </c>
      <c r="B945" s="24" t="s">
        <v>5578</v>
      </c>
      <c r="C945" s="25" t="s">
        <v>4402</v>
      </c>
      <c r="E945" s="40">
        <v>11</v>
      </c>
      <c r="F945" s="41">
        <v>9076</v>
      </c>
      <c r="G945" s="40">
        <v>5</v>
      </c>
      <c r="H945" s="41">
        <v>4240</v>
      </c>
      <c r="I945" s="41">
        <v>825.09090909090912</v>
      </c>
      <c r="J945" s="41">
        <v>848</v>
      </c>
      <c r="K945" s="42">
        <v>2.7765535478184184E-2</v>
      </c>
    </row>
    <row r="946" spans="1:11" x14ac:dyDescent="0.25">
      <c r="A946" s="24" t="s">
        <v>7</v>
      </c>
      <c r="B946" s="24" t="s">
        <v>5580</v>
      </c>
      <c r="C946" s="25" t="s">
        <v>5581</v>
      </c>
      <c r="D946" s="24" t="s">
        <v>21603</v>
      </c>
      <c r="G946" s="40">
        <v>1</v>
      </c>
      <c r="H946" s="41">
        <v>2123</v>
      </c>
      <c r="J946" s="41">
        <v>2123</v>
      </c>
    </row>
    <row r="947" spans="1:11" x14ac:dyDescent="0.25">
      <c r="A947" s="24" t="s">
        <v>7</v>
      </c>
      <c r="B947" s="24" t="s">
        <v>5585</v>
      </c>
      <c r="C947" s="25" t="s">
        <v>5586</v>
      </c>
      <c r="D947" s="24" t="s">
        <v>21604</v>
      </c>
      <c r="E947" s="40">
        <v>35553</v>
      </c>
      <c r="F947" s="41">
        <v>22901256</v>
      </c>
      <c r="G947" s="40">
        <v>35492</v>
      </c>
      <c r="H947" s="41">
        <v>22701781</v>
      </c>
      <c r="I947" s="41">
        <v>644.14412285883043</v>
      </c>
      <c r="J947" s="41">
        <v>639.63093091400879</v>
      </c>
      <c r="K947" s="42">
        <v>-7.0064940199892909E-3</v>
      </c>
    </row>
    <row r="948" spans="1:11" x14ac:dyDescent="0.25">
      <c r="A948" s="24" t="s">
        <v>7</v>
      </c>
      <c r="B948" s="24" t="s">
        <v>5587</v>
      </c>
      <c r="C948" s="25" t="s">
        <v>5588</v>
      </c>
      <c r="D948" s="24" t="s">
        <v>21157</v>
      </c>
      <c r="E948" s="40">
        <v>409</v>
      </c>
      <c r="F948" s="41">
        <v>263406</v>
      </c>
      <c r="G948" s="40">
        <v>434</v>
      </c>
      <c r="H948" s="41">
        <v>286842</v>
      </c>
      <c r="I948" s="41">
        <v>644.02444987775061</v>
      </c>
      <c r="J948" s="41">
        <v>660.92626728110599</v>
      </c>
      <c r="K948" s="42">
        <v>2.6244061706917652E-2</v>
      </c>
    </row>
    <row r="949" spans="1:11" x14ac:dyDescent="0.25">
      <c r="A949" s="24" t="s">
        <v>7</v>
      </c>
      <c r="B949" s="24" t="s">
        <v>5591</v>
      </c>
      <c r="C949" s="25" t="s">
        <v>5592</v>
      </c>
      <c r="D949" s="24" t="s">
        <v>21605</v>
      </c>
      <c r="E949" s="40">
        <v>20</v>
      </c>
      <c r="F949" s="41">
        <v>21535</v>
      </c>
      <c r="G949" s="40">
        <v>14</v>
      </c>
      <c r="H949" s="41">
        <v>15743</v>
      </c>
      <c r="I949" s="41">
        <v>1076.75</v>
      </c>
      <c r="J949" s="41">
        <v>1124.5</v>
      </c>
      <c r="K949" s="42">
        <v>4.4346412816345486E-2</v>
      </c>
    </row>
    <row r="950" spans="1:11" x14ac:dyDescent="0.25">
      <c r="A950" s="24" t="s">
        <v>7</v>
      </c>
      <c r="B950" s="24" t="s">
        <v>5594</v>
      </c>
      <c r="C950" s="25" t="s">
        <v>5595</v>
      </c>
      <c r="D950" s="24" t="s">
        <v>21606</v>
      </c>
      <c r="E950" s="40">
        <v>166</v>
      </c>
      <c r="F950" s="41">
        <v>270105</v>
      </c>
      <c r="G950" s="40">
        <v>192</v>
      </c>
      <c r="H950" s="41">
        <v>323498</v>
      </c>
      <c r="I950" s="41">
        <v>1627.1385542168675</v>
      </c>
      <c r="J950" s="41">
        <v>1684.8854166666667</v>
      </c>
      <c r="K950" s="42">
        <v>3.5489824944620309E-2</v>
      </c>
    </row>
    <row r="951" spans="1:11" x14ac:dyDescent="0.25">
      <c r="A951" s="24" t="s">
        <v>7</v>
      </c>
      <c r="B951" s="24" t="s">
        <v>5597</v>
      </c>
      <c r="C951" s="25" t="s">
        <v>5598</v>
      </c>
      <c r="D951" s="24" t="s">
        <v>21607</v>
      </c>
      <c r="E951" s="40">
        <v>21</v>
      </c>
      <c r="F951" s="41">
        <v>45832</v>
      </c>
      <c r="G951" s="40">
        <v>35</v>
      </c>
      <c r="H951" s="41">
        <v>77310</v>
      </c>
      <c r="I951" s="41">
        <v>2182.4761904761904</v>
      </c>
      <c r="J951" s="41">
        <v>2208.8571428571427</v>
      </c>
      <c r="K951" s="42">
        <v>1.2087624367254281E-2</v>
      </c>
    </row>
    <row r="952" spans="1:11" x14ac:dyDescent="0.25">
      <c r="A952" s="24" t="s">
        <v>7</v>
      </c>
      <c r="B952" s="24" t="s">
        <v>5600</v>
      </c>
      <c r="C952" s="25" t="s">
        <v>5601</v>
      </c>
      <c r="D952" s="24" t="s">
        <v>21608</v>
      </c>
      <c r="G952" s="40">
        <v>5</v>
      </c>
      <c r="H952" s="41">
        <v>4883</v>
      </c>
      <c r="J952" s="41">
        <v>976.6</v>
      </c>
    </row>
    <row r="953" spans="1:11" x14ac:dyDescent="0.25">
      <c r="A953" s="24" t="s">
        <v>7</v>
      </c>
      <c r="B953" s="24" t="s">
        <v>5607</v>
      </c>
      <c r="C953" s="25" t="s">
        <v>5608</v>
      </c>
      <c r="D953" s="24" t="s">
        <v>21609</v>
      </c>
      <c r="G953" s="40">
        <v>11</v>
      </c>
      <c r="H953" s="41">
        <v>8368</v>
      </c>
      <c r="J953" s="41">
        <v>760.72727272727275</v>
      </c>
    </row>
    <row r="954" spans="1:11" x14ac:dyDescent="0.25">
      <c r="A954" s="24" t="s">
        <v>7</v>
      </c>
      <c r="B954" s="24" t="s">
        <v>5610</v>
      </c>
      <c r="C954" s="25" t="s">
        <v>5611</v>
      </c>
      <c r="D954" s="24" t="s">
        <v>21610</v>
      </c>
      <c r="E954" s="40">
        <v>221</v>
      </c>
      <c r="F954" s="41">
        <v>316250</v>
      </c>
      <c r="G954" s="40">
        <v>196</v>
      </c>
      <c r="H954" s="41">
        <v>271553</v>
      </c>
      <c r="I954" s="41">
        <v>1430.9954751131222</v>
      </c>
      <c r="J954" s="41">
        <v>1385.4744897959183</v>
      </c>
      <c r="K954" s="42">
        <v>-3.1810712269097423E-2</v>
      </c>
    </row>
    <row r="955" spans="1:11" x14ac:dyDescent="0.25">
      <c r="A955" s="24" t="s">
        <v>7</v>
      </c>
      <c r="B955" s="24" t="s">
        <v>5613</v>
      </c>
      <c r="C955" s="25" t="s">
        <v>5614</v>
      </c>
      <c r="D955" s="24" t="s">
        <v>21611</v>
      </c>
      <c r="E955" s="40">
        <v>213</v>
      </c>
      <c r="F955" s="41">
        <v>484233</v>
      </c>
      <c r="G955" s="40">
        <v>276</v>
      </c>
      <c r="H955" s="41">
        <v>595048</v>
      </c>
      <c r="I955" s="41">
        <v>2273.394366197183</v>
      </c>
      <c r="J955" s="41">
        <v>2155.9710144927535</v>
      </c>
      <c r="K955" s="42">
        <v>-5.1651114056752594E-2</v>
      </c>
    </row>
    <row r="956" spans="1:11" x14ac:dyDescent="0.25">
      <c r="A956" s="24" t="s">
        <v>7</v>
      </c>
      <c r="B956" s="24" t="s">
        <v>5616</v>
      </c>
      <c r="C956" s="25" t="s">
        <v>5617</v>
      </c>
      <c r="D956" s="24" t="s">
        <v>21612</v>
      </c>
      <c r="G956" s="40">
        <v>1</v>
      </c>
      <c r="H956" s="41">
        <v>2768</v>
      </c>
      <c r="J956" s="41">
        <v>2768</v>
      </c>
    </row>
    <row r="957" spans="1:11" x14ac:dyDescent="0.25">
      <c r="A957" s="24" t="s">
        <v>7</v>
      </c>
      <c r="B957" s="24" t="s">
        <v>5619</v>
      </c>
      <c r="C957" s="25" t="s">
        <v>5620</v>
      </c>
      <c r="D957" s="24" t="s">
        <v>21613</v>
      </c>
      <c r="E957" s="40">
        <v>82</v>
      </c>
      <c r="F957" s="41">
        <v>110240</v>
      </c>
      <c r="G957" s="40">
        <v>79</v>
      </c>
      <c r="H957" s="41">
        <v>98345</v>
      </c>
      <c r="I957" s="41">
        <v>1344.3902439024391</v>
      </c>
      <c r="J957" s="41">
        <v>1244.873417721519</v>
      </c>
      <c r="K957" s="42">
        <v>-7.4023764031526218E-2</v>
      </c>
    </row>
    <row r="958" spans="1:11" x14ac:dyDescent="0.25">
      <c r="A958" s="24" t="s">
        <v>7</v>
      </c>
      <c r="B958" s="24" t="s">
        <v>5622</v>
      </c>
      <c r="C958" s="25" t="s">
        <v>5623</v>
      </c>
      <c r="D958" s="24" t="s">
        <v>21614</v>
      </c>
      <c r="E958" s="40">
        <v>63</v>
      </c>
      <c r="F958" s="41">
        <v>95121</v>
      </c>
      <c r="G958" s="40">
        <v>85</v>
      </c>
      <c r="H958" s="41">
        <v>123950</v>
      </c>
      <c r="I958" s="41">
        <v>1509.8571428571429</v>
      </c>
      <c r="J958" s="41">
        <v>1458.2352941176471</v>
      </c>
      <c r="K958" s="42">
        <v>-3.4189889410206328E-2</v>
      </c>
    </row>
    <row r="959" spans="1:11" x14ac:dyDescent="0.25">
      <c r="A959" s="24" t="s">
        <v>7</v>
      </c>
      <c r="B959" s="24" t="s">
        <v>5625</v>
      </c>
      <c r="C959" s="25" t="s">
        <v>5626</v>
      </c>
      <c r="D959" s="24" t="s">
        <v>21615</v>
      </c>
      <c r="G959" s="40">
        <v>2</v>
      </c>
      <c r="H959" s="41">
        <v>4304</v>
      </c>
      <c r="J959" s="41">
        <v>2152</v>
      </c>
    </row>
    <row r="960" spans="1:11" x14ac:dyDescent="0.25">
      <c r="A960" s="24" t="s">
        <v>7</v>
      </c>
      <c r="B960" s="24" t="s">
        <v>5628</v>
      </c>
      <c r="C960" s="25" t="s">
        <v>5629</v>
      </c>
      <c r="D960" s="24" t="s">
        <v>21616</v>
      </c>
      <c r="G960" s="40">
        <v>4</v>
      </c>
      <c r="H960" s="41">
        <v>5940</v>
      </c>
      <c r="J960" s="41">
        <v>1485</v>
      </c>
    </row>
    <row r="961" spans="1:11" x14ac:dyDescent="0.25">
      <c r="A961" s="24" t="s">
        <v>7</v>
      </c>
      <c r="B961" s="24" t="s">
        <v>5634</v>
      </c>
      <c r="C961" s="25" t="s">
        <v>5635</v>
      </c>
      <c r="D961" s="24" t="s">
        <v>21617</v>
      </c>
      <c r="E961" s="40">
        <v>2</v>
      </c>
      <c r="F961" s="41">
        <v>1912</v>
      </c>
      <c r="G961" s="40">
        <v>1</v>
      </c>
      <c r="H961" s="41">
        <v>956</v>
      </c>
      <c r="I961" s="41">
        <v>956</v>
      </c>
      <c r="J961" s="41">
        <v>956</v>
      </c>
      <c r="K961" s="42">
        <v>0</v>
      </c>
    </row>
    <row r="962" spans="1:11" x14ac:dyDescent="0.25">
      <c r="A962" s="24" t="s">
        <v>7</v>
      </c>
      <c r="B962" s="24" t="s">
        <v>5637</v>
      </c>
      <c r="C962" s="25" t="s">
        <v>5638</v>
      </c>
      <c r="D962" s="24" t="s">
        <v>21618</v>
      </c>
      <c r="E962" s="40">
        <v>485</v>
      </c>
      <c r="F962" s="41">
        <v>823260</v>
      </c>
      <c r="G962" s="40">
        <v>441</v>
      </c>
      <c r="H962" s="41">
        <v>720753</v>
      </c>
      <c r="I962" s="41">
        <v>1697.4432989690722</v>
      </c>
      <c r="J962" s="41">
        <v>1634.360544217687</v>
      </c>
      <c r="K962" s="42">
        <v>-3.7163394376529685E-2</v>
      </c>
    </row>
    <row r="963" spans="1:11" x14ac:dyDescent="0.25">
      <c r="A963" s="24" t="s">
        <v>7</v>
      </c>
      <c r="B963" s="24" t="s">
        <v>5640</v>
      </c>
      <c r="C963" s="25" t="s">
        <v>5641</v>
      </c>
      <c r="D963" s="24" t="s">
        <v>21155</v>
      </c>
      <c r="E963" s="40">
        <v>235</v>
      </c>
      <c r="F963" s="41">
        <v>636471</v>
      </c>
      <c r="G963" s="40">
        <v>315</v>
      </c>
      <c r="H963" s="41">
        <v>792759</v>
      </c>
      <c r="I963" s="41">
        <v>2708.3872340425532</v>
      </c>
      <c r="J963" s="41">
        <v>2516.695238095238</v>
      </c>
      <c r="K963" s="42">
        <v>-7.0777174525813571E-2</v>
      </c>
    </row>
    <row r="964" spans="1:11" x14ac:dyDescent="0.25">
      <c r="A964" s="24" t="s">
        <v>7</v>
      </c>
      <c r="B964" s="24" t="s">
        <v>5643</v>
      </c>
      <c r="C964" s="25" t="s">
        <v>5644</v>
      </c>
      <c r="D964" s="24" t="s">
        <v>21619</v>
      </c>
      <c r="G964" s="40">
        <v>1</v>
      </c>
      <c r="H964" s="41">
        <v>3385</v>
      </c>
      <c r="J964" s="41">
        <v>3385</v>
      </c>
    </row>
    <row r="965" spans="1:11" x14ac:dyDescent="0.25">
      <c r="A965" s="24" t="s">
        <v>7</v>
      </c>
      <c r="B965" s="24" t="s">
        <v>5646</v>
      </c>
      <c r="C965" s="25" t="s">
        <v>5647</v>
      </c>
      <c r="D965" s="24" t="s">
        <v>21620</v>
      </c>
      <c r="G965" s="40">
        <v>1</v>
      </c>
      <c r="H965" s="41">
        <v>2951</v>
      </c>
      <c r="J965" s="41">
        <v>2951</v>
      </c>
    </row>
    <row r="966" spans="1:11" x14ac:dyDescent="0.25">
      <c r="A966" s="24" t="s">
        <v>7</v>
      </c>
      <c r="B966" s="24" t="s">
        <v>5649</v>
      </c>
      <c r="C966" s="25" t="s">
        <v>5650</v>
      </c>
      <c r="D966" s="24" t="s">
        <v>21621</v>
      </c>
      <c r="E966" s="40">
        <v>263</v>
      </c>
      <c r="F966" s="41">
        <v>302854</v>
      </c>
      <c r="G966" s="40">
        <v>292</v>
      </c>
      <c r="H966" s="41">
        <v>337584</v>
      </c>
      <c r="I966" s="41">
        <v>1151.5361216730039</v>
      </c>
      <c r="J966" s="41">
        <v>1156.1095890410959</v>
      </c>
      <c r="K966" s="42">
        <v>3.9716230190395213E-3</v>
      </c>
    </row>
    <row r="967" spans="1:11" x14ac:dyDescent="0.25">
      <c r="A967" s="24" t="s">
        <v>7</v>
      </c>
      <c r="B967" s="24" t="s">
        <v>5651</v>
      </c>
      <c r="C967" s="25" t="s">
        <v>5652</v>
      </c>
      <c r="D967" s="24" t="s">
        <v>21621</v>
      </c>
      <c r="E967" s="40">
        <v>2</v>
      </c>
      <c r="F967" s="41">
        <v>2356</v>
      </c>
      <c r="G967" s="40">
        <v>22</v>
      </c>
      <c r="H967" s="41">
        <v>25164</v>
      </c>
      <c r="I967" s="41">
        <v>1178</v>
      </c>
      <c r="J967" s="41">
        <v>1143.8181818181818</v>
      </c>
      <c r="K967" s="42">
        <v>-2.9016823583886454E-2</v>
      </c>
    </row>
    <row r="968" spans="1:11" x14ac:dyDescent="0.25">
      <c r="A968" s="24" t="s">
        <v>7</v>
      </c>
      <c r="B968" s="24" t="s">
        <v>5653</v>
      </c>
      <c r="C968" s="25" t="s">
        <v>5654</v>
      </c>
      <c r="D968" s="24" t="s">
        <v>21622</v>
      </c>
      <c r="E968" s="40">
        <v>4</v>
      </c>
      <c r="F968" s="41">
        <v>6501</v>
      </c>
      <c r="G968" s="40">
        <v>3</v>
      </c>
      <c r="H968" s="41">
        <v>4968</v>
      </c>
      <c r="I968" s="41">
        <v>1625.25</v>
      </c>
      <c r="J968" s="41">
        <v>1656</v>
      </c>
      <c r="K968" s="42">
        <v>1.8920166128287955E-2</v>
      </c>
    </row>
    <row r="969" spans="1:11" x14ac:dyDescent="0.25">
      <c r="A969" s="24" t="s">
        <v>7</v>
      </c>
      <c r="B969" s="24" t="s">
        <v>5656</v>
      </c>
      <c r="C969" s="25" t="s">
        <v>5657</v>
      </c>
      <c r="D969" s="24" t="s">
        <v>21623</v>
      </c>
      <c r="G969" s="40">
        <v>1</v>
      </c>
      <c r="H969" s="41">
        <v>994</v>
      </c>
      <c r="J969" s="41">
        <v>994</v>
      </c>
    </row>
    <row r="970" spans="1:11" x14ac:dyDescent="0.25">
      <c r="A970" s="24" t="s">
        <v>7</v>
      </c>
      <c r="B970" s="24" t="s">
        <v>5659</v>
      </c>
      <c r="C970" s="25" t="s">
        <v>5660</v>
      </c>
      <c r="D970" s="24" t="s">
        <v>21624</v>
      </c>
      <c r="E970" s="40">
        <v>36</v>
      </c>
      <c r="F970" s="41">
        <v>40334</v>
      </c>
      <c r="G970" s="40">
        <v>37</v>
      </c>
      <c r="H970" s="41">
        <v>45622</v>
      </c>
      <c r="I970" s="41">
        <v>1120.3888888888889</v>
      </c>
      <c r="J970" s="41">
        <v>1233.0270270270271</v>
      </c>
      <c r="K970" s="42">
        <v>0.10053485825787113</v>
      </c>
    </row>
    <row r="971" spans="1:11" x14ac:dyDescent="0.25">
      <c r="A971" s="24" t="s">
        <v>7</v>
      </c>
      <c r="B971" s="24" t="s">
        <v>5673</v>
      </c>
      <c r="C971" s="25" t="s">
        <v>5674</v>
      </c>
      <c r="E971" s="40">
        <v>0</v>
      </c>
      <c r="F971" s="41">
        <v>0</v>
      </c>
      <c r="G971" s="40">
        <v>3</v>
      </c>
      <c r="H971" s="41">
        <v>12846</v>
      </c>
      <c r="J971" s="41">
        <v>4282</v>
      </c>
    </row>
    <row r="972" spans="1:11" x14ac:dyDescent="0.25">
      <c r="A972" s="24" t="s">
        <v>7</v>
      </c>
      <c r="B972" s="24" t="s">
        <v>5675</v>
      </c>
      <c r="C972" s="25" t="s">
        <v>5676</v>
      </c>
      <c r="G972" s="40">
        <v>1</v>
      </c>
      <c r="H972" s="41">
        <v>4595</v>
      </c>
      <c r="J972" s="41">
        <v>4595</v>
      </c>
    </row>
    <row r="973" spans="1:11" x14ac:dyDescent="0.25">
      <c r="A973" s="24" t="s">
        <v>7</v>
      </c>
      <c r="B973" s="24" t="s">
        <v>5678</v>
      </c>
      <c r="C973" s="25" t="s">
        <v>4497</v>
      </c>
      <c r="E973" s="40">
        <v>58</v>
      </c>
      <c r="F973" s="41">
        <v>120954</v>
      </c>
      <c r="G973" s="40">
        <v>68</v>
      </c>
      <c r="H973" s="41">
        <v>136372</v>
      </c>
      <c r="I973" s="41">
        <v>2085.4137931034484</v>
      </c>
      <c r="J973" s="41">
        <v>2005.4705882352941</v>
      </c>
      <c r="K973" s="42">
        <v>-3.8334456755071723E-2</v>
      </c>
    </row>
    <row r="974" spans="1:11" x14ac:dyDescent="0.25">
      <c r="A974" s="24" t="s">
        <v>7</v>
      </c>
      <c r="B974" s="24" t="s">
        <v>5679</v>
      </c>
      <c r="C974" s="25" t="s">
        <v>5680</v>
      </c>
      <c r="G974" s="40">
        <v>6</v>
      </c>
      <c r="H974" s="41">
        <v>12774</v>
      </c>
      <c r="J974" s="41">
        <v>2129</v>
      </c>
    </row>
    <row r="975" spans="1:11" x14ac:dyDescent="0.25">
      <c r="A975" s="24" t="s">
        <v>7</v>
      </c>
      <c r="B975" s="24" t="s">
        <v>5682</v>
      </c>
      <c r="C975" s="25" t="s">
        <v>5683</v>
      </c>
      <c r="D975" s="24" t="s">
        <v>21625</v>
      </c>
      <c r="E975" s="40">
        <v>35</v>
      </c>
      <c r="F975" s="41">
        <v>32907</v>
      </c>
      <c r="G975" s="40">
        <v>44</v>
      </c>
      <c r="H975" s="41">
        <v>45826</v>
      </c>
      <c r="I975" s="41">
        <v>940.2</v>
      </c>
      <c r="J975" s="41">
        <v>1041.5</v>
      </c>
      <c r="K975" s="42">
        <v>0.1077430333971495</v>
      </c>
    </row>
    <row r="976" spans="1:11" x14ac:dyDescent="0.25">
      <c r="A976" s="24" t="s">
        <v>7</v>
      </c>
      <c r="B976" s="24" t="s">
        <v>5685</v>
      </c>
      <c r="C976" s="25" t="s">
        <v>5686</v>
      </c>
      <c r="D976" s="24" t="s">
        <v>21626</v>
      </c>
      <c r="G976" s="40">
        <v>14</v>
      </c>
      <c r="H976" s="41">
        <v>17685</v>
      </c>
      <c r="J976" s="41">
        <v>1263.2142857142858</v>
      </c>
    </row>
    <row r="977" spans="1:11" x14ac:dyDescent="0.25">
      <c r="A977" s="24" t="s">
        <v>7</v>
      </c>
      <c r="B977" s="24" t="s">
        <v>5688</v>
      </c>
      <c r="C977" s="25" t="s">
        <v>5689</v>
      </c>
      <c r="D977" s="24" t="s">
        <v>21627</v>
      </c>
      <c r="E977" s="40">
        <v>54</v>
      </c>
      <c r="F977" s="41">
        <v>49356</v>
      </c>
      <c r="G977" s="40">
        <v>81</v>
      </c>
      <c r="H977" s="41">
        <v>79449</v>
      </c>
      <c r="I977" s="41">
        <v>914</v>
      </c>
      <c r="J977" s="41">
        <v>980.85185185185185</v>
      </c>
      <c r="K977" s="42">
        <v>7.3142069859794143E-2</v>
      </c>
    </row>
    <row r="978" spans="1:11" x14ac:dyDescent="0.25">
      <c r="A978" s="24" t="s">
        <v>7</v>
      </c>
      <c r="B978" s="24" t="s">
        <v>5691</v>
      </c>
      <c r="C978" s="25" t="s">
        <v>5692</v>
      </c>
      <c r="D978" s="24" t="s">
        <v>21628</v>
      </c>
      <c r="E978" s="40">
        <v>814</v>
      </c>
      <c r="F978" s="41">
        <v>1180212</v>
      </c>
      <c r="G978" s="40">
        <v>885</v>
      </c>
      <c r="H978" s="41">
        <v>1326797</v>
      </c>
      <c r="I978" s="41">
        <v>1449.8918918918919</v>
      </c>
      <c r="J978" s="41">
        <v>1499.2056497175142</v>
      </c>
      <c r="K978" s="42">
        <v>3.4012024000820699E-2</v>
      </c>
    </row>
    <row r="979" spans="1:11" x14ac:dyDescent="0.25">
      <c r="A979" s="24" t="s">
        <v>7</v>
      </c>
      <c r="B979" s="24" t="s">
        <v>5694</v>
      </c>
      <c r="C979" s="25" t="s">
        <v>4584</v>
      </c>
      <c r="D979" s="24" t="s">
        <v>21629</v>
      </c>
      <c r="G979" s="40">
        <v>2</v>
      </c>
      <c r="H979" s="41">
        <v>5636</v>
      </c>
      <c r="J979" s="41">
        <v>2818</v>
      </c>
    </row>
    <row r="980" spans="1:11" x14ac:dyDescent="0.25">
      <c r="A980" s="24" t="s">
        <v>7</v>
      </c>
      <c r="B980" s="24" t="s">
        <v>5698</v>
      </c>
      <c r="C980" s="25" t="s">
        <v>5699</v>
      </c>
      <c r="D980" s="24" t="s">
        <v>21630</v>
      </c>
      <c r="E980" s="40">
        <v>184</v>
      </c>
      <c r="F980" s="41">
        <v>194440</v>
      </c>
      <c r="G980" s="40">
        <v>153</v>
      </c>
      <c r="H980" s="41">
        <v>164379</v>
      </c>
      <c r="I980" s="41">
        <v>1056.7391304347825</v>
      </c>
      <c r="J980" s="41">
        <v>1074.3725490196077</v>
      </c>
      <c r="K980" s="42">
        <v>1.6686633509606259E-2</v>
      </c>
    </row>
    <row r="981" spans="1:11" x14ac:dyDescent="0.25">
      <c r="A981" s="24" t="s">
        <v>7</v>
      </c>
      <c r="B981" s="24" t="s">
        <v>5701</v>
      </c>
      <c r="C981" s="25" t="s">
        <v>5702</v>
      </c>
      <c r="D981" s="24" t="s">
        <v>21631</v>
      </c>
      <c r="E981" s="40">
        <v>88</v>
      </c>
      <c r="F981" s="41">
        <v>86607</v>
      </c>
      <c r="G981" s="40">
        <v>89</v>
      </c>
      <c r="H981" s="41">
        <v>83106</v>
      </c>
      <c r="I981" s="41">
        <v>984.1704545454545</v>
      </c>
      <c r="J981" s="41">
        <v>933.77528089887642</v>
      </c>
      <c r="K981" s="42">
        <v>-5.1205737190976153E-2</v>
      </c>
    </row>
    <row r="982" spans="1:11" x14ac:dyDescent="0.25">
      <c r="A982" s="24" t="s">
        <v>7</v>
      </c>
      <c r="B982" s="24" t="s">
        <v>5703</v>
      </c>
      <c r="C982" s="25" t="s">
        <v>5704</v>
      </c>
      <c r="D982" s="24" t="s">
        <v>21632</v>
      </c>
      <c r="E982" s="40">
        <v>243</v>
      </c>
      <c r="F982" s="41">
        <v>320021</v>
      </c>
      <c r="G982" s="40">
        <v>287</v>
      </c>
      <c r="H982" s="41">
        <v>364702</v>
      </c>
      <c r="I982" s="41">
        <v>1316.9588477366256</v>
      </c>
      <c r="J982" s="41">
        <v>1270.7386759581882</v>
      </c>
      <c r="K982" s="42">
        <v>-3.5096139760079116E-2</v>
      </c>
    </row>
    <row r="983" spans="1:11" x14ac:dyDescent="0.25">
      <c r="A983" s="24" t="s">
        <v>7</v>
      </c>
      <c r="B983" s="24" t="s">
        <v>5706</v>
      </c>
      <c r="C983" s="25" t="s">
        <v>5707</v>
      </c>
      <c r="D983" s="24" t="s">
        <v>21633</v>
      </c>
      <c r="E983" s="40">
        <v>245</v>
      </c>
      <c r="F983" s="41">
        <v>266618</v>
      </c>
      <c r="G983" s="40">
        <v>288</v>
      </c>
      <c r="H983" s="41">
        <v>308920</v>
      </c>
      <c r="I983" s="41">
        <v>1088.2367346938775</v>
      </c>
      <c r="J983" s="41">
        <v>1072.6388888888889</v>
      </c>
      <c r="K983" s="42">
        <v>-1.4333136630768335E-2</v>
      </c>
    </row>
    <row r="984" spans="1:11" x14ac:dyDescent="0.25">
      <c r="A984" s="24" t="s">
        <v>7</v>
      </c>
      <c r="B984" s="24" t="s">
        <v>5709</v>
      </c>
      <c r="C984" s="25" t="s">
        <v>5710</v>
      </c>
      <c r="D984" s="24" t="s">
        <v>21634</v>
      </c>
      <c r="G984" s="40">
        <v>1</v>
      </c>
      <c r="H984" s="41">
        <v>793</v>
      </c>
      <c r="J984" s="41">
        <v>793</v>
      </c>
    </row>
    <row r="985" spans="1:11" x14ac:dyDescent="0.25">
      <c r="A985" s="24" t="s">
        <v>7</v>
      </c>
      <c r="B985" s="24" t="s">
        <v>5712</v>
      </c>
      <c r="C985" s="25" t="s">
        <v>5713</v>
      </c>
      <c r="D985" s="24" t="s">
        <v>21635</v>
      </c>
      <c r="E985" s="40">
        <v>73</v>
      </c>
      <c r="F985" s="41">
        <v>61142</v>
      </c>
      <c r="G985" s="40">
        <v>69</v>
      </c>
      <c r="H985" s="41">
        <v>56117</v>
      </c>
      <c r="I985" s="41">
        <v>837.56164383561645</v>
      </c>
      <c r="J985" s="41">
        <v>813.28985507246375</v>
      </c>
      <c r="K985" s="42">
        <v>-2.8979107319193793E-2</v>
      </c>
    </row>
    <row r="986" spans="1:11" x14ac:dyDescent="0.25">
      <c r="A986" s="24" t="s">
        <v>7</v>
      </c>
      <c r="B986" s="24" t="s">
        <v>5715</v>
      </c>
      <c r="C986" s="25" t="s">
        <v>5716</v>
      </c>
      <c r="D986" s="24" t="s">
        <v>21636</v>
      </c>
      <c r="E986" s="40">
        <v>515</v>
      </c>
      <c r="F986" s="41">
        <v>714260</v>
      </c>
      <c r="G986" s="40">
        <v>484</v>
      </c>
      <c r="H986" s="41">
        <v>637468</v>
      </c>
      <c r="I986" s="41">
        <v>1386.9126213592233</v>
      </c>
      <c r="J986" s="41">
        <v>1317.0826446280992</v>
      </c>
      <c r="K986" s="42">
        <v>-5.0349225795269133E-2</v>
      </c>
    </row>
    <row r="987" spans="1:11" x14ac:dyDescent="0.25">
      <c r="A987" s="24" t="s">
        <v>7</v>
      </c>
      <c r="B987" s="24" t="s">
        <v>5721</v>
      </c>
      <c r="C987" s="25" t="s">
        <v>5722</v>
      </c>
      <c r="D987" s="24" t="s">
        <v>21637</v>
      </c>
      <c r="E987" s="40">
        <v>87</v>
      </c>
      <c r="F987" s="41">
        <v>69484</v>
      </c>
      <c r="G987" s="40">
        <v>88</v>
      </c>
      <c r="H987" s="41">
        <v>70455</v>
      </c>
      <c r="I987" s="41">
        <v>798.66666666666663</v>
      </c>
      <c r="J987" s="41">
        <v>800.625</v>
      </c>
      <c r="K987" s="42">
        <v>2.4520033388982111E-3</v>
      </c>
    </row>
    <row r="988" spans="1:11" x14ac:dyDescent="0.25">
      <c r="A988" s="24" t="s">
        <v>7</v>
      </c>
      <c r="B988" s="24" t="s">
        <v>5724</v>
      </c>
      <c r="C988" s="25" t="s">
        <v>5725</v>
      </c>
      <c r="D988" s="24" t="s">
        <v>21638</v>
      </c>
      <c r="E988" s="40">
        <v>510</v>
      </c>
      <c r="F988" s="41">
        <v>618734</v>
      </c>
      <c r="G988" s="40">
        <v>533</v>
      </c>
      <c r="H988" s="41">
        <v>613395</v>
      </c>
      <c r="I988" s="41">
        <v>1213.2039215686275</v>
      </c>
      <c r="J988" s="41">
        <v>1150.8348968105065</v>
      </c>
      <c r="K988" s="42">
        <v>-5.1408525516040339E-2</v>
      </c>
    </row>
    <row r="989" spans="1:11" x14ac:dyDescent="0.25">
      <c r="A989" s="24" t="s">
        <v>7</v>
      </c>
      <c r="B989" s="24" t="s">
        <v>5727</v>
      </c>
      <c r="C989" s="25" t="s">
        <v>5728</v>
      </c>
      <c r="D989" s="24" t="s">
        <v>21639</v>
      </c>
      <c r="E989" s="40">
        <v>183</v>
      </c>
      <c r="F989" s="41">
        <v>148908</v>
      </c>
      <c r="G989" s="40">
        <v>222</v>
      </c>
      <c r="H989" s="41">
        <v>172944</v>
      </c>
      <c r="I989" s="41">
        <v>813.70491803278685</v>
      </c>
      <c r="J989" s="41">
        <v>779.02702702702697</v>
      </c>
      <c r="K989" s="42">
        <v>-4.2617280831480225E-2</v>
      </c>
    </row>
    <row r="990" spans="1:11" x14ac:dyDescent="0.25">
      <c r="A990" s="24" t="s">
        <v>7</v>
      </c>
      <c r="B990" s="24" t="s">
        <v>5730</v>
      </c>
      <c r="C990" s="25" t="s">
        <v>5731</v>
      </c>
      <c r="D990" s="24" t="s">
        <v>21640</v>
      </c>
      <c r="E990" s="40">
        <v>16</v>
      </c>
      <c r="F990" s="41">
        <v>16776</v>
      </c>
      <c r="G990" s="40">
        <v>17</v>
      </c>
      <c r="H990" s="41">
        <v>18880</v>
      </c>
      <c r="I990" s="41">
        <v>1048.5</v>
      </c>
      <c r="J990" s="41">
        <v>1110.5882352941176</v>
      </c>
      <c r="K990" s="42">
        <v>5.9216247300064438E-2</v>
      </c>
    </row>
    <row r="991" spans="1:11" x14ac:dyDescent="0.25">
      <c r="A991" s="24" t="s">
        <v>7</v>
      </c>
      <c r="B991" s="24" t="s">
        <v>5733</v>
      </c>
      <c r="C991" s="25" t="s">
        <v>5734</v>
      </c>
      <c r="D991" s="24" t="s">
        <v>21640</v>
      </c>
      <c r="E991" s="40">
        <v>53</v>
      </c>
      <c r="F991" s="41">
        <v>34669</v>
      </c>
      <c r="G991" s="40">
        <v>54</v>
      </c>
      <c r="H991" s="41">
        <v>41823</v>
      </c>
      <c r="I991" s="41">
        <v>654.13207547169816</v>
      </c>
      <c r="J991" s="41">
        <v>774.5</v>
      </c>
      <c r="K991" s="42">
        <v>0.18401165306181305</v>
      </c>
    </row>
    <row r="992" spans="1:11" x14ac:dyDescent="0.25">
      <c r="A992" s="24" t="s">
        <v>7</v>
      </c>
      <c r="B992" s="24" t="s">
        <v>5736</v>
      </c>
      <c r="C992" s="25" t="s">
        <v>5737</v>
      </c>
      <c r="D992" s="24" t="s">
        <v>21641</v>
      </c>
      <c r="E992" s="40">
        <v>16</v>
      </c>
      <c r="F992" s="41">
        <v>15928</v>
      </c>
      <c r="G992" s="40">
        <v>16</v>
      </c>
      <c r="H992" s="41">
        <v>27829</v>
      </c>
      <c r="I992" s="41">
        <v>995.5</v>
      </c>
      <c r="J992" s="41">
        <v>1739.3125</v>
      </c>
      <c r="K992" s="42">
        <v>0.74717478653942737</v>
      </c>
    </row>
    <row r="993" spans="1:11" x14ac:dyDescent="0.25">
      <c r="A993" s="24" t="s">
        <v>7</v>
      </c>
      <c r="B993" s="24" t="s">
        <v>5739</v>
      </c>
      <c r="C993" s="25" t="s">
        <v>5740</v>
      </c>
      <c r="D993" s="24" t="s">
        <v>21642</v>
      </c>
      <c r="E993" s="40">
        <v>295</v>
      </c>
      <c r="F993" s="41">
        <v>201768</v>
      </c>
      <c r="G993" s="40">
        <v>320</v>
      </c>
      <c r="H993" s="41">
        <v>306479</v>
      </c>
      <c r="I993" s="41">
        <v>683.95932203389827</v>
      </c>
      <c r="J993" s="41">
        <v>957.74687500000005</v>
      </c>
      <c r="K993" s="42">
        <v>0.40029800624975231</v>
      </c>
    </row>
    <row r="994" spans="1:11" x14ac:dyDescent="0.25">
      <c r="A994" s="24" t="s">
        <v>7</v>
      </c>
      <c r="B994" s="24" t="s">
        <v>5742</v>
      </c>
      <c r="C994" s="25" t="s">
        <v>5743</v>
      </c>
      <c r="D994" s="24" t="s">
        <v>21642</v>
      </c>
      <c r="E994" s="40">
        <v>252</v>
      </c>
      <c r="F994" s="41">
        <v>171980</v>
      </c>
      <c r="G994" s="40">
        <v>320</v>
      </c>
      <c r="H994" s="41">
        <v>270304</v>
      </c>
      <c r="I994" s="41">
        <v>682.46031746031747</v>
      </c>
      <c r="J994" s="41">
        <v>844.7</v>
      </c>
      <c r="K994" s="42">
        <v>0.23772764274915692</v>
      </c>
    </row>
    <row r="995" spans="1:11" x14ac:dyDescent="0.25">
      <c r="A995" s="24" t="s">
        <v>7</v>
      </c>
      <c r="B995" s="24" t="s">
        <v>5745</v>
      </c>
      <c r="C995" s="25" t="s">
        <v>5746</v>
      </c>
      <c r="D995" s="24" t="s">
        <v>21643</v>
      </c>
      <c r="E995" s="40">
        <v>18</v>
      </c>
      <c r="F995" s="41">
        <v>36914</v>
      </c>
      <c r="G995" s="40">
        <v>20</v>
      </c>
      <c r="H995" s="41">
        <v>40988</v>
      </c>
      <c r="I995" s="41">
        <v>2050.7777777777778</v>
      </c>
      <c r="J995" s="41">
        <v>2049.4</v>
      </c>
      <c r="K995" s="42">
        <v>-6.7183182532370566E-4</v>
      </c>
    </row>
    <row r="996" spans="1:11" x14ac:dyDescent="0.25">
      <c r="A996" s="24" t="s">
        <v>7</v>
      </c>
      <c r="B996" s="24" t="s">
        <v>5748</v>
      </c>
      <c r="C996" s="25" t="s">
        <v>5749</v>
      </c>
      <c r="D996" s="24" t="s">
        <v>21644</v>
      </c>
      <c r="G996" s="40">
        <v>8</v>
      </c>
      <c r="H996" s="41">
        <v>9499</v>
      </c>
      <c r="J996" s="41">
        <v>1187.375</v>
      </c>
    </row>
    <row r="997" spans="1:11" x14ac:dyDescent="0.25">
      <c r="A997" s="24" t="s">
        <v>7</v>
      </c>
      <c r="B997" s="24" t="s">
        <v>5751</v>
      </c>
      <c r="C997" s="25" t="s">
        <v>5752</v>
      </c>
      <c r="D997" s="24" t="s">
        <v>21645</v>
      </c>
      <c r="G997" s="40">
        <v>5</v>
      </c>
      <c r="H997" s="41">
        <v>9660</v>
      </c>
      <c r="J997" s="41">
        <v>1932</v>
      </c>
    </row>
    <row r="998" spans="1:11" x14ac:dyDescent="0.25">
      <c r="A998" s="24" t="s">
        <v>7</v>
      </c>
      <c r="B998" s="24" t="s">
        <v>5757</v>
      </c>
      <c r="C998" s="25" t="s">
        <v>5758</v>
      </c>
      <c r="D998" s="24" t="s">
        <v>21646</v>
      </c>
      <c r="E998" s="40">
        <v>188</v>
      </c>
      <c r="F998" s="41">
        <v>267357</v>
      </c>
      <c r="G998" s="40">
        <v>221</v>
      </c>
      <c r="H998" s="41">
        <v>326594</v>
      </c>
      <c r="I998" s="41">
        <v>1422.1117021276596</v>
      </c>
      <c r="J998" s="41">
        <v>1477.8009049773755</v>
      </c>
      <c r="K998" s="42">
        <v>3.9159513817654264E-2</v>
      </c>
    </row>
    <row r="999" spans="1:11" x14ac:dyDescent="0.25">
      <c r="A999" s="24" t="s">
        <v>7</v>
      </c>
      <c r="B999" s="24" t="s">
        <v>5760</v>
      </c>
      <c r="C999" s="25" t="s">
        <v>5761</v>
      </c>
      <c r="D999" s="24" t="s">
        <v>21647</v>
      </c>
      <c r="G999" s="40">
        <v>17</v>
      </c>
      <c r="H999" s="41">
        <v>14161</v>
      </c>
      <c r="J999" s="41">
        <v>833</v>
      </c>
    </row>
    <row r="1000" spans="1:11" x14ac:dyDescent="0.25">
      <c r="A1000" s="24" t="s">
        <v>7</v>
      </c>
      <c r="B1000" s="24" t="s">
        <v>5762</v>
      </c>
      <c r="C1000" s="25" t="s">
        <v>5763</v>
      </c>
      <c r="D1000" s="24" t="s">
        <v>21648</v>
      </c>
      <c r="E1000" s="40">
        <v>419</v>
      </c>
      <c r="F1000" s="41">
        <v>464895</v>
      </c>
      <c r="G1000" s="40">
        <v>562</v>
      </c>
      <c r="H1000" s="41">
        <v>577896</v>
      </c>
      <c r="I1000" s="41">
        <v>1109.5346062052506</v>
      </c>
      <c r="J1000" s="41">
        <v>1028.2846975088969</v>
      </c>
      <c r="K1000" s="42">
        <v>-7.3228818859682743E-2</v>
      </c>
    </row>
    <row r="1001" spans="1:11" x14ac:dyDescent="0.25">
      <c r="A1001" s="24" t="s">
        <v>7</v>
      </c>
      <c r="B1001" s="24" t="s">
        <v>5765</v>
      </c>
      <c r="C1001" s="25" t="s">
        <v>5766</v>
      </c>
      <c r="D1001" s="24" t="s">
        <v>21649</v>
      </c>
      <c r="E1001" s="40">
        <v>4</v>
      </c>
      <c r="F1001" s="41">
        <v>2210</v>
      </c>
      <c r="G1001" s="40">
        <v>5</v>
      </c>
      <c r="H1001" s="41">
        <v>4229</v>
      </c>
      <c r="I1001" s="41">
        <v>552.5</v>
      </c>
      <c r="J1001" s="41">
        <v>845.8</v>
      </c>
      <c r="K1001" s="42">
        <v>0.5308597285067872</v>
      </c>
    </row>
    <row r="1002" spans="1:11" x14ac:dyDescent="0.25">
      <c r="A1002" s="24" t="s">
        <v>7</v>
      </c>
      <c r="B1002" s="24" t="s">
        <v>5771</v>
      </c>
      <c r="C1002" s="25" t="s">
        <v>5772</v>
      </c>
      <c r="D1002" s="24" t="s">
        <v>21650</v>
      </c>
      <c r="E1002" s="40">
        <v>951</v>
      </c>
      <c r="F1002" s="41">
        <v>1745785</v>
      </c>
      <c r="G1002" s="40">
        <v>958</v>
      </c>
      <c r="H1002" s="41">
        <v>1832042</v>
      </c>
      <c r="I1002" s="41">
        <v>1835.7360672975815</v>
      </c>
      <c r="J1002" s="41">
        <v>1912.3611691022963</v>
      </c>
      <c r="K1002" s="42">
        <v>4.174080532040534E-2</v>
      </c>
    </row>
    <row r="1003" spans="1:11" x14ac:dyDescent="0.25">
      <c r="A1003" s="24" t="s">
        <v>7</v>
      </c>
      <c r="B1003" s="24" t="s">
        <v>5774</v>
      </c>
      <c r="C1003" s="25" t="s">
        <v>5775</v>
      </c>
      <c r="D1003" s="24" t="s">
        <v>21651</v>
      </c>
      <c r="G1003" s="40">
        <v>1</v>
      </c>
      <c r="H1003" s="41">
        <v>3180</v>
      </c>
      <c r="J1003" s="41">
        <v>3180</v>
      </c>
    </row>
    <row r="1004" spans="1:11" x14ac:dyDescent="0.25">
      <c r="A1004" s="24" t="s">
        <v>7</v>
      </c>
      <c r="B1004" s="24" t="s">
        <v>5777</v>
      </c>
      <c r="C1004" s="25" t="s">
        <v>5778</v>
      </c>
      <c r="D1004" s="24" t="s">
        <v>21652</v>
      </c>
      <c r="E1004" s="40">
        <v>466</v>
      </c>
      <c r="F1004" s="41">
        <v>482797</v>
      </c>
      <c r="G1004" s="40">
        <v>532</v>
      </c>
      <c r="H1004" s="41">
        <v>560076</v>
      </c>
      <c r="I1004" s="41">
        <v>1036.0450643776824</v>
      </c>
      <c r="J1004" s="41">
        <v>1052.7744360902257</v>
      </c>
      <c r="K1004" s="42">
        <v>1.614733980957872E-2</v>
      </c>
    </row>
    <row r="1005" spans="1:11" x14ac:dyDescent="0.25">
      <c r="A1005" s="24" t="s">
        <v>7</v>
      </c>
      <c r="B1005" s="24" t="s">
        <v>5780</v>
      </c>
      <c r="C1005" s="25" t="s">
        <v>5781</v>
      </c>
      <c r="D1005" s="24" t="s">
        <v>21653</v>
      </c>
      <c r="E1005" s="40">
        <v>4</v>
      </c>
      <c r="F1005" s="41">
        <v>3093</v>
      </c>
      <c r="G1005" s="40">
        <v>0</v>
      </c>
      <c r="H1005" s="41">
        <v>0</v>
      </c>
      <c r="I1005" s="41">
        <v>773.25</v>
      </c>
    </row>
    <row r="1006" spans="1:11" x14ac:dyDescent="0.25">
      <c r="A1006" s="24" t="s">
        <v>7</v>
      </c>
      <c r="B1006" s="24" t="s">
        <v>5783</v>
      </c>
      <c r="C1006" s="25" t="s">
        <v>5784</v>
      </c>
      <c r="D1006" s="24" t="s">
        <v>21654</v>
      </c>
      <c r="E1006" s="40">
        <v>79</v>
      </c>
      <c r="F1006" s="41">
        <v>76093</v>
      </c>
      <c r="G1006" s="40">
        <v>96</v>
      </c>
      <c r="H1006" s="41">
        <v>90750</v>
      </c>
      <c r="I1006" s="41">
        <v>963.20253164556959</v>
      </c>
      <c r="J1006" s="41">
        <v>945.3125</v>
      </c>
      <c r="K1006" s="42">
        <v>-1.8573489020014954E-2</v>
      </c>
    </row>
    <row r="1007" spans="1:11" x14ac:dyDescent="0.25">
      <c r="A1007" s="24" t="s">
        <v>7</v>
      </c>
      <c r="B1007" s="24" t="s">
        <v>5786</v>
      </c>
      <c r="C1007" s="25" t="s">
        <v>5787</v>
      </c>
      <c r="D1007" s="24" t="s">
        <v>21655</v>
      </c>
      <c r="E1007" s="40">
        <v>796</v>
      </c>
      <c r="F1007" s="41">
        <v>1068042</v>
      </c>
      <c r="G1007" s="40">
        <v>806</v>
      </c>
      <c r="H1007" s="41">
        <v>1062590</v>
      </c>
      <c r="I1007" s="41">
        <v>1341.7613065326634</v>
      </c>
      <c r="J1007" s="41">
        <v>1318.3498759305212</v>
      </c>
      <c r="K1007" s="42">
        <v>-1.7448282707332861E-2</v>
      </c>
    </row>
    <row r="1008" spans="1:11" x14ac:dyDescent="0.25">
      <c r="A1008" s="24" t="s">
        <v>7</v>
      </c>
      <c r="B1008" s="24" t="s">
        <v>5792</v>
      </c>
      <c r="C1008" s="25" t="s">
        <v>5793</v>
      </c>
      <c r="D1008" s="24" t="s">
        <v>21656</v>
      </c>
      <c r="E1008" s="40">
        <v>143</v>
      </c>
      <c r="F1008" s="41">
        <v>132472</v>
      </c>
      <c r="G1008" s="40">
        <v>181</v>
      </c>
      <c r="H1008" s="41">
        <v>162339</v>
      </c>
      <c r="I1008" s="41">
        <v>926.3776223776224</v>
      </c>
      <c r="J1008" s="41">
        <v>896.90055248618785</v>
      </c>
      <c r="K1008" s="42">
        <v>-3.1819712803272698E-2</v>
      </c>
    </row>
    <row r="1009" spans="1:11" x14ac:dyDescent="0.25">
      <c r="A1009" s="24" t="s">
        <v>7</v>
      </c>
      <c r="B1009" s="24" t="s">
        <v>5795</v>
      </c>
      <c r="C1009" s="25" t="s">
        <v>5796</v>
      </c>
      <c r="D1009" s="24" t="s">
        <v>21657</v>
      </c>
      <c r="E1009" s="40">
        <v>1167</v>
      </c>
      <c r="F1009" s="41">
        <v>1443715</v>
      </c>
      <c r="G1009" s="40">
        <v>1489</v>
      </c>
      <c r="H1009" s="41">
        <v>1729771</v>
      </c>
      <c r="I1009" s="41">
        <v>1237.1165381319622</v>
      </c>
      <c r="J1009" s="41">
        <v>1161.6997985224982</v>
      </c>
      <c r="K1009" s="42">
        <v>-6.0961709980324713E-2</v>
      </c>
    </row>
    <row r="1010" spans="1:11" x14ac:dyDescent="0.25">
      <c r="A1010" s="24" t="s">
        <v>7</v>
      </c>
      <c r="B1010" s="24" t="s">
        <v>5798</v>
      </c>
      <c r="C1010" s="25" t="s">
        <v>5799</v>
      </c>
      <c r="D1010" s="24" t="s">
        <v>21658</v>
      </c>
      <c r="E1010" s="40">
        <v>16</v>
      </c>
      <c r="F1010" s="41">
        <v>10796</v>
      </c>
      <c r="G1010" s="40">
        <v>33</v>
      </c>
      <c r="H1010" s="41">
        <v>20768</v>
      </c>
      <c r="I1010" s="41">
        <v>674.75</v>
      </c>
      <c r="J1010" s="41">
        <v>629.33333333333337</v>
      </c>
      <c r="K1010" s="42">
        <v>-6.7308879832036497E-2</v>
      </c>
    </row>
    <row r="1011" spans="1:11" x14ac:dyDescent="0.25">
      <c r="A1011" s="24" t="s">
        <v>7</v>
      </c>
      <c r="B1011" s="24" t="s">
        <v>5801</v>
      </c>
      <c r="C1011" s="25" t="s">
        <v>5802</v>
      </c>
      <c r="D1011" s="24" t="s">
        <v>21659</v>
      </c>
      <c r="E1011" s="40">
        <v>82</v>
      </c>
      <c r="F1011" s="41">
        <v>66384</v>
      </c>
      <c r="G1011" s="40">
        <v>122</v>
      </c>
      <c r="H1011" s="41">
        <v>108451</v>
      </c>
      <c r="I1011" s="41">
        <v>809.56097560975604</v>
      </c>
      <c r="J1011" s="41">
        <v>888.94262295081967</v>
      </c>
      <c r="K1011" s="42">
        <v>9.8055180193528824E-2</v>
      </c>
    </row>
    <row r="1012" spans="1:11" x14ac:dyDescent="0.25">
      <c r="A1012" s="24" t="s">
        <v>7</v>
      </c>
      <c r="B1012" s="24" t="s">
        <v>5804</v>
      </c>
      <c r="C1012" s="25" t="s">
        <v>5805</v>
      </c>
      <c r="D1012" s="24" t="s">
        <v>21660</v>
      </c>
      <c r="E1012" s="40">
        <v>3180</v>
      </c>
      <c r="F1012" s="41">
        <v>2047257</v>
      </c>
      <c r="G1012" s="40">
        <v>3195</v>
      </c>
      <c r="H1012" s="41">
        <v>1980009</v>
      </c>
      <c r="I1012" s="41">
        <v>643.79150943396223</v>
      </c>
      <c r="J1012" s="41">
        <v>619.72112676056338</v>
      </c>
      <c r="K1012" s="42">
        <v>-3.7388474872186717E-2</v>
      </c>
    </row>
    <row r="1013" spans="1:11" x14ac:dyDescent="0.25">
      <c r="A1013" s="24" t="s">
        <v>7</v>
      </c>
      <c r="B1013" s="24" t="s">
        <v>5806</v>
      </c>
      <c r="C1013" s="25" t="s">
        <v>5807</v>
      </c>
      <c r="D1013" s="24" t="s">
        <v>21661</v>
      </c>
      <c r="E1013" s="40">
        <v>82</v>
      </c>
      <c r="F1013" s="41">
        <v>80488</v>
      </c>
      <c r="G1013" s="40">
        <v>137</v>
      </c>
      <c r="H1013" s="41">
        <v>121601</v>
      </c>
      <c r="I1013" s="41">
        <v>981.56097560975604</v>
      </c>
      <c r="J1013" s="41">
        <v>887.59854014598545</v>
      </c>
      <c r="K1013" s="42">
        <v>-9.5727558245069927E-2</v>
      </c>
    </row>
    <row r="1014" spans="1:11" x14ac:dyDescent="0.25">
      <c r="A1014" s="24" t="s">
        <v>7</v>
      </c>
      <c r="B1014" s="24" t="s">
        <v>5808</v>
      </c>
      <c r="C1014" s="25" t="s">
        <v>5809</v>
      </c>
      <c r="D1014" s="24" t="s">
        <v>21662</v>
      </c>
      <c r="G1014" s="40">
        <v>1</v>
      </c>
      <c r="H1014" s="41">
        <v>1009</v>
      </c>
      <c r="J1014" s="41">
        <v>1009</v>
      </c>
    </row>
    <row r="1015" spans="1:11" x14ac:dyDescent="0.25">
      <c r="A1015" s="24" t="s">
        <v>7</v>
      </c>
      <c r="B1015" s="24" t="s">
        <v>5811</v>
      </c>
      <c r="C1015" s="25" t="s">
        <v>5812</v>
      </c>
      <c r="D1015" s="24" t="s">
        <v>21663</v>
      </c>
      <c r="E1015" s="40">
        <v>43</v>
      </c>
      <c r="F1015" s="41">
        <v>68431</v>
      </c>
      <c r="G1015" s="40">
        <v>28</v>
      </c>
      <c r="H1015" s="41">
        <v>44184</v>
      </c>
      <c r="I1015" s="41">
        <v>1591.4186046511627</v>
      </c>
      <c r="J1015" s="41">
        <v>1578</v>
      </c>
      <c r="K1015" s="42">
        <v>-8.4318510616532855E-3</v>
      </c>
    </row>
    <row r="1016" spans="1:11" x14ac:dyDescent="0.25">
      <c r="A1016" s="24" t="s">
        <v>7</v>
      </c>
      <c r="B1016" s="24" t="s">
        <v>5814</v>
      </c>
      <c r="C1016" s="25" t="s">
        <v>5815</v>
      </c>
      <c r="D1016" s="24" t="s">
        <v>21664</v>
      </c>
      <c r="E1016" s="40">
        <v>5</v>
      </c>
      <c r="F1016" s="41">
        <v>4701</v>
      </c>
      <c r="G1016" s="40">
        <v>10</v>
      </c>
      <c r="H1016" s="41">
        <v>8672</v>
      </c>
      <c r="I1016" s="41">
        <v>940.2</v>
      </c>
      <c r="J1016" s="41">
        <v>867.2</v>
      </c>
      <c r="K1016" s="42">
        <v>-7.7643054669219308E-2</v>
      </c>
    </row>
    <row r="1017" spans="1:11" x14ac:dyDescent="0.25">
      <c r="A1017" s="24" t="s">
        <v>7</v>
      </c>
      <c r="B1017" s="24" t="s">
        <v>5817</v>
      </c>
      <c r="C1017" s="25" t="s">
        <v>5818</v>
      </c>
      <c r="D1017" s="24" t="s">
        <v>21665</v>
      </c>
      <c r="E1017" s="40">
        <v>92</v>
      </c>
      <c r="F1017" s="41">
        <v>414164</v>
      </c>
      <c r="G1017" s="40">
        <v>67</v>
      </c>
      <c r="H1017" s="41">
        <v>257773</v>
      </c>
      <c r="I1017" s="41">
        <v>4501.782608695652</v>
      </c>
      <c r="J1017" s="41">
        <v>3847.3582089552237</v>
      </c>
      <c r="K1017" s="42">
        <v>-0.14537005818013976</v>
      </c>
    </row>
    <row r="1018" spans="1:11" x14ac:dyDescent="0.25">
      <c r="A1018" s="24" t="s">
        <v>7</v>
      </c>
      <c r="B1018" s="24" t="s">
        <v>5820</v>
      </c>
      <c r="C1018" s="25" t="s">
        <v>5821</v>
      </c>
      <c r="D1018" s="24" t="s">
        <v>21666</v>
      </c>
      <c r="E1018" s="40">
        <v>78</v>
      </c>
      <c r="F1018" s="41">
        <v>123429</v>
      </c>
      <c r="G1018" s="40">
        <v>59</v>
      </c>
      <c r="H1018" s="41">
        <v>93411</v>
      </c>
      <c r="I1018" s="41">
        <v>1582.4230769230769</v>
      </c>
      <c r="J1018" s="41">
        <v>1583.2372881355932</v>
      </c>
      <c r="K1018" s="42">
        <v>5.1453446577603436E-4</v>
      </c>
    </row>
    <row r="1019" spans="1:11" x14ac:dyDescent="0.25">
      <c r="A1019" s="24" t="s">
        <v>7</v>
      </c>
      <c r="B1019" s="24" t="s">
        <v>5823</v>
      </c>
      <c r="C1019" s="25" t="s">
        <v>5824</v>
      </c>
      <c r="D1019" s="24" t="s">
        <v>21667</v>
      </c>
      <c r="G1019" s="40">
        <v>1</v>
      </c>
      <c r="H1019" s="41">
        <v>1418</v>
      </c>
      <c r="J1019" s="41">
        <v>1418</v>
      </c>
    </row>
    <row r="1020" spans="1:11" x14ac:dyDescent="0.25">
      <c r="A1020" s="24" t="s">
        <v>7</v>
      </c>
      <c r="B1020" s="24" t="s">
        <v>5826</v>
      </c>
      <c r="C1020" s="25" t="s">
        <v>5827</v>
      </c>
      <c r="D1020" s="24" t="s">
        <v>21668</v>
      </c>
      <c r="E1020" s="40">
        <v>410</v>
      </c>
      <c r="F1020" s="41">
        <v>990462</v>
      </c>
      <c r="G1020" s="40">
        <v>498</v>
      </c>
      <c r="H1020" s="41">
        <v>1104832</v>
      </c>
      <c r="I1020" s="41">
        <v>2415.7609756097563</v>
      </c>
      <c r="J1020" s="41">
        <v>2218.5381526104416</v>
      </c>
      <c r="K1020" s="42">
        <v>-8.1640040132502853E-2</v>
      </c>
    </row>
    <row r="1021" spans="1:11" x14ac:dyDescent="0.25">
      <c r="A1021" s="24" t="s">
        <v>7</v>
      </c>
      <c r="B1021" s="24" t="s">
        <v>5832</v>
      </c>
      <c r="C1021" s="25" t="s">
        <v>5833</v>
      </c>
      <c r="D1021" s="24" t="s">
        <v>21669</v>
      </c>
      <c r="E1021" s="40">
        <v>69</v>
      </c>
      <c r="F1021" s="41">
        <v>126800</v>
      </c>
      <c r="G1021" s="40">
        <v>232</v>
      </c>
      <c r="H1021" s="41">
        <v>400012</v>
      </c>
      <c r="I1021" s="41">
        <v>1837.6811594202898</v>
      </c>
      <c r="J1021" s="41">
        <v>1724.1896551724137</v>
      </c>
      <c r="K1021" s="42">
        <v>-6.1757995213749584E-2</v>
      </c>
    </row>
    <row r="1022" spans="1:11" x14ac:dyDescent="0.25">
      <c r="A1022" s="24" t="s">
        <v>7</v>
      </c>
      <c r="B1022" s="24" t="s">
        <v>5838</v>
      </c>
      <c r="C1022" s="25" t="s">
        <v>5839</v>
      </c>
      <c r="D1022" s="24" t="s">
        <v>21670</v>
      </c>
      <c r="E1022" s="40">
        <v>26</v>
      </c>
      <c r="F1022" s="41">
        <v>38976</v>
      </c>
      <c r="G1022" s="40">
        <v>23</v>
      </c>
      <c r="H1022" s="41">
        <v>32126</v>
      </c>
      <c r="I1022" s="41">
        <v>1499.0769230769231</v>
      </c>
      <c r="J1022" s="41">
        <v>1396.7826086956522</v>
      </c>
      <c r="K1022" s="42">
        <v>-6.8238202327407696E-2</v>
      </c>
    </row>
    <row r="1023" spans="1:11" x14ac:dyDescent="0.25">
      <c r="A1023" s="24" t="s">
        <v>7</v>
      </c>
      <c r="B1023" s="24" t="s">
        <v>5841</v>
      </c>
      <c r="C1023" s="25" t="s">
        <v>5842</v>
      </c>
      <c r="D1023" s="24" t="s">
        <v>21671</v>
      </c>
      <c r="E1023" s="40">
        <v>129</v>
      </c>
      <c r="F1023" s="41">
        <v>295590</v>
      </c>
      <c r="G1023" s="40">
        <v>145</v>
      </c>
      <c r="H1023" s="41">
        <v>308965</v>
      </c>
      <c r="I1023" s="41">
        <v>2291.3953488372094</v>
      </c>
      <c r="J1023" s="41">
        <v>2130.7931034482758</v>
      </c>
      <c r="K1023" s="42">
        <v>-7.0089277902406835E-2</v>
      </c>
    </row>
    <row r="1024" spans="1:11" x14ac:dyDescent="0.25">
      <c r="A1024" s="24" t="s">
        <v>7</v>
      </c>
      <c r="B1024" s="24" t="s">
        <v>5847</v>
      </c>
      <c r="C1024" s="25" t="s">
        <v>5848</v>
      </c>
      <c r="D1024" s="24" t="s">
        <v>21672</v>
      </c>
      <c r="E1024" s="40">
        <v>42</v>
      </c>
      <c r="F1024" s="41">
        <v>94926</v>
      </c>
      <c r="G1024" s="40">
        <v>31</v>
      </c>
      <c r="H1024" s="41">
        <v>72969</v>
      </c>
      <c r="I1024" s="41">
        <v>2260.1428571428573</v>
      </c>
      <c r="J1024" s="41">
        <v>2353.8387096774195</v>
      </c>
      <c r="K1024" s="42">
        <v>4.145572136666046E-2</v>
      </c>
    </row>
    <row r="1025" spans="1:11" x14ac:dyDescent="0.25">
      <c r="A1025" s="24" t="s">
        <v>7</v>
      </c>
      <c r="B1025" s="24" t="s">
        <v>5859</v>
      </c>
      <c r="C1025" s="25" t="s">
        <v>5860</v>
      </c>
      <c r="D1025" s="24" t="s">
        <v>21673</v>
      </c>
      <c r="E1025" s="40">
        <v>13</v>
      </c>
      <c r="F1025" s="41">
        <v>28866</v>
      </c>
      <c r="G1025" s="40">
        <v>14</v>
      </c>
      <c r="H1025" s="41">
        <v>30803</v>
      </c>
      <c r="I1025" s="41">
        <v>2220.4615384615386</v>
      </c>
      <c r="J1025" s="41">
        <v>2200.2142857142858</v>
      </c>
      <c r="K1025" s="42">
        <v>-9.1184883847532129E-3</v>
      </c>
    </row>
    <row r="1026" spans="1:11" x14ac:dyDescent="0.25">
      <c r="A1026" s="24" t="s">
        <v>7</v>
      </c>
      <c r="B1026" s="24" t="s">
        <v>5862</v>
      </c>
      <c r="C1026" s="25" t="s">
        <v>5863</v>
      </c>
      <c r="D1026" s="24" t="s">
        <v>21674</v>
      </c>
      <c r="G1026" s="40">
        <v>1</v>
      </c>
      <c r="H1026" s="41">
        <v>2432</v>
      </c>
      <c r="J1026" s="41">
        <v>2432</v>
      </c>
    </row>
    <row r="1027" spans="1:11" x14ac:dyDescent="0.25">
      <c r="A1027" s="24" t="s">
        <v>7</v>
      </c>
      <c r="B1027" s="24" t="s">
        <v>5869</v>
      </c>
      <c r="C1027" s="25" t="s">
        <v>4766</v>
      </c>
      <c r="D1027" s="24" t="s">
        <v>21532</v>
      </c>
      <c r="G1027" s="40">
        <v>3</v>
      </c>
      <c r="H1027" s="41">
        <v>3049</v>
      </c>
      <c r="J1027" s="41">
        <v>1016.3333333333334</v>
      </c>
    </row>
    <row r="1028" spans="1:11" x14ac:dyDescent="0.25">
      <c r="A1028" s="24" t="s">
        <v>7</v>
      </c>
      <c r="B1028" s="24" t="s">
        <v>5873</v>
      </c>
      <c r="C1028" s="25" t="s">
        <v>5874</v>
      </c>
      <c r="D1028" s="24" t="s">
        <v>21675</v>
      </c>
      <c r="E1028" s="40">
        <v>8</v>
      </c>
      <c r="F1028" s="41">
        <v>21301</v>
      </c>
      <c r="G1028" s="40">
        <v>9</v>
      </c>
      <c r="H1028" s="41">
        <v>25128</v>
      </c>
      <c r="I1028" s="41">
        <v>2662.625</v>
      </c>
      <c r="J1028" s="41">
        <v>2792</v>
      </c>
      <c r="K1028" s="42">
        <v>4.8589268109478431E-2</v>
      </c>
    </row>
    <row r="1029" spans="1:11" x14ac:dyDescent="0.25">
      <c r="A1029" s="24" t="s">
        <v>7</v>
      </c>
      <c r="B1029" s="24" t="s">
        <v>5879</v>
      </c>
      <c r="C1029" s="25" t="s">
        <v>5880</v>
      </c>
      <c r="D1029" s="24" t="s">
        <v>21676</v>
      </c>
      <c r="E1029" s="40">
        <v>1</v>
      </c>
      <c r="F1029" s="41">
        <v>5102</v>
      </c>
      <c r="G1029" s="40">
        <v>3</v>
      </c>
      <c r="H1029" s="41">
        <v>15306</v>
      </c>
      <c r="I1029" s="41">
        <v>5102</v>
      </c>
      <c r="J1029" s="41">
        <v>5102</v>
      </c>
      <c r="K1029" s="42">
        <v>0</v>
      </c>
    </row>
    <row r="1030" spans="1:11" x14ac:dyDescent="0.25">
      <c r="A1030" s="24" t="s">
        <v>7</v>
      </c>
      <c r="B1030" s="24" t="s">
        <v>5885</v>
      </c>
      <c r="C1030" s="25" t="s">
        <v>4929</v>
      </c>
      <c r="D1030" s="24" t="s">
        <v>21552</v>
      </c>
      <c r="G1030" s="40">
        <v>1</v>
      </c>
      <c r="H1030" s="41">
        <v>1651</v>
      </c>
      <c r="J1030" s="41">
        <v>1651</v>
      </c>
    </row>
    <row r="1031" spans="1:11" x14ac:dyDescent="0.25">
      <c r="A1031" s="24" t="s">
        <v>7</v>
      </c>
      <c r="B1031" s="24" t="s">
        <v>5888</v>
      </c>
      <c r="C1031" s="25" t="s">
        <v>4938</v>
      </c>
      <c r="D1031" s="24" t="s">
        <v>21554</v>
      </c>
      <c r="E1031" s="40">
        <v>1</v>
      </c>
      <c r="F1031" s="41">
        <v>4290</v>
      </c>
      <c r="G1031" s="40">
        <v>23</v>
      </c>
      <c r="H1031" s="41">
        <v>70743</v>
      </c>
      <c r="I1031" s="41">
        <v>4290</v>
      </c>
      <c r="J1031" s="41">
        <v>3075.782608695652</v>
      </c>
      <c r="K1031" s="42">
        <v>-0.28303435694740048</v>
      </c>
    </row>
    <row r="1032" spans="1:11" x14ac:dyDescent="0.25">
      <c r="A1032" s="24" t="s">
        <v>7</v>
      </c>
      <c r="B1032" s="24" t="s">
        <v>5889</v>
      </c>
      <c r="C1032" s="25" t="s">
        <v>4944</v>
      </c>
      <c r="D1032" s="24" t="s">
        <v>21556</v>
      </c>
      <c r="E1032" s="40">
        <v>4</v>
      </c>
      <c r="F1032" s="41">
        <v>9256</v>
      </c>
      <c r="G1032" s="40">
        <v>15</v>
      </c>
      <c r="H1032" s="41">
        <v>33155</v>
      </c>
      <c r="I1032" s="41">
        <v>2314</v>
      </c>
      <c r="J1032" s="41">
        <v>2210.3333333333335</v>
      </c>
      <c r="K1032" s="42">
        <v>-4.4799769518870575E-2</v>
      </c>
    </row>
    <row r="1033" spans="1:11" x14ac:dyDescent="0.25">
      <c r="A1033" s="24" t="s">
        <v>7</v>
      </c>
      <c r="B1033" s="24" t="s">
        <v>5893</v>
      </c>
      <c r="C1033" s="25" t="s">
        <v>5894</v>
      </c>
      <c r="D1033" s="24" t="s">
        <v>21677</v>
      </c>
      <c r="G1033" s="40">
        <v>16</v>
      </c>
      <c r="H1033" s="41">
        <v>26613</v>
      </c>
      <c r="J1033" s="41">
        <v>1663.3125</v>
      </c>
    </row>
    <row r="1034" spans="1:11" x14ac:dyDescent="0.25">
      <c r="A1034" s="24" t="s">
        <v>7</v>
      </c>
      <c r="B1034" s="24" t="s">
        <v>5899</v>
      </c>
      <c r="C1034" s="25" t="s">
        <v>5900</v>
      </c>
      <c r="D1034" s="24" t="s">
        <v>21678</v>
      </c>
      <c r="G1034" s="40">
        <v>10</v>
      </c>
      <c r="H1034" s="41">
        <v>29610</v>
      </c>
      <c r="J1034" s="41">
        <v>2961</v>
      </c>
    </row>
    <row r="1035" spans="1:11" x14ac:dyDescent="0.25">
      <c r="A1035" s="24" t="s">
        <v>7</v>
      </c>
      <c r="B1035" s="24" t="s">
        <v>5902</v>
      </c>
      <c r="C1035" s="25" t="s">
        <v>5903</v>
      </c>
      <c r="D1035" s="24" t="s">
        <v>21679</v>
      </c>
      <c r="G1035" s="40">
        <v>5</v>
      </c>
      <c r="H1035" s="41">
        <v>8570</v>
      </c>
      <c r="J1035" s="41">
        <v>1714</v>
      </c>
    </row>
    <row r="1036" spans="1:11" x14ac:dyDescent="0.25">
      <c r="A1036" s="24" t="s">
        <v>7</v>
      </c>
      <c r="B1036" s="24" t="s">
        <v>5906</v>
      </c>
      <c r="C1036" s="25" t="s">
        <v>4992</v>
      </c>
      <c r="D1036" s="24" t="s">
        <v>21680</v>
      </c>
      <c r="E1036" s="40">
        <v>41</v>
      </c>
      <c r="F1036" s="41">
        <v>96226</v>
      </c>
      <c r="G1036" s="40">
        <v>1</v>
      </c>
      <c r="H1036" s="41">
        <v>2426</v>
      </c>
      <c r="I1036" s="41">
        <v>2346.9756097560976</v>
      </c>
      <c r="J1036" s="41">
        <v>2426</v>
      </c>
      <c r="K1036" s="42">
        <v>3.3670733481595404E-2</v>
      </c>
    </row>
    <row r="1037" spans="1:11" x14ac:dyDescent="0.25">
      <c r="A1037" s="24" t="s">
        <v>7</v>
      </c>
      <c r="B1037" s="24" t="s">
        <v>5907</v>
      </c>
      <c r="C1037" s="25" t="s">
        <v>5045</v>
      </c>
      <c r="G1037" s="40">
        <v>4</v>
      </c>
      <c r="H1037" s="41">
        <v>6836</v>
      </c>
      <c r="J1037" s="41">
        <v>1709</v>
      </c>
    </row>
    <row r="1038" spans="1:11" x14ac:dyDescent="0.25">
      <c r="A1038" s="24" t="s">
        <v>7</v>
      </c>
      <c r="B1038" s="24" t="s">
        <v>5909</v>
      </c>
      <c r="C1038" s="25" t="s">
        <v>5175</v>
      </c>
      <c r="E1038" s="40">
        <v>4</v>
      </c>
      <c r="F1038" s="41">
        <v>13356</v>
      </c>
      <c r="G1038" s="40">
        <v>11</v>
      </c>
      <c r="H1038" s="41">
        <v>41189</v>
      </c>
      <c r="I1038" s="41">
        <v>3339</v>
      </c>
      <c r="J1038" s="41">
        <v>3744.4545454545455</v>
      </c>
      <c r="K1038" s="42">
        <v>0.12142993275068747</v>
      </c>
    </row>
    <row r="1039" spans="1:11" x14ac:dyDescent="0.25">
      <c r="A1039" s="24" t="s">
        <v>7</v>
      </c>
      <c r="B1039" s="24" t="s">
        <v>5919</v>
      </c>
      <c r="C1039" s="25" t="s">
        <v>4452</v>
      </c>
      <c r="G1039" s="40">
        <v>2</v>
      </c>
      <c r="H1039" s="41">
        <v>2222</v>
      </c>
      <c r="J1039" s="41">
        <v>1111</v>
      </c>
    </row>
    <row r="1040" spans="1:11" x14ac:dyDescent="0.25">
      <c r="A1040" s="24" t="s">
        <v>7</v>
      </c>
      <c r="B1040" s="24" t="s">
        <v>5924</v>
      </c>
      <c r="C1040" s="25" t="s">
        <v>5078</v>
      </c>
      <c r="G1040" s="40">
        <v>36</v>
      </c>
      <c r="H1040" s="41">
        <v>51492</v>
      </c>
      <c r="J1040" s="41">
        <v>1430.3333333333333</v>
      </c>
    </row>
    <row r="1041" spans="1:11" x14ac:dyDescent="0.25">
      <c r="A1041" s="24" t="s">
        <v>7</v>
      </c>
      <c r="B1041" s="24" t="s">
        <v>5926</v>
      </c>
      <c r="C1041" s="25" t="s">
        <v>5163</v>
      </c>
      <c r="G1041" s="40">
        <v>1</v>
      </c>
      <c r="H1041" s="41">
        <v>1860</v>
      </c>
      <c r="J1041" s="41">
        <v>1860</v>
      </c>
    </row>
    <row r="1042" spans="1:11" x14ac:dyDescent="0.25">
      <c r="A1042" s="24" t="s">
        <v>7</v>
      </c>
      <c r="B1042" s="24" t="s">
        <v>5927</v>
      </c>
      <c r="C1042" s="25" t="s">
        <v>4491</v>
      </c>
      <c r="E1042" s="40">
        <v>40</v>
      </c>
      <c r="F1042" s="41">
        <v>102745</v>
      </c>
      <c r="G1042" s="40">
        <v>25</v>
      </c>
      <c r="H1042" s="41">
        <v>63843</v>
      </c>
      <c r="I1042" s="41">
        <v>2568.625</v>
      </c>
      <c r="J1042" s="41">
        <v>2553.7199999999998</v>
      </c>
      <c r="K1042" s="42">
        <v>-5.8027154606064332E-3</v>
      </c>
    </row>
    <row r="1043" spans="1:11" x14ac:dyDescent="0.25">
      <c r="A1043" s="24" t="s">
        <v>7</v>
      </c>
      <c r="B1043" s="24" t="s">
        <v>5928</v>
      </c>
      <c r="C1043" s="25" t="s">
        <v>5219</v>
      </c>
      <c r="G1043" s="40">
        <v>2</v>
      </c>
      <c r="H1043" s="41">
        <v>3240</v>
      </c>
      <c r="J1043" s="41">
        <v>1620</v>
      </c>
    </row>
    <row r="1044" spans="1:11" x14ac:dyDescent="0.25">
      <c r="A1044" s="24" t="s">
        <v>7</v>
      </c>
      <c r="B1044" s="24" t="s">
        <v>5946</v>
      </c>
      <c r="C1044" s="25" t="s">
        <v>5334</v>
      </c>
      <c r="E1044" s="40">
        <v>36</v>
      </c>
      <c r="F1044" s="41">
        <v>34404</v>
      </c>
      <c r="G1044" s="40">
        <v>39</v>
      </c>
      <c r="H1044" s="41">
        <v>36412</v>
      </c>
      <c r="I1044" s="41">
        <v>955.66666666666663</v>
      </c>
      <c r="J1044" s="41">
        <v>933.64102564102564</v>
      </c>
      <c r="K1044" s="42">
        <v>-2.30474095140994E-2</v>
      </c>
    </row>
    <row r="1045" spans="1:11" x14ac:dyDescent="0.25">
      <c r="A1045" s="24" t="s">
        <v>7</v>
      </c>
      <c r="B1045" s="24" t="s">
        <v>5959</v>
      </c>
      <c r="C1045" s="25" t="s">
        <v>4303</v>
      </c>
      <c r="E1045" s="40">
        <v>15</v>
      </c>
      <c r="F1045" s="41">
        <v>29640</v>
      </c>
      <c r="G1045" s="40">
        <v>5</v>
      </c>
      <c r="H1045" s="41">
        <v>10130</v>
      </c>
      <c r="I1045" s="41">
        <v>1976</v>
      </c>
      <c r="J1045" s="41">
        <v>2026</v>
      </c>
      <c r="K1045" s="42">
        <v>2.5303643724696356E-2</v>
      </c>
    </row>
    <row r="1046" spans="1:11" x14ac:dyDescent="0.25">
      <c r="A1046" s="24" t="s">
        <v>7</v>
      </c>
      <c r="B1046" s="24" t="s">
        <v>5963</v>
      </c>
      <c r="C1046" s="25" t="s">
        <v>5964</v>
      </c>
      <c r="E1046" s="40">
        <v>52</v>
      </c>
      <c r="F1046" s="41">
        <v>179543</v>
      </c>
      <c r="G1046" s="40">
        <v>23</v>
      </c>
      <c r="H1046" s="41">
        <v>80816</v>
      </c>
      <c r="I1046" s="41">
        <v>3452.75</v>
      </c>
      <c r="J1046" s="41">
        <v>3513.7391304347825</v>
      </c>
      <c r="K1046" s="42">
        <v>1.7663928878367246E-2</v>
      </c>
    </row>
    <row r="1047" spans="1:11" x14ac:dyDescent="0.25">
      <c r="A1047" s="24" t="s">
        <v>7</v>
      </c>
      <c r="B1047" s="24" t="s">
        <v>5972</v>
      </c>
      <c r="C1047" s="25" t="s">
        <v>4443</v>
      </c>
      <c r="E1047" s="40">
        <v>27</v>
      </c>
      <c r="F1047" s="41">
        <v>38736</v>
      </c>
      <c r="G1047" s="40">
        <v>34</v>
      </c>
      <c r="H1047" s="41">
        <v>52589</v>
      </c>
      <c r="I1047" s="41">
        <v>1434.6666666666667</v>
      </c>
      <c r="J1047" s="41">
        <v>1546.7352941176471</v>
      </c>
      <c r="K1047" s="42">
        <v>7.8114749617318999E-2</v>
      </c>
    </row>
    <row r="1048" spans="1:11" x14ac:dyDescent="0.25">
      <c r="A1048" s="24" t="s">
        <v>7</v>
      </c>
      <c r="B1048" s="24" t="s">
        <v>6008</v>
      </c>
      <c r="C1048" s="25" t="s">
        <v>6009</v>
      </c>
      <c r="E1048" s="40">
        <v>6</v>
      </c>
      <c r="F1048" s="41">
        <v>35000</v>
      </c>
      <c r="G1048" s="40">
        <v>0</v>
      </c>
      <c r="H1048" s="41">
        <v>0</v>
      </c>
      <c r="I1048" s="41">
        <v>5833.333333333333</v>
      </c>
    </row>
    <row r="1049" spans="1:11" x14ac:dyDescent="0.25">
      <c r="A1049" s="24" t="s">
        <v>7</v>
      </c>
      <c r="B1049" s="24" t="s">
        <v>6011</v>
      </c>
      <c r="C1049" s="25" t="s">
        <v>4521</v>
      </c>
      <c r="E1049" s="40">
        <v>557</v>
      </c>
      <c r="F1049" s="41">
        <v>2233589</v>
      </c>
      <c r="G1049" s="40">
        <v>489</v>
      </c>
      <c r="H1049" s="41">
        <v>1852203</v>
      </c>
      <c r="I1049" s="41">
        <v>4010.0341113105924</v>
      </c>
      <c r="J1049" s="41">
        <v>3787.7361963190183</v>
      </c>
      <c r="K1049" s="42">
        <v>-5.5435417460556427E-2</v>
      </c>
    </row>
    <row r="1050" spans="1:11" x14ac:dyDescent="0.25">
      <c r="A1050" s="24" t="s">
        <v>7</v>
      </c>
      <c r="B1050" s="24" t="s">
        <v>6012</v>
      </c>
      <c r="C1050" s="25" t="s">
        <v>4527</v>
      </c>
      <c r="G1050" s="40">
        <v>5</v>
      </c>
      <c r="H1050" s="41">
        <v>26415</v>
      </c>
      <c r="J1050" s="41">
        <v>5283</v>
      </c>
    </row>
    <row r="1051" spans="1:11" x14ac:dyDescent="0.25">
      <c r="A1051" s="24" t="s">
        <v>7</v>
      </c>
      <c r="B1051" s="24" t="s">
        <v>6068</v>
      </c>
      <c r="C1051" s="25" t="s">
        <v>4849</v>
      </c>
      <c r="D1051" s="24" t="s">
        <v>21539</v>
      </c>
      <c r="G1051" s="40">
        <v>2</v>
      </c>
      <c r="H1051" s="41">
        <v>51586</v>
      </c>
      <c r="J1051" s="41">
        <v>25793</v>
      </c>
    </row>
    <row r="1052" spans="1:11" x14ac:dyDescent="0.25">
      <c r="A1052" s="24" t="s">
        <v>7</v>
      </c>
      <c r="B1052" s="24" t="s">
        <v>6087</v>
      </c>
      <c r="C1052" s="25" t="s">
        <v>6088</v>
      </c>
      <c r="D1052" s="24" t="s">
        <v>21681</v>
      </c>
      <c r="G1052" s="40">
        <v>1</v>
      </c>
      <c r="H1052" s="41">
        <v>9009</v>
      </c>
      <c r="J1052" s="41">
        <v>9009</v>
      </c>
    </row>
    <row r="1053" spans="1:11" x14ac:dyDescent="0.25">
      <c r="A1053" s="24" t="s">
        <v>7</v>
      </c>
      <c r="B1053" s="24" t="s">
        <v>6104</v>
      </c>
      <c r="C1053" s="25" t="s">
        <v>4929</v>
      </c>
      <c r="D1053" s="24" t="s">
        <v>21552</v>
      </c>
      <c r="G1053" s="40">
        <v>1</v>
      </c>
      <c r="H1053" s="41">
        <v>3216</v>
      </c>
      <c r="J1053" s="41">
        <v>3216</v>
      </c>
    </row>
    <row r="1054" spans="1:11" x14ac:dyDescent="0.25">
      <c r="A1054" s="24" t="s">
        <v>7</v>
      </c>
      <c r="B1054" s="24" t="s">
        <v>6108</v>
      </c>
      <c r="C1054" s="25" t="s">
        <v>4938</v>
      </c>
      <c r="D1054" s="24" t="s">
        <v>21554</v>
      </c>
      <c r="G1054" s="40">
        <v>3</v>
      </c>
      <c r="H1054" s="41">
        <v>11889</v>
      </c>
      <c r="J1054" s="41">
        <v>3963</v>
      </c>
    </row>
    <row r="1055" spans="1:11" x14ac:dyDescent="0.25">
      <c r="A1055" s="24" t="s">
        <v>7</v>
      </c>
      <c r="B1055" s="24" t="s">
        <v>6164</v>
      </c>
      <c r="C1055" s="25" t="s">
        <v>5075</v>
      </c>
      <c r="D1055" s="24" t="s">
        <v>21559</v>
      </c>
      <c r="E1055" s="40">
        <v>192</v>
      </c>
      <c r="F1055" s="41">
        <v>540007</v>
      </c>
      <c r="G1055" s="40">
        <v>167</v>
      </c>
      <c r="H1055" s="41">
        <v>484575</v>
      </c>
      <c r="I1055" s="41">
        <v>2812.5364583333335</v>
      </c>
      <c r="J1055" s="41">
        <v>2901.6467065868264</v>
      </c>
      <c r="K1055" s="42">
        <v>3.1683233114886744E-2</v>
      </c>
    </row>
    <row r="1056" spans="1:11" x14ac:dyDescent="0.25">
      <c r="A1056" s="24" t="s">
        <v>7</v>
      </c>
      <c r="B1056" s="24" t="s">
        <v>6165</v>
      </c>
      <c r="C1056" s="25" t="s">
        <v>6166</v>
      </c>
      <c r="D1056" s="24" t="s">
        <v>21682</v>
      </c>
      <c r="E1056" s="40">
        <v>131</v>
      </c>
      <c r="F1056" s="41">
        <v>939546</v>
      </c>
      <c r="G1056" s="40">
        <v>116</v>
      </c>
      <c r="H1056" s="41">
        <v>802666</v>
      </c>
      <c r="I1056" s="41">
        <v>7172.1068702290077</v>
      </c>
      <c r="J1056" s="41">
        <v>6919.5344827586205</v>
      </c>
      <c r="K1056" s="42">
        <v>-3.5215926371482312E-2</v>
      </c>
    </row>
    <row r="1057" spans="1:11" x14ac:dyDescent="0.25">
      <c r="A1057" s="24" t="s">
        <v>7</v>
      </c>
      <c r="B1057" s="24" t="s">
        <v>6199</v>
      </c>
      <c r="C1057" s="25" t="s">
        <v>5292</v>
      </c>
      <c r="E1057" s="40">
        <v>18</v>
      </c>
      <c r="F1057" s="41">
        <v>129119</v>
      </c>
      <c r="G1057" s="40">
        <v>13</v>
      </c>
      <c r="H1057" s="41">
        <v>86072</v>
      </c>
      <c r="I1057" s="41">
        <v>7173.2777777777774</v>
      </c>
      <c r="J1057" s="41">
        <v>6620.9230769230771</v>
      </c>
      <c r="K1057" s="42">
        <v>-7.7001716365404038E-2</v>
      </c>
    </row>
    <row r="1058" spans="1:11" x14ac:dyDescent="0.25">
      <c r="A1058" s="24" t="s">
        <v>7</v>
      </c>
      <c r="B1058" s="24" t="s">
        <v>6200</v>
      </c>
      <c r="C1058" s="25" t="s">
        <v>6201</v>
      </c>
      <c r="E1058" s="40">
        <v>17</v>
      </c>
      <c r="F1058" s="41">
        <v>183990</v>
      </c>
      <c r="G1058" s="40">
        <v>12</v>
      </c>
      <c r="H1058" s="41">
        <v>126994</v>
      </c>
      <c r="I1058" s="41">
        <v>10822.941176470587</v>
      </c>
      <c r="J1058" s="41">
        <v>10582.833333333334</v>
      </c>
      <c r="K1058" s="42">
        <v>-2.2185082522600732E-2</v>
      </c>
    </row>
    <row r="1059" spans="1:11" x14ac:dyDescent="0.25">
      <c r="A1059" s="24" t="s">
        <v>7</v>
      </c>
      <c r="B1059" s="24" t="s">
        <v>6203</v>
      </c>
      <c r="C1059" s="25" t="s">
        <v>6204</v>
      </c>
      <c r="G1059" s="40">
        <v>3</v>
      </c>
      <c r="H1059" s="41">
        <v>16695</v>
      </c>
      <c r="J1059" s="41">
        <v>5565</v>
      </c>
    </row>
    <row r="1060" spans="1:11" x14ac:dyDescent="0.25">
      <c r="A1060" s="24" t="s">
        <v>7</v>
      </c>
      <c r="B1060" s="24" t="s">
        <v>6210</v>
      </c>
      <c r="C1060" s="25" t="s">
        <v>6211</v>
      </c>
      <c r="E1060" s="40">
        <v>81</v>
      </c>
      <c r="F1060" s="41">
        <v>506234</v>
      </c>
      <c r="G1060" s="40">
        <v>46</v>
      </c>
      <c r="H1060" s="41">
        <v>292286</v>
      </c>
      <c r="I1060" s="41">
        <v>6249.8024691358023</v>
      </c>
      <c r="J1060" s="41">
        <v>6354.04347826087</v>
      </c>
      <c r="K1060" s="42">
        <v>1.6679088601576502E-2</v>
      </c>
    </row>
    <row r="1061" spans="1:11" x14ac:dyDescent="0.25">
      <c r="A1061" s="24" t="s">
        <v>7</v>
      </c>
      <c r="B1061" s="24" t="s">
        <v>6213</v>
      </c>
      <c r="C1061" s="25" t="s">
        <v>6214</v>
      </c>
      <c r="E1061" s="40">
        <v>22</v>
      </c>
      <c r="F1061" s="41">
        <v>126266</v>
      </c>
      <c r="G1061" s="40">
        <v>18</v>
      </c>
      <c r="H1061" s="41">
        <v>107658</v>
      </c>
      <c r="I1061" s="41">
        <v>5739.363636363636</v>
      </c>
      <c r="J1061" s="41">
        <v>5981</v>
      </c>
      <c r="K1061" s="42">
        <v>4.2101595045380448E-2</v>
      </c>
    </row>
    <row r="1062" spans="1:11" x14ac:dyDescent="0.25">
      <c r="A1062" s="24" t="s">
        <v>7</v>
      </c>
      <c r="B1062" s="24" t="s">
        <v>6216</v>
      </c>
      <c r="C1062" s="25" t="s">
        <v>6217</v>
      </c>
      <c r="E1062" s="40">
        <v>1</v>
      </c>
      <c r="F1062" s="41">
        <v>7386</v>
      </c>
      <c r="G1062" s="40">
        <v>1</v>
      </c>
      <c r="H1062" s="41">
        <v>7386</v>
      </c>
      <c r="I1062" s="41">
        <v>7386</v>
      </c>
      <c r="J1062" s="41">
        <v>7386</v>
      </c>
      <c r="K1062" s="42">
        <v>0</v>
      </c>
    </row>
    <row r="1063" spans="1:11" x14ac:dyDescent="0.25">
      <c r="A1063" s="24" t="s">
        <v>7</v>
      </c>
      <c r="B1063" s="24" t="s">
        <v>6219</v>
      </c>
      <c r="C1063" s="25" t="s">
        <v>5438</v>
      </c>
      <c r="E1063" s="40">
        <v>66</v>
      </c>
      <c r="F1063" s="41">
        <v>409148</v>
      </c>
      <c r="G1063" s="40">
        <v>43</v>
      </c>
      <c r="H1063" s="41">
        <v>260046</v>
      </c>
      <c r="I1063" s="41">
        <v>6199.212121212121</v>
      </c>
      <c r="J1063" s="41">
        <v>6047.5813953488368</v>
      </c>
      <c r="K1063" s="42">
        <v>-2.4459676955470282E-2</v>
      </c>
    </row>
    <row r="1064" spans="1:11" x14ac:dyDescent="0.25">
      <c r="A1064" s="24" t="s">
        <v>7</v>
      </c>
      <c r="B1064" s="24" t="s">
        <v>6220</v>
      </c>
      <c r="C1064" s="25" t="s">
        <v>5169</v>
      </c>
      <c r="G1064" s="40">
        <v>10</v>
      </c>
      <c r="H1064" s="41">
        <v>102210</v>
      </c>
      <c r="J1064" s="41">
        <v>10221</v>
      </c>
    </row>
    <row r="1065" spans="1:11" x14ac:dyDescent="0.25">
      <c r="A1065" s="24" t="s">
        <v>7</v>
      </c>
      <c r="B1065" s="24" t="s">
        <v>6255</v>
      </c>
      <c r="C1065" s="25" t="s">
        <v>5243</v>
      </c>
      <c r="G1065" s="40">
        <v>2</v>
      </c>
      <c r="H1065" s="41">
        <v>28050</v>
      </c>
      <c r="J1065" s="41">
        <v>14025</v>
      </c>
    </row>
    <row r="1066" spans="1:11" x14ac:dyDescent="0.25">
      <c r="A1066" s="24" t="s">
        <v>7</v>
      </c>
      <c r="B1066" s="24" t="s">
        <v>6263</v>
      </c>
      <c r="C1066" s="25" t="s">
        <v>4947</v>
      </c>
      <c r="G1066" s="40">
        <v>1</v>
      </c>
      <c r="H1066" s="41">
        <v>14025</v>
      </c>
      <c r="J1066" s="41">
        <v>14025</v>
      </c>
    </row>
    <row r="1067" spans="1:11" x14ac:dyDescent="0.25">
      <c r="A1067" s="24" t="s">
        <v>7</v>
      </c>
      <c r="B1067" s="24" t="s">
        <v>6276</v>
      </c>
      <c r="C1067" s="25" t="s">
        <v>6277</v>
      </c>
      <c r="E1067" s="40">
        <v>63</v>
      </c>
      <c r="F1067" s="41">
        <v>338235</v>
      </c>
      <c r="G1067" s="40">
        <v>51</v>
      </c>
      <c r="H1067" s="41">
        <v>258599</v>
      </c>
      <c r="I1067" s="41">
        <v>5368.8095238095239</v>
      </c>
      <c r="J1067" s="41">
        <v>5070.5686274509808</v>
      </c>
      <c r="K1067" s="42">
        <v>-5.5550657000571241E-2</v>
      </c>
    </row>
    <row r="1068" spans="1:11" x14ac:dyDescent="0.25">
      <c r="A1068" s="24" t="s">
        <v>7</v>
      </c>
      <c r="B1068" s="24" t="s">
        <v>6279</v>
      </c>
      <c r="C1068" s="25" t="s">
        <v>6280</v>
      </c>
      <c r="G1068" s="40">
        <v>1</v>
      </c>
      <c r="H1068" s="41">
        <v>5877</v>
      </c>
      <c r="J1068" s="41">
        <v>5877</v>
      </c>
    </row>
    <row r="1069" spans="1:11" x14ac:dyDescent="0.25">
      <c r="A1069" s="24" t="s">
        <v>7</v>
      </c>
      <c r="B1069" s="24" t="s">
        <v>6282</v>
      </c>
      <c r="C1069" s="25" t="s">
        <v>6283</v>
      </c>
      <c r="E1069" s="40">
        <v>27</v>
      </c>
      <c r="F1069" s="41">
        <v>364581</v>
      </c>
      <c r="G1069" s="40">
        <v>52</v>
      </c>
      <c r="H1069" s="41">
        <v>580359</v>
      </c>
      <c r="I1069" s="41">
        <v>13503</v>
      </c>
      <c r="J1069" s="41">
        <v>11160.75</v>
      </c>
      <c r="K1069" s="42">
        <v>-0.17346145301044213</v>
      </c>
    </row>
    <row r="1070" spans="1:11" x14ac:dyDescent="0.25">
      <c r="A1070" s="24" t="s">
        <v>7</v>
      </c>
      <c r="B1070" s="24" t="s">
        <v>6285</v>
      </c>
      <c r="C1070" s="25" t="s">
        <v>163</v>
      </c>
      <c r="E1070" s="40">
        <v>29</v>
      </c>
      <c r="F1070" s="41">
        <v>167690</v>
      </c>
      <c r="G1070" s="40">
        <v>44</v>
      </c>
      <c r="H1070" s="41">
        <v>241756</v>
      </c>
      <c r="I1070" s="41">
        <v>5782.4137931034484</v>
      </c>
      <c r="J1070" s="41">
        <v>5494.454545454545</v>
      </c>
      <c r="K1070" s="42">
        <v>-4.9799142356838189E-2</v>
      </c>
    </row>
    <row r="1071" spans="1:11" x14ac:dyDescent="0.25">
      <c r="A1071" s="24" t="s">
        <v>7</v>
      </c>
      <c r="B1071" s="24" t="s">
        <v>6288</v>
      </c>
      <c r="C1071" s="25" t="s">
        <v>5277</v>
      </c>
      <c r="E1071" s="40">
        <v>454</v>
      </c>
      <c r="F1071" s="41">
        <v>1601776</v>
      </c>
      <c r="G1071" s="40">
        <v>568</v>
      </c>
      <c r="H1071" s="41">
        <v>1920181</v>
      </c>
      <c r="I1071" s="41">
        <v>3528.1409691629956</v>
      </c>
      <c r="J1071" s="41">
        <v>3380.6003521126759</v>
      </c>
      <c r="K1071" s="42">
        <v>-4.1818231850673973E-2</v>
      </c>
    </row>
    <row r="1072" spans="1:11" x14ac:dyDescent="0.25">
      <c r="A1072" s="24" t="s">
        <v>7</v>
      </c>
      <c r="B1072" s="24" t="s">
        <v>6289</v>
      </c>
      <c r="C1072" s="25" t="s">
        <v>5298</v>
      </c>
      <c r="E1072" s="40">
        <v>42</v>
      </c>
      <c r="F1072" s="41">
        <v>459450</v>
      </c>
      <c r="G1072" s="40">
        <v>26</v>
      </c>
      <c r="H1072" s="41">
        <v>237710</v>
      </c>
      <c r="I1072" s="41">
        <v>10939.285714285714</v>
      </c>
      <c r="J1072" s="41">
        <v>9142.6923076923085</v>
      </c>
      <c r="K1072" s="42">
        <v>-0.16423315502649477</v>
      </c>
    </row>
    <row r="1073" spans="1:11" x14ac:dyDescent="0.25">
      <c r="A1073" s="24" t="s">
        <v>7</v>
      </c>
      <c r="B1073" s="24" t="s">
        <v>6293</v>
      </c>
      <c r="C1073" s="25" t="s">
        <v>6294</v>
      </c>
      <c r="E1073" s="40">
        <v>15</v>
      </c>
      <c r="F1073" s="41">
        <v>145396</v>
      </c>
      <c r="G1073" s="40">
        <v>11</v>
      </c>
      <c r="H1073" s="41">
        <v>111012</v>
      </c>
      <c r="I1073" s="41">
        <v>9693.0666666666675</v>
      </c>
      <c r="J1073" s="41">
        <v>10092</v>
      </c>
      <c r="K1073" s="42">
        <v>4.1156565517620751E-2</v>
      </c>
    </row>
    <row r="1074" spans="1:11" x14ac:dyDescent="0.25">
      <c r="A1074" s="24" t="s">
        <v>7</v>
      </c>
      <c r="B1074" s="24" t="s">
        <v>6319</v>
      </c>
      <c r="C1074" s="25" t="s">
        <v>6320</v>
      </c>
      <c r="D1074" s="24" t="s">
        <v>21683</v>
      </c>
      <c r="E1074" s="40">
        <v>432</v>
      </c>
      <c r="F1074" s="41">
        <v>2157158</v>
      </c>
      <c r="G1074" s="40">
        <v>496</v>
      </c>
      <c r="H1074" s="41">
        <v>2354853</v>
      </c>
      <c r="I1074" s="41">
        <v>4993.4212962962965</v>
      </c>
      <c r="J1074" s="41">
        <v>4747.6875</v>
      </c>
      <c r="K1074" s="42">
        <v>-4.9211508846361787E-2</v>
      </c>
    </row>
    <row r="1075" spans="1:11" x14ac:dyDescent="0.25">
      <c r="A1075" s="24" t="s">
        <v>7</v>
      </c>
      <c r="B1075" s="24" t="s">
        <v>6334</v>
      </c>
      <c r="C1075" s="25" t="s">
        <v>6335</v>
      </c>
      <c r="D1075" s="24" t="s">
        <v>21684</v>
      </c>
      <c r="E1075" s="40">
        <v>32</v>
      </c>
      <c r="F1075" s="41">
        <v>156080</v>
      </c>
      <c r="G1075" s="40">
        <v>37</v>
      </c>
      <c r="H1075" s="41">
        <v>162667</v>
      </c>
      <c r="I1075" s="41">
        <v>4877.5</v>
      </c>
      <c r="J1075" s="41">
        <v>4396.405405405405</v>
      </c>
      <c r="K1075" s="42">
        <v>-9.8635488384335224E-2</v>
      </c>
    </row>
    <row r="1076" spans="1:11" x14ac:dyDescent="0.25">
      <c r="A1076" s="24" t="s">
        <v>7</v>
      </c>
      <c r="B1076" s="24" t="s">
        <v>6337</v>
      </c>
      <c r="C1076" s="25" t="s">
        <v>6338</v>
      </c>
      <c r="D1076" s="24" t="s">
        <v>21685</v>
      </c>
      <c r="G1076" s="40">
        <v>2</v>
      </c>
      <c r="H1076" s="41">
        <v>22016</v>
      </c>
      <c r="J1076" s="41">
        <v>11008</v>
      </c>
    </row>
    <row r="1077" spans="1:11" x14ac:dyDescent="0.25">
      <c r="A1077" s="24" t="s">
        <v>7</v>
      </c>
      <c r="B1077" s="24" t="s">
        <v>6340</v>
      </c>
      <c r="C1077" s="25" t="s">
        <v>6341</v>
      </c>
      <c r="D1077" s="24" t="s">
        <v>21686</v>
      </c>
      <c r="G1077" s="40">
        <v>1</v>
      </c>
      <c r="H1077" s="41">
        <v>916</v>
      </c>
      <c r="J1077" s="41">
        <v>916</v>
      </c>
    </row>
    <row r="1078" spans="1:11" x14ac:dyDescent="0.25">
      <c r="A1078" s="24" t="s">
        <v>7</v>
      </c>
      <c r="B1078" s="24" t="s">
        <v>6349</v>
      </c>
      <c r="C1078" s="25" t="s">
        <v>6350</v>
      </c>
      <c r="D1078" s="24" t="s">
        <v>21143</v>
      </c>
      <c r="E1078" s="40">
        <v>8871</v>
      </c>
      <c r="F1078" s="41">
        <v>89183871</v>
      </c>
      <c r="G1078" s="40">
        <v>10024</v>
      </c>
      <c r="H1078" s="41">
        <v>88605458</v>
      </c>
      <c r="I1078" s="41">
        <v>10053.417991207305</v>
      </c>
      <c r="J1078" s="41">
        <v>8839.3314046288906</v>
      </c>
      <c r="K1078" s="42">
        <v>-0.12076356395807392</v>
      </c>
    </row>
    <row r="1079" spans="1:11" x14ac:dyDescent="0.25">
      <c r="A1079" s="24" t="s">
        <v>7</v>
      </c>
      <c r="B1079" s="24" t="s">
        <v>6352</v>
      </c>
      <c r="C1079" s="25" t="s">
        <v>6353</v>
      </c>
      <c r="D1079" s="24" t="s">
        <v>21687</v>
      </c>
      <c r="E1079" s="40">
        <v>17</v>
      </c>
      <c r="F1079" s="41">
        <v>159494</v>
      </c>
      <c r="G1079" s="40">
        <v>10</v>
      </c>
      <c r="H1079" s="41">
        <v>66980</v>
      </c>
      <c r="I1079" s="41">
        <v>9382</v>
      </c>
      <c r="J1079" s="41">
        <v>6698</v>
      </c>
      <c r="K1079" s="42">
        <v>-0.28607972713707097</v>
      </c>
    </row>
    <row r="1080" spans="1:11" x14ac:dyDescent="0.25">
      <c r="A1080" s="24" t="s">
        <v>7</v>
      </c>
      <c r="B1080" s="24" t="s">
        <v>6355</v>
      </c>
      <c r="C1080" s="25" t="s">
        <v>6356</v>
      </c>
      <c r="D1080" s="24" t="s">
        <v>21688</v>
      </c>
      <c r="E1080" s="40">
        <v>84</v>
      </c>
      <c r="F1080" s="41">
        <v>814584</v>
      </c>
      <c r="G1080" s="40">
        <v>136</v>
      </c>
      <c r="H1080" s="41">
        <v>1306716</v>
      </c>
      <c r="I1080" s="41">
        <v>9697.4285714285706</v>
      </c>
      <c r="J1080" s="41">
        <v>9608.2058823529405</v>
      </c>
      <c r="K1080" s="42">
        <v>-9.2006544228132765E-3</v>
      </c>
    </row>
    <row r="1081" spans="1:11" x14ac:dyDescent="0.25">
      <c r="A1081" s="24" t="s">
        <v>7</v>
      </c>
      <c r="B1081" s="24" t="s">
        <v>6358</v>
      </c>
      <c r="C1081" s="25" t="s">
        <v>6359</v>
      </c>
      <c r="D1081" s="24" t="s">
        <v>21689</v>
      </c>
      <c r="E1081" s="40">
        <v>21</v>
      </c>
      <c r="F1081" s="41">
        <v>234154</v>
      </c>
      <c r="G1081" s="40">
        <v>11</v>
      </c>
      <c r="H1081" s="41">
        <v>117527</v>
      </c>
      <c r="I1081" s="41">
        <v>11150.190476190477</v>
      </c>
      <c r="J1081" s="41">
        <v>10684.272727272728</v>
      </c>
      <c r="K1081" s="42">
        <v>-4.1785631367701304E-2</v>
      </c>
    </row>
    <row r="1082" spans="1:11" x14ac:dyDescent="0.25">
      <c r="A1082" s="24" t="s">
        <v>7</v>
      </c>
      <c r="B1082" s="24" t="s">
        <v>6361</v>
      </c>
      <c r="C1082" s="25" t="s">
        <v>6362</v>
      </c>
      <c r="D1082" s="24" t="s">
        <v>21684</v>
      </c>
      <c r="E1082" s="40">
        <v>363</v>
      </c>
      <c r="F1082" s="41">
        <v>1773927</v>
      </c>
      <c r="G1082" s="40">
        <v>382</v>
      </c>
      <c r="H1082" s="41">
        <v>1671566</v>
      </c>
      <c r="I1082" s="41">
        <v>4886.8512396694214</v>
      </c>
      <c r="J1082" s="41">
        <v>4375.8272251308899</v>
      </c>
      <c r="K1082" s="42">
        <v>-0.1045712237749845</v>
      </c>
    </row>
    <row r="1083" spans="1:11" x14ac:dyDescent="0.25">
      <c r="A1083" s="24" t="s">
        <v>7</v>
      </c>
      <c r="B1083" s="24" t="s">
        <v>6364</v>
      </c>
      <c r="C1083" s="25" t="s">
        <v>6365</v>
      </c>
      <c r="D1083" s="24" t="s">
        <v>21690</v>
      </c>
      <c r="E1083" s="40">
        <v>47</v>
      </c>
      <c r="F1083" s="41">
        <v>370554</v>
      </c>
      <c r="G1083" s="40">
        <v>53</v>
      </c>
      <c r="H1083" s="41">
        <v>329067</v>
      </c>
      <c r="I1083" s="41">
        <v>7884.1276595744685</v>
      </c>
      <c r="J1083" s="41">
        <v>6208.8113207547167</v>
      </c>
      <c r="K1083" s="42">
        <v>-0.21249228971898382</v>
      </c>
    </row>
    <row r="1084" spans="1:11" x14ac:dyDescent="0.25">
      <c r="A1084" s="24" t="s">
        <v>7</v>
      </c>
      <c r="B1084" s="24" t="s">
        <v>6367</v>
      </c>
      <c r="C1084" s="25" t="s">
        <v>6368</v>
      </c>
      <c r="D1084" s="24" t="s">
        <v>21685</v>
      </c>
      <c r="E1084" s="40">
        <v>10</v>
      </c>
      <c r="F1084" s="41">
        <v>106005</v>
      </c>
      <c r="G1084" s="40">
        <v>2</v>
      </c>
      <c r="H1084" s="41">
        <v>12633</v>
      </c>
      <c r="I1084" s="41">
        <v>10600.5</v>
      </c>
      <c r="J1084" s="41">
        <v>6316.5</v>
      </c>
      <c r="K1084" s="42">
        <v>-0.40413188057167115</v>
      </c>
    </row>
    <row r="1085" spans="1:11" x14ac:dyDescent="0.25">
      <c r="A1085" s="24" t="s">
        <v>7</v>
      </c>
      <c r="B1085" s="24" t="s">
        <v>6370</v>
      </c>
      <c r="C1085" s="25" t="s">
        <v>6371</v>
      </c>
      <c r="D1085" s="24" t="s">
        <v>21691</v>
      </c>
      <c r="E1085" s="40">
        <v>227</v>
      </c>
      <c r="F1085" s="41">
        <v>1470039</v>
      </c>
      <c r="G1085" s="40">
        <v>205</v>
      </c>
      <c r="H1085" s="41">
        <v>1218095</v>
      </c>
      <c r="I1085" s="41">
        <v>6475.9427312775333</v>
      </c>
      <c r="J1085" s="41">
        <v>5941.9268292682927</v>
      </c>
      <c r="K1085" s="42">
        <v>-8.2461492352310109E-2</v>
      </c>
    </row>
    <row r="1086" spans="1:11" x14ac:dyDescent="0.25">
      <c r="A1086" s="24" t="s">
        <v>7</v>
      </c>
      <c r="B1086" s="24" t="s">
        <v>6373</v>
      </c>
      <c r="C1086" s="25" t="s">
        <v>6374</v>
      </c>
      <c r="D1086" s="24" t="s">
        <v>21692</v>
      </c>
      <c r="E1086" s="40">
        <v>99</v>
      </c>
      <c r="F1086" s="41">
        <v>745893</v>
      </c>
      <c r="G1086" s="40">
        <v>87</v>
      </c>
      <c r="H1086" s="41">
        <v>556305</v>
      </c>
      <c r="I1086" s="41">
        <v>7534.272727272727</v>
      </c>
      <c r="J1086" s="41">
        <v>6394.3103448275861</v>
      </c>
      <c r="K1086" s="42">
        <v>-0.15130357284767246</v>
      </c>
    </row>
    <row r="1087" spans="1:11" x14ac:dyDescent="0.25">
      <c r="A1087" s="24" t="s">
        <v>7</v>
      </c>
      <c r="B1087" s="24" t="s">
        <v>6376</v>
      </c>
      <c r="C1087" s="25" t="s">
        <v>6377</v>
      </c>
      <c r="D1087" s="24" t="s">
        <v>21693</v>
      </c>
      <c r="E1087" s="40">
        <v>9</v>
      </c>
      <c r="F1087" s="41">
        <v>77382</v>
      </c>
      <c r="G1087" s="40">
        <v>15</v>
      </c>
      <c r="H1087" s="41">
        <v>116862</v>
      </c>
      <c r="I1087" s="41">
        <v>8598</v>
      </c>
      <c r="J1087" s="41">
        <v>7790.8</v>
      </c>
      <c r="K1087" s="42">
        <v>-9.3882298208885773E-2</v>
      </c>
    </row>
    <row r="1088" spans="1:11" x14ac:dyDescent="0.25">
      <c r="A1088" s="24" t="s">
        <v>7</v>
      </c>
      <c r="B1088" s="24" t="s">
        <v>6379</v>
      </c>
      <c r="C1088" s="25" t="s">
        <v>6380</v>
      </c>
      <c r="D1088" s="24" t="s">
        <v>21694</v>
      </c>
      <c r="E1088" s="40">
        <v>18</v>
      </c>
      <c r="F1088" s="41">
        <v>141426</v>
      </c>
      <c r="G1088" s="40">
        <v>25</v>
      </c>
      <c r="H1088" s="41">
        <v>192247</v>
      </c>
      <c r="I1088" s="41">
        <v>7857</v>
      </c>
      <c r="J1088" s="41">
        <v>7689.88</v>
      </c>
      <c r="K1088" s="42">
        <v>-2.1270204912816584E-2</v>
      </c>
    </row>
    <row r="1089" spans="1:11" x14ac:dyDescent="0.25">
      <c r="A1089" s="24" t="s">
        <v>7</v>
      </c>
      <c r="B1089" s="24" t="s">
        <v>6382</v>
      </c>
      <c r="C1089" s="25" t="s">
        <v>6383</v>
      </c>
      <c r="D1089" s="24" t="s">
        <v>21695</v>
      </c>
      <c r="E1089" s="40">
        <v>640</v>
      </c>
      <c r="F1089" s="41">
        <v>6037800</v>
      </c>
      <c r="G1089" s="40">
        <v>779</v>
      </c>
      <c r="H1089" s="41">
        <v>6534990</v>
      </c>
      <c r="I1089" s="41">
        <v>9434.0625</v>
      </c>
      <c r="J1089" s="41">
        <v>8388.9473684210534</v>
      </c>
      <c r="K1089" s="42">
        <v>-0.11078102689895754</v>
      </c>
    </row>
    <row r="1090" spans="1:11" x14ac:dyDescent="0.25">
      <c r="A1090" s="24" t="s">
        <v>7</v>
      </c>
      <c r="B1090" s="24" t="s">
        <v>6385</v>
      </c>
      <c r="C1090" s="25" t="s">
        <v>6386</v>
      </c>
      <c r="D1090" s="24" t="s">
        <v>21696</v>
      </c>
      <c r="E1090" s="40">
        <v>3</v>
      </c>
      <c r="F1090" s="41">
        <v>23873</v>
      </c>
      <c r="G1090" s="40">
        <v>2</v>
      </c>
      <c r="H1090" s="41">
        <v>16318</v>
      </c>
      <c r="I1090" s="41">
        <v>7957.666666666667</v>
      </c>
      <c r="J1090" s="41">
        <v>8159</v>
      </c>
      <c r="K1090" s="42">
        <v>2.5300548737066941E-2</v>
      </c>
    </row>
    <row r="1091" spans="1:11" x14ac:dyDescent="0.25">
      <c r="A1091" s="24" t="s">
        <v>7</v>
      </c>
      <c r="B1091" s="24" t="s">
        <v>6388</v>
      </c>
      <c r="C1091" s="25" t="s">
        <v>6389</v>
      </c>
      <c r="D1091" s="24" t="s">
        <v>21697</v>
      </c>
      <c r="E1091" s="40">
        <v>602</v>
      </c>
      <c r="F1091" s="41">
        <v>5674674</v>
      </c>
      <c r="G1091" s="40">
        <v>733</v>
      </c>
      <c r="H1091" s="41">
        <v>6127041</v>
      </c>
      <c r="I1091" s="41">
        <v>9426.3687707641202</v>
      </c>
      <c r="J1091" s="41">
        <v>8358.8553888130973</v>
      </c>
      <c r="K1091" s="42">
        <v>-0.11324757262435088</v>
      </c>
    </row>
    <row r="1092" spans="1:11" x14ac:dyDescent="0.25">
      <c r="A1092" s="24" t="s">
        <v>7</v>
      </c>
      <c r="B1092" s="24" t="s">
        <v>6391</v>
      </c>
      <c r="C1092" s="25" t="s">
        <v>6392</v>
      </c>
      <c r="D1092" s="24" t="s">
        <v>21695</v>
      </c>
      <c r="E1092" s="40">
        <v>27</v>
      </c>
      <c r="F1092" s="41">
        <v>254619</v>
      </c>
      <c r="G1092" s="40">
        <v>26</v>
      </c>
      <c r="H1092" s="41">
        <v>235180</v>
      </c>
      <c r="I1092" s="41">
        <v>9430.3333333333339</v>
      </c>
      <c r="J1092" s="41">
        <v>9045.3846153846152</v>
      </c>
      <c r="K1092" s="42">
        <v>-4.0820266298333602E-2</v>
      </c>
    </row>
    <row r="1093" spans="1:11" x14ac:dyDescent="0.25">
      <c r="A1093" s="24" t="s">
        <v>7</v>
      </c>
      <c r="B1093" s="24" t="s">
        <v>6394</v>
      </c>
      <c r="C1093" s="25" t="s">
        <v>6395</v>
      </c>
      <c r="D1093" s="24" t="s">
        <v>21697</v>
      </c>
      <c r="E1093" s="40">
        <v>16</v>
      </c>
      <c r="F1093" s="41">
        <v>150408</v>
      </c>
      <c r="G1093" s="40">
        <v>20</v>
      </c>
      <c r="H1093" s="41">
        <v>168756</v>
      </c>
      <c r="I1093" s="41">
        <v>9400.5</v>
      </c>
      <c r="J1093" s="41">
        <v>8437.7999999999993</v>
      </c>
      <c r="K1093" s="42">
        <v>-0.10240944630604763</v>
      </c>
    </row>
    <row r="1094" spans="1:11" x14ac:dyDescent="0.25">
      <c r="A1094" s="24" t="s">
        <v>7</v>
      </c>
      <c r="B1094" s="24" t="s">
        <v>6400</v>
      </c>
      <c r="C1094" s="25" t="s">
        <v>6401</v>
      </c>
      <c r="D1094" s="24" t="s">
        <v>21698</v>
      </c>
      <c r="G1094" s="40">
        <v>3</v>
      </c>
      <c r="H1094" s="41">
        <v>27534</v>
      </c>
      <c r="J1094" s="41">
        <v>9178</v>
      </c>
    </row>
    <row r="1095" spans="1:11" x14ac:dyDescent="0.25">
      <c r="A1095" s="24" t="s">
        <v>7</v>
      </c>
      <c r="B1095" s="24" t="s">
        <v>6403</v>
      </c>
      <c r="C1095" s="25" t="s">
        <v>6404</v>
      </c>
      <c r="D1095" s="24" t="s">
        <v>21699</v>
      </c>
      <c r="G1095" s="40">
        <v>3</v>
      </c>
      <c r="H1095" s="41">
        <v>26769</v>
      </c>
      <c r="J1095" s="41">
        <v>8923</v>
      </c>
    </row>
    <row r="1096" spans="1:11" x14ac:dyDescent="0.25">
      <c r="A1096" s="24" t="s">
        <v>7</v>
      </c>
      <c r="B1096" s="24" t="s">
        <v>6406</v>
      </c>
      <c r="C1096" s="25" t="s">
        <v>6407</v>
      </c>
      <c r="D1096" s="24" t="s">
        <v>21700</v>
      </c>
      <c r="E1096" s="40">
        <v>83</v>
      </c>
      <c r="F1096" s="41">
        <v>660779</v>
      </c>
      <c r="G1096" s="40">
        <v>71</v>
      </c>
      <c r="H1096" s="41">
        <v>485394</v>
      </c>
      <c r="I1096" s="41">
        <v>7961.1927710843374</v>
      </c>
      <c r="J1096" s="41">
        <v>6836.5352112676055</v>
      </c>
      <c r="K1096" s="42">
        <v>-0.14126746985722721</v>
      </c>
    </row>
    <row r="1097" spans="1:11" x14ac:dyDescent="0.25">
      <c r="A1097" s="24" t="s">
        <v>7</v>
      </c>
      <c r="B1097" s="24" t="s">
        <v>6409</v>
      </c>
      <c r="C1097" s="25" t="s">
        <v>6410</v>
      </c>
      <c r="D1097" s="24" t="s">
        <v>21701</v>
      </c>
      <c r="G1097" s="40">
        <v>4</v>
      </c>
      <c r="H1097" s="41">
        <v>34876</v>
      </c>
      <c r="J1097" s="41">
        <v>8719</v>
      </c>
    </row>
    <row r="1098" spans="1:11" x14ac:dyDescent="0.25">
      <c r="A1098" s="24" t="s">
        <v>7</v>
      </c>
      <c r="B1098" s="24" t="s">
        <v>6411</v>
      </c>
      <c r="C1098" s="25" t="s">
        <v>6412</v>
      </c>
      <c r="D1098" s="24" t="s">
        <v>21702</v>
      </c>
      <c r="E1098" s="40">
        <v>1</v>
      </c>
      <c r="F1098" s="41">
        <v>10771</v>
      </c>
      <c r="G1098" s="40">
        <v>1</v>
      </c>
      <c r="H1098" s="41">
        <v>10771</v>
      </c>
      <c r="I1098" s="41">
        <v>10771</v>
      </c>
      <c r="J1098" s="41">
        <v>10771</v>
      </c>
      <c r="K1098" s="42">
        <v>0</v>
      </c>
    </row>
    <row r="1099" spans="1:11" x14ac:dyDescent="0.25">
      <c r="A1099" s="24" t="s">
        <v>7</v>
      </c>
      <c r="B1099" s="24" t="s">
        <v>6428</v>
      </c>
      <c r="C1099" s="25" t="s">
        <v>6429</v>
      </c>
      <c r="D1099" s="24" t="s">
        <v>21703</v>
      </c>
      <c r="E1099" s="40">
        <v>2141</v>
      </c>
      <c r="F1099" s="41">
        <v>17796811</v>
      </c>
      <c r="G1099" s="40">
        <v>2166</v>
      </c>
      <c r="H1099" s="41">
        <v>16017486</v>
      </c>
      <c r="I1099" s="41">
        <v>8312.3825315273243</v>
      </c>
      <c r="J1099" s="41">
        <v>7394.9612188365654</v>
      </c>
      <c r="K1099" s="42">
        <v>-0.11036803337805377</v>
      </c>
    </row>
    <row r="1100" spans="1:11" x14ac:dyDescent="0.25">
      <c r="A1100" s="24" t="s">
        <v>7</v>
      </c>
      <c r="B1100" s="24" t="s">
        <v>6431</v>
      </c>
      <c r="C1100" s="25" t="s">
        <v>6432</v>
      </c>
      <c r="D1100" s="24" t="s">
        <v>21704</v>
      </c>
      <c r="E1100" s="40">
        <v>353</v>
      </c>
      <c r="F1100" s="41">
        <v>2776539</v>
      </c>
      <c r="G1100" s="40">
        <v>304</v>
      </c>
      <c r="H1100" s="41">
        <v>2180478</v>
      </c>
      <c r="I1100" s="41">
        <v>7865.5495750708214</v>
      </c>
      <c r="J1100" s="41">
        <v>7172.625</v>
      </c>
      <c r="K1100" s="42">
        <v>-8.8096142355644919E-2</v>
      </c>
    </row>
    <row r="1101" spans="1:11" x14ac:dyDescent="0.25">
      <c r="A1101" s="24" t="s">
        <v>7</v>
      </c>
      <c r="B1101" s="24" t="s">
        <v>6434</v>
      </c>
      <c r="C1101" s="25" t="s">
        <v>6435</v>
      </c>
      <c r="D1101" s="24" t="s">
        <v>21705</v>
      </c>
      <c r="E1101" s="40">
        <v>4</v>
      </c>
      <c r="F1101" s="41">
        <v>36864</v>
      </c>
      <c r="G1101" s="40">
        <v>10</v>
      </c>
      <c r="H1101" s="41">
        <v>92160</v>
      </c>
      <c r="I1101" s="41">
        <v>9216</v>
      </c>
      <c r="J1101" s="41">
        <v>9216</v>
      </c>
      <c r="K1101" s="42">
        <v>0</v>
      </c>
    </row>
    <row r="1102" spans="1:11" x14ac:dyDescent="0.25">
      <c r="A1102" s="24" t="s">
        <v>7</v>
      </c>
      <c r="B1102" s="24" t="s">
        <v>6437</v>
      </c>
      <c r="C1102" s="25" t="s">
        <v>6438</v>
      </c>
      <c r="D1102" s="24" t="s">
        <v>21688</v>
      </c>
      <c r="E1102" s="40">
        <v>973</v>
      </c>
      <c r="F1102" s="41">
        <v>7938057</v>
      </c>
      <c r="G1102" s="40">
        <v>985</v>
      </c>
      <c r="H1102" s="41">
        <v>8111804</v>
      </c>
      <c r="I1102" s="41">
        <v>8158.3319630010274</v>
      </c>
      <c r="J1102" s="41">
        <v>8235.3340101522845</v>
      </c>
      <c r="K1102" s="42">
        <v>9.4384547601728194E-3</v>
      </c>
    </row>
    <row r="1103" spans="1:11" x14ac:dyDescent="0.25">
      <c r="A1103" s="24" t="s">
        <v>7</v>
      </c>
      <c r="B1103" s="24" t="s">
        <v>6443</v>
      </c>
      <c r="C1103" s="25" t="s">
        <v>4452</v>
      </c>
      <c r="E1103" s="40">
        <v>2</v>
      </c>
      <c r="F1103" s="41">
        <v>3276</v>
      </c>
      <c r="G1103" s="40">
        <v>0</v>
      </c>
      <c r="H1103" s="41">
        <v>0</v>
      </c>
      <c r="I1103" s="41">
        <v>1638</v>
      </c>
    </row>
    <row r="1104" spans="1:11" x14ac:dyDescent="0.25">
      <c r="A1104" s="24" t="s">
        <v>7</v>
      </c>
      <c r="B1104" s="24" t="s">
        <v>6444</v>
      </c>
      <c r="C1104" s="25" t="s">
        <v>6445</v>
      </c>
      <c r="D1104" s="24" t="s">
        <v>21706</v>
      </c>
      <c r="E1104" s="40">
        <v>994</v>
      </c>
      <c r="F1104" s="41">
        <v>9311508</v>
      </c>
      <c r="G1104" s="40">
        <v>1168</v>
      </c>
      <c r="H1104" s="41">
        <v>9939336</v>
      </c>
      <c r="I1104" s="41">
        <v>9367.7142857142862</v>
      </c>
      <c r="J1104" s="41">
        <v>8509.7054794520554</v>
      </c>
      <c r="K1104" s="42">
        <v>-9.1592119496074889E-2</v>
      </c>
    </row>
    <row r="1105" spans="1:11" x14ac:dyDescent="0.25">
      <c r="A1105" s="24" t="s">
        <v>7</v>
      </c>
      <c r="B1105" s="24" t="s">
        <v>6447</v>
      </c>
      <c r="C1105" s="25" t="s">
        <v>6448</v>
      </c>
      <c r="D1105" s="24" t="s">
        <v>21707</v>
      </c>
      <c r="G1105" s="40">
        <v>4</v>
      </c>
      <c r="H1105" s="41">
        <v>36804</v>
      </c>
      <c r="J1105" s="41">
        <v>9201</v>
      </c>
    </row>
    <row r="1106" spans="1:11" x14ac:dyDescent="0.25">
      <c r="A1106" s="24" t="s">
        <v>7</v>
      </c>
      <c r="B1106" s="24" t="s">
        <v>6450</v>
      </c>
      <c r="C1106" s="25" t="s">
        <v>6451</v>
      </c>
      <c r="D1106" s="24" t="s">
        <v>21708</v>
      </c>
      <c r="E1106" s="40">
        <v>3</v>
      </c>
      <c r="F1106" s="41">
        <v>38391</v>
      </c>
      <c r="G1106" s="40">
        <v>2</v>
      </c>
      <c r="H1106" s="41">
        <v>26242</v>
      </c>
      <c r="I1106" s="41">
        <v>12797</v>
      </c>
      <c r="J1106" s="41">
        <v>13121</v>
      </c>
      <c r="K1106" s="42">
        <v>2.5318434007970618E-2</v>
      </c>
    </row>
    <row r="1107" spans="1:11" x14ac:dyDescent="0.25">
      <c r="A1107" s="24" t="s">
        <v>7</v>
      </c>
      <c r="B1107" s="24" t="s">
        <v>6453</v>
      </c>
      <c r="C1107" s="25" t="s">
        <v>6454</v>
      </c>
      <c r="D1107" s="24" t="s">
        <v>21709</v>
      </c>
      <c r="E1107" s="40">
        <v>148</v>
      </c>
      <c r="F1107" s="41">
        <v>772892</v>
      </c>
      <c r="G1107" s="40">
        <v>154</v>
      </c>
      <c r="H1107" s="41">
        <v>734434</v>
      </c>
      <c r="I1107" s="41">
        <v>5222.2432432432433</v>
      </c>
      <c r="J1107" s="41">
        <v>4769.0519480519479</v>
      </c>
      <c r="K1107" s="42">
        <v>-8.678096252556855E-2</v>
      </c>
    </row>
    <row r="1108" spans="1:11" x14ac:dyDescent="0.25">
      <c r="A1108" s="24" t="s">
        <v>7</v>
      </c>
      <c r="B1108" s="24" t="s">
        <v>6456</v>
      </c>
      <c r="C1108" s="25" t="s">
        <v>6457</v>
      </c>
      <c r="D1108" s="24" t="s">
        <v>21710</v>
      </c>
      <c r="G1108" s="40">
        <v>3</v>
      </c>
      <c r="H1108" s="41">
        <v>21069</v>
      </c>
      <c r="J1108" s="41">
        <v>7023</v>
      </c>
    </row>
    <row r="1109" spans="1:11" x14ac:dyDescent="0.25">
      <c r="A1109" s="24" t="s">
        <v>7</v>
      </c>
      <c r="B1109" s="24" t="s">
        <v>6459</v>
      </c>
      <c r="C1109" s="25" t="s">
        <v>6460</v>
      </c>
      <c r="D1109" s="24" t="s">
        <v>21711</v>
      </c>
      <c r="E1109" s="40">
        <v>2</v>
      </c>
      <c r="F1109" s="41">
        <v>19552</v>
      </c>
      <c r="G1109" s="40">
        <v>4</v>
      </c>
      <c r="H1109" s="41">
        <v>32100</v>
      </c>
      <c r="I1109" s="41">
        <v>9776</v>
      </c>
      <c r="J1109" s="41">
        <v>8025</v>
      </c>
      <c r="K1109" s="42">
        <v>-0.17911211129296237</v>
      </c>
    </row>
    <row r="1110" spans="1:11" x14ac:dyDescent="0.25">
      <c r="A1110" s="24" t="s">
        <v>7</v>
      </c>
      <c r="B1110" s="24" t="s">
        <v>6462</v>
      </c>
      <c r="C1110" s="25" t="s">
        <v>6463</v>
      </c>
      <c r="D1110" s="24" t="s">
        <v>21712</v>
      </c>
      <c r="E1110" s="40">
        <v>932</v>
      </c>
      <c r="F1110" s="41">
        <v>8409570</v>
      </c>
      <c r="G1110" s="40">
        <v>1016</v>
      </c>
      <c r="H1110" s="41">
        <v>8048040</v>
      </c>
      <c r="I1110" s="41">
        <v>9023.1437768240339</v>
      </c>
      <c r="J1110" s="41">
        <v>7921.2992125984256</v>
      </c>
      <c r="K1110" s="42">
        <v>-0.12211315606603751</v>
      </c>
    </row>
    <row r="1111" spans="1:11" x14ac:dyDescent="0.25">
      <c r="A1111" s="24" t="s">
        <v>7</v>
      </c>
      <c r="B1111" s="24" t="s">
        <v>6465</v>
      </c>
      <c r="C1111" s="25" t="s">
        <v>6466</v>
      </c>
      <c r="D1111" s="24" t="s">
        <v>21713</v>
      </c>
      <c r="G1111" s="40">
        <v>13</v>
      </c>
      <c r="H1111" s="41">
        <v>100316</v>
      </c>
      <c r="J1111" s="41">
        <v>7716.6153846153848</v>
      </c>
    </row>
    <row r="1112" spans="1:11" x14ac:dyDescent="0.25">
      <c r="A1112" s="24" t="s">
        <v>7</v>
      </c>
      <c r="B1112" s="24" t="s">
        <v>6468</v>
      </c>
      <c r="C1112" s="25" t="s">
        <v>6469</v>
      </c>
      <c r="D1112" s="24" t="s">
        <v>21714</v>
      </c>
      <c r="E1112" s="40">
        <v>4</v>
      </c>
      <c r="F1112" s="41">
        <v>44610</v>
      </c>
      <c r="G1112" s="40">
        <v>5</v>
      </c>
      <c r="H1112" s="41">
        <v>48552</v>
      </c>
      <c r="I1112" s="41">
        <v>11152.5</v>
      </c>
      <c r="J1112" s="41">
        <v>9710.4</v>
      </c>
      <c r="K1112" s="42">
        <v>-0.12930733019502358</v>
      </c>
    </row>
    <row r="1113" spans="1:11" x14ac:dyDescent="0.25">
      <c r="A1113" s="24" t="s">
        <v>7</v>
      </c>
      <c r="B1113" s="24" t="s">
        <v>6471</v>
      </c>
      <c r="C1113" s="25" t="s">
        <v>6472</v>
      </c>
      <c r="D1113" s="24" t="s">
        <v>21715</v>
      </c>
      <c r="E1113" s="40">
        <v>138</v>
      </c>
      <c r="F1113" s="41">
        <v>913172</v>
      </c>
      <c r="G1113" s="40">
        <v>150</v>
      </c>
      <c r="H1113" s="41">
        <v>881676</v>
      </c>
      <c r="I1113" s="41">
        <v>6617.188405797101</v>
      </c>
      <c r="J1113" s="41">
        <v>5877.84</v>
      </c>
      <c r="K1113" s="42">
        <v>-0.11173150293701507</v>
      </c>
    </row>
    <row r="1114" spans="1:11" x14ac:dyDescent="0.25">
      <c r="A1114" s="24" t="s">
        <v>7</v>
      </c>
      <c r="B1114" s="24" t="s">
        <v>6474</v>
      </c>
      <c r="C1114" s="25" t="s">
        <v>6475</v>
      </c>
      <c r="D1114" s="24" t="s">
        <v>21145</v>
      </c>
      <c r="E1114" s="40">
        <v>18</v>
      </c>
      <c r="F1114" s="41">
        <v>129102</v>
      </c>
      <c r="G1114" s="40">
        <v>8</v>
      </c>
      <c r="H1114" s="41">
        <v>48660</v>
      </c>
      <c r="I1114" s="41">
        <v>7172.333333333333</v>
      </c>
      <c r="J1114" s="41">
        <v>6082.5</v>
      </c>
      <c r="K1114" s="42">
        <v>-0.1519496212297253</v>
      </c>
    </row>
    <row r="1115" spans="1:11" x14ac:dyDescent="0.25">
      <c r="A1115" s="24" t="s">
        <v>7</v>
      </c>
      <c r="B1115" s="24" t="s">
        <v>6477</v>
      </c>
      <c r="C1115" s="25" t="s">
        <v>6478</v>
      </c>
      <c r="D1115" s="24" t="s">
        <v>21716</v>
      </c>
      <c r="G1115" s="40">
        <v>2</v>
      </c>
      <c r="H1115" s="41">
        <v>15028</v>
      </c>
      <c r="J1115" s="41">
        <v>7514</v>
      </c>
    </row>
    <row r="1116" spans="1:11" x14ac:dyDescent="0.25">
      <c r="A1116" s="24" t="s">
        <v>7</v>
      </c>
      <c r="B1116" s="24" t="s">
        <v>6502</v>
      </c>
      <c r="C1116" s="25" t="s">
        <v>6503</v>
      </c>
      <c r="D1116" s="24" t="s">
        <v>21717</v>
      </c>
      <c r="E1116" s="40">
        <v>66</v>
      </c>
      <c r="F1116" s="41">
        <v>378278</v>
      </c>
      <c r="G1116" s="40">
        <v>102</v>
      </c>
      <c r="H1116" s="41">
        <v>550468</v>
      </c>
      <c r="I1116" s="41">
        <v>5731.484848484848</v>
      </c>
      <c r="J1116" s="41">
        <v>5396.7450980392159</v>
      </c>
      <c r="K1116" s="42">
        <v>-5.8403670129935449E-2</v>
      </c>
    </row>
    <row r="1117" spans="1:11" x14ac:dyDescent="0.25">
      <c r="A1117" s="24" t="s">
        <v>7</v>
      </c>
      <c r="B1117" s="24" t="s">
        <v>6505</v>
      </c>
      <c r="C1117" s="25" t="s">
        <v>6506</v>
      </c>
      <c r="D1117" s="24" t="s">
        <v>21718</v>
      </c>
      <c r="E1117" s="40">
        <v>14</v>
      </c>
      <c r="F1117" s="41">
        <v>68697</v>
      </c>
      <c r="G1117" s="40">
        <v>12</v>
      </c>
      <c r="H1117" s="41">
        <v>56979</v>
      </c>
      <c r="I1117" s="41">
        <v>4906.9285714285716</v>
      </c>
      <c r="J1117" s="41">
        <v>4748.25</v>
      </c>
      <c r="K1117" s="42">
        <v>-3.2337656666229994E-2</v>
      </c>
    </row>
    <row r="1118" spans="1:11" x14ac:dyDescent="0.25">
      <c r="A1118" s="24" t="s">
        <v>7</v>
      </c>
      <c r="B1118" s="24" t="s">
        <v>6508</v>
      </c>
      <c r="C1118" s="25" t="s">
        <v>6509</v>
      </c>
      <c r="D1118" s="24" t="s">
        <v>21719</v>
      </c>
      <c r="E1118" s="40">
        <v>3</v>
      </c>
      <c r="F1118" s="41">
        <v>16716</v>
      </c>
      <c r="G1118" s="40">
        <v>10</v>
      </c>
      <c r="H1118" s="41">
        <v>54609</v>
      </c>
      <c r="I1118" s="41">
        <v>5572</v>
      </c>
      <c r="J1118" s="41">
        <v>5460.9</v>
      </c>
      <c r="K1118" s="42">
        <v>-1.9938980617372641E-2</v>
      </c>
    </row>
    <row r="1119" spans="1:11" x14ac:dyDescent="0.25">
      <c r="A1119" s="24" t="s">
        <v>7</v>
      </c>
      <c r="B1119" s="24" t="s">
        <v>6511</v>
      </c>
      <c r="C1119" s="25" t="s">
        <v>6512</v>
      </c>
      <c r="D1119" s="24" t="s">
        <v>21698</v>
      </c>
      <c r="E1119" s="40">
        <v>2</v>
      </c>
      <c r="F1119" s="41">
        <v>17940</v>
      </c>
      <c r="G1119" s="40">
        <v>3</v>
      </c>
      <c r="H1119" s="41">
        <v>27945</v>
      </c>
      <c r="I1119" s="41">
        <v>8970</v>
      </c>
      <c r="J1119" s="41">
        <v>9315</v>
      </c>
      <c r="K1119" s="42">
        <v>3.8461538461538464E-2</v>
      </c>
    </row>
    <row r="1120" spans="1:11" x14ac:dyDescent="0.25">
      <c r="A1120" s="24" t="s">
        <v>7</v>
      </c>
      <c r="B1120" s="24" t="s">
        <v>6514</v>
      </c>
      <c r="C1120" s="25" t="s">
        <v>6515</v>
      </c>
      <c r="D1120" s="24" t="s">
        <v>21720</v>
      </c>
      <c r="E1120" s="40">
        <v>333</v>
      </c>
      <c r="F1120" s="41">
        <v>1902308</v>
      </c>
      <c r="G1120" s="40">
        <v>412</v>
      </c>
      <c r="H1120" s="41">
        <v>2190773</v>
      </c>
      <c r="I1120" s="41">
        <v>5712.6366366366365</v>
      </c>
      <c r="J1120" s="41">
        <v>5317.4101941747576</v>
      </c>
      <c r="K1120" s="42">
        <v>-6.9184593314965639E-2</v>
      </c>
    </row>
    <row r="1121" spans="1:11" x14ac:dyDescent="0.25">
      <c r="A1121" s="24" t="s">
        <v>7</v>
      </c>
      <c r="B1121" s="24" t="s">
        <v>6517</v>
      </c>
      <c r="C1121" s="25" t="s">
        <v>6518</v>
      </c>
      <c r="D1121" s="24" t="s">
        <v>21721</v>
      </c>
      <c r="E1121" s="40">
        <v>29</v>
      </c>
      <c r="F1121" s="41">
        <v>157662</v>
      </c>
      <c r="G1121" s="40">
        <v>25</v>
      </c>
      <c r="H1121" s="41">
        <v>135314</v>
      </c>
      <c r="I1121" s="41">
        <v>5436.6206896551721</v>
      </c>
      <c r="J1121" s="41">
        <v>5412.56</v>
      </c>
      <c r="K1121" s="42">
        <v>-4.4256701044004219E-3</v>
      </c>
    </row>
    <row r="1122" spans="1:11" x14ac:dyDescent="0.25">
      <c r="A1122" s="24" t="s">
        <v>7</v>
      </c>
      <c r="B1122" s="24" t="s">
        <v>6520</v>
      </c>
      <c r="C1122" s="25" t="s">
        <v>6521</v>
      </c>
      <c r="D1122" s="24" t="s">
        <v>21722</v>
      </c>
      <c r="E1122" s="40">
        <v>14</v>
      </c>
      <c r="F1122" s="41">
        <v>82668</v>
      </c>
      <c r="G1122" s="40">
        <v>6</v>
      </c>
      <c r="H1122" s="41">
        <v>36000</v>
      </c>
      <c r="I1122" s="41">
        <v>5904.8571428571431</v>
      </c>
      <c r="J1122" s="41">
        <v>6000</v>
      </c>
      <c r="K1122" s="42">
        <v>1.6112643344462142E-2</v>
      </c>
    </row>
    <row r="1123" spans="1:11" x14ac:dyDescent="0.25">
      <c r="A1123" s="24" t="s">
        <v>7</v>
      </c>
      <c r="B1123" s="24" t="s">
        <v>6523</v>
      </c>
      <c r="C1123" s="25" t="s">
        <v>6524</v>
      </c>
      <c r="D1123" s="24" t="s">
        <v>21699</v>
      </c>
      <c r="E1123" s="40">
        <v>5</v>
      </c>
      <c r="F1123" s="41">
        <v>41181</v>
      </c>
      <c r="G1123" s="40">
        <v>9</v>
      </c>
      <c r="H1123" s="41">
        <v>75240</v>
      </c>
      <c r="I1123" s="41">
        <v>8236.2000000000007</v>
      </c>
      <c r="J1123" s="41">
        <v>8360</v>
      </c>
      <c r="K1123" s="42">
        <v>1.5031203710448904E-2</v>
      </c>
    </row>
    <row r="1124" spans="1:11" x14ac:dyDescent="0.25">
      <c r="A1124" s="24" t="s">
        <v>7</v>
      </c>
      <c r="B1124" s="24" t="s">
        <v>6526</v>
      </c>
      <c r="C1124" s="25" t="s">
        <v>6527</v>
      </c>
      <c r="D1124" s="24" t="s">
        <v>21723</v>
      </c>
      <c r="E1124" s="40">
        <v>9</v>
      </c>
      <c r="F1124" s="41">
        <v>66609</v>
      </c>
      <c r="G1124" s="40">
        <v>15</v>
      </c>
      <c r="H1124" s="41">
        <v>114795</v>
      </c>
      <c r="I1124" s="41">
        <v>7401</v>
      </c>
      <c r="J1124" s="41">
        <v>7653</v>
      </c>
      <c r="K1124" s="42">
        <v>3.4049452776651806E-2</v>
      </c>
    </row>
    <row r="1125" spans="1:11" x14ac:dyDescent="0.25">
      <c r="A1125" s="24" t="s">
        <v>7</v>
      </c>
      <c r="B1125" s="24" t="s">
        <v>6529</v>
      </c>
      <c r="C1125" s="25" t="s">
        <v>6530</v>
      </c>
      <c r="D1125" s="24" t="s">
        <v>21141</v>
      </c>
      <c r="G1125" s="40">
        <v>2</v>
      </c>
      <c r="H1125" s="41">
        <v>16976</v>
      </c>
      <c r="J1125" s="41">
        <v>8488</v>
      </c>
    </row>
    <row r="1126" spans="1:11" x14ac:dyDescent="0.25">
      <c r="A1126" s="24" t="s">
        <v>7</v>
      </c>
      <c r="B1126" s="24" t="s">
        <v>6532</v>
      </c>
      <c r="C1126" s="25" t="s">
        <v>6533</v>
      </c>
      <c r="D1126" s="24" t="s">
        <v>21724</v>
      </c>
      <c r="E1126" s="40">
        <v>9</v>
      </c>
      <c r="F1126" s="41">
        <v>81694</v>
      </c>
      <c r="G1126" s="40">
        <v>10</v>
      </c>
      <c r="H1126" s="41">
        <v>86786</v>
      </c>
      <c r="I1126" s="41">
        <v>9077.1111111111113</v>
      </c>
      <c r="J1126" s="41">
        <v>8678.6</v>
      </c>
      <c r="K1126" s="42">
        <v>-4.3902857002962252E-2</v>
      </c>
    </row>
    <row r="1127" spans="1:11" x14ac:dyDescent="0.25">
      <c r="A1127" s="24" t="s">
        <v>7</v>
      </c>
      <c r="B1127" s="24" t="s">
        <v>6535</v>
      </c>
      <c r="C1127" s="25" t="s">
        <v>6536</v>
      </c>
      <c r="D1127" s="24" t="s">
        <v>21725</v>
      </c>
      <c r="E1127" s="40">
        <v>30</v>
      </c>
      <c r="F1127" s="41">
        <v>231392</v>
      </c>
      <c r="G1127" s="40">
        <v>60</v>
      </c>
      <c r="H1127" s="41">
        <v>418318</v>
      </c>
      <c r="I1127" s="41">
        <v>7713.0666666666666</v>
      </c>
      <c r="J1127" s="41">
        <v>6971.9666666666662</v>
      </c>
      <c r="K1127" s="42">
        <v>-9.6083702115889971E-2</v>
      </c>
    </row>
    <row r="1128" spans="1:11" x14ac:dyDescent="0.25">
      <c r="A1128" s="24" t="s">
        <v>7</v>
      </c>
      <c r="B1128" s="24" t="s">
        <v>6538</v>
      </c>
      <c r="C1128" s="25" t="s">
        <v>6539</v>
      </c>
      <c r="D1128" s="24" t="s">
        <v>21696</v>
      </c>
      <c r="G1128" s="40">
        <v>4</v>
      </c>
      <c r="H1128" s="41">
        <v>26465</v>
      </c>
      <c r="J1128" s="41">
        <v>6616.25</v>
      </c>
    </row>
    <row r="1129" spans="1:11" x14ac:dyDescent="0.25">
      <c r="A1129" s="24" t="s">
        <v>7</v>
      </c>
      <c r="B1129" s="24" t="s">
        <v>6541</v>
      </c>
      <c r="C1129" s="25" t="s">
        <v>6542</v>
      </c>
      <c r="D1129" s="24" t="s">
        <v>21726</v>
      </c>
      <c r="E1129" s="40">
        <v>825</v>
      </c>
      <c r="F1129" s="41">
        <v>12727005</v>
      </c>
      <c r="G1129" s="40">
        <v>899</v>
      </c>
      <c r="H1129" s="41">
        <v>12240172</v>
      </c>
      <c r="I1129" s="41">
        <v>15426.672727272728</v>
      </c>
      <c r="J1129" s="41">
        <v>13615.319243604004</v>
      </c>
      <c r="K1129" s="42">
        <v>-0.11741699040950299</v>
      </c>
    </row>
    <row r="1130" spans="1:11" x14ac:dyDescent="0.25">
      <c r="A1130" s="24" t="s">
        <v>7</v>
      </c>
      <c r="B1130" s="24" t="s">
        <v>6544</v>
      </c>
      <c r="C1130" s="25" t="s">
        <v>6545</v>
      </c>
      <c r="D1130" s="24" t="s">
        <v>21727</v>
      </c>
      <c r="E1130" s="40">
        <v>209</v>
      </c>
      <c r="F1130" s="41">
        <v>4437624</v>
      </c>
      <c r="G1130" s="40">
        <v>214</v>
      </c>
      <c r="H1130" s="41">
        <v>3878396</v>
      </c>
      <c r="I1130" s="41">
        <v>21232.650717703349</v>
      </c>
      <c r="J1130" s="41">
        <v>18123.345794392524</v>
      </c>
      <c r="K1130" s="42">
        <v>-0.14643979052122541</v>
      </c>
    </row>
    <row r="1131" spans="1:11" x14ac:dyDescent="0.25">
      <c r="A1131" s="24" t="s">
        <v>7</v>
      </c>
      <c r="B1131" s="24" t="s">
        <v>6547</v>
      </c>
      <c r="C1131" s="25" t="s">
        <v>6548</v>
      </c>
      <c r="D1131" s="24" t="s">
        <v>21728</v>
      </c>
      <c r="E1131" s="40">
        <v>8658</v>
      </c>
      <c r="F1131" s="41">
        <v>150387550</v>
      </c>
      <c r="G1131" s="40">
        <v>9261</v>
      </c>
      <c r="H1131" s="41">
        <v>139153678</v>
      </c>
      <c r="I1131" s="41">
        <v>17369.779394779394</v>
      </c>
      <c r="J1131" s="41">
        <v>15025.772378792786</v>
      </c>
      <c r="K1131" s="42">
        <v>-0.13494742579696295</v>
      </c>
    </row>
    <row r="1132" spans="1:11" x14ac:dyDescent="0.25">
      <c r="A1132" s="24" t="s">
        <v>7</v>
      </c>
      <c r="B1132" s="24" t="s">
        <v>6550</v>
      </c>
      <c r="C1132" s="25" t="s">
        <v>6551</v>
      </c>
      <c r="D1132" s="24" t="s">
        <v>21725</v>
      </c>
      <c r="E1132" s="40">
        <v>47</v>
      </c>
      <c r="F1132" s="41">
        <v>531406</v>
      </c>
      <c r="G1132" s="40">
        <v>48</v>
      </c>
      <c r="H1132" s="41">
        <v>496559</v>
      </c>
      <c r="I1132" s="41">
        <v>11306.510638297872</v>
      </c>
      <c r="J1132" s="41">
        <v>10344.979166666666</v>
      </c>
      <c r="K1132" s="42">
        <v>-8.5042282485833204E-2</v>
      </c>
    </row>
    <row r="1133" spans="1:11" x14ac:dyDescent="0.25">
      <c r="A1133" s="24" t="s">
        <v>7</v>
      </c>
      <c r="B1133" s="24" t="s">
        <v>6562</v>
      </c>
      <c r="C1133" s="25" t="s">
        <v>6563</v>
      </c>
      <c r="D1133" s="24" t="s">
        <v>21694</v>
      </c>
      <c r="E1133" s="40">
        <v>29</v>
      </c>
      <c r="F1133" s="41">
        <v>169920</v>
      </c>
      <c r="G1133" s="40">
        <v>31</v>
      </c>
      <c r="H1133" s="41">
        <v>159249</v>
      </c>
      <c r="I1133" s="41">
        <v>5859.3103448275861</v>
      </c>
      <c r="J1133" s="41">
        <v>5137.0645161290322</v>
      </c>
      <c r="K1133" s="42">
        <v>-0.12326464825952249</v>
      </c>
    </row>
    <row r="1134" spans="1:11" x14ac:dyDescent="0.25">
      <c r="A1134" s="24" t="s">
        <v>7</v>
      </c>
      <c r="B1134" s="24" t="s">
        <v>6576</v>
      </c>
      <c r="C1134" s="25" t="s">
        <v>6166</v>
      </c>
      <c r="D1134" s="24" t="s">
        <v>21682</v>
      </c>
      <c r="E1134" s="40">
        <v>1</v>
      </c>
      <c r="F1134" s="41">
        <v>7368</v>
      </c>
      <c r="G1134" s="40">
        <v>0</v>
      </c>
      <c r="H1134" s="41">
        <v>0</v>
      </c>
      <c r="I1134" s="41">
        <v>7368</v>
      </c>
    </row>
    <row r="1135" spans="1:11" x14ac:dyDescent="0.25">
      <c r="A1135" s="24" t="s">
        <v>7</v>
      </c>
      <c r="B1135" s="24" t="s">
        <v>6580</v>
      </c>
      <c r="C1135" s="25" t="s">
        <v>6581</v>
      </c>
      <c r="D1135" s="24" t="s">
        <v>21686</v>
      </c>
      <c r="G1135" s="40">
        <v>1</v>
      </c>
      <c r="H1135" s="41">
        <v>5365</v>
      </c>
      <c r="J1135" s="41">
        <v>5365</v>
      </c>
    </row>
    <row r="1136" spans="1:11" x14ac:dyDescent="0.25">
      <c r="A1136" s="24" t="s">
        <v>7</v>
      </c>
      <c r="B1136" s="24" t="s">
        <v>6594</v>
      </c>
      <c r="C1136" s="25" t="s">
        <v>6204</v>
      </c>
      <c r="E1136" s="40">
        <v>1</v>
      </c>
      <c r="F1136" s="41">
        <v>6861</v>
      </c>
      <c r="G1136" s="40">
        <v>0</v>
      </c>
      <c r="H1136" s="41">
        <v>0</v>
      </c>
      <c r="I1136" s="41">
        <v>6861</v>
      </c>
    </row>
    <row r="1137" spans="1:11" x14ac:dyDescent="0.25">
      <c r="A1137" s="24" t="s">
        <v>7</v>
      </c>
      <c r="B1137" s="24" t="s">
        <v>6618</v>
      </c>
      <c r="C1137" s="25" t="s">
        <v>4294</v>
      </c>
      <c r="G1137" s="40">
        <v>2</v>
      </c>
      <c r="H1137" s="41">
        <v>14672</v>
      </c>
      <c r="J1137" s="41">
        <v>7336</v>
      </c>
    </row>
    <row r="1138" spans="1:11" x14ac:dyDescent="0.25">
      <c r="A1138" s="24" t="s">
        <v>7</v>
      </c>
      <c r="B1138" s="24" t="s">
        <v>6631</v>
      </c>
      <c r="C1138" s="25" t="s">
        <v>4303</v>
      </c>
      <c r="G1138" s="40">
        <v>1</v>
      </c>
      <c r="H1138" s="41">
        <v>651</v>
      </c>
      <c r="J1138" s="41">
        <v>651</v>
      </c>
    </row>
    <row r="1139" spans="1:11" x14ac:dyDescent="0.25">
      <c r="A1139" s="24" t="s">
        <v>7</v>
      </c>
      <c r="B1139" s="24" t="s">
        <v>6632</v>
      </c>
      <c r="C1139" s="25" t="s">
        <v>4180</v>
      </c>
      <c r="D1139" s="24" t="s">
        <v>21729</v>
      </c>
      <c r="E1139" s="40">
        <v>6</v>
      </c>
      <c r="F1139" s="41">
        <v>14190</v>
      </c>
      <c r="G1139" s="40">
        <v>6</v>
      </c>
      <c r="H1139" s="41">
        <v>14550</v>
      </c>
      <c r="I1139" s="41">
        <v>2365</v>
      </c>
      <c r="J1139" s="41">
        <v>2425</v>
      </c>
      <c r="K1139" s="42">
        <v>2.5369978858350951E-2</v>
      </c>
    </row>
    <row r="1140" spans="1:11" x14ac:dyDescent="0.25">
      <c r="A1140" s="24" t="s">
        <v>7</v>
      </c>
      <c r="B1140" s="24" t="s">
        <v>6634</v>
      </c>
      <c r="C1140" s="25" t="s">
        <v>4267</v>
      </c>
      <c r="D1140" s="24" t="s">
        <v>21730</v>
      </c>
      <c r="E1140" s="40">
        <v>21</v>
      </c>
      <c r="F1140" s="41">
        <v>43065</v>
      </c>
      <c r="G1140" s="40">
        <v>31</v>
      </c>
      <c r="H1140" s="41">
        <v>72030</v>
      </c>
      <c r="I1140" s="41">
        <v>2050.7142857142858</v>
      </c>
      <c r="J1140" s="41">
        <v>2323.5483870967741</v>
      </c>
      <c r="K1140" s="42">
        <v>0.13304344895001174</v>
      </c>
    </row>
    <row r="1141" spans="1:11" x14ac:dyDescent="0.25">
      <c r="A1141" s="24" t="s">
        <v>7</v>
      </c>
      <c r="B1141" s="24" t="s">
        <v>6635</v>
      </c>
      <c r="C1141" s="25" t="s">
        <v>6636</v>
      </c>
      <c r="D1141" s="24" t="s">
        <v>21731</v>
      </c>
      <c r="G1141" s="40">
        <v>3</v>
      </c>
      <c r="H1141" s="41">
        <v>6405</v>
      </c>
      <c r="J1141" s="41">
        <v>2135</v>
      </c>
    </row>
    <row r="1142" spans="1:11" x14ac:dyDescent="0.25">
      <c r="A1142" s="24" t="s">
        <v>7</v>
      </c>
      <c r="B1142" s="24" t="s">
        <v>6643</v>
      </c>
      <c r="C1142" s="25" t="s">
        <v>6644</v>
      </c>
      <c r="D1142" s="24" t="s">
        <v>21732</v>
      </c>
      <c r="E1142" s="40">
        <v>219</v>
      </c>
      <c r="F1142" s="41">
        <v>469576</v>
      </c>
      <c r="G1142" s="40">
        <v>146</v>
      </c>
      <c r="H1142" s="41">
        <v>317848</v>
      </c>
      <c r="I1142" s="41">
        <v>2144.1826484018266</v>
      </c>
      <c r="J1142" s="41">
        <v>2177.0410958904108</v>
      </c>
      <c r="K1142" s="42">
        <v>1.5324462919740262E-2</v>
      </c>
    </row>
    <row r="1143" spans="1:11" x14ac:dyDescent="0.25">
      <c r="A1143" s="24" t="s">
        <v>7</v>
      </c>
      <c r="B1143" s="24" t="s">
        <v>6655</v>
      </c>
      <c r="C1143" s="25" t="s">
        <v>6656</v>
      </c>
      <c r="D1143" s="24" t="s">
        <v>21733</v>
      </c>
      <c r="E1143" s="40">
        <v>144</v>
      </c>
      <c r="F1143" s="41">
        <v>408024</v>
      </c>
      <c r="G1143" s="40">
        <v>121</v>
      </c>
      <c r="H1143" s="41">
        <v>316274</v>
      </c>
      <c r="I1143" s="41">
        <v>2833.5</v>
      </c>
      <c r="J1143" s="41">
        <v>2613.8347107438017</v>
      </c>
      <c r="K1143" s="42">
        <v>-7.7524365363048645E-2</v>
      </c>
    </row>
    <row r="1144" spans="1:11" x14ac:dyDescent="0.25">
      <c r="A1144" s="24" t="s">
        <v>7</v>
      </c>
      <c r="B1144" s="24" t="s">
        <v>6658</v>
      </c>
      <c r="C1144" s="25" t="s">
        <v>6659</v>
      </c>
      <c r="D1144" s="24" t="s">
        <v>21734</v>
      </c>
      <c r="E1144" s="40">
        <v>470</v>
      </c>
      <c r="F1144" s="41">
        <v>1212975</v>
      </c>
      <c r="G1144" s="40">
        <v>597</v>
      </c>
      <c r="H1144" s="41">
        <v>1651332</v>
      </c>
      <c r="I1144" s="41">
        <v>2580.7978723404253</v>
      </c>
      <c r="J1144" s="41">
        <v>2766.0502512562816</v>
      </c>
      <c r="K1144" s="42">
        <v>7.1781049148129578E-2</v>
      </c>
    </row>
    <row r="1145" spans="1:11" x14ac:dyDescent="0.25">
      <c r="A1145" s="24" t="s">
        <v>7</v>
      </c>
      <c r="B1145" s="24" t="s">
        <v>6662</v>
      </c>
      <c r="C1145" s="25" t="s">
        <v>139</v>
      </c>
      <c r="D1145" s="24" t="s">
        <v>21239</v>
      </c>
      <c r="E1145" s="40">
        <v>79</v>
      </c>
      <c r="F1145" s="41">
        <v>104353</v>
      </c>
      <c r="G1145" s="40">
        <v>89</v>
      </c>
      <c r="H1145" s="41">
        <v>115108</v>
      </c>
      <c r="I1145" s="41">
        <v>1320.9240506329113</v>
      </c>
      <c r="J1145" s="41">
        <v>1293.3483146067415</v>
      </c>
      <c r="K1145" s="42">
        <v>-2.087609504343349E-2</v>
      </c>
    </row>
    <row r="1146" spans="1:11" x14ac:dyDescent="0.25">
      <c r="A1146" s="24" t="s">
        <v>7</v>
      </c>
      <c r="B1146" s="24" t="s">
        <v>6664</v>
      </c>
      <c r="C1146" s="25" t="s">
        <v>6665</v>
      </c>
      <c r="D1146" s="24" t="s">
        <v>21151</v>
      </c>
      <c r="E1146" s="40">
        <v>876</v>
      </c>
      <c r="F1146" s="41">
        <v>2918268</v>
      </c>
      <c r="G1146" s="40">
        <v>733</v>
      </c>
      <c r="H1146" s="41">
        <v>2328954</v>
      </c>
      <c r="I1146" s="41">
        <v>3331.3561643835615</v>
      </c>
      <c r="J1146" s="41">
        <v>3177.2905866302863</v>
      </c>
      <c r="K1146" s="42">
        <v>-4.6247104827887318E-2</v>
      </c>
    </row>
    <row r="1147" spans="1:11" x14ac:dyDescent="0.25">
      <c r="A1147" s="24" t="s">
        <v>7</v>
      </c>
      <c r="B1147" s="24" t="s">
        <v>6667</v>
      </c>
      <c r="C1147" s="25" t="s">
        <v>6668</v>
      </c>
      <c r="D1147" s="24" t="s">
        <v>21735</v>
      </c>
      <c r="E1147" s="40">
        <v>2241</v>
      </c>
      <c r="F1147" s="41">
        <v>7525386</v>
      </c>
      <c r="G1147" s="40">
        <v>2280</v>
      </c>
      <c r="H1147" s="41">
        <v>7087710</v>
      </c>
      <c r="I1147" s="41">
        <v>3358.0481927710844</v>
      </c>
      <c r="J1147" s="41">
        <v>3108.6447368421054</v>
      </c>
      <c r="K1147" s="42">
        <v>-7.4270362309234603E-2</v>
      </c>
    </row>
    <row r="1148" spans="1:11" x14ac:dyDescent="0.25">
      <c r="A1148" s="24" t="s">
        <v>7</v>
      </c>
      <c r="B1148" s="24" t="s">
        <v>6670</v>
      </c>
      <c r="C1148" s="25" t="s">
        <v>6671</v>
      </c>
      <c r="D1148" s="24" t="s">
        <v>21736</v>
      </c>
      <c r="E1148" s="40">
        <v>1720</v>
      </c>
      <c r="F1148" s="41">
        <v>5980784</v>
      </c>
      <c r="G1148" s="40">
        <v>1675</v>
      </c>
      <c r="H1148" s="41">
        <v>5195099</v>
      </c>
      <c r="I1148" s="41">
        <v>3477.2</v>
      </c>
      <c r="J1148" s="41">
        <v>3101.5516417910449</v>
      </c>
      <c r="K1148" s="42">
        <v>-0.1080318527001481</v>
      </c>
    </row>
    <row r="1149" spans="1:11" x14ac:dyDescent="0.25">
      <c r="A1149" s="24" t="s">
        <v>7</v>
      </c>
      <c r="B1149" s="24" t="s">
        <v>6676</v>
      </c>
      <c r="C1149" s="25" t="s">
        <v>6677</v>
      </c>
      <c r="D1149" s="24" t="s">
        <v>21737</v>
      </c>
      <c r="G1149" s="40">
        <v>4</v>
      </c>
      <c r="H1149" s="41">
        <v>4572</v>
      </c>
      <c r="J1149" s="41">
        <v>1143</v>
      </c>
    </row>
    <row r="1150" spans="1:11" x14ac:dyDescent="0.25">
      <c r="A1150" s="24" t="s">
        <v>7</v>
      </c>
      <c r="B1150" s="24" t="s">
        <v>6679</v>
      </c>
      <c r="C1150" s="25" t="s">
        <v>6680</v>
      </c>
      <c r="D1150" s="24" t="s">
        <v>21738</v>
      </c>
      <c r="E1150" s="40">
        <v>235</v>
      </c>
      <c r="F1150" s="41">
        <v>623052</v>
      </c>
      <c r="G1150" s="40">
        <v>248</v>
      </c>
      <c r="H1150" s="41">
        <v>615681</v>
      </c>
      <c r="I1150" s="41">
        <v>2651.2851063829789</v>
      </c>
      <c r="J1150" s="41">
        <v>2482.5846774193546</v>
      </c>
      <c r="K1150" s="42">
        <v>-6.3629682284065708E-2</v>
      </c>
    </row>
    <row r="1151" spans="1:11" x14ac:dyDescent="0.25">
      <c r="A1151" s="24" t="s">
        <v>7</v>
      </c>
      <c r="B1151" s="24" t="s">
        <v>6682</v>
      </c>
      <c r="C1151" s="25" t="s">
        <v>6683</v>
      </c>
      <c r="D1151" s="24" t="s">
        <v>21739</v>
      </c>
      <c r="E1151" s="40">
        <v>12</v>
      </c>
      <c r="F1151" s="41">
        <v>15774</v>
      </c>
      <c r="G1151" s="40">
        <v>30</v>
      </c>
      <c r="H1151" s="41">
        <v>40770</v>
      </c>
      <c r="I1151" s="41">
        <v>1314.5</v>
      </c>
      <c r="J1151" s="41">
        <v>1359</v>
      </c>
      <c r="K1151" s="42">
        <v>3.3853176112590339E-2</v>
      </c>
    </row>
    <row r="1152" spans="1:11" x14ac:dyDescent="0.25">
      <c r="A1152" s="24" t="s">
        <v>7</v>
      </c>
      <c r="B1152" s="24" t="s">
        <v>6684</v>
      </c>
      <c r="C1152" s="25" t="s">
        <v>6685</v>
      </c>
      <c r="D1152" s="24" t="s">
        <v>21740</v>
      </c>
      <c r="E1152" s="40">
        <v>630</v>
      </c>
      <c r="F1152" s="41">
        <v>2450774</v>
      </c>
      <c r="G1152" s="40">
        <v>646</v>
      </c>
      <c r="H1152" s="41">
        <v>2234507</v>
      </c>
      <c r="I1152" s="41">
        <v>3890.1174603174604</v>
      </c>
      <c r="J1152" s="41">
        <v>3458.9891640866872</v>
      </c>
      <c r="K1152" s="42">
        <v>-0.11082654974525889</v>
      </c>
    </row>
    <row r="1153" spans="1:11" x14ac:dyDescent="0.25">
      <c r="A1153" s="24" t="s">
        <v>7</v>
      </c>
      <c r="B1153" s="24" t="s">
        <v>6687</v>
      </c>
      <c r="C1153" s="25" t="s">
        <v>6688</v>
      </c>
      <c r="D1153" s="24" t="s">
        <v>21741</v>
      </c>
      <c r="G1153" s="40">
        <v>1</v>
      </c>
      <c r="H1153" s="41">
        <v>3672</v>
      </c>
      <c r="J1153" s="41">
        <v>3672</v>
      </c>
    </row>
    <row r="1154" spans="1:11" x14ac:dyDescent="0.25">
      <c r="A1154" s="24" t="s">
        <v>7</v>
      </c>
      <c r="B1154" s="24" t="s">
        <v>6690</v>
      </c>
      <c r="C1154" s="25" t="s">
        <v>208</v>
      </c>
      <c r="D1154" s="24" t="s">
        <v>21245</v>
      </c>
      <c r="E1154" s="40">
        <v>1102</v>
      </c>
      <c r="F1154" s="41">
        <v>2141241</v>
      </c>
      <c r="G1154" s="40">
        <v>1227</v>
      </c>
      <c r="H1154" s="41">
        <v>2485950</v>
      </c>
      <c r="I1154" s="41">
        <v>1943.0499092558985</v>
      </c>
      <c r="J1154" s="41">
        <v>2026.039119804401</v>
      </c>
      <c r="K1154" s="42">
        <v>4.2710797161295638E-2</v>
      </c>
    </row>
    <row r="1155" spans="1:11" x14ac:dyDescent="0.25">
      <c r="A1155" s="24" t="s">
        <v>7</v>
      </c>
      <c r="B1155" s="24" t="s">
        <v>6691</v>
      </c>
      <c r="C1155" s="25" t="s">
        <v>6692</v>
      </c>
      <c r="D1155" s="24" t="s">
        <v>21742</v>
      </c>
      <c r="E1155" s="40">
        <v>447</v>
      </c>
      <c r="F1155" s="41">
        <v>1063390</v>
      </c>
      <c r="G1155" s="40">
        <v>441</v>
      </c>
      <c r="H1155" s="41">
        <v>1077673</v>
      </c>
      <c r="I1155" s="41">
        <v>2378.9485458612976</v>
      </c>
      <c r="J1155" s="41">
        <v>2443.7029478458048</v>
      </c>
      <c r="K1155" s="42">
        <v>2.721975727350712E-2</v>
      </c>
    </row>
    <row r="1156" spans="1:11" x14ac:dyDescent="0.25">
      <c r="A1156" s="24" t="s">
        <v>7</v>
      </c>
      <c r="B1156" s="24" t="s">
        <v>6694</v>
      </c>
      <c r="C1156" s="25" t="s">
        <v>193</v>
      </c>
      <c r="D1156" s="24" t="s">
        <v>21242</v>
      </c>
      <c r="E1156" s="40">
        <v>76</v>
      </c>
      <c r="F1156" s="41">
        <v>177028</v>
      </c>
      <c r="G1156" s="40">
        <v>131</v>
      </c>
      <c r="H1156" s="41">
        <v>318895</v>
      </c>
      <c r="I1156" s="41">
        <v>2329.3157894736842</v>
      </c>
      <c r="J1156" s="41">
        <v>2434.3129770992368</v>
      </c>
      <c r="K1156" s="42">
        <v>4.5076407458379486E-2</v>
      </c>
    </row>
    <row r="1157" spans="1:11" x14ac:dyDescent="0.25">
      <c r="A1157" s="24" t="s">
        <v>7</v>
      </c>
      <c r="B1157" s="24" t="s">
        <v>6695</v>
      </c>
      <c r="C1157" s="25" t="s">
        <v>211</v>
      </c>
      <c r="D1157" s="24" t="s">
        <v>21153</v>
      </c>
      <c r="E1157" s="40">
        <v>474</v>
      </c>
      <c r="F1157" s="41">
        <v>2071650</v>
      </c>
      <c r="G1157" s="40">
        <v>432</v>
      </c>
      <c r="H1157" s="41">
        <v>1734336</v>
      </c>
      <c r="I1157" s="41">
        <v>4370.5696202531644</v>
      </c>
      <c r="J1157" s="41">
        <v>4014.6666666666665</v>
      </c>
      <c r="K1157" s="42">
        <v>-8.1431709024207766E-2</v>
      </c>
    </row>
    <row r="1158" spans="1:11" x14ac:dyDescent="0.25">
      <c r="A1158" s="24" t="s">
        <v>7</v>
      </c>
      <c r="B1158" s="24" t="s">
        <v>6696</v>
      </c>
      <c r="C1158" s="25" t="s">
        <v>6697</v>
      </c>
      <c r="D1158" s="24" t="s">
        <v>21743</v>
      </c>
      <c r="E1158" s="40">
        <v>3</v>
      </c>
      <c r="F1158" s="41">
        <v>7110</v>
      </c>
      <c r="G1158" s="40">
        <v>3</v>
      </c>
      <c r="H1158" s="41">
        <v>7110</v>
      </c>
      <c r="I1158" s="41">
        <v>2370</v>
      </c>
      <c r="J1158" s="41">
        <v>2370</v>
      </c>
      <c r="K1158" s="42">
        <v>0</v>
      </c>
    </row>
    <row r="1159" spans="1:11" x14ac:dyDescent="0.25">
      <c r="A1159" s="24" t="s">
        <v>7</v>
      </c>
      <c r="B1159" s="24" t="s">
        <v>6699</v>
      </c>
      <c r="C1159" s="25" t="s">
        <v>6700</v>
      </c>
      <c r="D1159" s="24" t="s">
        <v>21744</v>
      </c>
      <c r="E1159" s="40">
        <v>50</v>
      </c>
      <c r="F1159" s="41">
        <v>134076</v>
      </c>
      <c r="G1159" s="40">
        <v>77</v>
      </c>
      <c r="H1159" s="41">
        <v>193614</v>
      </c>
      <c r="I1159" s="41">
        <v>2681.52</v>
      </c>
      <c r="J1159" s="41">
        <v>2514.4675324675327</v>
      </c>
      <c r="K1159" s="42">
        <v>-6.2297677262324089E-2</v>
      </c>
    </row>
    <row r="1160" spans="1:11" x14ac:dyDescent="0.25">
      <c r="A1160" s="24" t="s">
        <v>7</v>
      </c>
      <c r="B1160" s="24" t="s">
        <v>6702</v>
      </c>
      <c r="C1160" s="25" t="s">
        <v>6703</v>
      </c>
      <c r="D1160" s="24" t="s">
        <v>21745</v>
      </c>
      <c r="E1160" s="40">
        <v>521</v>
      </c>
      <c r="F1160" s="41">
        <v>1238215</v>
      </c>
      <c r="G1160" s="40">
        <v>431</v>
      </c>
      <c r="H1160" s="41">
        <v>974209</v>
      </c>
      <c r="I1160" s="41">
        <v>2376.6122840690978</v>
      </c>
      <c r="J1160" s="41">
        <v>2260.3457076566124</v>
      </c>
      <c r="K1160" s="42">
        <v>-4.8921137533388705E-2</v>
      </c>
    </row>
    <row r="1161" spans="1:11" x14ac:dyDescent="0.25">
      <c r="A1161" s="24" t="s">
        <v>7</v>
      </c>
      <c r="B1161" s="24" t="s">
        <v>6705</v>
      </c>
      <c r="C1161" s="25" t="s">
        <v>6706</v>
      </c>
      <c r="D1161" s="24" t="s">
        <v>21746</v>
      </c>
      <c r="G1161" s="40">
        <v>6</v>
      </c>
      <c r="H1161" s="41">
        <v>32702</v>
      </c>
      <c r="J1161" s="41">
        <v>5450.333333333333</v>
      </c>
    </row>
    <row r="1162" spans="1:11" x14ac:dyDescent="0.25">
      <c r="A1162" s="24" t="s">
        <v>7</v>
      </c>
      <c r="B1162" s="24" t="s">
        <v>6711</v>
      </c>
      <c r="C1162" s="25" t="s">
        <v>6712</v>
      </c>
      <c r="D1162" s="24" t="s">
        <v>21747</v>
      </c>
      <c r="E1162" s="40">
        <v>782</v>
      </c>
      <c r="F1162" s="41">
        <v>2599962</v>
      </c>
      <c r="G1162" s="40">
        <v>756</v>
      </c>
      <c r="H1162" s="41">
        <v>2308070</v>
      </c>
      <c r="I1162" s="41">
        <v>3324.7595907928389</v>
      </c>
      <c r="J1162" s="41">
        <v>3053.0026455026455</v>
      </c>
      <c r="K1162" s="42">
        <v>-8.1737322013526084E-2</v>
      </c>
    </row>
    <row r="1163" spans="1:11" x14ac:dyDescent="0.25">
      <c r="A1163" s="24" t="s">
        <v>7</v>
      </c>
      <c r="B1163" s="24" t="s">
        <v>6714</v>
      </c>
      <c r="C1163" s="25" t="s">
        <v>6715</v>
      </c>
      <c r="D1163" s="24" t="s">
        <v>21748</v>
      </c>
      <c r="E1163" s="40">
        <v>70</v>
      </c>
      <c r="F1163" s="41">
        <v>70504</v>
      </c>
      <c r="G1163" s="40">
        <v>64</v>
      </c>
      <c r="H1163" s="41">
        <v>65400</v>
      </c>
      <c r="I1163" s="41">
        <v>1007.2</v>
      </c>
      <c r="J1163" s="41">
        <v>1021.875</v>
      </c>
      <c r="K1163" s="42">
        <v>1.4570095313741019E-2</v>
      </c>
    </row>
    <row r="1164" spans="1:11" x14ac:dyDescent="0.25">
      <c r="A1164" s="24" t="s">
        <v>7</v>
      </c>
      <c r="B1164" s="24" t="s">
        <v>6717</v>
      </c>
      <c r="C1164" s="25" t="s">
        <v>6718</v>
      </c>
      <c r="D1164" s="24" t="s">
        <v>21749</v>
      </c>
      <c r="E1164" s="40">
        <v>3</v>
      </c>
      <c r="F1164" s="41">
        <v>4431</v>
      </c>
      <c r="G1164" s="40">
        <v>5</v>
      </c>
      <c r="H1164" s="41">
        <v>8392</v>
      </c>
      <c r="I1164" s="41">
        <v>1477</v>
      </c>
      <c r="J1164" s="41">
        <v>1678.4</v>
      </c>
      <c r="K1164" s="42">
        <v>0.13635748138117812</v>
      </c>
    </row>
    <row r="1165" spans="1:11" x14ac:dyDescent="0.25">
      <c r="A1165" s="24" t="s">
        <v>7</v>
      </c>
      <c r="B1165" s="24" t="s">
        <v>6722</v>
      </c>
      <c r="C1165" s="25" t="s">
        <v>6723</v>
      </c>
      <c r="D1165" s="24" t="s">
        <v>21750</v>
      </c>
      <c r="E1165" s="40">
        <v>6</v>
      </c>
      <c r="F1165" s="41">
        <v>5020</v>
      </c>
      <c r="G1165" s="40">
        <v>10</v>
      </c>
      <c r="H1165" s="41">
        <v>12800</v>
      </c>
      <c r="I1165" s="41">
        <v>836.66666666666663</v>
      </c>
      <c r="J1165" s="41">
        <v>1280</v>
      </c>
      <c r="K1165" s="42">
        <v>0.52988047808764949</v>
      </c>
    </row>
    <row r="1166" spans="1:11" x14ac:dyDescent="0.25">
      <c r="A1166" s="24" t="s">
        <v>7</v>
      </c>
      <c r="B1166" s="24" t="s">
        <v>6725</v>
      </c>
      <c r="C1166" s="25" t="s">
        <v>6726</v>
      </c>
      <c r="D1166" s="24" t="s">
        <v>21750</v>
      </c>
      <c r="E1166" s="40">
        <v>31</v>
      </c>
      <c r="F1166" s="41">
        <v>26760</v>
      </c>
      <c r="G1166" s="40">
        <v>38</v>
      </c>
      <c r="H1166" s="41">
        <v>36640</v>
      </c>
      <c r="I1166" s="41">
        <v>863.22580645161293</v>
      </c>
      <c r="J1166" s="41">
        <v>964.21052631578948</v>
      </c>
      <c r="K1166" s="42">
        <v>0.11698528833293995</v>
      </c>
    </row>
    <row r="1167" spans="1:11" x14ac:dyDescent="0.25">
      <c r="A1167" s="24" t="s">
        <v>7</v>
      </c>
      <c r="B1167" s="24" t="s">
        <v>6728</v>
      </c>
      <c r="C1167" s="25" t="s">
        <v>6729</v>
      </c>
      <c r="D1167" s="24" t="s">
        <v>21751</v>
      </c>
      <c r="G1167" s="40">
        <v>3</v>
      </c>
      <c r="H1167" s="41">
        <v>5943</v>
      </c>
      <c r="J1167" s="41">
        <v>1981</v>
      </c>
    </row>
    <row r="1168" spans="1:11" x14ac:dyDescent="0.25">
      <c r="A1168" s="24" t="s">
        <v>7</v>
      </c>
      <c r="B1168" s="24" t="s">
        <v>6740</v>
      </c>
      <c r="C1168" s="25" t="s">
        <v>5075</v>
      </c>
      <c r="D1168" s="24" t="s">
        <v>21559</v>
      </c>
      <c r="E1168" s="40">
        <v>9</v>
      </c>
      <c r="F1168" s="41">
        <v>27519</v>
      </c>
      <c r="G1168" s="40">
        <v>6</v>
      </c>
      <c r="H1168" s="41">
        <v>18498</v>
      </c>
      <c r="I1168" s="41">
        <v>3057.6666666666665</v>
      </c>
      <c r="J1168" s="41">
        <v>3083</v>
      </c>
      <c r="K1168" s="42">
        <v>8.285184781423793E-3</v>
      </c>
    </row>
    <row r="1169" spans="1:11" x14ac:dyDescent="0.25">
      <c r="A1169" s="24" t="s">
        <v>7</v>
      </c>
      <c r="B1169" s="24" t="s">
        <v>6741</v>
      </c>
      <c r="C1169" s="25" t="s">
        <v>6742</v>
      </c>
      <c r="D1169" s="24" t="s">
        <v>21752</v>
      </c>
      <c r="E1169" s="40">
        <v>4</v>
      </c>
      <c r="F1169" s="41">
        <v>9502</v>
      </c>
      <c r="G1169" s="40">
        <v>3</v>
      </c>
      <c r="H1169" s="41">
        <v>7545</v>
      </c>
      <c r="I1169" s="41">
        <v>2375.5</v>
      </c>
      <c r="J1169" s="41">
        <v>2515</v>
      </c>
      <c r="K1169" s="42">
        <v>5.8724479057040625E-2</v>
      </c>
    </row>
    <row r="1170" spans="1:11" x14ac:dyDescent="0.25">
      <c r="A1170" s="24" t="s">
        <v>7</v>
      </c>
      <c r="B1170" s="24" t="s">
        <v>6751</v>
      </c>
      <c r="C1170" s="25" t="s">
        <v>6277</v>
      </c>
      <c r="G1170" s="40">
        <v>1</v>
      </c>
      <c r="H1170" s="41">
        <v>7863</v>
      </c>
      <c r="J1170" s="41">
        <v>7863</v>
      </c>
    </row>
    <row r="1171" spans="1:11" x14ac:dyDescent="0.25">
      <c r="A1171" s="24" t="s">
        <v>7</v>
      </c>
      <c r="B1171" s="24" t="s">
        <v>6754</v>
      </c>
      <c r="C1171" s="25" t="s">
        <v>5438</v>
      </c>
      <c r="G1171" s="40">
        <v>6</v>
      </c>
      <c r="H1171" s="41">
        <v>50250</v>
      </c>
      <c r="J1171" s="41">
        <v>8375</v>
      </c>
    </row>
    <row r="1172" spans="1:11" x14ac:dyDescent="0.25">
      <c r="A1172" s="24" t="s">
        <v>7</v>
      </c>
      <c r="B1172" s="24" t="s">
        <v>6773</v>
      </c>
      <c r="C1172" s="25" t="s">
        <v>169</v>
      </c>
      <c r="E1172" s="40">
        <v>3</v>
      </c>
      <c r="F1172" s="41">
        <v>26076</v>
      </c>
      <c r="G1172" s="40">
        <v>1</v>
      </c>
      <c r="H1172" s="41">
        <v>8692</v>
      </c>
      <c r="I1172" s="41">
        <v>8692</v>
      </c>
      <c r="J1172" s="41">
        <v>8692</v>
      </c>
      <c r="K1172" s="42">
        <v>0</v>
      </c>
    </row>
    <row r="1173" spans="1:11" x14ac:dyDescent="0.25">
      <c r="A1173" s="24" t="s">
        <v>7</v>
      </c>
      <c r="B1173" s="24" t="s">
        <v>6786</v>
      </c>
      <c r="C1173" s="25" t="s">
        <v>6787</v>
      </c>
      <c r="E1173" s="40">
        <v>1705</v>
      </c>
      <c r="F1173" s="41">
        <v>30422061</v>
      </c>
      <c r="G1173" s="40">
        <v>1642</v>
      </c>
      <c r="H1173" s="41">
        <v>25857268</v>
      </c>
      <c r="I1173" s="41">
        <v>17842.85102639296</v>
      </c>
      <c r="J1173" s="41">
        <v>15747.422655298416</v>
      </c>
      <c r="K1173" s="42">
        <v>-0.11743797938989727</v>
      </c>
    </row>
    <row r="1174" spans="1:11" x14ac:dyDescent="0.25">
      <c r="A1174" s="24" t="s">
        <v>7</v>
      </c>
      <c r="B1174" s="24" t="s">
        <v>6789</v>
      </c>
      <c r="C1174" s="25" t="s">
        <v>6790</v>
      </c>
      <c r="E1174" s="40">
        <v>3229</v>
      </c>
      <c r="F1174" s="41">
        <v>23004324</v>
      </c>
      <c r="G1174" s="40">
        <v>597</v>
      </c>
      <c r="H1174" s="41">
        <v>3388179</v>
      </c>
      <c r="I1174" s="41">
        <v>7124.2873954784764</v>
      </c>
      <c r="J1174" s="41">
        <v>5675.3417085427136</v>
      </c>
      <c r="K1174" s="42">
        <v>-0.20338113926388698</v>
      </c>
    </row>
    <row r="1175" spans="1:11" x14ac:dyDescent="0.25">
      <c r="A1175" s="24" t="s">
        <v>7</v>
      </c>
      <c r="B1175" s="24" t="s">
        <v>6792</v>
      </c>
      <c r="C1175" s="25" t="s">
        <v>6793</v>
      </c>
      <c r="E1175" s="40">
        <v>46</v>
      </c>
      <c r="F1175" s="41">
        <v>718256</v>
      </c>
      <c r="G1175" s="40">
        <v>64</v>
      </c>
      <c r="H1175" s="41">
        <v>942469</v>
      </c>
      <c r="I1175" s="41">
        <v>15614.260869565218</v>
      </c>
      <c r="J1175" s="41">
        <v>14726.078125</v>
      </c>
      <c r="K1175" s="42">
        <v>-5.6882791442048553E-2</v>
      </c>
    </row>
    <row r="1176" spans="1:11" x14ac:dyDescent="0.25">
      <c r="A1176" s="24" t="s">
        <v>7</v>
      </c>
      <c r="B1176" s="24" t="s">
        <v>6795</v>
      </c>
      <c r="C1176" s="25" t="s">
        <v>6796</v>
      </c>
      <c r="E1176" s="40">
        <v>23</v>
      </c>
      <c r="F1176" s="41">
        <v>166978</v>
      </c>
      <c r="G1176" s="40">
        <v>5</v>
      </c>
      <c r="H1176" s="41">
        <v>37885</v>
      </c>
      <c r="I1176" s="41">
        <v>7259.913043478261</v>
      </c>
      <c r="J1176" s="41">
        <v>7577</v>
      </c>
      <c r="K1176" s="42">
        <v>4.367641246152186E-2</v>
      </c>
    </row>
    <row r="1177" spans="1:11" x14ac:dyDescent="0.25">
      <c r="A1177" s="24" t="s">
        <v>7</v>
      </c>
      <c r="B1177" s="24" t="s">
        <v>6798</v>
      </c>
      <c r="C1177" s="25" t="s">
        <v>6799</v>
      </c>
      <c r="E1177" s="40">
        <v>1310</v>
      </c>
      <c r="F1177" s="41">
        <v>3661164</v>
      </c>
      <c r="G1177" s="40">
        <v>1385</v>
      </c>
      <c r="H1177" s="41">
        <v>3585332</v>
      </c>
      <c r="I1177" s="41">
        <v>2794.781679389313</v>
      </c>
      <c r="J1177" s="41">
        <v>2588.6873646209388</v>
      </c>
      <c r="K1177" s="42">
        <v>-7.3742545361685591E-2</v>
      </c>
    </row>
    <row r="1178" spans="1:11" x14ac:dyDescent="0.25">
      <c r="A1178" s="24" t="s">
        <v>7</v>
      </c>
      <c r="B1178" s="24" t="s">
        <v>6800</v>
      </c>
      <c r="C1178" s="25" t="s">
        <v>6801</v>
      </c>
      <c r="E1178" s="40">
        <v>450</v>
      </c>
      <c r="F1178" s="41">
        <v>599890</v>
      </c>
      <c r="G1178" s="40">
        <v>505</v>
      </c>
      <c r="H1178" s="41">
        <v>632441</v>
      </c>
      <c r="I1178" s="41">
        <v>1333.088888888889</v>
      </c>
      <c r="J1178" s="41">
        <v>1252.3584158415842</v>
      </c>
      <c r="K1178" s="42">
        <v>-6.0558957260976376E-2</v>
      </c>
    </row>
    <row r="1179" spans="1:11" x14ac:dyDescent="0.25">
      <c r="A1179" s="24" t="s">
        <v>7</v>
      </c>
      <c r="B1179" s="24" t="s">
        <v>6803</v>
      </c>
      <c r="C1179" s="25" t="s">
        <v>5285</v>
      </c>
      <c r="D1179" s="24" t="s">
        <v>21561</v>
      </c>
      <c r="E1179" s="40">
        <v>51</v>
      </c>
      <c r="F1179" s="41">
        <v>40392</v>
      </c>
      <c r="G1179" s="40">
        <v>46</v>
      </c>
      <c r="H1179" s="41">
        <v>33422</v>
      </c>
      <c r="I1179" s="41">
        <v>792</v>
      </c>
      <c r="J1179" s="41">
        <v>726.56521739130437</v>
      </c>
      <c r="K1179" s="42">
        <v>-8.2619675010979332E-2</v>
      </c>
    </row>
    <row r="1180" spans="1:11" x14ac:dyDescent="0.25">
      <c r="A1180" s="24" t="s">
        <v>7</v>
      </c>
      <c r="B1180" s="24" t="s">
        <v>6806</v>
      </c>
      <c r="C1180" s="25" t="s">
        <v>6807</v>
      </c>
      <c r="D1180" s="24" t="s">
        <v>21753</v>
      </c>
      <c r="E1180" s="40">
        <v>105</v>
      </c>
      <c r="F1180" s="41">
        <v>83220</v>
      </c>
      <c r="G1180" s="40">
        <v>81</v>
      </c>
      <c r="H1180" s="41">
        <v>63462</v>
      </c>
      <c r="I1180" s="41">
        <v>792.57142857142856</v>
      </c>
      <c r="J1180" s="41">
        <v>783.48148148148152</v>
      </c>
      <c r="K1180" s="42">
        <v>-1.1468931079601518E-2</v>
      </c>
    </row>
    <row r="1181" spans="1:11" x14ac:dyDescent="0.25">
      <c r="A1181" s="24" t="s">
        <v>7</v>
      </c>
      <c r="B1181" s="24" t="s">
        <v>6815</v>
      </c>
      <c r="C1181" s="25" t="s">
        <v>6816</v>
      </c>
      <c r="D1181" s="24" t="s">
        <v>21754</v>
      </c>
      <c r="E1181" s="40">
        <v>9</v>
      </c>
      <c r="F1181" s="41">
        <v>5742</v>
      </c>
      <c r="G1181" s="40">
        <v>15</v>
      </c>
      <c r="H1181" s="41">
        <v>9810</v>
      </c>
      <c r="I1181" s="41">
        <v>638</v>
      </c>
      <c r="J1181" s="41">
        <v>654</v>
      </c>
      <c r="K1181" s="42">
        <v>2.5078369905956112E-2</v>
      </c>
    </row>
    <row r="1182" spans="1:11" x14ac:dyDescent="0.25">
      <c r="A1182" s="24" t="s">
        <v>7</v>
      </c>
      <c r="B1182" s="24" t="s">
        <v>6818</v>
      </c>
      <c r="C1182" s="25" t="s">
        <v>6819</v>
      </c>
      <c r="D1182" s="24" t="s">
        <v>21755</v>
      </c>
      <c r="E1182" s="40">
        <v>82</v>
      </c>
      <c r="F1182" s="41">
        <v>79206</v>
      </c>
      <c r="G1182" s="40">
        <v>73</v>
      </c>
      <c r="H1182" s="41">
        <v>65892</v>
      </c>
      <c r="I1182" s="41">
        <v>965.92682926829264</v>
      </c>
      <c r="J1182" s="41">
        <v>902.63013698630141</v>
      </c>
      <c r="K1182" s="42">
        <v>-6.5529489775058472E-2</v>
      </c>
    </row>
    <row r="1183" spans="1:11" x14ac:dyDescent="0.25">
      <c r="A1183" s="24" t="s">
        <v>7</v>
      </c>
      <c r="B1183" s="24" t="s">
        <v>6821</v>
      </c>
      <c r="C1183" s="25" t="s">
        <v>6822</v>
      </c>
      <c r="D1183" s="24" t="s">
        <v>21756</v>
      </c>
      <c r="E1183" s="40">
        <v>39</v>
      </c>
      <c r="F1183" s="41">
        <v>184476</v>
      </c>
      <c r="G1183" s="40">
        <v>24</v>
      </c>
      <c r="H1183" s="41">
        <v>116856</v>
      </c>
      <c r="I1183" s="41">
        <v>4730.1538461538457</v>
      </c>
      <c r="J1183" s="41">
        <v>4869</v>
      </c>
      <c r="K1183" s="42">
        <v>2.9353411825928669E-2</v>
      </c>
    </row>
    <row r="1184" spans="1:11" x14ac:dyDescent="0.25">
      <c r="A1184" s="24" t="s">
        <v>7</v>
      </c>
      <c r="B1184" s="24" t="s">
        <v>6824</v>
      </c>
      <c r="C1184" s="25" t="s">
        <v>6825</v>
      </c>
      <c r="D1184" s="24" t="s">
        <v>21757</v>
      </c>
      <c r="G1184" s="40">
        <v>10</v>
      </c>
      <c r="H1184" s="41">
        <v>16376</v>
      </c>
      <c r="J1184" s="41">
        <v>1637.6</v>
      </c>
    </row>
    <row r="1185" spans="1:11" x14ac:dyDescent="0.25">
      <c r="A1185" s="24" t="s">
        <v>7</v>
      </c>
      <c r="B1185" s="24" t="s">
        <v>6827</v>
      </c>
      <c r="C1185" s="25" t="s">
        <v>6828</v>
      </c>
      <c r="D1185" s="24" t="s">
        <v>21758</v>
      </c>
      <c r="E1185" s="40">
        <v>1009</v>
      </c>
      <c r="F1185" s="41">
        <v>369977</v>
      </c>
      <c r="G1185" s="40">
        <v>982</v>
      </c>
      <c r="H1185" s="41">
        <v>370214</v>
      </c>
      <c r="I1185" s="41">
        <v>366.67690782953417</v>
      </c>
      <c r="J1185" s="41">
        <v>377</v>
      </c>
      <c r="K1185" s="42">
        <v>2.8153101409006561E-2</v>
      </c>
    </row>
    <row r="1186" spans="1:11" x14ac:dyDescent="0.25">
      <c r="A1186" s="24" t="s">
        <v>7</v>
      </c>
      <c r="B1186" s="24" t="s">
        <v>6839</v>
      </c>
      <c r="C1186" s="25" t="s">
        <v>6840</v>
      </c>
      <c r="D1186" s="24" t="s">
        <v>21759</v>
      </c>
      <c r="E1186" s="40">
        <v>84</v>
      </c>
      <c r="F1186" s="41">
        <v>22192</v>
      </c>
      <c r="G1186" s="40">
        <v>201</v>
      </c>
      <c r="H1186" s="41">
        <v>53868</v>
      </c>
      <c r="I1186" s="41">
        <v>264.1904761904762</v>
      </c>
      <c r="J1186" s="41">
        <v>268</v>
      </c>
      <c r="K1186" s="42">
        <v>1.4419610670511845E-2</v>
      </c>
    </row>
    <row r="1187" spans="1:11" x14ac:dyDescent="0.25">
      <c r="A1187" s="24" t="s">
        <v>7</v>
      </c>
      <c r="B1187" s="24" t="s">
        <v>6842</v>
      </c>
      <c r="C1187" s="25" t="s">
        <v>6843</v>
      </c>
      <c r="D1187" s="24" t="s">
        <v>21760</v>
      </c>
      <c r="E1187" s="40">
        <v>380</v>
      </c>
      <c r="F1187" s="41">
        <v>195775</v>
      </c>
      <c r="G1187" s="40">
        <v>359</v>
      </c>
      <c r="H1187" s="41">
        <v>166989</v>
      </c>
      <c r="I1187" s="41">
        <v>515.1973684210526</v>
      </c>
      <c r="J1187" s="41">
        <v>465.15041782729804</v>
      </c>
      <c r="K1187" s="42">
        <v>-9.7141316437883971E-2</v>
      </c>
    </row>
    <row r="1188" spans="1:11" x14ac:dyDescent="0.25">
      <c r="A1188" s="24" t="s">
        <v>7</v>
      </c>
      <c r="B1188" s="24" t="s">
        <v>6845</v>
      </c>
      <c r="C1188" s="25" t="s">
        <v>6846</v>
      </c>
      <c r="D1188" s="24" t="s">
        <v>21761</v>
      </c>
      <c r="E1188" s="40">
        <v>320</v>
      </c>
      <c r="F1188" s="41">
        <v>64630</v>
      </c>
      <c r="G1188" s="40">
        <v>302</v>
      </c>
      <c r="H1188" s="41">
        <v>62212</v>
      </c>
      <c r="I1188" s="41">
        <v>201.96875</v>
      </c>
      <c r="J1188" s="41">
        <v>206</v>
      </c>
      <c r="K1188" s="42">
        <v>1.9959771004177628E-2</v>
      </c>
    </row>
    <row r="1189" spans="1:11" x14ac:dyDescent="0.25">
      <c r="A1189" s="24" t="s">
        <v>7</v>
      </c>
      <c r="B1189" s="24" t="s">
        <v>6848</v>
      </c>
      <c r="C1189" s="25" t="s">
        <v>6849</v>
      </c>
      <c r="D1189" s="24" t="s">
        <v>21762</v>
      </c>
      <c r="E1189" s="40">
        <v>130</v>
      </c>
      <c r="F1189" s="41">
        <v>67870</v>
      </c>
      <c r="G1189" s="40">
        <v>51</v>
      </c>
      <c r="H1189" s="41">
        <v>24270</v>
      </c>
      <c r="I1189" s="41">
        <v>522.07692307692309</v>
      </c>
      <c r="J1189" s="41">
        <v>475.88235294117646</v>
      </c>
      <c r="K1189" s="42">
        <v>-8.8482306138898806E-2</v>
      </c>
    </row>
    <row r="1190" spans="1:11" x14ac:dyDescent="0.25">
      <c r="A1190" s="24" t="s">
        <v>7</v>
      </c>
      <c r="B1190" s="24" t="s">
        <v>6851</v>
      </c>
      <c r="C1190" s="25" t="s">
        <v>6852</v>
      </c>
      <c r="D1190" s="24" t="s">
        <v>21763</v>
      </c>
      <c r="E1190" s="40">
        <v>20</v>
      </c>
      <c r="F1190" s="41">
        <v>15369</v>
      </c>
      <c r="G1190" s="40">
        <v>21</v>
      </c>
      <c r="H1190" s="41">
        <v>16695</v>
      </c>
      <c r="I1190" s="41">
        <v>768.45</v>
      </c>
      <c r="J1190" s="41">
        <v>795</v>
      </c>
      <c r="K1190" s="42">
        <v>3.4550068319344075E-2</v>
      </c>
    </row>
    <row r="1191" spans="1:11" x14ac:dyDescent="0.25">
      <c r="A1191" s="24" t="s">
        <v>7</v>
      </c>
      <c r="B1191" s="24" t="s">
        <v>6853</v>
      </c>
      <c r="C1191" s="25" t="s">
        <v>6854</v>
      </c>
      <c r="D1191" s="24" t="s">
        <v>21764</v>
      </c>
      <c r="G1191" s="40">
        <v>19</v>
      </c>
      <c r="H1191" s="41">
        <v>19228</v>
      </c>
      <c r="J1191" s="41">
        <v>1012</v>
      </c>
    </row>
    <row r="1192" spans="1:11" x14ac:dyDescent="0.25">
      <c r="A1192" s="24" t="s">
        <v>7</v>
      </c>
      <c r="B1192" s="24" t="s">
        <v>6856</v>
      </c>
      <c r="C1192" s="25" t="s">
        <v>6857</v>
      </c>
      <c r="D1192" s="24" t="s">
        <v>21765</v>
      </c>
      <c r="G1192" s="40">
        <v>136</v>
      </c>
      <c r="H1192" s="41">
        <v>14280</v>
      </c>
      <c r="J1192" s="41">
        <v>105</v>
      </c>
    </row>
    <row r="1193" spans="1:11" x14ac:dyDescent="0.25">
      <c r="A1193" s="24" t="s">
        <v>7</v>
      </c>
      <c r="B1193" s="24" t="s">
        <v>6868</v>
      </c>
      <c r="C1193" s="25" t="s">
        <v>6869</v>
      </c>
      <c r="D1193" s="24" t="s">
        <v>21766</v>
      </c>
      <c r="G1193" s="40">
        <v>1</v>
      </c>
      <c r="H1193" s="41">
        <v>7158</v>
      </c>
      <c r="J1193" s="41">
        <v>7158</v>
      </c>
    </row>
    <row r="1194" spans="1:11" x14ac:dyDescent="0.25">
      <c r="A1194" s="24" t="s">
        <v>7</v>
      </c>
      <c r="B1194" s="24" t="s">
        <v>6871</v>
      </c>
      <c r="C1194" s="25" t="s">
        <v>6872</v>
      </c>
      <c r="D1194" s="24" t="s">
        <v>21767</v>
      </c>
      <c r="E1194" s="40">
        <v>803</v>
      </c>
      <c r="F1194" s="41">
        <v>8638788</v>
      </c>
      <c r="G1194" s="40">
        <v>770</v>
      </c>
      <c r="H1194" s="41">
        <v>7629060</v>
      </c>
      <c r="I1194" s="41">
        <v>10758.141967621419</v>
      </c>
      <c r="J1194" s="41">
        <v>9907.8701298701308</v>
      </c>
      <c r="K1194" s="42">
        <v>-7.903519402424096E-2</v>
      </c>
    </row>
    <row r="1195" spans="1:11" x14ac:dyDescent="0.25">
      <c r="A1195" s="24" t="s">
        <v>7</v>
      </c>
      <c r="B1195" s="24" t="s">
        <v>6878</v>
      </c>
      <c r="C1195" s="25" t="s">
        <v>6879</v>
      </c>
      <c r="D1195" s="24" t="s">
        <v>21768</v>
      </c>
      <c r="E1195" s="40">
        <v>27</v>
      </c>
      <c r="F1195" s="41">
        <v>70930</v>
      </c>
      <c r="G1195" s="40">
        <v>27</v>
      </c>
      <c r="H1195" s="41">
        <v>77158</v>
      </c>
      <c r="I1195" s="41">
        <v>2627.037037037037</v>
      </c>
      <c r="J1195" s="41">
        <v>2857.7037037037039</v>
      </c>
      <c r="K1195" s="42">
        <v>8.7804878048780607E-2</v>
      </c>
    </row>
    <row r="1196" spans="1:11" x14ac:dyDescent="0.25">
      <c r="A1196" s="24" t="s">
        <v>7</v>
      </c>
      <c r="B1196" s="24" t="s">
        <v>6884</v>
      </c>
      <c r="C1196" s="25" t="s">
        <v>6885</v>
      </c>
      <c r="D1196" s="24" t="s">
        <v>21769</v>
      </c>
      <c r="E1196" s="40">
        <v>1</v>
      </c>
      <c r="F1196" s="41">
        <v>4790</v>
      </c>
      <c r="G1196" s="40">
        <v>5</v>
      </c>
      <c r="H1196" s="41">
        <v>23950</v>
      </c>
      <c r="I1196" s="41">
        <v>4790</v>
      </c>
      <c r="J1196" s="41">
        <v>4790</v>
      </c>
      <c r="K1196" s="42">
        <v>0</v>
      </c>
    </row>
    <row r="1197" spans="1:11" x14ac:dyDescent="0.25">
      <c r="A1197" s="24" t="s">
        <v>7</v>
      </c>
      <c r="B1197" s="24" t="s">
        <v>6887</v>
      </c>
      <c r="C1197" s="25" t="s">
        <v>6888</v>
      </c>
      <c r="D1197" s="24" t="s">
        <v>21770</v>
      </c>
      <c r="G1197" s="40">
        <v>10</v>
      </c>
      <c r="H1197" s="41">
        <v>48726</v>
      </c>
      <c r="J1197" s="41">
        <v>4872.6000000000004</v>
      </c>
    </row>
    <row r="1198" spans="1:11" x14ac:dyDescent="0.25">
      <c r="A1198" s="24" t="s">
        <v>7</v>
      </c>
      <c r="B1198" s="24" t="s">
        <v>6893</v>
      </c>
      <c r="C1198" s="25" t="s">
        <v>6894</v>
      </c>
      <c r="D1198" s="24" t="s">
        <v>21771</v>
      </c>
      <c r="E1198" s="40">
        <v>62</v>
      </c>
      <c r="F1198" s="41">
        <v>255402</v>
      </c>
      <c r="G1198" s="40">
        <v>24</v>
      </c>
      <c r="H1198" s="41">
        <v>107346</v>
      </c>
      <c r="I1198" s="41">
        <v>4119.3870967741932</v>
      </c>
      <c r="J1198" s="41">
        <v>4472.75</v>
      </c>
      <c r="K1198" s="42">
        <v>8.5780455908724379E-2</v>
      </c>
    </row>
    <row r="1199" spans="1:11" x14ac:dyDescent="0.25">
      <c r="A1199" s="24" t="s">
        <v>7</v>
      </c>
      <c r="B1199" s="24" t="s">
        <v>6899</v>
      </c>
      <c r="C1199" s="25" t="s">
        <v>6900</v>
      </c>
      <c r="D1199" s="24" t="s">
        <v>21772</v>
      </c>
      <c r="E1199" s="40">
        <v>319</v>
      </c>
      <c r="F1199" s="41">
        <v>1543036</v>
      </c>
      <c r="G1199" s="40">
        <v>338</v>
      </c>
      <c r="H1199" s="41">
        <v>1883483</v>
      </c>
      <c r="I1199" s="41">
        <v>4837.1034482758623</v>
      </c>
      <c r="J1199" s="41">
        <v>5572.4349112426034</v>
      </c>
      <c r="K1199" s="42">
        <v>0.15201896565367912</v>
      </c>
    </row>
    <row r="1200" spans="1:11" x14ac:dyDescent="0.25">
      <c r="A1200" s="24" t="s">
        <v>7</v>
      </c>
      <c r="B1200" s="24" t="s">
        <v>6902</v>
      </c>
      <c r="C1200" s="25" t="s">
        <v>6903</v>
      </c>
      <c r="D1200" s="24" t="s">
        <v>21773</v>
      </c>
      <c r="E1200" s="40">
        <v>62</v>
      </c>
      <c r="F1200" s="41">
        <v>300723</v>
      </c>
      <c r="G1200" s="40">
        <v>24</v>
      </c>
      <c r="H1200" s="41">
        <v>142284</v>
      </c>
      <c r="I1200" s="41">
        <v>4850.3709677419356</v>
      </c>
      <c r="J1200" s="41">
        <v>5928.5</v>
      </c>
      <c r="K1200" s="42">
        <v>0.2222776442107853</v>
      </c>
    </row>
    <row r="1201" spans="1:11" x14ac:dyDescent="0.25">
      <c r="A1201" s="24" t="s">
        <v>7</v>
      </c>
      <c r="B1201" s="24" t="s">
        <v>6910</v>
      </c>
      <c r="C1201" s="25" t="s">
        <v>6911</v>
      </c>
      <c r="D1201" s="24" t="s">
        <v>21774</v>
      </c>
      <c r="E1201" s="40">
        <v>69</v>
      </c>
      <c r="F1201" s="41">
        <v>361583</v>
      </c>
      <c r="G1201" s="40">
        <v>27</v>
      </c>
      <c r="H1201" s="41">
        <v>135663</v>
      </c>
      <c r="I1201" s="41">
        <v>5240.333333333333</v>
      </c>
      <c r="J1201" s="41">
        <v>5024.5555555555557</v>
      </c>
      <c r="K1201" s="42">
        <v>-4.1176345864342739E-2</v>
      </c>
    </row>
    <row r="1202" spans="1:11" x14ac:dyDescent="0.25">
      <c r="A1202" s="24" t="s">
        <v>7</v>
      </c>
      <c r="B1202" s="24" t="s">
        <v>6916</v>
      </c>
      <c r="C1202" s="25" t="s">
        <v>6917</v>
      </c>
      <c r="D1202" s="24" t="s">
        <v>21775</v>
      </c>
      <c r="E1202" s="40">
        <v>12</v>
      </c>
      <c r="F1202" s="41">
        <v>40672</v>
      </c>
      <c r="G1202" s="40">
        <v>17</v>
      </c>
      <c r="H1202" s="41">
        <v>58295</v>
      </c>
      <c r="I1202" s="41">
        <v>3389.3333333333335</v>
      </c>
      <c r="J1202" s="41">
        <v>3429.1176470588234</v>
      </c>
      <c r="K1202" s="42">
        <v>1.1738094136159501E-2</v>
      </c>
    </row>
    <row r="1203" spans="1:11" x14ac:dyDescent="0.25">
      <c r="A1203" s="24" t="s">
        <v>7</v>
      </c>
      <c r="B1203" s="24" t="s">
        <v>6922</v>
      </c>
      <c r="C1203" s="25" t="s">
        <v>6923</v>
      </c>
      <c r="D1203" s="24" t="s">
        <v>21776</v>
      </c>
      <c r="E1203" s="40">
        <v>16</v>
      </c>
      <c r="F1203" s="41">
        <v>55346</v>
      </c>
      <c r="G1203" s="40">
        <v>7</v>
      </c>
      <c r="H1203" s="41">
        <v>24787</v>
      </c>
      <c r="I1203" s="41">
        <v>3459.125</v>
      </c>
      <c r="J1203" s="41">
        <v>3541</v>
      </c>
      <c r="K1203" s="42">
        <v>2.3669280526144618E-2</v>
      </c>
    </row>
    <row r="1204" spans="1:11" x14ac:dyDescent="0.25">
      <c r="A1204" s="24" t="s">
        <v>7</v>
      </c>
      <c r="B1204" s="24" t="s">
        <v>6925</v>
      </c>
      <c r="C1204" s="25" t="s">
        <v>6926</v>
      </c>
      <c r="D1204" s="24" t="s">
        <v>21777</v>
      </c>
      <c r="E1204" s="40">
        <v>63</v>
      </c>
      <c r="F1204" s="41">
        <v>304404</v>
      </c>
      <c r="G1204" s="40">
        <v>59</v>
      </c>
      <c r="H1204" s="41">
        <v>286670</v>
      </c>
      <c r="I1204" s="41">
        <v>4831.8095238095239</v>
      </c>
      <c r="J1204" s="41">
        <v>4858.8135593220341</v>
      </c>
      <c r="K1204" s="42">
        <v>5.5888038175849943E-3</v>
      </c>
    </row>
    <row r="1205" spans="1:11" x14ac:dyDescent="0.25">
      <c r="A1205" s="24" t="s">
        <v>7</v>
      </c>
      <c r="B1205" s="24" t="s">
        <v>6928</v>
      </c>
      <c r="C1205" s="25" t="s">
        <v>6929</v>
      </c>
      <c r="D1205" s="24" t="s">
        <v>21778</v>
      </c>
      <c r="E1205" s="40">
        <v>3</v>
      </c>
      <c r="F1205" s="41">
        <v>19200</v>
      </c>
      <c r="G1205" s="40">
        <v>9</v>
      </c>
      <c r="H1205" s="41">
        <v>54116</v>
      </c>
      <c r="I1205" s="41">
        <v>6400</v>
      </c>
      <c r="J1205" s="41">
        <v>6012.8888888888887</v>
      </c>
      <c r="K1205" s="42">
        <v>-6.0486111111111143E-2</v>
      </c>
    </row>
    <row r="1206" spans="1:11" x14ac:dyDescent="0.25">
      <c r="A1206" s="24" t="s">
        <v>7</v>
      </c>
      <c r="B1206" s="24" t="s">
        <v>6931</v>
      </c>
      <c r="C1206" s="25" t="s">
        <v>6932</v>
      </c>
      <c r="D1206" s="24" t="s">
        <v>21779</v>
      </c>
      <c r="G1206" s="40">
        <v>3</v>
      </c>
      <c r="H1206" s="41">
        <v>8055</v>
      </c>
      <c r="J1206" s="41">
        <v>2685</v>
      </c>
    </row>
    <row r="1207" spans="1:11" x14ac:dyDescent="0.25">
      <c r="A1207" s="24" t="s">
        <v>7</v>
      </c>
      <c r="B1207" s="24" t="s">
        <v>6948</v>
      </c>
      <c r="C1207" s="25" t="s">
        <v>6949</v>
      </c>
      <c r="D1207" s="24" t="s">
        <v>21780</v>
      </c>
      <c r="E1207" s="40">
        <v>320</v>
      </c>
      <c r="F1207" s="41">
        <v>1376845</v>
      </c>
      <c r="G1207" s="40">
        <v>295</v>
      </c>
      <c r="H1207" s="41">
        <v>1294981</v>
      </c>
      <c r="I1207" s="41">
        <v>4302.640625</v>
      </c>
      <c r="J1207" s="41">
        <v>4389.7661016949151</v>
      </c>
      <c r="K1207" s="42">
        <v>2.024930369240751E-2</v>
      </c>
    </row>
    <row r="1208" spans="1:11" x14ac:dyDescent="0.25">
      <c r="A1208" s="24" t="s">
        <v>7</v>
      </c>
      <c r="B1208" s="24" t="s">
        <v>6951</v>
      </c>
      <c r="C1208" s="25" t="s">
        <v>6952</v>
      </c>
      <c r="D1208" s="24" t="s">
        <v>21781</v>
      </c>
      <c r="E1208" s="40">
        <v>5</v>
      </c>
      <c r="F1208" s="41">
        <v>14645</v>
      </c>
      <c r="G1208" s="40">
        <v>10</v>
      </c>
      <c r="H1208" s="41">
        <v>29730</v>
      </c>
      <c r="I1208" s="41">
        <v>2929</v>
      </c>
      <c r="J1208" s="41">
        <v>2973</v>
      </c>
      <c r="K1208" s="42">
        <v>1.5022191874359849E-2</v>
      </c>
    </row>
    <row r="1209" spans="1:11" x14ac:dyDescent="0.25">
      <c r="A1209" s="24" t="s">
        <v>7</v>
      </c>
      <c r="B1209" s="24" t="s">
        <v>6954</v>
      </c>
      <c r="C1209" s="25" t="s">
        <v>6955</v>
      </c>
      <c r="D1209" s="24" t="s">
        <v>21782</v>
      </c>
      <c r="G1209" s="40">
        <v>1</v>
      </c>
      <c r="H1209" s="41">
        <v>2197</v>
      </c>
      <c r="J1209" s="41">
        <v>2197</v>
      </c>
    </row>
    <row r="1210" spans="1:11" x14ac:dyDescent="0.25">
      <c r="A1210" s="24" t="s">
        <v>7</v>
      </c>
      <c r="B1210" s="24" t="s">
        <v>6960</v>
      </c>
      <c r="C1210" s="25" t="s">
        <v>6961</v>
      </c>
      <c r="D1210" s="24" t="s">
        <v>21783</v>
      </c>
      <c r="E1210" s="40">
        <v>40</v>
      </c>
      <c r="F1210" s="41">
        <v>144555</v>
      </c>
      <c r="G1210" s="40">
        <v>25</v>
      </c>
      <c r="H1210" s="41">
        <v>91545</v>
      </c>
      <c r="I1210" s="41">
        <v>3613.875</v>
      </c>
      <c r="J1210" s="41">
        <v>3661.8</v>
      </c>
      <c r="K1210" s="42">
        <v>1.3261388398879369E-2</v>
      </c>
    </row>
    <row r="1211" spans="1:11" x14ac:dyDescent="0.25">
      <c r="A1211" s="24" t="s">
        <v>7</v>
      </c>
      <c r="B1211" s="24" t="s">
        <v>6965</v>
      </c>
      <c r="C1211" s="25" t="s">
        <v>6966</v>
      </c>
      <c r="D1211" s="24" t="s">
        <v>21784</v>
      </c>
      <c r="G1211" s="40">
        <v>7</v>
      </c>
      <c r="H1211" s="41">
        <v>51961</v>
      </c>
      <c r="J1211" s="41">
        <v>7423</v>
      </c>
    </row>
    <row r="1212" spans="1:11" x14ac:dyDescent="0.25">
      <c r="A1212" s="24" t="s">
        <v>7</v>
      </c>
      <c r="B1212" s="24" t="s">
        <v>6968</v>
      </c>
      <c r="C1212" s="25" t="s">
        <v>6969</v>
      </c>
      <c r="D1212" s="24" t="s">
        <v>21785</v>
      </c>
      <c r="G1212" s="40">
        <v>7</v>
      </c>
      <c r="H1212" s="41">
        <v>42924</v>
      </c>
      <c r="J1212" s="41">
        <v>6132</v>
      </c>
    </row>
    <row r="1213" spans="1:11" x14ac:dyDescent="0.25">
      <c r="A1213" s="24" t="s">
        <v>7</v>
      </c>
      <c r="B1213" s="24" t="s">
        <v>6971</v>
      </c>
      <c r="C1213" s="25" t="s">
        <v>6972</v>
      </c>
      <c r="D1213" s="24" t="s">
        <v>21786</v>
      </c>
      <c r="G1213" s="40">
        <v>5</v>
      </c>
      <c r="H1213" s="41">
        <v>21894</v>
      </c>
      <c r="J1213" s="41">
        <v>4378.8</v>
      </c>
    </row>
    <row r="1214" spans="1:11" x14ac:dyDescent="0.25">
      <c r="A1214" s="24" t="s">
        <v>7</v>
      </c>
      <c r="B1214" s="24" t="s">
        <v>6977</v>
      </c>
      <c r="C1214" s="25" t="s">
        <v>6978</v>
      </c>
      <c r="D1214" s="24" t="s">
        <v>21787</v>
      </c>
      <c r="E1214" s="40">
        <v>9</v>
      </c>
      <c r="F1214" s="41">
        <v>83748</v>
      </c>
      <c r="G1214" s="40">
        <v>17</v>
      </c>
      <c r="H1214" s="41">
        <v>153021</v>
      </c>
      <c r="I1214" s="41">
        <v>9305.3333333333339</v>
      </c>
      <c r="J1214" s="41">
        <v>9001.2352941176468</v>
      </c>
      <c r="K1214" s="42">
        <v>-3.2679972691182876E-2</v>
      </c>
    </row>
    <row r="1215" spans="1:11" x14ac:dyDescent="0.25">
      <c r="A1215" s="24" t="s">
        <v>7</v>
      </c>
      <c r="B1215" s="24" t="s">
        <v>6980</v>
      </c>
      <c r="C1215" s="25" t="s">
        <v>6981</v>
      </c>
      <c r="D1215" s="24" t="s">
        <v>21788</v>
      </c>
      <c r="G1215" s="40">
        <v>6</v>
      </c>
      <c r="H1215" s="41">
        <v>25530</v>
      </c>
      <c r="J1215" s="41">
        <v>4255</v>
      </c>
    </row>
    <row r="1216" spans="1:11" x14ac:dyDescent="0.25">
      <c r="A1216" s="24" t="s">
        <v>7</v>
      </c>
      <c r="B1216" s="24" t="s">
        <v>6983</v>
      </c>
      <c r="C1216" s="25" t="s">
        <v>6984</v>
      </c>
      <c r="D1216" s="24" t="s">
        <v>21789</v>
      </c>
      <c r="E1216" s="40">
        <v>39</v>
      </c>
      <c r="F1216" s="41">
        <v>690162</v>
      </c>
      <c r="G1216" s="40">
        <v>38</v>
      </c>
      <c r="H1216" s="41">
        <v>645900</v>
      </c>
      <c r="I1216" s="41">
        <v>17696.461538461539</v>
      </c>
      <c r="J1216" s="41">
        <v>16997.36842105263</v>
      </c>
      <c r="K1216" s="42">
        <v>-3.9504683797351135E-2</v>
      </c>
    </row>
    <row r="1217" spans="1:11" x14ac:dyDescent="0.25">
      <c r="A1217" s="24" t="s">
        <v>7</v>
      </c>
      <c r="B1217" s="24" t="s">
        <v>6986</v>
      </c>
      <c r="C1217" s="25" t="s">
        <v>6987</v>
      </c>
      <c r="D1217" s="24" t="s">
        <v>21790</v>
      </c>
      <c r="E1217" s="40">
        <v>52</v>
      </c>
      <c r="F1217" s="41">
        <v>498141</v>
      </c>
      <c r="G1217" s="40">
        <v>50</v>
      </c>
      <c r="H1217" s="41">
        <v>447878</v>
      </c>
      <c r="I1217" s="41">
        <v>9579.6346153846152</v>
      </c>
      <c r="J1217" s="41">
        <v>8957.56</v>
      </c>
      <c r="K1217" s="42">
        <v>-6.4937196496574298E-2</v>
      </c>
    </row>
    <row r="1218" spans="1:11" x14ac:dyDescent="0.25">
      <c r="A1218" s="24" t="s">
        <v>7</v>
      </c>
      <c r="B1218" s="24" t="s">
        <v>6989</v>
      </c>
      <c r="C1218" s="25" t="s">
        <v>6990</v>
      </c>
      <c r="D1218" s="24" t="s">
        <v>21791</v>
      </c>
      <c r="E1218" s="40">
        <v>79</v>
      </c>
      <c r="F1218" s="41">
        <v>1008789</v>
      </c>
      <c r="G1218" s="40">
        <v>87</v>
      </c>
      <c r="H1218" s="41">
        <v>1022566</v>
      </c>
      <c r="I1218" s="41">
        <v>12769.481012658227</v>
      </c>
      <c r="J1218" s="41">
        <v>11753.632183908046</v>
      </c>
      <c r="K1218" s="42">
        <v>-7.9552867320385398E-2</v>
      </c>
    </row>
    <row r="1219" spans="1:11" x14ac:dyDescent="0.25">
      <c r="A1219" s="24" t="s">
        <v>7</v>
      </c>
      <c r="B1219" s="24" t="s">
        <v>6992</v>
      </c>
      <c r="C1219" s="25" t="s">
        <v>6993</v>
      </c>
      <c r="D1219" s="24" t="s">
        <v>21792</v>
      </c>
      <c r="E1219" s="40">
        <v>135</v>
      </c>
      <c r="F1219" s="41">
        <v>1074380</v>
      </c>
      <c r="G1219" s="40">
        <v>207</v>
      </c>
      <c r="H1219" s="41">
        <v>1506606</v>
      </c>
      <c r="I1219" s="41">
        <v>7958.3703703703704</v>
      </c>
      <c r="J1219" s="41">
        <v>7278.289855072464</v>
      </c>
      <c r="K1219" s="42">
        <v>-8.5454745588355488E-2</v>
      </c>
    </row>
    <row r="1220" spans="1:11" x14ac:dyDescent="0.25">
      <c r="A1220" s="24" t="s">
        <v>7</v>
      </c>
      <c r="B1220" s="24" t="s">
        <v>6998</v>
      </c>
      <c r="C1220" s="25" t="s">
        <v>6999</v>
      </c>
      <c r="D1220" s="24" t="s">
        <v>21793</v>
      </c>
      <c r="E1220" s="40">
        <v>54</v>
      </c>
      <c r="F1220" s="41">
        <v>424791</v>
      </c>
      <c r="G1220" s="40">
        <v>96</v>
      </c>
      <c r="H1220" s="41">
        <v>688568</v>
      </c>
      <c r="I1220" s="41">
        <v>7866.5</v>
      </c>
      <c r="J1220" s="41">
        <v>7172.583333333333</v>
      </c>
      <c r="K1220" s="42">
        <v>-8.8211614652852849E-2</v>
      </c>
    </row>
    <row r="1221" spans="1:11" x14ac:dyDescent="0.25">
      <c r="A1221" s="24" t="s">
        <v>7</v>
      </c>
      <c r="B1221" s="24" t="s">
        <v>7004</v>
      </c>
      <c r="C1221" s="25" t="s">
        <v>7005</v>
      </c>
      <c r="D1221" s="24" t="s">
        <v>21794</v>
      </c>
      <c r="E1221" s="40">
        <v>214</v>
      </c>
      <c r="F1221" s="41">
        <v>2044096</v>
      </c>
      <c r="G1221" s="40">
        <v>204</v>
      </c>
      <c r="H1221" s="41">
        <v>1807615</v>
      </c>
      <c r="I1221" s="41">
        <v>9551.8504672897197</v>
      </c>
      <c r="J1221" s="41">
        <v>8860.8578431372553</v>
      </c>
      <c r="K1221" s="42">
        <v>-7.234123131625296E-2</v>
      </c>
    </row>
    <row r="1222" spans="1:11" x14ac:dyDescent="0.25">
      <c r="A1222" s="24" t="s">
        <v>7</v>
      </c>
      <c r="B1222" s="24" t="s">
        <v>7007</v>
      </c>
      <c r="C1222" s="25" t="s">
        <v>7008</v>
      </c>
      <c r="D1222" s="24" t="s">
        <v>21795</v>
      </c>
      <c r="E1222" s="40">
        <v>105</v>
      </c>
      <c r="F1222" s="41">
        <v>600695</v>
      </c>
      <c r="G1222" s="40">
        <v>122</v>
      </c>
      <c r="H1222" s="41">
        <v>665052</v>
      </c>
      <c r="I1222" s="41">
        <v>5720.9047619047615</v>
      </c>
      <c r="J1222" s="41">
        <v>5451.2459016393441</v>
      </c>
      <c r="K1222" s="42">
        <v>-4.7135701691988163E-2</v>
      </c>
    </row>
    <row r="1223" spans="1:11" x14ac:dyDescent="0.25">
      <c r="A1223" s="24" t="s">
        <v>7</v>
      </c>
      <c r="B1223" s="24" t="s">
        <v>7010</v>
      </c>
      <c r="C1223" s="25" t="s">
        <v>7011</v>
      </c>
      <c r="D1223" s="24" t="s">
        <v>21796</v>
      </c>
      <c r="E1223" s="40">
        <v>347</v>
      </c>
      <c r="F1223" s="41">
        <v>3171804</v>
      </c>
      <c r="G1223" s="40">
        <v>405</v>
      </c>
      <c r="H1223" s="41">
        <v>3390727</v>
      </c>
      <c r="I1223" s="41">
        <v>9140.6455331412108</v>
      </c>
      <c r="J1223" s="41">
        <v>8372.1654320987655</v>
      </c>
      <c r="K1223" s="42">
        <v>-8.4072847837296544E-2</v>
      </c>
    </row>
    <row r="1224" spans="1:11" x14ac:dyDescent="0.25">
      <c r="A1224" s="24" t="s">
        <v>7</v>
      </c>
      <c r="B1224" s="24" t="s">
        <v>7013</v>
      </c>
      <c r="C1224" s="25" t="s">
        <v>7014</v>
      </c>
      <c r="D1224" s="24" t="s">
        <v>21797</v>
      </c>
      <c r="E1224" s="40">
        <v>1353</v>
      </c>
      <c r="F1224" s="41">
        <v>17029520</v>
      </c>
      <c r="G1224" s="40">
        <v>1514</v>
      </c>
      <c r="H1224" s="41">
        <v>17018392</v>
      </c>
      <c r="I1224" s="41">
        <v>12586.489283074648</v>
      </c>
      <c r="J1224" s="41">
        <v>11240.681638044915</v>
      </c>
      <c r="K1224" s="42">
        <v>-0.10692478377107693</v>
      </c>
    </row>
    <row r="1225" spans="1:11" x14ac:dyDescent="0.25">
      <c r="A1225" s="24" t="s">
        <v>7</v>
      </c>
      <c r="B1225" s="24" t="s">
        <v>7016</v>
      </c>
      <c r="C1225" s="25" t="s">
        <v>7017</v>
      </c>
      <c r="D1225" s="24" t="s">
        <v>21798</v>
      </c>
      <c r="E1225" s="40">
        <v>41</v>
      </c>
      <c r="F1225" s="41">
        <v>378391</v>
      </c>
      <c r="G1225" s="40">
        <v>33</v>
      </c>
      <c r="H1225" s="41">
        <v>270135</v>
      </c>
      <c r="I1225" s="41">
        <v>9229.0487804878048</v>
      </c>
      <c r="J1225" s="41">
        <v>8185.909090909091</v>
      </c>
      <c r="K1225" s="42">
        <v>-0.11302786607696079</v>
      </c>
    </row>
    <row r="1226" spans="1:11" x14ac:dyDescent="0.25">
      <c r="A1226" s="24" t="s">
        <v>7</v>
      </c>
      <c r="B1226" s="24" t="s">
        <v>7019</v>
      </c>
      <c r="C1226" s="25" t="s">
        <v>7020</v>
      </c>
      <c r="D1226" s="24" t="s">
        <v>21149</v>
      </c>
      <c r="E1226" s="40">
        <v>269</v>
      </c>
      <c r="F1226" s="41">
        <v>3996868</v>
      </c>
      <c r="G1226" s="40">
        <v>381</v>
      </c>
      <c r="H1226" s="41">
        <v>4962204</v>
      </c>
      <c r="I1226" s="41">
        <v>14858.245353159851</v>
      </c>
      <c r="J1226" s="41">
        <v>13024.157480314962</v>
      </c>
      <c r="K1226" s="42">
        <v>-0.12343906223454848</v>
      </c>
    </row>
    <row r="1227" spans="1:11" x14ac:dyDescent="0.25">
      <c r="A1227" s="24" t="s">
        <v>7</v>
      </c>
      <c r="B1227" s="24" t="s">
        <v>7022</v>
      </c>
      <c r="C1227" s="25" t="s">
        <v>7023</v>
      </c>
      <c r="D1227" s="24" t="s">
        <v>21799</v>
      </c>
      <c r="E1227" s="40">
        <v>2</v>
      </c>
      <c r="F1227" s="41">
        <v>37002</v>
      </c>
      <c r="G1227" s="40">
        <v>0</v>
      </c>
      <c r="H1227" s="41">
        <v>0</v>
      </c>
      <c r="I1227" s="41">
        <v>18501</v>
      </c>
    </row>
    <row r="1228" spans="1:11" x14ac:dyDescent="0.25">
      <c r="A1228" s="24" t="s">
        <v>7</v>
      </c>
      <c r="B1228" s="24" t="s">
        <v>7025</v>
      </c>
      <c r="C1228" s="25" t="s">
        <v>7026</v>
      </c>
      <c r="D1228" s="24" t="s">
        <v>21800</v>
      </c>
      <c r="E1228" s="40">
        <v>10</v>
      </c>
      <c r="F1228" s="41">
        <v>147138</v>
      </c>
      <c r="G1228" s="40">
        <v>7</v>
      </c>
      <c r="H1228" s="41">
        <v>72046</v>
      </c>
      <c r="I1228" s="41">
        <v>14713.8</v>
      </c>
      <c r="J1228" s="41">
        <v>10292.285714285714</v>
      </c>
      <c r="K1228" s="42">
        <v>-0.30050118159240208</v>
      </c>
    </row>
    <row r="1229" spans="1:11" x14ac:dyDescent="0.25">
      <c r="A1229" s="24" t="s">
        <v>7</v>
      </c>
      <c r="B1229" s="24" t="s">
        <v>7028</v>
      </c>
      <c r="C1229" s="25" t="s">
        <v>7029</v>
      </c>
      <c r="D1229" s="24" t="s">
        <v>21801</v>
      </c>
      <c r="E1229" s="40">
        <v>10</v>
      </c>
      <c r="F1229" s="41">
        <v>81302</v>
      </c>
      <c r="G1229" s="40">
        <v>14</v>
      </c>
      <c r="H1229" s="41">
        <v>110413</v>
      </c>
      <c r="I1229" s="41">
        <v>8130.2</v>
      </c>
      <c r="J1229" s="41">
        <v>7886.6428571428569</v>
      </c>
      <c r="K1229" s="42">
        <v>-2.9957091197897093E-2</v>
      </c>
    </row>
    <row r="1230" spans="1:11" x14ac:dyDescent="0.25">
      <c r="A1230" s="24" t="s">
        <v>7</v>
      </c>
      <c r="B1230" s="24" t="s">
        <v>7031</v>
      </c>
      <c r="C1230" s="25" t="s">
        <v>7032</v>
      </c>
      <c r="D1230" s="24" t="s">
        <v>21802</v>
      </c>
      <c r="G1230" s="40">
        <v>1</v>
      </c>
      <c r="H1230" s="41">
        <v>10008</v>
      </c>
      <c r="J1230" s="41">
        <v>10008</v>
      </c>
    </row>
    <row r="1231" spans="1:11" x14ac:dyDescent="0.25">
      <c r="A1231" s="24" t="s">
        <v>7</v>
      </c>
      <c r="B1231" s="24" t="s">
        <v>7034</v>
      </c>
      <c r="C1231" s="25" t="s">
        <v>7035</v>
      </c>
      <c r="D1231" s="24" t="s">
        <v>21803</v>
      </c>
      <c r="G1231" s="40">
        <v>1</v>
      </c>
      <c r="H1231" s="41">
        <v>8064</v>
      </c>
      <c r="J1231" s="41">
        <v>8064</v>
      </c>
    </row>
    <row r="1232" spans="1:11" x14ac:dyDescent="0.25">
      <c r="A1232" s="24" t="s">
        <v>7</v>
      </c>
      <c r="B1232" s="24" t="s">
        <v>7037</v>
      </c>
      <c r="C1232" s="25" t="s">
        <v>7038</v>
      </c>
      <c r="D1232" s="24" t="s">
        <v>21804</v>
      </c>
      <c r="E1232" s="40">
        <v>6</v>
      </c>
      <c r="F1232" s="41">
        <v>76126</v>
      </c>
      <c r="G1232" s="40">
        <v>6</v>
      </c>
      <c r="H1232" s="41">
        <v>59402</v>
      </c>
      <c r="I1232" s="41">
        <v>12687.666666666666</v>
      </c>
      <c r="J1232" s="41">
        <v>9900.3333333333339</v>
      </c>
      <c r="K1232" s="42">
        <v>-0.21968841131807784</v>
      </c>
    </row>
    <row r="1233" spans="1:11" x14ac:dyDescent="0.25">
      <c r="A1233" s="24" t="s">
        <v>7</v>
      </c>
      <c r="B1233" s="24" t="s">
        <v>7040</v>
      </c>
      <c r="C1233" s="25" t="s">
        <v>7041</v>
      </c>
      <c r="D1233" s="24" t="s">
        <v>21805</v>
      </c>
      <c r="E1233" s="40">
        <v>19</v>
      </c>
      <c r="F1233" s="41">
        <v>110187</v>
      </c>
      <c r="G1233" s="40">
        <v>23</v>
      </c>
      <c r="H1233" s="41">
        <v>127782</v>
      </c>
      <c r="I1233" s="41">
        <v>5799.3157894736842</v>
      </c>
      <c r="J1233" s="41">
        <v>5555.739130434783</v>
      </c>
      <c r="K1233" s="42">
        <v>-4.2000930434072284E-2</v>
      </c>
    </row>
    <row r="1234" spans="1:11" x14ac:dyDescent="0.25">
      <c r="A1234" s="24" t="s">
        <v>7</v>
      </c>
      <c r="B1234" s="24" t="s">
        <v>7043</v>
      </c>
      <c r="C1234" s="25" t="s">
        <v>7044</v>
      </c>
      <c r="D1234" s="24" t="s">
        <v>21806</v>
      </c>
      <c r="E1234" s="40">
        <v>24</v>
      </c>
      <c r="F1234" s="41">
        <v>191564</v>
      </c>
      <c r="G1234" s="40">
        <v>35</v>
      </c>
      <c r="H1234" s="41">
        <v>276500</v>
      </c>
      <c r="I1234" s="41">
        <v>7981.833333333333</v>
      </c>
      <c r="J1234" s="41">
        <v>7900</v>
      </c>
      <c r="K1234" s="42">
        <v>-1.0252448267941748E-2</v>
      </c>
    </row>
    <row r="1235" spans="1:11" x14ac:dyDescent="0.25">
      <c r="A1235" s="24" t="s">
        <v>7</v>
      </c>
      <c r="B1235" s="24" t="s">
        <v>7052</v>
      </c>
      <c r="C1235" s="25" t="s">
        <v>7053</v>
      </c>
      <c r="D1235" s="24" t="s">
        <v>21807</v>
      </c>
      <c r="E1235" s="40">
        <v>4</v>
      </c>
      <c r="F1235" s="41">
        <v>29676</v>
      </c>
      <c r="G1235" s="40">
        <v>3</v>
      </c>
      <c r="H1235" s="41">
        <v>22677</v>
      </c>
      <c r="I1235" s="41">
        <v>7419</v>
      </c>
      <c r="J1235" s="41">
        <v>7559</v>
      </c>
      <c r="K1235" s="42">
        <v>1.8870467718021297E-2</v>
      </c>
    </row>
    <row r="1236" spans="1:11" x14ac:dyDescent="0.25">
      <c r="A1236" s="24" t="s">
        <v>7</v>
      </c>
      <c r="B1236" s="24" t="s">
        <v>7055</v>
      </c>
      <c r="C1236" s="25" t="s">
        <v>7056</v>
      </c>
      <c r="D1236" s="24" t="s">
        <v>21808</v>
      </c>
      <c r="E1236" s="40">
        <v>63</v>
      </c>
      <c r="F1236" s="41">
        <v>877200</v>
      </c>
      <c r="G1236" s="40">
        <v>77</v>
      </c>
      <c r="H1236" s="41">
        <v>1024960</v>
      </c>
      <c r="I1236" s="41">
        <v>13923.809523809523</v>
      </c>
      <c r="J1236" s="41">
        <v>13311.16883116883</v>
      </c>
      <c r="K1236" s="42">
        <v>-4.3999502549434147E-2</v>
      </c>
    </row>
    <row r="1237" spans="1:11" x14ac:dyDescent="0.25">
      <c r="A1237" s="24" t="s">
        <v>7</v>
      </c>
      <c r="B1237" s="24" t="s">
        <v>7058</v>
      </c>
      <c r="C1237" s="25" t="s">
        <v>7059</v>
      </c>
      <c r="D1237" s="24" t="s">
        <v>21809</v>
      </c>
      <c r="G1237" s="40">
        <v>3</v>
      </c>
      <c r="H1237" s="41">
        <v>25923</v>
      </c>
      <c r="J1237" s="41">
        <v>8641</v>
      </c>
    </row>
    <row r="1238" spans="1:11" x14ac:dyDescent="0.25">
      <c r="A1238" s="24" t="s">
        <v>7</v>
      </c>
      <c r="B1238" s="24" t="s">
        <v>7061</v>
      </c>
      <c r="C1238" s="25" t="s">
        <v>7062</v>
      </c>
      <c r="D1238" s="24" t="s">
        <v>21810</v>
      </c>
      <c r="E1238" s="40">
        <v>311</v>
      </c>
      <c r="F1238" s="41">
        <v>2324959</v>
      </c>
      <c r="G1238" s="40">
        <v>325</v>
      </c>
      <c r="H1238" s="41">
        <v>2229071</v>
      </c>
      <c r="I1238" s="41">
        <v>7475.7524115755623</v>
      </c>
      <c r="J1238" s="41">
        <v>6858.68</v>
      </c>
      <c r="K1238" s="42">
        <v>-8.2543184632503111E-2</v>
      </c>
    </row>
    <row r="1239" spans="1:11" x14ac:dyDescent="0.25">
      <c r="A1239" s="24" t="s">
        <v>7</v>
      </c>
      <c r="B1239" s="24" t="s">
        <v>7064</v>
      </c>
      <c r="C1239" s="25" t="s">
        <v>7065</v>
      </c>
      <c r="D1239" s="24" t="s">
        <v>21811</v>
      </c>
      <c r="G1239" s="40">
        <v>5</v>
      </c>
      <c r="H1239" s="41">
        <v>41370</v>
      </c>
      <c r="J1239" s="41">
        <v>8274</v>
      </c>
    </row>
    <row r="1240" spans="1:11" x14ac:dyDescent="0.25">
      <c r="A1240" s="24" t="s">
        <v>7</v>
      </c>
      <c r="B1240" s="24" t="s">
        <v>7067</v>
      </c>
      <c r="C1240" s="25" t="s">
        <v>7068</v>
      </c>
      <c r="D1240" s="24" t="s">
        <v>21812</v>
      </c>
      <c r="E1240" s="40">
        <v>25</v>
      </c>
      <c r="F1240" s="41">
        <v>299801</v>
      </c>
      <c r="G1240" s="40">
        <v>26</v>
      </c>
      <c r="H1240" s="41">
        <v>285296</v>
      </c>
      <c r="I1240" s="41">
        <v>11992.04</v>
      </c>
      <c r="J1240" s="41">
        <v>10972.923076923076</v>
      </c>
      <c r="K1240" s="42">
        <v>-8.498278216858221E-2</v>
      </c>
    </row>
    <row r="1241" spans="1:11" x14ac:dyDescent="0.25">
      <c r="A1241" s="24" t="s">
        <v>7</v>
      </c>
      <c r="B1241" s="24" t="s">
        <v>7070</v>
      </c>
      <c r="C1241" s="25" t="s">
        <v>7071</v>
      </c>
      <c r="D1241" s="24" t="s">
        <v>21813</v>
      </c>
      <c r="E1241" s="40">
        <v>5</v>
      </c>
      <c r="F1241" s="41">
        <v>62540</v>
      </c>
      <c r="G1241" s="40">
        <v>10</v>
      </c>
      <c r="H1241" s="41">
        <v>117841</v>
      </c>
      <c r="I1241" s="41">
        <v>12508</v>
      </c>
      <c r="J1241" s="41">
        <v>11784.1</v>
      </c>
      <c r="K1241" s="42">
        <v>-5.7874960025583601E-2</v>
      </c>
    </row>
    <row r="1242" spans="1:11" x14ac:dyDescent="0.25">
      <c r="A1242" s="24" t="s">
        <v>7</v>
      </c>
      <c r="B1242" s="24" t="s">
        <v>7077</v>
      </c>
      <c r="C1242" s="25" t="s">
        <v>7078</v>
      </c>
      <c r="D1242" s="24" t="s">
        <v>21814</v>
      </c>
      <c r="E1242" s="40">
        <v>1</v>
      </c>
      <c r="F1242" s="41">
        <v>8237</v>
      </c>
      <c r="G1242" s="40">
        <v>1</v>
      </c>
      <c r="H1242" s="41">
        <v>8237</v>
      </c>
      <c r="I1242" s="41">
        <v>8237</v>
      </c>
      <c r="J1242" s="41">
        <v>8237</v>
      </c>
      <c r="K1242" s="42">
        <v>0</v>
      </c>
    </row>
    <row r="1243" spans="1:11" x14ac:dyDescent="0.25">
      <c r="A1243" s="24" t="s">
        <v>7</v>
      </c>
      <c r="B1243" s="24" t="s">
        <v>7080</v>
      </c>
      <c r="C1243" s="25" t="s">
        <v>7081</v>
      </c>
      <c r="D1243" s="24" t="s">
        <v>21815</v>
      </c>
      <c r="G1243" s="40">
        <v>9</v>
      </c>
      <c r="H1243" s="41">
        <v>108069</v>
      </c>
      <c r="J1243" s="41">
        <v>12007.666666666666</v>
      </c>
    </row>
    <row r="1244" spans="1:11" x14ac:dyDescent="0.25">
      <c r="A1244" s="24" t="s">
        <v>7</v>
      </c>
      <c r="B1244" s="24" t="s">
        <v>7083</v>
      </c>
      <c r="C1244" s="25" t="s">
        <v>7084</v>
      </c>
      <c r="D1244" s="24" t="s">
        <v>21816</v>
      </c>
      <c r="E1244" s="40">
        <v>49</v>
      </c>
      <c r="F1244" s="41">
        <v>398195</v>
      </c>
      <c r="G1244" s="40">
        <v>57</v>
      </c>
      <c r="H1244" s="41">
        <v>438024</v>
      </c>
      <c r="I1244" s="41">
        <v>8126.4285714285716</v>
      </c>
      <c r="J1244" s="41">
        <v>7684.6315789473683</v>
      </c>
      <c r="K1244" s="42">
        <v>-5.4365455697783643E-2</v>
      </c>
    </row>
    <row r="1245" spans="1:11" x14ac:dyDescent="0.25">
      <c r="A1245" s="24" t="s">
        <v>7</v>
      </c>
      <c r="B1245" s="24" t="s">
        <v>7086</v>
      </c>
      <c r="C1245" s="25" t="s">
        <v>7087</v>
      </c>
      <c r="D1245" s="24" t="s">
        <v>21817</v>
      </c>
      <c r="E1245" s="40">
        <v>27</v>
      </c>
      <c r="F1245" s="41">
        <v>320665</v>
      </c>
      <c r="G1245" s="40">
        <v>19</v>
      </c>
      <c r="H1245" s="41">
        <v>215064</v>
      </c>
      <c r="I1245" s="41">
        <v>11876.481481481482</v>
      </c>
      <c r="J1245" s="41">
        <v>11319.157894736842</v>
      </c>
      <c r="K1245" s="42">
        <v>-4.6926658170069337E-2</v>
      </c>
    </row>
    <row r="1246" spans="1:11" x14ac:dyDescent="0.25">
      <c r="A1246" s="24" t="s">
        <v>7</v>
      </c>
      <c r="B1246" s="24" t="s">
        <v>7089</v>
      </c>
      <c r="C1246" s="25" t="s">
        <v>7090</v>
      </c>
      <c r="D1246" s="24" t="s">
        <v>21818</v>
      </c>
      <c r="E1246" s="40">
        <v>141</v>
      </c>
      <c r="F1246" s="41">
        <v>1055197</v>
      </c>
      <c r="G1246" s="40">
        <v>187</v>
      </c>
      <c r="H1246" s="41">
        <v>1298771</v>
      </c>
      <c r="I1246" s="41">
        <v>7483.666666666667</v>
      </c>
      <c r="J1246" s="41">
        <v>6945.2994652406414</v>
      </c>
      <c r="K1246" s="42">
        <v>-7.1938960593206383E-2</v>
      </c>
    </row>
    <row r="1247" spans="1:11" x14ac:dyDescent="0.25">
      <c r="A1247" s="24" t="s">
        <v>7</v>
      </c>
      <c r="B1247" s="24" t="s">
        <v>7092</v>
      </c>
      <c r="C1247" s="25" t="s">
        <v>7093</v>
      </c>
      <c r="D1247" s="24" t="s">
        <v>21819</v>
      </c>
      <c r="E1247" s="40">
        <v>333</v>
      </c>
      <c r="F1247" s="41">
        <v>1987038</v>
      </c>
      <c r="G1247" s="40">
        <v>330</v>
      </c>
      <c r="H1247" s="41">
        <v>1839966</v>
      </c>
      <c r="I1247" s="41">
        <v>5967.0810810810808</v>
      </c>
      <c r="J1247" s="41">
        <v>5575.6545454545458</v>
      </c>
      <c r="K1247" s="42">
        <v>-6.5597656594205134E-2</v>
      </c>
    </row>
    <row r="1248" spans="1:11" x14ac:dyDescent="0.25">
      <c r="A1248" s="24" t="s">
        <v>7</v>
      </c>
      <c r="B1248" s="24" t="s">
        <v>7095</v>
      </c>
      <c r="C1248" s="25" t="s">
        <v>7096</v>
      </c>
      <c r="D1248" s="24" t="s">
        <v>21820</v>
      </c>
      <c r="G1248" s="40">
        <v>8</v>
      </c>
      <c r="H1248" s="41">
        <v>91922</v>
      </c>
      <c r="J1248" s="41">
        <v>11490.25</v>
      </c>
    </row>
    <row r="1249" spans="1:11" x14ac:dyDescent="0.25">
      <c r="A1249" s="24" t="s">
        <v>7</v>
      </c>
      <c r="B1249" s="24" t="s">
        <v>7098</v>
      </c>
      <c r="C1249" s="25" t="s">
        <v>7099</v>
      </c>
      <c r="D1249" s="24" t="s">
        <v>21821</v>
      </c>
      <c r="E1249" s="40">
        <v>4</v>
      </c>
      <c r="F1249" s="41">
        <v>28985</v>
      </c>
      <c r="G1249" s="40">
        <v>5</v>
      </c>
      <c r="H1249" s="41">
        <v>36915</v>
      </c>
      <c r="I1249" s="41">
        <v>7246.25</v>
      </c>
      <c r="J1249" s="41">
        <v>7383</v>
      </c>
      <c r="K1249" s="42">
        <v>1.8871830257029498E-2</v>
      </c>
    </row>
    <row r="1250" spans="1:11" x14ac:dyDescent="0.25">
      <c r="A1250" s="24" t="s">
        <v>7</v>
      </c>
      <c r="B1250" s="24" t="s">
        <v>7101</v>
      </c>
      <c r="C1250" s="25" t="s">
        <v>7102</v>
      </c>
      <c r="D1250" s="24" t="s">
        <v>21822</v>
      </c>
      <c r="E1250" s="40">
        <v>11</v>
      </c>
      <c r="F1250" s="41">
        <v>82559</v>
      </c>
      <c r="G1250" s="40">
        <v>8</v>
      </c>
      <c r="H1250" s="41">
        <v>61280</v>
      </c>
      <c r="I1250" s="41">
        <v>7505.363636363636</v>
      </c>
      <c r="J1250" s="41">
        <v>7660</v>
      </c>
      <c r="K1250" s="42">
        <v>2.0603447231676786E-2</v>
      </c>
    </row>
    <row r="1251" spans="1:11" x14ac:dyDescent="0.25">
      <c r="A1251" s="24" t="s">
        <v>7</v>
      </c>
      <c r="B1251" s="24" t="s">
        <v>7136</v>
      </c>
      <c r="C1251" s="25" t="s">
        <v>7137</v>
      </c>
      <c r="D1251" s="24" t="s">
        <v>21823</v>
      </c>
      <c r="E1251" s="40">
        <v>14</v>
      </c>
      <c r="F1251" s="41">
        <v>161</v>
      </c>
      <c r="G1251" s="40">
        <v>34</v>
      </c>
      <c r="H1251" s="41">
        <v>243</v>
      </c>
      <c r="I1251" s="41">
        <v>11.5</v>
      </c>
      <c r="J1251" s="41">
        <v>7.1470588235294121</v>
      </c>
      <c r="K1251" s="42">
        <v>-0.37851662404092068</v>
      </c>
    </row>
    <row r="1252" spans="1:11" x14ac:dyDescent="0.25">
      <c r="A1252" s="24" t="s">
        <v>7</v>
      </c>
      <c r="B1252" s="24" t="s">
        <v>7142</v>
      </c>
      <c r="C1252" s="25" t="s">
        <v>7143</v>
      </c>
      <c r="D1252" s="24" t="s">
        <v>21823</v>
      </c>
      <c r="E1252" s="40">
        <v>4745</v>
      </c>
      <c r="F1252" s="41">
        <v>65233</v>
      </c>
      <c r="G1252" s="40">
        <v>15444</v>
      </c>
      <c r="H1252" s="41">
        <v>185666</v>
      </c>
      <c r="I1252" s="41">
        <v>13.747734457323498</v>
      </c>
      <c r="J1252" s="41">
        <v>12.021885521885523</v>
      </c>
      <c r="K1252" s="42">
        <v>-0.12553697053106852</v>
      </c>
    </row>
    <row r="1253" spans="1:11" x14ac:dyDescent="0.25">
      <c r="A1253" s="24" t="s">
        <v>7</v>
      </c>
      <c r="B1253" s="24" t="s">
        <v>7145</v>
      </c>
      <c r="C1253" s="25" t="s">
        <v>7146</v>
      </c>
      <c r="D1253" s="24" t="s">
        <v>21823</v>
      </c>
      <c r="E1253" s="40">
        <v>30982</v>
      </c>
      <c r="F1253" s="41">
        <v>723376</v>
      </c>
      <c r="G1253" s="40">
        <v>31743</v>
      </c>
      <c r="H1253" s="41">
        <v>655342</v>
      </c>
      <c r="I1253" s="41">
        <v>23.348266735523854</v>
      </c>
      <c r="J1253" s="41">
        <v>20.645244620861291</v>
      </c>
      <c r="K1253" s="42">
        <v>-0.11576971195681847</v>
      </c>
    </row>
    <row r="1254" spans="1:11" x14ac:dyDescent="0.25">
      <c r="A1254" s="24" t="s">
        <v>7</v>
      </c>
      <c r="B1254" s="24" t="s">
        <v>7148</v>
      </c>
      <c r="C1254" s="25" t="s">
        <v>7149</v>
      </c>
      <c r="D1254" s="24" t="s">
        <v>21824</v>
      </c>
      <c r="G1254" s="40">
        <v>14</v>
      </c>
      <c r="H1254" s="41">
        <v>196</v>
      </c>
      <c r="J1254" s="41">
        <v>14</v>
      </c>
    </row>
    <row r="1255" spans="1:11" x14ac:dyDescent="0.25">
      <c r="A1255" s="24" t="s">
        <v>7</v>
      </c>
      <c r="B1255" s="24" t="s">
        <v>7151</v>
      </c>
      <c r="C1255" s="25" t="s">
        <v>7152</v>
      </c>
      <c r="D1255" s="24" t="s">
        <v>21824</v>
      </c>
      <c r="E1255" s="40">
        <v>428</v>
      </c>
      <c r="F1255" s="41">
        <v>6306</v>
      </c>
      <c r="G1255" s="40">
        <v>870</v>
      </c>
      <c r="H1255" s="41">
        <v>10986</v>
      </c>
      <c r="I1255" s="41">
        <v>14.733644859813085</v>
      </c>
      <c r="J1255" s="41">
        <v>12.627586206896552</v>
      </c>
      <c r="K1255" s="42">
        <v>-0.14294213502192765</v>
      </c>
    </row>
    <row r="1256" spans="1:11" x14ac:dyDescent="0.25">
      <c r="A1256" s="24" t="s">
        <v>7</v>
      </c>
      <c r="B1256" s="24" t="s">
        <v>7154</v>
      </c>
      <c r="C1256" s="25" t="s">
        <v>7155</v>
      </c>
      <c r="D1256" s="24" t="s">
        <v>21824</v>
      </c>
      <c r="E1256" s="40">
        <v>18</v>
      </c>
      <c r="F1256" s="41">
        <v>303</v>
      </c>
      <c r="G1256" s="40">
        <v>37</v>
      </c>
      <c r="H1256" s="41">
        <v>599</v>
      </c>
      <c r="I1256" s="41">
        <v>16.833333333333332</v>
      </c>
      <c r="J1256" s="41">
        <v>16.189189189189189</v>
      </c>
      <c r="K1256" s="42">
        <v>-3.8265988761038185E-2</v>
      </c>
    </row>
    <row r="1257" spans="1:11" x14ac:dyDescent="0.25">
      <c r="A1257" s="24" t="s">
        <v>7</v>
      </c>
      <c r="B1257" s="24" t="s">
        <v>7157</v>
      </c>
      <c r="C1257" s="25" t="s">
        <v>7158</v>
      </c>
      <c r="D1257" s="24" t="s">
        <v>21824</v>
      </c>
      <c r="E1257" s="40">
        <v>1084</v>
      </c>
      <c r="F1257" s="41">
        <v>47613</v>
      </c>
      <c r="G1257" s="40">
        <v>1033</v>
      </c>
      <c r="H1257" s="41">
        <v>38389</v>
      </c>
      <c r="I1257" s="41">
        <v>43.92343173431734</v>
      </c>
      <c r="J1257" s="41">
        <v>37.16263310745402</v>
      </c>
      <c r="K1257" s="42">
        <v>-0.15392236808266313</v>
      </c>
    </row>
    <row r="1258" spans="1:11" x14ac:dyDescent="0.25">
      <c r="A1258" s="24" t="s">
        <v>7</v>
      </c>
      <c r="B1258" s="24" t="s">
        <v>7160</v>
      </c>
      <c r="C1258" s="25" t="s">
        <v>7161</v>
      </c>
      <c r="D1258" s="24" t="s">
        <v>21824</v>
      </c>
      <c r="E1258" s="40">
        <v>155</v>
      </c>
      <c r="F1258" s="41">
        <v>19225</v>
      </c>
      <c r="G1258" s="40">
        <v>102</v>
      </c>
      <c r="H1258" s="41">
        <v>11559</v>
      </c>
      <c r="I1258" s="41">
        <v>124.03225806451613</v>
      </c>
      <c r="J1258" s="41">
        <v>113.32352941176471</v>
      </c>
      <c r="K1258" s="42">
        <v>-8.6338254417501675E-2</v>
      </c>
    </row>
    <row r="1259" spans="1:11" x14ac:dyDescent="0.25">
      <c r="A1259" s="24" t="s">
        <v>7</v>
      </c>
      <c r="B1259" s="24" t="s">
        <v>7169</v>
      </c>
      <c r="C1259" s="25" t="s">
        <v>7170</v>
      </c>
      <c r="D1259" s="24" t="s">
        <v>21824</v>
      </c>
      <c r="E1259" s="40">
        <v>2</v>
      </c>
      <c r="F1259" s="41">
        <v>34</v>
      </c>
      <c r="G1259" s="40">
        <v>8</v>
      </c>
      <c r="H1259" s="41">
        <v>136</v>
      </c>
      <c r="I1259" s="41">
        <v>17</v>
      </c>
      <c r="J1259" s="41">
        <v>17</v>
      </c>
      <c r="K1259" s="42">
        <v>0</v>
      </c>
    </row>
    <row r="1260" spans="1:11" x14ac:dyDescent="0.25">
      <c r="A1260" s="24" t="s">
        <v>7</v>
      </c>
      <c r="B1260" s="24" t="s">
        <v>7175</v>
      </c>
      <c r="C1260" s="25" t="s">
        <v>7176</v>
      </c>
      <c r="D1260" s="24" t="s">
        <v>21824</v>
      </c>
      <c r="E1260" s="40">
        <v>123</v>
      </c>
      <c r="F1260" s="41">
        <v>4746</v>
      </c>
      <c r="G1260" s="40">
        <v>88</v>
      </c>
      <c r="H1260" s="41">
        <v>2080</v>
      </c>
      <c r="I1260" s="41">
        <v>38.585365853658537</v>
      </c>
      <c r="J1260" s="41">
        <v>23.636363636363637</v>
      </c>
      <c r="K1260" s="42">
        <v>-0.38742673255947591</v>
      </c>
    </row>
    <row r="1261" spans="1:11" x14ac:dyDescent="0.25">
      <c r="A1261" s="24" t="s">
        <v>7</v>
      </c>
      <c r="B1261" s="24" t="s">
        <v>7181</v>
      </c>
      <c r="C1261" s="25" t="s">
        <v>7182</v>
      </c>
      <c r="D1261" s="24" t="s">
        <v>21824</v>
      </c>
      <c r="E1261" s="40">
        <v>2217</v>
      </c>
      <c r="F1261" s="41">
        <v>47264</v>
      </c>
      <c r="G1261" s="40">
        <v>2001</v>
      </c>
      <c r="H1261" s="41">
        <v>35370</v>
      </c>
      <c r="I1261" s="41">
        <v>21.318899413622013</v>
      </c>
      <c r="J1261" s="41">
        <v>17.676161919040482</v>
      </c>
      <c r="K1261" s="42">
        <v>-0.1708689282643715</v>
      </c>
    </row>
    <row r="1262" spans="1:11" x14ac:dyDescent="0.25">
      <c r="A1262" s="24" t="s">
        <v>7</v>
      </c>
      <c r="B1262" s="24" t="s">
        <v>7184</v>
      </c>
      <c r="C1262" s="25" t="s">
        <v>7185</v>
      </c>
      <c r="D1262" s="24" t="s">
        <v>21824</v>
      </c>
      <c r="E1262" s="40">
        <v>637</v>
      </c>
      <c r="F1262" s="41">
        <v>14888</v>
      </c>
      <c r="G1262" s="40">
        <v>802</v>
      </c>
      <c r="H1262" s="41">
        <v>14717</v>
      </c>
      <c r="I1262" s="41">
        <v>23.372056514913659</v>
      </c>
      <c r="J1262" s="41">
        <v>18.350374064837904</v>
      </c>
      <c r="K1262" s="42">
        <v>-0.21485839069708862</v>
      </c>
    </row>
    <row r="1263" spans="1:11" x14ac:dyDescent="0.25">
      <c r="A1263" s="24" t="s">
        <v>7</v>
      </c>
      <c r="B1263" s="24" t="s">
        <v>7187</v>
      </c>
      <c r="C1263" s="25" t="s">
        <v>7188</v>
      </c>
      <c r="D1263" s="24" t="s">
        <v>21824</v>
      </c>
      <c r="E1263" s="40">
        <v>907</v>
      </c>
      <c r="F1263" s="41">
        <v>21278</v>
      </c>
      <c r="G1263" s="40">
        <v>922</v>
      </c>
      <c r="H1263" s="41">
        <v>16677</v>
      </c>
      <c r="I1263" s="41">
        <v>23.459757442116867</v>
      </c>
      <c r="J1263" s="41">
        <v>18.087852494577007</v>
      </c>
      <c r="K1263" s="42">
        <v>-0.2289838230763537</v>
      </c>
    </row>
    <row r="1264" spans="1:11" x14ac:dyDescent="0.25">
      <c r="A1264" s="24" t="s">
        <v>7</v>
      </c>
      <c r="B1264" s="24" t="s">
        <v>7190</v>
      </c>
      <c r="C1264" s="25" t="s">
        <v>7191</v>
      </c>
      <c r="D1264" s="24" t="s">
        <v>21824</v>
      </c>
      <c r="E1264" s="40">
        <v>626</v>
      </c>
      <c r="F1264" s="41">
        <v>10347</v>
      </c>
      <c r="G1264" s="40">
        <v>1088</v>
      </c>
      <c r="H1264" s="41">
        <v>16336</v>
      </c>
      <c r="I1264" s="41">
        <v>16.528753993610223</v>
      </c>
      <c r="J1264" s="41">
        <v>15.014705882352942</v>
      </c>
      <c r="K1264" s="42">
        <v>-9.1600861858225399E-2</v>
      </c>
    </row>
    <row r="1265" spans="1:11" x14ac:dyDescent="0.25">
      <c r="A1265" s="24" t="s">
        <v>7</v>
      </c>
      <c r="B1265" s="24" t="s">
        <v>7193</v>
      </c>
      <c r="C1265" s="25" t="s">
        <v>7194</v>
      </c>
      <c r="D1265" s="24" t="s">
        <v>21824</v>
      </c>
      <c r="E1265" s="40">
        <v>366</v>
      </c>
      <c r="F1265" s="41">
        <v>6109</v>
      </c>
      <c r="G1265" s="40">
        <v>432</v>
      </c>
      <c r="H1265" s="41">
        <v>7152</v>
      </c>
      <c r="I1265" s="41">
        <v>16.691256830601095</v>
      </c>
      <c r="J1265" s="41">
        <v>16.555555555555557</v>
      </c>
      <c r="K1265" s="42">
        <v>-8.1300813008130177E-3</v>
      </c>
    </row>
    <row r="1266" spans="1:11" x14ac:dyDescent="0.25">
      <c r="A1266" s="24" t="s">
        <v>7</v>
      </c>
      <c r="B1266" s="24" t="s">
        <v>7196</v>
      </c>
      <c r="C1266" s="25" t="s">
        <v>7197</v>
      </c>
      <c r="D1266" s="24" t="s">
        <v>21823</v>
      </c>
      <c r="G1266" s="40">
        <v>23</v>
      </c>
      <c r="H1266" s="41">
        <v>368</v>
      </c>
      <c r="J1266" s="41">
        <v>16</v>
      </c>
    </row>
    <row r="1267" spans="1:11" x14ac:dyDescent="0.25">
      <c r="A1267" s="24" t="s">
        <v>7</v>
      </c>
      <c r="B1267" s="24" t="s">
        <v>7202</v>
      </c>
      <c r="C1267" s="25" t="s">
        <v>7203</v>
      </c>
      <c r="D1267" s="24" t="s">
        <v>21824</v>
      </c>
      <c r="E1267" s="40">
        <v>101</v>
      </c>
      <c r="F1267" s="41">
        <v>1682</v>
      </c>
      <c r="G1267" s="40">
        <v>159</v>
      </c>
      <c r="H1267" s="41">
        <v>1999</v>
      </c>
      <c r="I1267" s="41">
        <v>16.653465346534652</v>
      </c>
      <c r="J1267" s="41">
        <v>12.572327044025156</v>
      </c>
      <c r="K1267" s="42">
        <v>-0.24506240698778781</v>
      </c>
    </row>
    <row r="1268" spans="1:11" x14ac:dyDescent="0.25">
      <c r="A1268" s="24" t="s">
        <v>7</v>
      </c>
      <c r="B1268" s="24" t="s">
        <v>7205</v>
      </c>
      <c r="C1268" s="25" t="s">
        <v>7206</v>
      </c>
      <c r="D1268" s="24" t="s">
        <v>21824</v>
      </c>
      <c r="E1268" s="40">
        <v>32</v>
      </c>
      <c r="F1268" s="41">
        <v>543</v>
      </c>
      <c r="G1268" s="40">
        <v>19</v>
      </c>
      <c r="H1268" s="41">
        <v>323</v>
      </c>
      <c r="I1268" s="41">
        <v>16.96875</v>
      </c>
      <c r="J1268" s="41">
        <v>17</v>
      </c>
      <c r="K1268" s="42">
        <v>1.841620626151013E-3</v>
      </c>
    </row>
    <row r="1269" spans="1:11" x14ac:dyDescent="0.25">
      <c r="A1269" s="24" t="s">
        <v>7</v>
      </c>
      <c r="B1269" s="24" t="s">
        <v>7208</v>
      </c>
      <c r="C1269" s="25" t="s">
        <v>7209</v>
      </c>
      <c r="D1269" s="24" t="s">
        <v>21824</v>
      </c>
      <c r="G1269" s="40">
        <v>219</v>
      </c>
      <c r="H1269" s="41">
        <v>3084</v>
      </c>
      <c r="J1269" s="41">
        <v>14.082191780821917</v>
      </c>
    </row>
    <row r="1270" spans="1:11" x14ac:dyDescent="0.25">
      <c r="A1270" s="24" t="s">
        <v>7</v>
      </c>
      <c r="B1270" s="24" t="s">
        <v>7211</v>
      </c>
      <c r="C1270" s="25" t="s">
        <v>7212</v>
      </c>
      <c r="D1270" s="24" t="s">
        <v>21824</v>
      </c>
      <c r="E1270" s="40">
        <v>771</v>
      </c>
      <c r="F1270" s="41">
        <v>70821</v>
      </c>
      <c r="G1270" s="40">
        <v>974</v>
      </c>
      <c r="H1270" s="41">
        <v>82398</v>
      </c>
      <c r="I1270" s="41">
        <v>91.856031128404666</v>
      </c>
      <c r="J1270" s="41">
        <v>84.597535934291585</v>
      </c>
      <c r="K1270" s="42">
        <v>-7.9020344172790358E-2</v>
      </c>
    </row>
    <row r="1271" spans="1:11" x14ac:dyDescent="0.25">
      <c r="A1271" s="24" t="s">
        <v>7</v>
      </c>
      <c r="B1271" s="24" t="s">
        <v>7214</v>
      </c>
      <c r="C1271" s="25" t="s">
        <v>7215</v>
      </c>
      <c r="D1271" s="24" t="s">
        <v>21824</v>
      </c>
      <c r="E1271" s="40">
        <v>8090</v>
      </c>
      <c r="F1271" s="41">
        <v>728411</v>
      </c>
      <c r="G1271" s="40">
        <v>8777</v>
      </c>
      <c r="H1271" s="41">
        <v>667444</v>
      </c>
      <c r="I1271" s="41">
        <v>90.038442521631637</v>
      </c>
      <c r="J1271" s="41">
        <v>76.044662185256925</v>
      </c>
      <c r="K1271" s="42">
        <v>-0.1554200621919101</v>
      </c>
    </row>
    <row r="1272" spans="1:11" x14ac:dyDescent="0.25">
      <c r="A1272" s="24" t="s">
        <v>7</v>
      </c>
      <c r="B1272" s="24" t="s">
        <v>7217</v>
      </c>
      <c r="C1272" s="25" t="s">
        <v>7218</v>
      </c>
      <c r="D1272" s="24" t="s">
        <v>21824</v>
      </c>
      <c r="E1272" s="40">
        <v>108</v>
      </c>
      <c r="F1272" s="41">
        <v>2994</v>
      </c>
      <c r="G1272" s="40">
        <v>155</v>
      </c>
      <c r="H1272" s="41">
        <v>3557</v>
      </c>
      <c r="I1272" s="41">
        <v>27.722222222222221</v>
      </c>
      <c r="J1272" s="41">
        <v>22.948387096774194</v>
      </c>
      <c r="K1272" s="42">
        <v>-0.17220246945503906</v>
      </c>
    </row>
    <row r="1273" spans="1:11" x14ac:dyDescent="0.25">
      <c r="A1273" s="24" t="s">
        <v>7</v>
      </c>
      <c r="B1273" s="24" t="s">
        <v>7220</v>
      </c>
      <c r="C1273" s="25" t="s">
        <v>7221</v>
      </c>
      <c r="D1273" s="24" t="s">
        <v>21824</v>
      </c>
      <c r="G1273" s="40">
        <v>17</v>
      </c>
      <c r="H1273" s="41">
        <v>204</v>
      </c>
      <c r="J1273" s="41">
        <v>12</v>
      </c>
    </row>
    <row r="1274" spans="1:11" x14ac:dyDescent="0.25">
      <c r="A1274" s="24" t="s">
        <v>7</v>
      </c>
      <c r="B1274" s="24" t="s">
        <v>7223</v>
      </c>
      <c r="C1274" s="25" t="s">
        <v>7224</v>
      </c>
      <c r="D1274" s="24" t="s">
        <v>21824</v>
      </c>
      <c r="E1274" s="40">
        <v>194</v>
      </c>
      <c r="F1274" s="41">
        <v>3265</v>
      </c>
      <c r="G1274" s="40">
        <v>131</v>
      </c>
      <c r="H1274" s="41">
        <v>2073</v>
      </c>
      <c r="I1274" s="41">
        <v>16.829896907216494</v>
      </c>
      <c r="J1274" s="41">
        <v>15.824427480916031</v>
      </c>
      <c r="K1274" s="42">
        <v>-5.9743053201313893E-2</v>
      </c>
    </row>
    <row r="1275" spans="1:11" x14ac:dyDescent="0.25">
      <c r="A1275" s="24" t="s">
        <v>7</v>
      </c>
      <c r="B1275" s="24" t="s">
        <v>7226</v>
      </c>
      <c r="C1275" s="25" t="s">
        <v>7227</v>
      </c>
      <c r="D1275" s="24" t="s">
        <v>21824</v>
      </c>
      <c r="E1275" s="40">
        <v>373</v>
      </c>
      <c r="F1275" s="41">
        <v>6189</v>
      </c>
      <c r="G1275" s="40">
        <v>425</v>
      </c>
      <c r="H1275" s="41">
        <v>6458</v>
      </c>
      <c r="I1275" s="41">
        <v>16.592493297587133</v>
      </c>
      <c r="J1275" s="41">
        <v>15.195294117647059</v>
      </c>
      <c r="K1275" s="42">
        <v>-8.4206704494691809E-2</v>
      </c>
    </row>
    <row r="1276" spans="1:11" x14ac:dyDescent="0.25">
      <c r="A1276" s="24" t="s">
        <v>7</v>
      </c>
      <c r="B1276" s="24" t="s">
        <v>7229</v>
      </c>
      <c r="C1276" s="25" t="s">
        <v>7230</v>
      </c>
      <c r="D1276" s="24" t="s">
        <v>21824</v>
      </c>
      <c r="E1276" s="40">
        <v>5</v>
      </c>
      <c r="F1276" s="41">
        <v>82</v>
      </c>
      <c r="G1276" s="40">
        <v>7</v>
      </c>
      <c r="H1276" s="41">
        <v>119</v>
      </c>
      <c r="I1276" s="41">
        <v>16.399999999999999</v>
      </c>
      <c r="J1276" s="41">
        <v>17</v>
      </c>
      <c r="K1276" s="42">
        <v>3.6585365853658625E-2</v>
      </c>
    </row>
    <row r="1277" spans="1:11" x14ac:dyDescent="0.25">
      <c r="A1277" s="24" t="s">
        <v>7</v>
      </c>
      <c r="B1277" s="24" t="s">
        <v>7232</v>
      </c>
      <c r="C1277" s="25" t="s">
        <v>7233</v>
      </c>
      <c r="D1277" s="24" t="s">
        <v>21824</v>
      </c>
      <c r="E1277" s="40">
        <v>252</v>
      </c>
      <c r="F1277" s="41">
        <v>11469</v>
      </c>
      <c r="G1277" s="40">
        <v>175</v>
      </c>
      <c r="H1277" s="41">
        <v>6642</v>
      </c>
      <c r="I1277" s="41">
        <v>45.511904761904759</v>
      </c>
      <c r="J1277" s="41">
        <v>37.954285714285717</v>
      </c>
      <c r="K1277" s="42">
        <v>-0.16605806957886465</v>
      </c>
    </row>
    <row r="1278" spans="1:11" x14ac:dyDescent="0.25">
      <c r="A1278" s="24" t="s">
        <v>7</v>
      </c>
      <c r="B1278" s="24" t="s">
        <v>7235</v>
      </c>
      <c r="C1278" s="25" t="s">
        <v>7236</v>
      </c>
      <c r="D1278" s="24" t="s">
        <v>21824</v>
      </c>
      <c r="E1278" s="40">
        <v>321</v>
      </c>
      <c r="F1278" s="41">
        <v>14133</v>
      </c>
      <c r="G1278" s="40">
        <v>254</v>
      </c>
      <c r="H1278" s="41">
        <v>7904</v>
      </c>
      <c r="I1278" s="41">
        <v>44.028037383177569</v>
      </c>
      <c r="J1278" s="41">
        <v>31.118110236220474</v>
      </c>
      <c r="K1278" s="42">
        <v>-0.29322059111110366</v>
      </c>
    </row>
    <row r="1279" spans="1:11" x14ac:dyDescent="0.25">
      <c r="A1279" s="24" t="s">
        <v>7</v>
      </c>
      <c r="B1279" s="24" t="s">
        <v>7238</v>
      </c>
      <c r="C1279" s="25" t="s">
        <v>7239</v>
      </c>
      <c r="D1279" s="24" t="s">
        <v>21824</v>
      </c>
      <c r="E1279" s="40">
        <v>1348</v>
      </c>
      <c r="F1279" s="41">
        <v>51474</v>
      </c>
      <c r="G1279" s="40">
        <v>1398</v>
      </c>
      <c r="H1279" s="41">
        <v>46048</v>
      </c>
      <c r="I1279" s="41">
        <v>38.185459940652819</v>
      </c>
      <c r="J1279" s="41">
        <v>32.938483547925607</v>
      </c>
      <c r="K1279" s="42">
        <v>-0.13740770442157754</v>
      </c>
    </row>
    <row r="1280" spans="1:11" x14ac:dyDescent="0.25">
      <c r="A1280" s="24" t="s">
        <v>7</v>
      </c>
      <c r="B1280" s="24" t="s">
        <v>7241</v>
      </c>
      <c r="C1280" s="25" t="s">
        <v>7242</v>
      </c>
      <c r="D1280" s="24" t="s">
        <v>21824</v>
      </c>
      <c r="E1280" s="40">
        <v>19246</v>
      </c>
      <c r="F1280" s="41">
        <v>1357107</v>
      </c>
      <c r="G1280" s="40">
        <v>20690</v>
      </c>
      <c r="H1280" s="41">
        <v>1230601</v>
      </c>
      <c r="I1280" s="41">
        <v>70.513717136028262</v>
      </c>
      <c r="J1280" s="41">
        <v>59.478057032382793</v>
      </c>
      <c r="K1280" s="42">
        <v>-0.15650373504429696</v>
      </c>
    </row>
    <row r="1281" spans="1:11" x14ac:dyDescent="0.25">
      <c r="A1281" s="24" t="s">
        <v>7</v>
      </c>
      <c r="B1281" s="24" t="s">
        <v>7247</v>
      </c>
      <c r="C1281" s="25" t="s">
        <v>7248</v>
      </c>
      <c r="D1281" s="24" t="s">
        <v>21824</v>
      </c>
      <c r="E1281" s="40">
        <v>435</v>
      </c>
      <c r="F1281" s="41">
        <v>53232</v>
      </c>
      <c r="G1281" s="40">
        <v>474</v>
      </c>
      <c r="H1281" s="41">
        <v>50780</v>
      </c>
      <c r="I1281" s="41">
        <v>122.37241379310345</v>
      </c>
      <c r="J1281" s="41">
        <v>107.13080168776371</v>
      </c>
      <c r="K1281" s="42">
        <v>-0.12455104572104725</v>
      </c>
    </row>
    <row r="1282" spans="1:11" x14ac:dyDescent="0.25">
      <c r="A1282" s="24" t="s">
        <v>7</v>
      </c>
      <c r="B1282" s="24" t="s">
        <v>7250</v>
      </c>
      <c r="C1282" s="25" t="s">
        <v>7251</v>
      </c>
      <c r="D1282" s="24" t="s">
        <v>21824</v>
      </c>
      <c r="E1282" s="40">
        <v>203</v>
      </c>
      <c r="F1282" s="41">
        <v>11021</v>
      </c>
      <c r="G1282" s="40">
        <v>247</v>
      </c>
      <c r="H1282" s="41">
        <v>11869</v>
      </c>
      <c r="I1282" s="41">
        <v>54.290640394088669</v>
      </c>
      <c r="J1282" s="41">
        <v>48.05263157894737</v>
      </c>
      <c r="K1282" s="42">
        <v>-0.11490026217890244</v>
      </c>
    </row>
    <row r="1283" spans="1:11" x14ac:dyDescent="0.25">
      <c r="A1283" s="24" t="s">
        <v>7</v>
      </c>
      <c r="B1283" s="24" t="s">
        <v>7253</v>
      </c>
      <c r="C1283" s="25" t="s">
        <v>7254</v>
      </c>
      <c r="D1283" s="24" t="s">
        <v>21824</v>
      </c>
      <c r="E1283" s="40">
        <v>11</v>
      </c>
      <c r="F1283" s="41">
        <v>240</v>
      </c>
      <c r="G1283" s="40">
        <v>59</v>
      </c>
      <c r="H1283" s="41">
        <v>1130</v>
      </c>
      <c r="I1283" s="41">
        <v>21.818181818181817</v>
      </c>
      <c r="J1283" s="41">
        <v>19.152542372881356</v>
      </c>
      <c r="K1283" s="42">
        <v>-0.12217514124293777</v>
      </c>
    </row>
    <row r="1284" spans="1:11" x14ac:dyDescent="0.25">
      <c r="A1284" s="24" t="s">
        <v>7</v>
      </c>
      <c r="B1284" s="24" t="s">
        <v>7256</v>
      </c>
      <c r="C1284" s="25" t="s">
        <v>7257</v>
      </c>
      <c r="D1284" s="24" t="s">
        <v>21824</v>
      </c>
      <c r="E1284" s="40">
        <v>241</v>
      </c>
      <c r="F1284" s="41">
        <v>4064</v>
      </c>
      <c r="G1284" s="40">
        <v>350</v>
      </c>
      <c r="H1284" s="41">
        <v>5070</v>
      </c>
      <c r="I1284" s="41">
        <v>16.863070539419088</v>
      </c>
      <c r="J1284" s="41">
        <v>14.485714285714286</v>
      </c>
      <c r="K1284" s="42">
        <v>-0.1409800337457818</v>
      </c>
    </row>
    <row r="1285" spans="1:11" x14ac:dyDescent="0.25">
      <c r="A1285" s="24" t="s">
        <v>7</v>
      </c>
      <c r="B1285" s="24" t="s">
        <v>7259</v>
      </c>
      <c r="C1285" s="25" t="s">
        <v>7260</v>
      </c>
      <c r="D1285" s="24" t="s">
        <v>21824</v>
      </c>
      <c r="E1285" s="40">
        <v>21</v>
      </c>
      <c r="F1285" s="41">
        <v>345</v>
      </c>
      <c r="G1285" s="40">
        <v>32</v>
      </c>
      <c r="H1285" s="41">
        <v>544</v>
      </c>
      <c r="I1285" s="41">
        <v>16.428571428571427</v>
      </c>
      <c r="J1285" s="41">
        <v>17</v>
      </c>
      <c r="K1285" s="42">
        <v>3.4782608695652271E-2</v>
      </c>
    </row>
    <row r="1286" spans="1:11" x14ac:dyDescent="0.25">
      <c r="A1286" s="24" t="s">
        <v>7</v>
      </c>
      <c r="B1286" s="24" t="s">
        <v>7262</v>
      </c>
      <c r="C1286" s="25" t="s">
        <v>7263</v>
      </c>
      <c r="D1286" s="24" t="s">
        <v>21824</v>
      </c>
      <c r="G1286" s="40">
        <v>48</v>
      </c>
      <c r="H1286" s="41">
        <v>3264</v>
      </c>
      <c r="J1286" s="41">
        <v>68</v>
      </c>
    </row>
    <row r="1287" spans="1:11" x14ac:dyDescent="0.25">
      <c r="A1287" s="24" t="s">
        <v>7</v>
      </c>
      <c r="B1287" s="24" t="s">
        <v>7265</v>
      </c>
      <c r="C1287" s="25" t="s">
        <v>7266</v>
      </c>
      <c r="D1287" s="24" t="s">
        <v>21824</v>
      </c>
      <c r="E1287" s="40">
        <v>74</v>
      </c>
      <c r="F1287" s="41">
        <v>13602</v>
      </c>
      <c r="G1287" s="40">
        <v>61</v>
      </c>
      <c r="H1287" s="41">
        <v>9761</v>
      </c>
      <c r="I1287" s="41">
        <v>183.81081081081081</v>
      </c>
      <c r="J1287" s="41">
        <v>160.01639344262296</v>
      </c>
      <c r="K1287" s="42">
        <v>-0.12945058706410095</v>
      </c>
    </row>
    <row r="1288" spans="1:11" x14ac:dyDescent="0.25">
      <c r="A1288" s="24" t="s">
        <v>7</v>
      </c>
      <c r="B1288" s="24" t="s">
        <v>7268</v>
      </c>
      <c r="C1288" s="25" t="s">
        <v>7269</v>
      </c>
      <c r="D1288" s="24" t="s">
        <v>21824</v>
      </c>
      <c r="E1288" s="40">
        <v>6568</v>
      </c>
      <c r="F1288" s="41">
        <v>282170</v>
      </c>
      <c r="G1288" s="40">
        <v>8654</v>
      </c>
      <c r="H1288" s="41">
        <v>434740</v>
      </c>
      <c r="I1288" s="41">
        <v>42.961327649208286</v>
      </c>
      <c r="J1288" s="41">
        <v>50.235729142593023</v>
      </c>
      <c r="K1288" s="42">
        <v>0.1693244108464789</v>
      </c>
    </row>
    <row r="1289" spans="1:11" x14ac:dyDescent="0.25">
      <c r="A1289" s="24" t="s">
        <v>7</v>
      </c>
      <c r="B1289" s="24" t="s">
        <v>7270</v>
      </c>
      <c r="C1289" s="25" t="s">
        <v>7271</v>
      </c>
      <c r="D1289" s="24" t="s">
        <v>21824</v>
      </c>
      <c r="E1289" s="40">
        <v>5034</v>
      </c>
      <c r="F1289" s="41">
        <v>217791</v>
      </c>
      <c r="G1289" s="40">
        <v>6146</v>
      </c>
      <c r="H1289" s="41">
        <v>308053</v>
      </c>
      <c r="I1289" s="41">
        <v>43.264004767580452</v>
      </c>
      <c r="J1289" s="41">
        <v>50.122518711356982</v>
      </c>
      <c r="K1289" s="42">
        <v>0.15852702450042036</v>
      </c>
    </row>
    <row r="1290" spans="1:11" x14ac:dyDescent="0.25">
      <c r="A1290" s="24" t="s">
        <v>7</v>
      </c>
      <c r="B1290" s="24" t="s">
        <v>7273</v>
      </c>
      <c r="C1290" s="25" t="s">
        <v>7274</v>
      </c>
      <c r="D1290" s="24" t="s">
        <v>21824</v>
      </c>
      <c r="E1290" s="40">
        <v>88</v>
      </c>
      <c r="F1290" s="41">
        <v>20674</v>
      </c>
      <c r="G1290" s="40">
        <v>49</v>
      </c>
      <c r="H1290" s="41">
        <v>11662</v>
      </c>
      <c r="I1290" s="41">
        <v>234.93181818181819</v>
      </c>
      <c r="J1290" s="41">
        <v>238</v>
      </c>
      <c r="K1290" s="42">
        <v>1.3059881977362849E-2</v>
      </c>
    </row>
    <row r="1291" spans="1:11" x14ac:dyDescent="0.25">
      <c r="A1291" s="24" t="s">
        <v>7</v>
      </c>
      <c r="B1291" s="24" t="s">
        <v>7276</v>
      </c>
      <c r="C1291" s="25" t="s">
        <v>7277</v>
      </c>
      <c r="D1291" s="24" t="s">
        <v>21824</v>
      </c>
      <c r="E1291" s="40">
        <v>49</v>
      </c>
      <c r="F1291" s="41">
        <v>8014</v>
      </c>
      <c r="G1291" s="40">
        <v>59</v>
      </c>
      <c r="H1291" s="41">
        <v>8974</v>
      </c>
      <c r="I1291" s="41">
        <v>163.55102040816325</v>
      </c>
      <c r="J1291" s="41">
        <v>152.10169491525423</v>
      </c>
      <c r="K1291" s="42">
        <v>-7.0004610575560552E-2</v>
      </c>
    </row>
    <row r="1292" spans="1:11" x14ac:dyDescent="0.25">
      <c r="A1292" s="24" t="s">
        <v>7</v>
      </c>
      <c r="B1292" s="24" t="s">
        <v>7279</v>
      </c>
      <c r="C1292" s="25" t="s">
        <v>7280</v>
      </c>
      <c r="D1292" s="24" t="s">
        <v>21824</v>
      </c>
      <c r="E1292" s="40">
        <v>261</v>
      </c>
      <c r="F1292" s="41">
        <v>46812</v>
      </c>
      <c r="G1292" s="40">
        <v>290</v>
      </c>
      <c r="H1292" s="41">
        <v>37730</v>
      </c>
      <c r="I1292" s="41">
        <v>179.35632183908046</v>
      </c>
      <c r="J1292" s="41">
        <v>130.10344827586206</v>
      </c>
      <c r="K1292" s="42">
        <v>-0.27460907459625744</v>
      </c>
    </row>
    <row r="1293" spans="1:11" x14ac:dyDescent="0.25">
      <c r="A1293" s="24" t="s">
        <v>7</v>
      </c>
      <c r="B1293" s="24" t="s">
        <v>7282</v>
      </c>
      <c r="C1293" s="25" t="s">
        <v>7283</v>
      </c>
      <c r="D1293" s="24" t="s">
        <v>21824</v>
      </c>
      <c r="E1293" s="40">
        <v>293</v>
      </c>
      <c r="F1293" s="41">
        <v>43055</v>
      </c>
      <c r="G1293" s="40">
        <v>188</v>
      </c>
      <c r="H1293" s="41">
        <v>21788</v>
      </c>
      <c r="I1293" s="41">
        <v>146.94539249146757</v>
      </c>
      <c r="J1293" s="41">
        <v>115.8936170212766</v>
      </c>
      <c r="K1293" s="42">
        <v>-0.21131506707155862</v>
      </c>
    </row>
    <row r="1294" spans="1:11" x14ac:dyDescent="0.25">
      <c r="A1294" s="24" t="s">
        <v>7</v>
      </c>
      <c r="B1294" s="24" t="s">
        <v>7285</v>
      </c>
      <c r="C1294" s="25" t="s">
        <v>7286</v>
      </c>
      <c r="D1294" s="24" t="s">
        <v>21824</v>
      </c>
      <c r="E1294" s="40">
        <v>29</v>
      </c>
      <c r="F1294" s="41">
        <v>7866</v>
      </c>
      <c r="G1294" s="40">
        <v>33</v>
      </c>
      <c r="H1294" s="41">
        <v>1198</v>
      </c>
      <c r="I1294" s="41">
        <v>271.24137931034483</v>
      </c>
      <c r="J1294" s="41">
        <v>36.303030303030305</v>
      </c>
      <c r="K1294" s="42">
        <v>-0.86615968995831694</v>
      </c>
    </row>
    <row r="1295" spans="1:11" x14ac:dyDescent="0.25">
      <c r="A1295" s="24" t="s">
        <v>7</v>
      </c>
      <c r="B1295" s="24" t="s">
        <v>7288</v>
      </c>
      <c r="C1295" s="25" t="s">
        <v>7289</v>
      </c>
      <c r="D1295" s="24" t="s">
        <v>21824</v>
      </c>
      <c r="E1295" s="40">
        <v>339</v>
      </c>
      <c r="F1295" s="41">
        <v>5701</v>
      </c>
      <c r="G1295" s="40">
        <v>419</v>
      </c>
      <c r="H1295" s="41">
        <v>7123</v>
      </c>
      <c r="I1295" s="41">
        <v>16.817109144542773</v>
      </c>
      <c r="J1295" s="41">
        <v>17</v>
      </c>
      <c r="K1295" s="42">
        <v>1.0875285037712691E-2</v>
      </c>
    </row>
    <row r="1296" spans="1:11" x14ac:dyDescent="0.25">
      <c r="A1296" s="24" t="s">
        <v>7</v>
      </c>
      <c r="B1296" s="24" t="s">
        <v>7290</v>
      </c>
      <c r="C1296" s="25" t="s">
        <v>7291</v>
      </c>
      <c r="D1296" s="24" t="s">
        <v>21823</v>
      </c>
      <c r="E1296" s="40">
        <v>80</v>
      </c>
      <c r="F1296" s="41">
        <v>1346</v>
      </c>
      <c r="G1296" s="40">
        <v>261</v>
      </c>
      <c r="H1296" s="41">
        <v>1989</v>
      </c>
      <c r="I1296" s="41">
        <v>16.824999999999999</v>
      </c>
      <c r="J1296" s="41">
        <v>7.6206896551724137</v>
      </c>
      <c r="K1296" s="42">
        <v>-0.54706153609673625</v>
      </c>
    </row>
    <row r="1297" spans="1:11" x14ac:dyDescent="0.25">
      <c r="A1297" s="24" t="s">
        <v>7</v>
      </c>
      <c r="B1297" s="24" t="s">
        <v>7293</v>
      </c>
      <c r="C1297" s="25" t="s">
        <v>7294</v>
      </c>
      <c r="D1297" s="24" t="s">
        <v>21823</v>
      </c>
      <c r="E1297" s="40">
        <v>6974</v>
      </c>
      <c r="F1297" s="41">
        <v>149402</v>
      </c>
      <c r="G1297" s="40">
        <v>5294</v>
      </c>
      <c r="H1297" s="41">
        <v>103805</v>
      </c>
      <c r="I1297" s="41">
        <v>21.422712933753942</v>
      </c>
      <c r="J1297" s="41">
        <v>19.608046845485454</v>
      </c>
      <c r="K1297" s="42">
        <v>-8.4707576201017654E-2</v>
      </c>
    </row>
    <row r="1298" spans="1:11" x14ac:dyDescent="0.25">
      <c r="A1298" s="24" t="s">
        <v>7</v>
      </c>
      <c r="B1298" s="24" t="s">
        <v>7296</v>
      </c>
      <c r="C1298" s="25" t="s">
        <v>7297</v>
      </c>
      <c r="D1298" s="24" t="s">
        <v>21824</v>
      </c>
      <c r="G1298" s="40">
        <v>10</v>
      </c>
      <c r="H1298" s="41">
        <v>1240</v>
      </c>
      <c r="J1298" s="41">
        <v>124</v>
      </c>
    </row>
    <row r="1299" spans="1:11" x14ac:dyDescent="0.25">
      <c r="A1299" s="24" t="s">
        <v>7</v>
      </c>
      <c r="B1299" s="24" t="s">
        <v>7302</v>
      </c>
      <c r="C1299" s="25" t="s">
        <v>7303</v>
      </c>
      <c r="D1299" s="24" t="s">
        <v>21823</v>
      </c>
      <c r="E1299" s="40">
        <v>183</v>
      </c>
      <c r="F1299" s="41">
        <v>4268</v>
      </c>
      <c r="G1299" s="40">
        <v>176</v>
      </c>
      <c r="H1299" s="41">
        <v>2890</v>
      </c>
      <c r="I1299" s="41">
        <v>23.3224043715847</v>
      </c>
      <c r="J1299" s="41">
        <v>16.420454545454547</v>
      </c>
      <c r="K1299" s="42">
        <v>-0.29593646161710824</v>
      </c>
    </row>
    <row r="1300" spans="1:11" x14ac:dyDescent="0.25">
      <c r="A1300" s="24" t="s">
        <v>7</v>
      </c>
      <c r="B1300" s="24" t="s">
        <v>7304</v>
      </c>
      <c r="C1300" s="25" t="s">
        <v>7305</v>
      </c>
      <c r="D1300" s="24" t="s">
        <v>21823</v>
      </c>
      <c r="E1300" s="40">
        <v>11404</v>
      </c>
      <c r="F1300" s="41">
        <v>243504</v>
      </c>
      <c r="G1300" s="40">
        <v>12152</v>
      </c>
      <c r="H1300" s="41">
        <v>230615</v>
      </c>
      <c r="I1300" s="41">
        <v>21.352507891967729</v>
      </c>
      <c r="J1300" s="41">
        <v>18.977534562211982</v>
      </c>
      <c r="K1300" s="42">
        <v>-0.11122690326456461</v>
      </c>
    </row>
    <row r="1301" spans="1:11" x14ac:dyDescent="0.25">
      <c r="A1301" s="24" t="s">
        <v>7</v>
      </c>
      <c r="B1301" s="24" t="s">
        <v>7307</v>
      </c>
      <c r="C1301" s="25" t="s">
        <v>7308</v>
      </c>
      <c r="D1301" s="24" t="s">
        <v>21823</v>
      </c>
      <c r="E1301" s="40">
        <v>6952</v>
      </c>
      <c r="F1301" s="41">
        <v>74575</v>
      </c>
      <c r="G1301" s="40">
        <v>8042</v>
      </c>
      <c r="H1301" s="41">
        <v>75882</v>
      </c>
      <c r="I1301" s="41">
        <v>10.727128883774453</v>
      </c>
      <c r="J1301" s="41">
        <v>9.4357125093260379</v>
      </c>
      <c r="K1301" s="42">
        <v>-0.1203878864923283</v>
      </c>
    </row>
    <row r="1302" spans="1:11" x14ac:dyDescent="0.25">
      <c r="A1302" s="24" t="s">
        <v>7</v>
      </c>
      <c r="B1302" s="24" t="s">
        <v>7310</v>
      </c>
      <c r="C1302" s="25" t="s">
        <v>7311</v>
      </c>
      <c r="D1302" s="24" t="s">
        <v>21823</v>
      </c>
      <c r="E1302" s="40">
        <v>1510</v>
      </c>
      <c r="F1302" s="41">
        <v>28117</v>
      </c>
      <c r="G1302" s="40">
        <v>1781</v>
      </c>
      <c r="H1302" s="41">
        <v>27413</v>
      </c>
      <c r="I1302" s="41">
        <v>18.620529801324505</v>
      </c>
      <c r="J1302" s="41">
        <v>15.391914654688378</v>
      </c>
      <c r="K1302" s="42">
        <v>-0.17339007971762815</v>
      </c>
    </row>
    <row r="1303" spans="1:11" x14ac:dyDescent="0.25">
      <c r="A1303" s="24" t="s">
        <v>7</v>
      </c>
      <c r="B1303" s="24" t="s">
        <v>7319</v>
      </c>
      <c r="C1303" s="25" t="s">
        <v>7320</v>
      </c>
      <c r="D1303" s="24" t="s">
        <v>21824</v>
      </c>
      <c r="E1303" s="40">
        <v>68</v>
      </c>
      <c r="F1303" s="41">
        <v>1141</v>
      </c>
      <c r="G1303" s="40">
        <v>10</v>
      </c>
      <c r="H1303" s="41">
        <v>170</v>
      </c>
      <c r="I1303" s="41">
        <v>16.779411764705884</v>
      </c>
      <c r="J1303" s="41">
        <v>17</v>
      </c>
      <c r="K1303" s="42">
        <v>1.3146362839614272E-2</v>
      </c>
    </row>
    <row r="1304" spans="1:11" x14ac:dyDescent="0.25">
      <c r="A1304" s="24" t="s">
        <v>7</v>
      </c>
      <c r="B1304" s="24" t="s">
        <v>7322</v>
      </c>
      <c r="C1304" s="25" t="s">
        <v>7323</v>
      </c>
      <c r="D1304" s="24" t="s">
        <v>21824</v>
      </c>
      <c r="E1304" s="40">
        <v>1692</v>
      </c>
      <c r="F1304" s="41">
        <v>49702</v>
      </c>
      <c r="G1304" s="40">
        <v>1893</v>
      </c>
      <c r="H1304" s="41">
        <v>43131</v>
      </c>
      <c r="I1304" s="41">
        <v>29.374704491725769</v>
      </c>
      <c r="J1304" s="41">
        <v>22.784469096671948</v>
      </c>
      <c r="K1304" s="42">
        <v>-0.22435069591628232</v>
      </c>
    </row>
    <row r="1305" spans="1:11" x14ac:dyDescent="0.25">
      <c r="A1305" s="24" t="s">
        <v>7</v>
      </c>
      <c r="B1305" s="24" t="s">
        <v>7325</v>
      </c>
      <c r="C1305" s="25" t="s">
        <v>7326</v>
      </c>
      <c r="D1305" s="24" t="s">
        <v>21824</v>
      </c>
      <c r="E1305" s="40">
        <v>120</v>
      </c>
      <c r="F1305" s="41">
        <v>2020</v>
      </c>
      <c r="G1305" s="40">
        <v>77</v>
      </c>
      <c r="H1305" s="41">
        <v>1309</v>
      </c>
      <c r="I1305" s="41">
        <v>16.833333333333332</v>
      </c>
      <c r="J1305" s="41">
        <v>17</v>
      </c>
      <c r="K1305" s="42">
        <v>9.9009900990099722E-3</v>
      </c>
    </row>
    <row r="1306" spans="1:11" x14ac:dyDescent="0.25">
      <c r="A1306" s="24" t="s">
        <v>7</v>
      </c>
      <c r="B1306" s="24" t="s">
        <v>7328</v>
      </c>
      <c r="C1306" s="25" t="s">
        <v>7329</v>
      </c>
      <c r="D1306" s="24" t="s">
        <v>21824</v>
      </c>
      <c r="E1306" s="40">
        <v>19171</v>
      </c>
      <c r="F1306" s="41">
        <v>825233</v>
      </c>
      <c r="G1306" s="40">
        <v>21560</v>
      </c>
      <c r="H1306" s="41">
        <v>809662</v>
      </c>
      <c r="I1306" s="41">
        <v>43.045902665484327</v>
      </c>
      <c r="J1306" s="41">
        <v>37.553896103896101</v>
      </c>
      <c r="K1306" s="42">
        <v>-0.12758488547138552</v>
      </c>
    </row>
    <row r="1307" spans="1:11" x14ac:dyDescent="0.25">
      <c r="A1307" s="24" t="s">
        <v>7</v>
      </c>
      <c r="B1307" s="24" t="s">
        <v>7331</v>
      </c>
      <c r="C1307" s="25" t="s">
        <v>7332</v>
      </c>
      <c r="D1307" s="24" t="s">
        <v>21824</v>
      </c>
      <c r="E1307" s="40">
        <v>17253</v>
      </c>
      <c r="F1307" s="41">
        <v>2785257</v>
      </c>
      <c r="G1307" s="40">
        <v>19597</v>
      </c>
      <c r="H1307" s="41">
        <v>2731467</v>
      </c>
      <c r="I1307" s="41">
        <v>161.43609806990088</v>
      </c>
      <c r="J1307" s="41">
        <v>139.38189518803898</v>
      </c>
      <c r="K1307" s="42">
        <v>-0.1366125863145711</v>
      </c>
    </row>
    <row r="1308" spans="1:11" x14ac:dyDescent="0.25">
      <c r="A1308" s="24" t="s">
        <v>7</v>
      </c>
      <c r="B1308" s="24" t="s">
        <v>7337</v>
      </c>
      <c r="C1308" s="25" t="s">
        <v>7338</v>
      </c>
      <c r="D1308" s="24" t="s">
        <v>21824</v>
      </c>
      <c r="G1308" s="40">
        <v>31</v>
      </c>
      <c r="H1308" s="41">
        <v>527</v>
      </c>
      <c r="J1308" s="41">
        <v>17</v>
      </c>
    </row>
    <row r="1309" spans="1:11" x14ac:dyDescent="0.25">
      <c r="A1309" s="24" t="s">
        <v>7</v>
      </c>
      <c r="B1309" s="24" t="s">
        <v>7340</v>
      </c>
      <c r="C1309" s="25" t="s">
        <v>7341</v>
      </c>
      <c r="D1309" s="24" t="s">
        <v>21825</v>
      </c>
      <c r="E1309" s="40">
        <v>49</v>
      </c>
      <c r="F1309" s="41">
        <v>791</v>
      </c>
      <c r="G1309" s="40">
        <v>43</v>
      </c>
      <c r="H1309" s="41">
        <v>611</v>
      </c>
      <c r="I1309" s="41">
        <v>16.142857142857142</v>
      </c>
      <c r="J1309" s="41">
        <v>14.209302325581396</v>
      </c>
      <c r="K1309" s="42">
        <v>-0.11977773204363032</v>
      </c>
    </row>
    <row r="1310" spans="1:11" x14ac:dyDescent="0.25">
      <c r="A1310" s="24" t="s">
        <v>7</v>
      </c>
      <c r="B1310" s="24" t="s">
        <v>7343</v>
      </c>
      <c r="C1310" s="25" t="s">
        <v>7344</v>
      </c>
      <c r="D1310" s="24" t="s">
        <v>21824</v>
      </c>
      <c r="E1310" s="40">
        <v>2143</v>
      </c>
      <c r="F1310" s="41">
        <v>791882</v>
      </c>
      <c r="G1310" s="40">
        <v>2166</v>
      </c>
      <c r="H1310" s="41">
        <v>697676</v>
      </c>
      <c r="I1310" s="41">
        <v>369.52029864675688</v>
      </c>
      <c r="J1310" s="41">
        <v>322.10341643582643</v>
      </c>
      <c r="K1310" s="42">
        <v>-0.12832010145201425</v>
      </c>
    </row>
    <row r="1311" spans="1:11" x14ac:dyDescent="0.25">
      <c r="A1311" s="24" t="s">
        <v>7</v>
      </c>
      <c r="B1311" s="24" t="s">
        <v>7346</v>
      </c>
      <c r="C1311" s="25" t="s">
        <v>7347</v>
      </c>
      <c r="D1311" s="24" t="s">
        <v>21824</v>
      </c>
      <c r="G1311" s="40">
        <v>122</v>
      </c>
      <c r="H1311" s="41">
        <v>67222</v>
      </c>
      <c r="J1311" s="41">
        <v>551</v>
      </c>
    </row>
    <row r="1312" spans="1:11" x14ac:dyDescent="0.25">
      <c r="A1312" s="24" t="s">
        <v>7</v>
      </c>
      <c r="B1312" s="24" t="s">
        <v>7349</v>
      </c>
      <c r="C1312" s="25" t="s">
        <v>7350</v>
      </c>
      <c r="D1312" s="24" t="s">
        <v>21824</v>
      </c>
      <c r="E1312" s="40">
        <v>1486</v>
      </c>
      <c r="F1312" s="41">
        <v>25131</v>
      </c>
      <c r="G1312" s="40">
        <v>646</v>
      </c>
      <c r="H1312" s="41">
        <v>9677</v>
      </c>
      <c r="I1312" s="41">
        <v>16.911843876177659</v>
      </c>
      <c r="J1312" s="41">
        <v>14.979876160990711</v>
      </c>
      <c r="K1312" s="42">
        <v>-0.11423755619624387</v>
      </c>
    </row>
    <row r="1313" spans="1:11" x14ac:dyDescent="0.25">
      <c r="A1313" s="24" t="s">
        <v>7</v>
      </c>
      <c r="B1313" s="24" t="s">
        <v>7351</v>
      </c>
      <c r="C1313" s="25" t="s">
        <v>7352</v>
      </c>
      <c r="D1313" s="24" t="s">
        <v>21824</v>
      </c>
      <c r="E1313" s="40">
        <v>2048</v>
      </c>
      <c r="F1313" s="41">
        <v>33828</v>
      </c>
      <c r="G1313" s="40">
        <v>1073</v>
      </c>
      <c r="H1313" s="41">
        <v>16057</v>
      </c>
      <c r="I1313" s="41">
        <v>16.517578125</v>
      </c>
      <c r="J1313" s="41">
        <v>14.964585274930103</v>
      </c>
      <c r="K1313" s="42">
        <v>-9.4020614784886741E-2</v>
      </c>
    </row>
    <row r="1314" spans="1:11" x14ac:dyDescent="0.25">
      <c r="A1314" s="24" t="s">
        <v>7</v>
      </c>
      <c r="B1314" s="24" t="s">
        <v>7354</v>
      </c>
      <c r="C1314" s="25" t="s">
        <v>7355</v>
      </c>
      <c r="D1314" s="24" t="s">
        <v>21824</v>
      </c>
      <c r="E1314" s="40">
        <v>453</v>
      </c>
      <c r="F1314" s="41">
        <v>12394</v>
      </c>
      <c r="G1314" s="40">
        <v>182</v>
      </c>
      <c r="H1314" s="41">
        <v>5052</v>
      </c>
      <c r="I1314" s="41">
        <v>27.359823399558501</v>
      </c>
      <c r="J1314" s="41">
        <v>27.758241758241759</v>
      </c>
      <c r="K1314" s="42">
        <v>1.4562168507625959E-2</v>
      </c>
    </row>
    <row r="1315" spans="1:11" x14ac:dyDescent="0.25">
      <c r="A1315" s="24" t="s">
        <v>7</v>
      </c>
      <c r="B1315" s="24" t="s">
        <v>7357</v>
      </c>
      <c r="C1315" s="25" t="s">
        <v>7358</v>
      </c>
      <c r="D1315" s="24" t="s">
        <v>21824</v>
      </c>
      <c r="G1315" s="40">
        <v>15</v>
      </c>
      <c r="H1315" s="41">
        <v>9300</v>
      </c>
      <c r="J1315" s="41">
        <v>620</v>
      </c>
    </row>
    <row r="1316" spans="1:11" x14ac:dyDescent="0.25">
      <c r="A1316" s="24" t="s">
        <v>7</v>
      </c>
      <c r="B1316" s="24" t="s">
        <v>7360</v>
      </c>
      <c r="C1316" s="25" t="s">
        <v>7361</v>
      </c>
      <c r="D1316" s="24" t="s">
        <v>21824</v>
      </c>
      <c r="G1316" s="40">
        <v>74</v>
      </c>
      <c r="H1316" s="41">
        <v>45880</v>
      </c>
      <c r="J1316" s="41">
        <v>620</v>
      </c>
    </row>
    <row r="1317" spans="1:11" x14ac:dyDescent="0.25">
      <c r="A1317" s="24" t="s">
        <v>7</v>
      </c>
      <c r="B1317" s="24" t="s">
        <v>7363</v>
      </c>
      <c r="C1317" s="25" t="s">
        <v>7364</v>
      </c>
      <c r="D1317" s="24" t="s">
        <v>21824</v>
      </c>
      <c r="G1317" s="40">
        <v>39</v>
      </c>
      <c r="H1317" s="41">
        <v>1092</v>
      </c>
      <c r="J1317" s="41">
        <v>28</v>
      </c>
    </row>
    <row r="1318" spans="1:11" x14ac:dyDescent="0.25">
      <c r="A1318" s="24" t="s">
        <v>7</v>
      </c>
      <c r="B1318" s="24" t="s">
        <v>7378</v>
      </c>
      <c r="C1318" s="25" t="s">
        <v>7379</v>
      </c>
      <c r="D1318" s="24" t="s">
        <v>21823</v>
      </c>
      <c r="E1318" s="40">
        <v>357</v>
      </c>
      <c r="F1318" s="41">
        <v>3159.65</v>
      </c>
      <c r="G1318" s="40">
        <v>425</v>
      </c>
      <c r="H1318" s="41">
        <v>3825</v>
      </c>
      <c r="I1318" s="41">
        <v>8.8505602240896355</v>
      </c>
      <c r="J1318" s="41">
        <v>9</v>
      </c>
      <c r="K1318" s="42">
        <v>1.6884781542259468E-2</v>
      </c>
    </row>
    <row r="1319" spans="1:11" x14ac:dyDescent="0.25">
      <c r="A1319" s="24" t="s">
        <v>7</v>
      </c>
      <c r="B1319" s="24" t="s">
        <v>7381</v>
      </c>
      <c r="C1319" s="25" t="s">
        <v>7382</v>
      </c>
      <c r="D1319" s="24" t="s">
        <v>21823</v>
      </c>
      <c r="E1319" s="40">
        <v>18</v>
      </c>
      <c r="F1319" s="41">
        <v>1578</v>
      </c>
      <c r="G1319" s="40">
        <v>19</v>
      </c>
      <c r="H1319" s="41">
        <v>1710</v>
      </c>
      <c r="I1319" s="41">
        <v>87.666666666666671</v>
      </c>
      <c r="J1319" s="41">
        <v>90</v>
      </c>
      <c r="K1319" s="42">
        <v>2.6615969581748992E-2</v>
      </c>
    </row>
    <row r="1320" spans="1:11" x14ac:dyDescent="0.25">
      <c r="A1320" s="24" t="s">
        <v>7</v>
      </c>
      <c r="B1320" s="24" t="s">
        <v>7384</v>
      </c>
      <c r="C1320" s="25" t="s">
        <v>7385</v>
      </c>
      <c r="D1320" s="24" t="s">
        <v>21824</v>
      </c>
      <c r="E1320" s="40">
        <v>947</v>
      </c>
      <c r="F1320" s="41">
        <v>10270</v>
      </c>
      <c r="G1320" s="40">
        <v>1304</v>
      </c>
      <c r="H1320" s="41">
        <v>12657</v>
      </c>
      <c r="I1320" s="41">
        <v>10.844772967265047</v>
      </c>
      <c r="J1320" s="41">
        <v>9.706288343558283</v>
      </c>
      <c r="K1320" s="42">
        <v>-0.10498003297471334</v>
      </c>
    </row>
    <row r="1321" spans="1:11" x14ac:dyDescent="0.25">
      <c r="A1321" s="24" t="s">
        <v>7</v>
      </c>
      <c r="B1321" s="24" t="s">
        <v>7387</v>
      </c>
      <c r="C1321" s="25" t="s">
        <v>7388</v>
      </c>
      <c r="D1321" s="24" t="s">
        <v>21824</v>
      </c>
      <c r="E1321" s="40">
        <v>21</v>
      </c>
      <c r="F1321" s="41">
        <v>357</v>
      </c>
      <c r="G1321" s="40">
        <v>91</v>
      </c>
      <c r="H1321" s="41">
        <v>1547</v>
      </c>
      <c r="I1321" s="41">
        <v>17</v>
      </c>
      <c r="J1321" s="41">
        <v>17</v>
      </c>
      <c r="K1321" s="42">
        <v>0</v>
      </c>
    </row>
    <row r="1322" spans="1:11" x14ac:dyDescent="0.25">
      <c r="A1322" s="24" t="s">
        <v>7</v>
      </c>
      <c r="B1322" s="24" t="s">
        <v>7390</v>
      </c>
      <c r="C1322" s="25" t="s">
        <v>7391</v>
      </c>
      <c r="D1322" s="24" t="s">
        <v>21824</v>
      </c>
      <c r="E1322" s="40">
        <v>372</v>
      </c>
      <c r="F1322" s="41">
        <v>5095</v>
      </c>
      <c r="G1322" s="40">
        <v>351</v>
      </c>
      <c r="H1322" s="41">
        <v>3029</v>
      </c>
      <c r="I1322" s="41">
        <v>13.696236559139784</v>
      </c>
      <c r="J1322" s="41">
        <v>8.6296296296296298</v>
      </c>
      <c r="K1322" s="42">
        <v>-0.36992694362664919</v>
      </c>
    </row>
    <row r="1323" spans="1:11" x14ac:dyDescent="0.25">
      <c r="A1323" s="24" t="s">
        <v>7</v>
      </c>
      <c r="B1323" s="24" t="s">
        <v>7393</v>
      </c>
      <c r="C1323" s="25" t="s">
        <v>7394</v>
      </c>
      <c r="D1323" s="24" t="s">
        <v>21824</v>
      </c>
      <c r="G1323" s="40">
        <v>66</v>
      </c>
      <c r="H1323" s="41">
        <v>759</v>
      </c>
      <c r="J1323" s="41">
        <v>11.5</v>
      </c>
    </row>
    <row r="1324" spans="1:11" x14ac:dyDescent="0.25">
      <c r="A1324" s="24" t="s">
        <v>7</v>
      </c>
      <c r="B1324" s="24" t="s">
        <v>7399</v>
      </c>
      <c r="C1324" s="25" t="s">
        <v>7400</v>
      </c>
      <c r="D1324" s="24" t="s">
        <v>21824</v>
      </c>
      <c r="E1324" s="40">
        <v>82</v>
      </c>
      <c r="F1324" s="41">
        <v>1394</v>
      </c>
      <c r="G1324" s="40">
        <v>71</v>
      </c>
      <c r="H1324" s="41">
        <v>742</v>
      </c>
      <c r="I1324" s="41">
        <v>17</v>
      </c>
      <c r="J1324" s="41">
        <v>10.450704225352112</v>
      </c>
      <c r="K1324" s="42">
        <v>-0.38525269262634637</v>
      </c>
    </row>
    <row r="1325" spans="1:11" x14ac:dyDescent="0.25">
      <c r="A1325" s="24" t="s">
        <v>7</v>
      </c>
      <c r="B1325" s="24" t="s">
        <v>7402</v>
      </c>
      <c r="C1325" s="25" t="s">
        <v>7403</v>
      </c>
      <c r="D1325" s="24" t="s">
        <v>21824</v>
      </c>
      <c r="E1325" s="40">
        <v>50</v>
      </c>
      <c r="F1325" s="41">
        <v>836</v>
      </c>
      <c r="G1325" s="40">
        <v>294</v>
      </c>
      <c r="H1325" s="41">
        <v>4008</v>
      </c>
      <c r="I1325" s="41">
        <v>16.72</v>
      </c>
      <c r="J1325" s="41">
        <v>13.63265306122449</v>
      </c>
      <c r="K1325" s="42">
        <v>-0.18464993652963571</v>
      </c>
    </row>
    <row r="1326" spans="1:11" x14ac:dyDescent="0.25">
      <c r="A1326" s="24" t="s">
        <v>7</v>
      </c>
      <c r="B1326" s="24" t="s">
        <v>7405</v>
      </c>
      <c r="C1326" s="25" t="s">
        <v>7406</v>
      </c>
      <c r="D1326" s="24" t="s">
        <v>21824</v>
      </c>
      <c r="E1326" s="40">
        <v>72</v>
      </c>
      <c r="F1326" s="41">
        <v>61923.9</v>
      </c>
      <c r="G1326" s="40">
        <v>335</v>
      </c>
      <c r="H1326" s="41">
        <v>292237</v>
      </c>
      <c r="I1326" s="41">
        <v>860.05416666666667</v>
      </c>
      <c r="J1326" s="41">
        <v>872.34925373134331</v>
      </c>
      <c r="K1326" s="42">
        <v>1.4295712457657185E-2</v>
      </c>
    </row>
    <row r="1327" spans="1:11" x14ac:dyDescent="0.25">
      <c r="A1327" s="24" t="s">
        <v>7</v>
      </c>
      <c r="B1327" s="24" t="s">
        <v>7408</v>
      </c>
      <c r="C1327" s="25" t="s">
        <v>7409</v>
      </c>
      <c r="D1327" s="24" t="s">
        <v>21824</v>
      </c>
      <c r="E1327" s="40">
        <v>196</v>
      </c>
      <c r="F1327" s="41">
        <v>61724</v>
      </c>
      <c r="G1327" s="40">
        <v>202</v>
      </c>
      <c r="H1327" s="41">
        <v>61418</v>
      </c>
      <c r="I1327" s="41">
        <v>314.91836734693879</v>
      </c>
      <c r="J1327" s="41">
        <v>304.04950495049508</v>
      </c>
      <c r="K1327" s="42">
        <v>-3.4513269225956975E-2</v>
      </c>
    </row>
    <row r="1328" spans="1:11" x14ac:dyDescent="0.25">
      <c r="A1328" s="24" t="s">
        <v>7</v>
      </c>
      <c r="B1328" s="24" t="s">
        <v>7414</v>
      </c>
      <c r="C1328" s="25" t="s">
        <v>7415</v>
      </c>
      <c r="D1328" s="24" t="s">
        <v>21823</v>
      </c>
      <c r="E1328" s="40">
        <v>2054</v>
      </c>
      <c r="F1328" s="41">
        <v>34232</v>
      </c>
      <c r="G1328" s="40">
        <v>2135</v>
      </c>
      <c r="H1328" s="41">
        <v>31319</v>
      </c>
      <c r="I1328" s="41">
        <v>16.666017526777022</v>
      </c>
      <c r="J1328" s="41">
        <v>14.669320843091334</v>
      </c>
      <c r="K1328" s="42">
        <v>-0.1198064672905586</v>
      </c>
    </row>
    <row r="1329" spans="1:11" x14ac:dyDescent="0.25">
      <c r="A1329" s="24" t="s">
        <v>7</v>
      </c>
      <c r="B1329" s="24" t="s">
        <v>7417</v>
      </c>
      <c r="C1329" s="25" t="s">
        <v>7418</v>
      </c>
      <c r="D1329" s="24" t="s">
        <v>21824</v>
      </c>
      <c r="E1329" s="40">
        <v>122</v>
      </c>
      <c r="F1329" s="41">
        <v>1443</v>
      </c>
      <c r="G1329" s="40">
        <v>189</v>
      </c>
      <c r="H1329" s="41">
        <v>2268</v>
      </c>
      <c r="I1329" s="41">
        <v>11.827868852459016</v>
      </c>
      <c r="J1329" s="41">
        <v>12</v>
      </c>
      <c r="K1329" s="42">
        <v>1.4553014553014597E-2</v>
      </c>
    </row>
    <row r="1330" spans="1:11" x14ac:dyDescent="0.25">
      <c r="A1330" s="24" t="s">
        <v>7</v>
      </c>
      <c r="B1330" s="24" t="s">
        <v>7420</v>
      </c>
      <c r="C1330" s="25" t="s">
        <v>7421</v>
      </c>
      <c r="D1330" s="24" t="s">
        <v>21824</v>
      </c>
      <c r="E1330" s="40">
        <v>279</v>
      </c>
      <c r="F1330" s="41">
        <v>4971</v>
      </c>
      <c r="G1330" s="40">
        <v>396</v>
      </c>
      <c r="H1330" s="41">
        <v>5924</v>
      </c>
      <c r="I1330" s="41">
        <v>17.817204301075268</v>
      </c>
      <c r="J1330" s="41">
        <v>14.95959595959596</v>
      </c>
      <c r="K1330" s="42">
        <v>-0.16038477716208549</v>
      </c>
    </row>
    <row r="1331" spans="1:11" x14ac:dyDescent="0.25">
      <c r="A1331" s="24" t="s">
        <v>7</v>
      </c>
      <c r="B1331" s="24" t="s">
        <v>7423</v>
      </c>
      <c r="C1331" s="25" t="s">
        <v>7424</v>
      </c>
      <c r="D1331" s="24" t="s">
        <v>21823</v>
      </c>
      <c r="G1331" s="40">
        <v>65</v>
      </c>
      <c r="H1331" s="41">
        <v>881</v>
      </c>
      <c r="J1331" s="41">
        <v>13.553846153846154</v>
      </c>
    </row>
    <row r="1332" spans="1:11" x14ac:dyDescent="0.25">
      <c r="A1332" s="24" t="s">
        <v>7</v>
      </c>
      <c r="B1332" s="24" t="s">
        <v>7426</v>
      </c>
      <c r="C1332" s="25" t="s">
        <v>7427</v>
      </c>
      <c r="D1332" s="24" t="s">
        <v>21824</v>
      </c>
      <c r="E1332" s="40">
        <v>12</v>
      </c>
      <c r="F1332" s="41">
        <v>292</v>
      </c>
      <c r="G1332" s="40">
        <v>3</v>
      </c>
      <c r="H1332" s="41">
        <v>75</v>
      </c>
      <c r="I1332" s="41">
        <v>24.333333333333332</v>
      </c>
      <c r="J1332" s="41">
        <v>25</v>
      </c>
      <c r="K1332" s="42">
        <v>2.7397260273972653E-2</v>
      </c>
    </row>
    <row r="1333" spans="1:11" x14ac:dyDescent="0.25">
      <c r="A1333" s="24" t="s">
        <v>7</v>
      </c>
      <c r="B1333" s="24" t="s">
        <v>7429</v>
      </c>
      <c r="C1333" s="25" t="s">
        <v>7430</v>
      </c>
      <c r="D1333" s="24" t="s">
        <v>21824</v>
      </c>
      <c r="G1333" s="40">
        <v>6</v>
      </c>
      <c r="H1333" s="41">
        <v>1482</v>
      </c>
      <c r="J1333" s="41">
        <v>247</v>
      </c>
    </row>
    <row r="1334" spans="1:11" x14ac:dyDescent="0.25">
      <c r="A1334" s="24" t="s">
        <v>7</v>
      </c>
      <c r="B1334" s="24" t="s">
        <v>7432</v>
      </c>
      <c r="C1334" s="25" t="s">
        <v>7433</v>
      </c>
      <c r="D1334" s="24" t="s">
        <v>21824</v>
      </c>
      <c r="E1334" s="40">
        <v>550</v>
      </c>
      <c r="F1334" s="41">
        <v>9152</v>
      </c>
      <c r="G1334" s="40">
        <v>451</v>
      </c>
      <c r="H1334" s="41">
        <v>7422</v>
      </c>
      <c r="I1334" s="41">
        <v>16.64</v>
      </c>
      <c r="J1334" s="41">
        <v>16.456762749445677</v>
      </c>
      <c r="K1334" s="42">
        <v>-1.1011853999658898E-2</v>
      </c>
    </row>
    <row r="1335" spans="1:11" x14ac:dyDescent="0.25">
      <c r="A1335" s="24" t="s">
        <v>7</v>
      </c>
      <c r="B1335" s="24" t="s">
        <v>7435</v>
      </c>
      <c r="C1335" s="25" t="s">
        <v>7436</v>
      </c>
      <c r="D1335" s="24" t="s">
        <v>21824</v>
      </c>
      <c r="E1335" s="40">
        <v>2430</v>
      </c>
      <c r="F1335" s="41">
        <v>40570</v>
      </c>
      <c r="G1335" s="40">
        <v>2064</v>
      </c>
      <c r="H1335" s="41">
        <v>32198</v>
      </c>
      <c r="I1335" s="41">
        <v>16.695473251028808</v>
      </c>
      <c r="J1335" s="41">
        <v>15.599806201550388</v>
      </c>
      <c r="K1335" s="42">
        <v>-6.5626594287221118E-2</v>
      </c>
    </row>
    <row r="1336" spans="1:11" x14ac:dyDescent="0.25">
      <c r="A1336" s="24" t="s">
        <v>7</v>
      </c>
      <c r="B1336" s="24" t="s">
        <v>7438</v>
      </c>
      <c r="C1336" s="25" t="s">
        <v>7439</v>
      </c>
      <c r="D1336" s="24" t="s">
        <v>21824</v>
      </c>
      <c r="E1336" s="40">
        <v>222</v>
      </c>
      <c r="F1336" s="41">
        <v>12330</v>
      </c>
      <c r="G1336" s="40">
        <v>394</v>
      </c>
      <c r="H1336" s="41">
        <v>19698</v>
      </c>
      <c r="I1336" s="41">
        <v>55.54054054054054</v>
      </c>
      <c r="J1336" s="41">
        <v>49.994923857868024</v>
      </c>
      <c r="K1336" s="42">
        <v>-9.9848086257364049E-2</v>
      </c>
    </row>
    <row r="1337" spans="1:11" x14ac:dyDescent="0.25">
      <c r="A1337" s="24" t="s">
        <v>7</v>
      </c>
      <c r="B1337" s="24" t="s">
        <v>7441</v>
      </c>
      <c r="C1337" s="25" t="s">
        <v>7442</v>
      </c>
      <c r="D1337" s="24" t="s">
        <v>21824</v>
      </c>
      <c r="E1337" s="40">
        <v>386</v>
      </c>
      <c r="F1337" s="41">
        <v>7313</v>
      </c>
      <c r="G1337" s="40">
        <v>146</v>
      </c>
      <c r="H1337" s="41">
        <v>2774</v>
      </c>
      <c r="I1337" s="41">
        <v>18.945595854922281</v>
      </c>
      <c r="J1337" s="41">
        <v>19</v>
      </c>
      <c r="K1337" s="42">
        <v>2.8715985231778187E-3</v>
      </c>
    </row>
    <row r="1338" spans="1:11" x14ac:dyDescent="0.25">
      <c r="A1338" s="24" t="s">
        <v>7</v>
      </c>
      <c r="B1338" s="24" t="s">
        <v>7444</v>
      </c>
      <c r="C1338" s="25" t="s">
        <v>7445</v>
      </c>
      <c r="D1338" s="24" t="s">
        <v>21824</v>
      </c>
      <c r="E1338" s="40">
        <v>104</v>
      </c>
      <c r="F1338" s="41">
        <v>1748</v>
      </c>
      <c r="G1338" s="40">
        <v>80</v>
      </c>
      <c r="H1338" s="41">
        <v>1330</v>
      </c>
      <c r="I1338" s="41">
        <v>16.807692307692307</v>
      </c>
      <c r="J1338" s="41">
        <v>16.625</v>
      </c>
      <c r="K1338" s="42">
        <v>-1.086956521739124E-2</v>
      </c>
    </row>
    <row r="1339" spans="1:11" x14ac:dyDescent="0.25">
      <c r="A1339" s="24" t="s">
        <v>7</v>
      </c>
      <c r="B1339" s="24" t="s">
        <v>7447</v>
      </c>
      <c r="C1339" s="25" t="s">
        <v>7448</v>
      </c>
      <c r="D1339" s="24" t="s">
        <v>21824</v>
      </c>
      <c r="E1339" s="40">
        <v>154</v>
      </c>
      <c r="F1339" s="41">
        <v>4158</v>
      </c>
      <c r="G1339" s="40">
        <v>180</v>
      </c>
      <c r="H1339" s="41">
        <v>3326</v>
      </c>
      <c r="I1339" s="41">
        <v>27</v>
      </c>
      <c r="J1339" s="41">
        <v>18.477777777777778</v>
      </c>
      <c r="K1339" s="42">
        <v>-0.31563786008230454</v>
      </c>
    </row>
    <row r="1340" spans="1:11" x14ac:dyDescent="0.25">
      <c r="A1340" s="24" t="s">
        <v>7</v>
      </c>
      <c r="B1340" s="24" t="s">
        <v>7450</v>
      </c>
      <c r="C1340" s="25" t="s">
        <v>7451</v>
      </c>
      <c r="D1340" s="24" t="s">
        <v>21824</v>
      </c>
      <c r="E1340" s="40">
        <v>142</v>
      </c>
      <c r="F1340" s="41">
        <v>3944</v>
      </c>
      <c r="G1340" s="40">
        <v>318</v>
      </c>
      <c r="H1340" s="41">
        <v>7824</v>
      </c>
      <c r="I1340" s="41">
        <v>27.774647887323944</v>
      </c>
      <c r="J1340" s="41">
        <v>24.60377358490566</v>
      </c>
      <c r="K1340" s="42">
        <v>-0.11416433847449196</v>
      </c>
    </row>
    <row r="1341" spans="1:11" x14ac:dyDescent="0.25">
      <c r="A1341" s="24" t="s">
        <v>7</v>
      </c>
      <c r="B1341" s="24" t="s">
        <v>7453</v>
      </c>
      <c r="C1341" s="25" t="s">
        <v>7454</v>
      </c>
      <c r="D1341" s="24" t="s">
        <v>21824</v>
      </c>
      <c r="E1341" s="40">
        <v>343</v>
      </c>
      <c r="F1341" s="41">
        <v>16570</v>
      </c>
      <c r="G1341" s="40">
        <v>343</v>
      </c>
      <c r="H1341" s="41">
        <v>14846</v>
      </c>
      <c r="I1341" s="41">
        <v>48.309037900874635</v>
      </c>
      <c r="J1341" s="41">
        <v>43.282798833819243</v>
      </c>
      <c r="K1341" s="42">
        <v>-0.10404345202172599</v>
      </c>
    </row>
    <row r="1342" spans="1:11" x14ac:dyDescent="0.25">
      <c r="A1342" s="24" t="s">
        <v>7</v>
      </c>
      <c r="B1342" s="24" t="s">
        <v>7456</v>
      </c>
      <c r="C1342" s="25" t="s">
        <v>7457</v>
      </c>
      <c r="D1342" s="24" t="s">
        <v>21824</v>
      </c>
      <c r="E1342" s="40">
        <v>65</v>
      </c>
      <c r="F1342" s="41">
        <v>2080</v>
      </c>
      <c r="G1342" s="40">
        <v>46</v>
      </c>
      <c r="H1342" s="41">
        <v>1182</v>
      </c>
      <c r="I1342" s="41">
        <v>32</v>
      </c>
      <c r="J1342" s="41">
        <v>25.695652173913043</v>
      </c>
      <c r="K1342" s="42">
        <v>-0.19701086956521741</v>
      </c>
    </row>
    <row r="1343" spans="1:11" x14ac:dyDescent="0.25">
      <c r="A1343" s="24" t="s">
        <v>7</v>
      </c>
      <c r="B1343" s="24" t="s">
        <v>7459</v>
      </c>
      <c r="C1343" s="25" t="s">
        <v>7460</v>
      </c>
      <c r="D1343" s="24" t="s">
        <v>21824</v>
      </c>
      <c r="G1343" s="40">
        <v>26</v>
      </c>
      <c r="H1343" s="41">
        <v>1476</v>
      </c>
      <c r="J1343" s="41">
        <v>56.769230769230766</v>
      </c>
    </row>
    <row r="1344" spans="1:11" x14ac:dyDescent="0.25">
      <c r="A1344" s="24" t="s">
        <v>7</v>
      </c>
      <c r="B1344" s="24" t="s">
        <v>7462</v>
      </c>
      <c r="C1344" s="25" t="s">
        <v>7463</v>
      </c>
      <c r="D1344" s="24" t="s">
        <v>21824</v>
      </c>
      <c r="E1344" s="40">
        <v>52</v>
      </c>
      <c r="F1344" s="41">
        <v>2236</v>
      </c>
      <c r="G1344" s="40">
        <v>30</v>
      </c>
      <c r="H1344" s="41">
        <v>1290</v>
      </c>
      <c r="I1344" s="41">
        <v>43</v>
      </c>
      <c r="J1344" s="41">
        <v>43</v>
      </c>
      <c r="K1344" s="42">
        <v>0</v>
      </c>
    </row>
    <row r="1345" spans="1:11" x14ac:dyDescent="0.25">
      <c r="A1345" s="24" t="s">
        <v>7</v>
      </c>
      <c r="B1345" s="24" t="s">
        <v>7465</v>
      </c>
      <c r="C1345" s="25" t="s">
        <v>7466</v>
      </c>
      <c r="D1345" s="24" t="s">
        <v>21824</v>
      </c>
      <c r="E1345" s="40">
        <v>131</v>
      </c>
      <c r="F1345" s="41">
        <v>13264</v>
      </c>
      <c r="G1345" s="40">
        <v>85</v>
      </c>
      <c r="H1345" s="41">
        <v>7985</v>
      </c>
      <c r="I1345" s="41">
        <v>101.25190839694656</v>
      </c>
      <c r="J1345" s="41">
        <v>93.941176470588232</v>
      </c>
      <c r="K1345" s="42">
        <v>-7.220339885049315E-2</v>
      </c>
    </row>
    <row r="1346" spans="1:11" x14ac:dyDescent="0.25">
      <c r="A1346" s="24" t="s">
        <v>7</v>
      </c>
      <c r="B1346" s="24" t="s">
        <v>7468</v>
      </c>
      <c r="C1346" s="25" t="s">
        <v>7469</v>
      </c>
      <c r="D1346" s="24" t="s">
        <v>21824</v>
      </c>
      <c r="E1346" s="40">
        <v>34</v>
      </c>
      <c r="F1346" s="41">
        <v>3311</v>
      </c>
      <c r="G1346" s="40">
        <v>0</v>
      </c>
      <c r="H1346" s="41">
        <v>0</v>
      </c>
      <c r="I1346" s="41">
        <v>97.382352941176464</v>
      </c>
    </row>
    <row r="1347" spans="1:11" x14ac:dyDescent="0.25">
      <c r="A1347" s="24" t="s">
        <v>7</v>
      </c>
      <c r="B1347" s="24" t="s">
        <v>7471</v>
      </c>
      <c r="C1347" s="25" t="s">
        <v>7472</v>
      </c>
      <c r="D1347" s="24" t="s">
        <v>21824</v>
      </c>
      <c r="E1347" s="40">
        <v>219</v>
      </c>
      <c r="F1347" s="41">
        <v>3617</v>
      </c>
      <c r="G1347" s="40">
        <v>381</v>
      </c>
      <c r="H1347" s="41">
        <v>6477</v>
      </c>
      <c r="I1347" s="41">
        <v>16.515981735159816</v>
      </c>
      <c r="J1347" s="41">
        <v>17</v>
      </c>
      <c r="K1347" s="42">
        <v>2.9306054741498583E-2</v>
      </c>
    </row>
    <row r="1348" spans="1:11" x14ac:dyDescent="0.25">
      <c r="A1348" s="24" t="s">
        <v>7</v>
      </c>
      <c r="B1348" s="24" t="s">
        <v>7474</v>
      </c>
      <c r="C1348" s="25" t="s">
        <v>7475</v>
      </c>
      <c r="D1348" s="24" t="s">
        <v>21824</v>
      </c>
      <c r="E1348" s="40">
        <v>1397</v>
      </c>
      <c r="F1348" s="41">
        <v>29964</v>
      </c>
      <c r="G1348" s="40">
        <v>1548</v>
      </c>
      <c r="H1348" s="41">
        <v>26328</v>
      </c>
      <c r="I1348" s="41">
        <v>21.448818897637796</v>
      </c>
      <c r="J1348" s="41">
        <v>17.007751937984494</v>
      </c>
      <c r="K1348" s="42">
        <v>-0.20705414973420314</v>
      </c>
    </row>
    <row r="1349" spans="1:11" x14ac:dyDescent="0.25">
      <c r="A1349" s="24" t="s">
        <v>7</v>
      </c>
      <c r="B1349" s="24" t="s">
        <v>7477</v>
      </c>
      <c r="C1349" s="25" t="s">
        <v>7478</v>
      </c>
      <c r="D1349" s="24" t="s">
        <v>21824</v>
      </c>
      <c r="E1349" s="40">
        <v>1165</v>
      </c>
      <c r="F1349" s="41">
        <v>19429</v>
      </c>
      <c r="G1349" s="40">
        <v>1645</v>
      </c>
      <c r="H1349" s="41">
        <v>24020</v>
      </c>
      <c r="I1349" s="41">
        <v>16.677253218884122</v>
      </c>
      <c r="J1349" s="41">
        <v>14.601823708206688</v>
      </c>
      <c r="K1349" s="42">
        <v>-0.12444672293680636</v>
      </c>
    </row>
    <row r="1350" spans="1:11" x14ac:dyDescent="0.25">
      <c r="A1350" s="24" t="s">
        <v>7</v>
      </c>
      <c r="B1350" s="24" t="s">
        <v>7480</v>
      </c>
      <c r="C1350" s="25" t="s">
        <v>7481</v>
      </c>
      <c r="D1350" s="24" t="s">
        <v>21824</v>
      </c>
      <c r="E1350" s="40">
        <v>34</v>
      </c>
      <c r="F1350" s="41">
        <v>1370</v>
      </c>
      <c r="G1350" s="40">
        <v>54</v>
      </c>
      <c r="H1350" s="41">
        <v>1101</v>
      </c>
      <c r="I1350" s="41">
        <v>40.294117647058826</v>
      </c>
      <c r="J1350" s="41">
        <v>20.388888888888889</v>
      </c>
      <c r="K1350" s="42">
        <v>-0.4939983779399838</v>
      </c>
    </row>
    <row r="1351" spans="1:11" x14ac:dyDescent="0.25">
      <c r="A1351" s="24" t="s">
        <v>7</v>
      </c>
      <c r="B1351" s="24" t="s">
        <v>7483</v>
      </c>
      <c r="C1351" s="25" t="s">
        <v>7484</v>
      </c>
      <c r="D1351" s="24" t="s">
        <v>21824</v>
      </c>
      <c r="E1351" s="40">
        <v>461</v>
      </c>
      <c r="F1351" s="41">
        <v>9896</v>
      </c>
      <c r="G1351" s="40">
        <v>543</v>
      </c>
      <c r="H1351" s="41">
        <v>9386</v>
      </c>
      <c r="I1351" s="41">
        <v>21.46637744034707</v>
      </c>
      <c r="J1351" s="41">
        <v>17.285451197053408</v>
      </c>
      <c r="K1351" s="42">
        <v>-0.19476626901357905</v>
      </c>
    </row>
    <row r="1352" spans="1:11" x14ac:dyDescent="0.25">
      <c r="A1352" s="24" t="s">
        <v>7</v>
      </c>
      <c r="B1352" s="24" t="s">
        <v>7486</v>
      </c>
      <c r="C1352" s="25" t="s">
        <v>7487</v>
      </c>
      <c r="D1352" s="24" t="s">
        <v>21824</v>
      </c>
      <c r="E1352" s="40">
        <v>201</v>
      </c>
      <c r="F1352" s="41">
        <v>5926</v>
      </c>
      <c r="G1352" s="40">
        <v>231</v>
      </c>
      <c r="H1352" s="41">
        <v>6012</v>
      </c>
      <c r="I1352" s="41">
        <v>29.482587064676618</v>
      </c>
      <c r="J1352" s="41">
        <v>26.025974025974026</v>
      </c>
      <c r="K1352" s="42">
        <v>-0.11724252797489386</v>
      </c>
    </row>
    <row r="1353" spans="1:11" x14ac:dyDescent="0.25">
      <c r="A1353" s="24" t="s">
        <v>7</v>
      </c>
      <c r="B1353" s="24" t="s">
        <v>7492</v>
      </c>
      <c r="C1353" s="25" t="s">
        <v>7493</v>
      </c>
      <c r="D1353" s="24" t="s">
        <v>21823</v>
      </c>
      <c r="E1353" s="40">
        <v>4415</v>
      </c>
      <c r="F1353" s="41">
        <v>73230</v>
      </c>
      <c r="G1353" s="40">
        <v>4591</v>
      </c>
      <c r="H1353" s="41">
        <v>71357</v>
      </c>
      <c r="I1353" s="41">
        <v>16.586636466591166</v>
      </c>
      <c r="J1353" s="41">
        <v>15.542801132650839</v>
      </c>
      <c r="K1353" s="42">
        <v>-6.2932309153988064E-2</v>
      </c>
    </row>
    <row r="1354" spans="1:11" x14ac:dyDescent="0.25">
      <c r="A1354" s="24" t="s">
        <v>7</v>
      </c>
      <c r="B1354" s="24" t="s">
        <v>7495</v>
      </c>
      <c r="C1354" s="25" t="s">
        <v>7496</v>
      </c>
      <c r="D1354" s="24" t="s">
        <v>21823</v>
      </c>
      <c r="E1354" s="40">
        <v>341</v>
      </c>
      <c r="F1354" s="41">
        <v>3645</v>
      </c>
      <c r="G1354" s="40">
        <v>453</v>
      </c>
      <c r="H1354" s="41">
        <v>4383</v>
      </c>
      <c r="I1354" s="41">
        <v>10.689149560117302</v>
      </c>
      <c r="J1354" s="41">
        <v>9.6754966887417222</v>
      </c>
      <c r="K1354" s="42">
        <v>-9.4830076581364289E-2</v>
      </c>
    </row>
    <row r="1355" spans="1:11" x14ac:dyDescent="0.25">
      <c r="A1355" s="24" t="s">
        <v>7</v>
      </c>
      <c r="B1355" s="24" t="s">
        <v>7498</v>
      </c>
      <c r="C1355" s="25" t="s">
        <v>7499</v>
      </c>
      <c r="D1355" s="24" t="s">
        <v>21823</v>
      </c>
      <c r="E1355" s="40">
        <v>2093</v>
      </c>
      <c r="F1355" s="41">
        <v>53500</v>
      </c>
      <c r="G1355" s="40">
        <v>2558</v>
      </c>
      <c r="H1355" s="41">
        <v>57233</v>
      </c>
      <c r="I1355" s="41">
        <v>25.561395126612517</v>
      </c>
      <c r="J1355" s="41">
        <v>22.374120406567631</v>
      </c>
      <c r="K1355" s="42">
        <v>-0.12469095306642893</v>
      </c>
    </row>
    <row r="1356" spans="1:11" x14ac:dyDescent="0.25">
      <c r="A1356" s="24" t="s">
        <v>7</v>
      </c>
      <c r="B1356" s="24" t="s">
        <v>7501</v>
      </c>
      <c r="C1356" s="25" t="s">
        <v>7502</v>
      </c>
      <c r="D1356" s="24" t="s">
        <v>21823</v>
      </c>
      <c r="G1356" s="40">
        <v>18</v>
      </c>
      <c r="H1356" s="41">
        <v>324</v>
      </c>
      <c r="J1356" s="41">
        <v>18</v>
      </c>
    </row>
    <row r="1357" spans="1:11" x14ac:dyDescent="0.25">
      <c r="A1357" s="24" t="s">
        <v>7</v>
      </c>
      <c r="B1357" s="24" t="s">
        <v>7504</v>
      </c>
      <c r="C1357" s="25" t="s">
        <v>7505</v>
      </c>
      <c r="D1357" s="24" t="s">
        <v>21823</v>
      </c>
      <c r="E1357" s="40">
        <v>93</v>
      </c>
      <c r="F1357" s="41">
        <v>1320</v>
      </c>
      <c r="G1357" s="40">
        <v>334</v>
      </c>
      <c r="H1357" s="41">
        <v>4254</v>
      </c>
      <c r="I1357" s="41">
        <v>14.193548387096774</v>
      </c>
      <c r="J1357" s="41">
        <v>12.736526946107784</v>
      </c>
      <c r="K1357" s="42">
        <v>-0.10265378334240614</v>
      </c>
    </row>
    <row r="1358" spans="1:11" x14ac:dyDescent="0.25">
      <c r="A1358" s="24" t="s">
        <v>7</v>
      </c>
      <c r="B1358" s="24" t="s">
        <v>7507</v>
      </c>
      <c r="C1358" s="25" t="s">
        <v>7508</v>
      </c>
      <c r="D1358" s="24" t="s">
        <v>21823</v>
      </c>
      <c r="E1358" s="40">
        <v>4695</v>
      </c>
      <c r="F1358" s="41">
        <v>119690</v>
      </c>
      <c r="G1358" s="40">
        <v>4501</v>
      </c>
      <c r="H1358" s="41">
        <v>96776</v>
      </c>
      <c r="I1358" s="41">
        <v>25.49307774227902</v>
      </c>
      <c r="J1358" s="41">
        <v>21.50099977782715</v>
      </c>
      <c r="K1358" s="42">
        <v>-0.15659458637397886</v>
      </c>
    </row>
    <row r="1359" spans="1:11" x14ac:dyDescent="0.25">
      <c r="A1359" s="24" t="s">
        <v>7</v>
      </c>
      <c r="B1359" s="24" t="s">
        <v>7513</v>
      </c>
      <c r="C1359" s="25" t="s">
        <v>7514</v>
      </c>
      <c r="D1359" s="24" t="s">
        <v>21824</v>
      </c>
      <c r="G1359" s="40">
        <v>4</v>
      </c>
      <c r="H1359" s="41">
        <v>104</v>
      </c>
      <c r="J1359" s="41">
        <v>26</v>
      </c>
    </row>
    <row r="1360" spans="1:11" x14ac:dyDescent="0.25">
      <c r="A1360" s="24" t="s">
        <v>7</v>
      </c>
      <c r="B1360" s="24" t="s">
        <v>21826</v>
      </c>
      <c r="C1360" s="25" t="s">
        <v>21827</v>
      </c>
      <c r="D1360" s="24" t="s">
        <v>21828</v>
      </c>
      <c r="E1360" s="40">
        <v>83</v>
      </c>
      <c r="F1360" s="41">
        <v>14706</v>
      </c>
      <c r="G1360" s="40">
        <v>5</v>
      </c>
      <c r="H1360" s="41">
        <v>900</v>
      </c>
      <c r="I1360" s="41">
        <v>177.18072289156626</v>
      </c>
      <c r="J1360" s="41">
        <v>180</v>
      </c>
      <c r="K1360" s="42">
        <v>1.5911872705018378E-2</v>
      </c>
    </row>
    <row r="1361" spans="1:11" x14ac:dyDescent="0.25">
      <c r="A1361" s="24" t="s">
        <v>7</v>
      </c>
      <c r="B1361" s="24" t="s">
        <v>7516</v>
      </c>
      <c r="C1361" s="25" t="s">
        <v>7517</v>
      </c>
      <c r="D1361" s="24" t="s">
        <v>21829</v>
      </c>
      <c r="G1361" s="40">
        <v>310</v>
      </c>
      <c r="H1361" s="41">
        <v>6426.3</v>
      </c>
      <c r="J1361" s="41">
        <v>20.73</v>
      </c>
    </row>
    <row r="1362" spans="1:11" x14ac:dyDescent="0.25">
      <c r="A1362" s="24" t="s">
        <v>7</v>
      </c>
      <c r="B1362" s="24" t="s">
        <v>7519</v>
      </c>
      <c r="C1362" s="25" t="s">
        <v>7520</v>
      </c>
      <c r="D1362" s="24" t="s">
        <v>21824</v>
      </c>
      <c r="E1362" s="40">
        <v>11</v>
      </c>
      <c r="F1362" s="41">
        <v>187</v>
      </c>
      <c r="G1362" s="40">
        <v>0</v>
      </c>
      <c r="H1362" s="41">
        <v>0</v>
      </c>
      <c r="I1362" s="41">
        <v>17</v>
      </c>
    </row>
    <row r="1363" spans="1:11" x14ac:dyDescent="0.25">
      <c r="A1363" s="24" t="s">
        <v>7</v>
      </c>
      <c r="B1363" s="24" t="s">
        <v>7525</v>
      </c>
      <c r="C1363" s="25" t="s">
        <v>7526</v>
      </c>
      <c r="D1363" s="24" t="s">
        <v>21824</v>
      </c>
      <c r="G1363" s="40">
        <v>103</v>
      </c>
      <c r="H1363" s="41">
        <v>1751</v>
      </c>
      <c r="J1363" s="41">
        <v>17</v>
      </c>
    </row>
    <row r="1364" spans="1:11" x14ac:dyDescent="0.25">
      <c r="A1364" s="24" t="s">
        <v>7</v>
      </c>
      <c r="B1364" s="24" t="s">
        <v>7531</v>
      </c>
      <c r="C1364" s="25" t="s">
        <v>7532</v>
      </c>
      <c r="D1364" s="24" t="s">
        <v>21824</v>
      </c>
      <c r="E1364" s="40">
        <v>98</v>
      </c>
      <c r="F1364" s="41">
        <v>1621</v>
      </c>
      <c r="G1364" s="40">
        <v>90</v>
      </c>
      <c r="H1364" s="41">
        <v>1530</v>
      </c>
      <c r="I1364" s="41">
        <v>16.540816326530614</v>
      </c>
      <c r="J1364" s="41">
        <v>17</v>
      </c>
      <c r="K1364" s="42">
        <v>2.776064157927197E-2</v>
      </c>
    </row>
    <row r="1365" spans="1:11" x14ac:dyDescent="0.25">
      <c r="A1365" s="24" t="s">
        <v>7</v>
      </c>
      <c r="B1365" s="24" t="s">
        <v>7534</v>
      </c>
      <c r="C1365" s="25" t="s">
        <v>7535</v>
      </c>
      <c r="D1365" s="24" t="s">
        <v>21824</v>
      </c>
      <c r="E1365" s="40">
        <v>233</v>
      </c>
      <c r="F1365" s="41">
        <v>3456</v>
      </c>
      <c r="G1365" s="40">
        <v>116</v>
      </c>
      <c r="H1365" s="41">
        <v>1680</v>
      </c>
      <c r="I1365" s="41">
        <v>14.832618025751072</v>
      </c>
      <c r="J1365" s="41">
        <v>14.482758620689655</v>
      </c>
      <c r="K1365" s="42">
        <v>-2.3587164750957845E-2</v>
      </c>
    </row>
    <row r="1366" spans="1:11" x14ac:dyDescent="0.25">
      <c r="A1366" s="24" t="s">
        <v>7</v>
      </c>
      <c r="B1366" s="24" t="s">
        <v>7537</v>
      </c>
      <c r="C1366" s="25" t="s">
        <v>7538</v>
      </c>
      <c r="D1366" s="24" t="s">
        <v>21824</v>
      </c>
      <c r="G1366" s="40">
        <v>106</v>
      </c>
      <c r="H1366" s="41">
        <v>2162</v>
      </c>
      <c r="J1366" s="41">
        <v>20.39622641509434</v>
      </c>
    </row>
    <row r="1367" spans="1:11" x14ac:dyDescent="0.25">
      <c r="A1367" s="24" t="s">
        <v>7</v>
      </c>
      <c r="B1367" s="24" t="s">
        <v>7540</v>
      </c>
      <c r="C1367" s="25" t="s">
        <v>7541</v>
      </c>
      <c r="D1367" s="24" t="s">
        <v>21824</v>
      </c>
      <c r="E1367" s="40">
        <v>330</v>
      </c>
      <c r="F1367" s="41">
        <v>6902</v>
      </c>
      <c r="G1367" s="40">
        <v>204</v>
      </c>
      <c r="H1367" s="41">
        <v>4208</v>
      </c>
      <c r="I1367" s="41">
        <v>20.915151515151514</v>
      </c>
      <c r="J1367" s="41">
        <v>20.627450980392158</v>
      </c>
      <c r="K1367" s="42">
        <v>-1.3755603661342724E-2</v>
      </c>
    </row>
    <row r="1368" spans="1:11" x14ac:dyDescent="0.25">
      <c r="A1368" s="24" t="s">
        <v>7</v>
      </c>
      <c r="B1368" s="24" t="s">
        <v>7549</v>
      </c>
      <c r="C1368" s="25" t="s">
        <v>7550</v>
      </c>
      <c r="D1368" s="24" t="s">
        <v>21824</v>
      </c>
      <c r="E1368" s="40">
        <v>194</v>
      </c>
      <c r="F1368" s="41">
        <v>3223</v>
      </c>
      <c r="G1368" s="40">
        <v>323</v>
      </c>
      <c r="H1368" s="41">
        <v>5203</v>
      </c>
      <c r="I1368" s="41">
        <v>16.61340206185567</v>
      </c>
      <c r="J1368" s="41">
        <v>16.108359133126935</v>
      </c>
      <c r="K1368" s="42">
        <v>-3.0399729498409703E-2</v>
      </c>
    </row>
    <row r="1369" spans="1:11" x14ac:dyDescent="0.25">
      <c r="A1369" s="24" t="s">
        <v>7</v>
      </c>
      <c r="B1369" s="24" t="s">
        <v>7552</v>
      </c>
      <c r="C1369" s="25" t="s">
        <v>7553</v>
      </c>
      <c r="D1369" s="24" t="s">
        <v>21824</v>
      </c>
      <c r="E1369" s="40">
        <v>459</v>
      </c>
      <c r="F1369" s="41">
        <v>4915</v>
      </c>
      <c r="G1369" s="40">
        <v>835</v>
      </c>
      <c r="H1369" s="41">
        <v>9185</v>
      </c>
      <c r="I1369" s="41">
        <v>10.708061002178649</v>
      </c>
      <c r="J1369" s="41">
        <v>11</v>
      </c>
      <c r="K1369" s="42">
        <v>2.7263479145473057E-2</v>
      </c>
    </row>
    <row r="1370" spans="1:11" x14ac:dyDescent="0.25">
      <c r="A1370" s="24" t="s">
        <v>7</v>
      </c>
      <c r="B1370" s="24" t="s">
        <v>7555</v>
      </c>
      <c r="C1370" s="25" t="s">
        <v>7556</v>
      </c>
      <c r="D1370" s="24" t="s">
        <v>21824</v>
      </c>
      <c r="E1370" s="40">
        <v>2421</v>
      </c>
      <c r="F1370" s="41">
        <v>40247</v>
      </c>
      <c r="G1370" s="40">
        <v>2668</v>
      </c>
      <c r="H1370" s="41">
        <v>32540</v>
      </c>
      <c r="I1370" s="41">
        <v>16.624122263527468</v>
      </c>
      <c r="J1370" s="41">
        <v>12.19640179910045</v>
      </c>
      <c r="K1370" s="42">
        <v>-0.26634311239043434</v>
      </c>
    </row>
    <row r="1371" spans="1:11" x14ac:dyDescent="0.25">
      <c r="A1371" s="24" t="s">
        <v>7</v>
      </c>
      <c r="B1371" s="24" t="s">
        <v>7558</v>
      </c>
      <c r="C1371" s="25" t="s">
        <v>7559</v>
      </c>
      <c r="D1371" s="24" t="s">
        <v>21824</v>
      </c>
      <c r="E1371" s="40">
        <v>68</v>
      </c>
      <c r="F1371" s="41">
        <v>1131</v>
      </c>
      <c r="G1371" s="40">
        <v>124</v>
      </c>
      <c r="H1371" s="41">
        <v>1888</v>
      </c>
      <c r="I1371" s="41">
        <v>16.632352941176471</v>
      </c>
      <c r="J1371" s="41">
        <v>15.225806451612904</v>
      </c>
      <c r="K1371" s="42">
        <v>-8.4566897692592888E-2</v>
      </c>
    </row>
    <row r="1372" spans="1:11" x14ac:dyDescent="0.25">
      <c r="A1372" s="24" t="s">
        <v>7</v>
      </c>
      <c r="B1372" s="24" t="s">
        <v>7561</v>
      </c>
      <c r="C1372" s="25" t="s">
        <v>7562</v>
      </c>
      <c r="D1372" s="24" t="s">
        <v>21824</v>
      </c>
      <c r="E1372" s="40">
        <v>323</v>
      </c>
      <c r="F1372" s="41">
        <v>5343</v>
      </c>
      <c r="G1372" s="40">
        <v>510</v>
      </c>
      <c r="H1372" s="41">
        <v>8295</v>
      </c>
      <c r="I1372" s="41">
        <v>16.541795665634673</v>
      </c>
      <c r="J1372" s="41">
        <v>16.264705882352942</v>
      </c>
      <c r="K1372" s="42">
        <v>-1.6750889013662583E-2</v>
      </c>
    </row>
    <row r="1373" spans="1:11" x14ac:dyDescent="0.25">
      <c r="A1373" s="24" t="s">
        <v>7</v>
      </c>
      <c r="B1373" s="24" t="s">
        <v>7564</v>
      </c>
      <c r="C1373" s="25" t="s">
        <v>7565</v>
      </c>
      <c r="D1373" s="24" t="s">
        <v>21824</v>
      </c>
      <c r="G1373" s="40">
        <v>36</v>
      </c>
      <c r="H1373" s="41">
        <v>1764</v>
      </c>
      <c r="J1373" s="41">
        <v>49</v>
      </c>
    </row>
    <row r="1374" spans="1:11" x14ac:dyDescent="0.25">
      <c r="A1374" s="24" t="s">
        <v>7</v>
      </c>
      <c r="B1374" s="24" t="s">
        <v>7567</v>
      </c>
      <c r="C1374" s="25" t="s">
        <v>7568</v>
      </c>
      <c r="D1374" s="24" t="s">
        <v>21824</v>
      </c>
      <c r="E1374" s="40">
        <v>120</v>
      </c>
      <c r="F1374" s="41">
        <v>2100</v>
      </c>
      <c r="G1374" s="40">
        <v>61</v>
      </c>
      <c r="H1374" s="41">
        <v>1030</v>
      </c>
      <c r="I1374" s="41">
        <v>17.5</v>
      </c>
      <c r="J1374" s="41">
        <v>16.885245901639344</v>
      </c>
      <c r="K1374" s="42">
        <v>-3.5128805620608917E-2</v>
      </c>
    </row>
    <row r="1375" spans="1:11" x14ac:dyDescent="0.25">
      <c r="A1375" s="24" t="s">
        <v>7</v>
      </c>
      <c r="B1375" s="24" t="s">
        <v>7570</v>
      </c>
      <c r="C1375" s="25" t="s">
        <v>7571</v>
      </c>
      <c r="D1375" s="24" t="s">
        <v>21824</v>
      </c>
      <c r="E1375" s="40">
        <v>64</v>
      </c>
      <c r="F1375" s="41">
        <v>1148</v>
      </c>
      <c r="G1375" s="40">
        <v>198</v>
      </c>
      <c r="H1375" s="41">
        <v>3354</v>
      </c>
      <c r="I1375" s="41">
        <v>17.9375</v>
      </c>
      <c r="J1375" s="41">
        <v>16.939393939393938</v>
      </c>
      <c r="K1375" s="42">
        <v>-5.5643543448421595E-2</v>
      </c>
    </row>
    <row r="1376" spans="1:11" x14ac:dyDescent="0.25">
      <c r="A1376" s="24" t="s">
        <v>7</v>
      </c>
      <c r="B1376" s="24" t="s">
        <v>7573</v>
      </c>
      <c r="C1376" s="25" t="s">
        <v>7574</v>
      </c>
      <c r="D1376" s="24" t="s">
        <v>21824</v>
      </c>
      <c r="E1376" s="40">
        <v>32</v>
      </c>
      <c r="F1376" s="41">
        <v>351</v>
      </c>
      <c r="G1376" s="40">
        <v>0</v>
      </c>
      <c r="H1376" s="41">
        <v>0</v>
      </c>
      <c r="I1376" s="41">
        <v>10.96875</v>
      </c>
    </row>
    <row r="1377" spans="1:11" x14ac:dyDescent="0.25">
      <c r="A1377" s="24" t="s">
        <v>7</v>
      </c>
      <c r="B1377" s="24" t="s">
        <v>7576</v>
      </c>
      <c r="C1377" s="25" t="s">
        <v>7577</v>
      </c>
      <c r="D1377" s="24" t="s">
        <v>21824</v>
      </c>
      <c r="E1377" s="40">
        <v>2484</v>
      </c>
      <c r="F1377" s="41">
        <v>96600</v>
      </c>
      <c r="G1377" s="40">
        <v>2858</v>
      </c>
      <c r="H1377" s="41">
        <v>95249</v>
      </c>
      <c r="I1377" s="41">
        <v>38.888888888888886</v>
      </c>
      <c r="J1377" s="41">
        <v>33.32715185444367</v>
      </c>
      <c r="K1377" s="42">
        <v>-0.14301609517144842</v>
      </c>
    </row>
    <row r="1378" spans="1:11" x14ac:dyDescent="0.25">
      <c r="A1378" s="24" t="s">
        <v>7</v>
      </c>
      <c r="B1378" s="24" t="s">
        <v>7579</v>
      </c>
      <c r="C1378" s="25" t="s">
        <v>7580</v>
      </c>
      <c r="D1378" s="24" t="s">
        <v>21824</v>
      </c>
      <c r="E1378" s="40">
        <v>2750</v>
      </c>
      <c r="F1378" s="41">
        <v>96585</v>
      </c>
      <c r="G1378" s="40">
        <v>2555</v>
      </c>
      <c r="H1378" s="41">
        <v>80990</v>
      </c>
      <c r="I1378" s="41">
        <v>35.121818181818185</v>
      </c>
      <c r="J1378" s="41">
        <v>31.698630136986303</v>
      </c>
      <c r="K1378" s="42">
        <v>-9.746613991083164E-2</v>
      </c>
    </row>
    <row r="1379" spans="1:11" x14ac:dyDescent="0.25">
      <c r="A1379" s="24" t="s">
        <v>7</v>
      </c>
      <c r="B1379" s="24" t="s">
        <v>7582</v>
      </c>
      <c r="C1379" s="25" t="s">
        <v>7583</v>
      </c>
      <c r="D1379" s="24" t="s">
        <v>21824</v>
      </c>
      <c r="E1379" s="40">
        <v>2328</v>
      </c>
      <c r="F1379" s="41">
        <v>72954</v>
      </c>
      <c r="G1379" s="40">
        <v>2017</v>
      </c>
      <c r="H1379" s="41">
        <v>56205</v>
      </c>
      <c r="I1379" s="41">
        <v>31.337628865979383</v>
      </c>
      <c r="J1379" s="41">
        <v>27.865642042637582</v>
      </c>
      <c r="K1379" s="42">
        <v>-0.1107929013452273</v>
      </c>
    </row>
    <row r="1380" spans="1:11" x14ac:dyDescent="0.25">
      <c r="A1380" s="24" t="s">
        <v>7</v>
      </c>
      <c r="B1380" s="24" t="s">
        <v>7585</v>
      </c>
      <c r="C1380" s="25" t="s">
        <v>7586</v>
      </c>
      <c r="D1380" s="24" t="s">
        <v>21824</v>
      </c>
      <c r="E1380" s="40">
        <v>2087</v>
      </c>
      <c r="F1380" s="41">
        <v>63825</v>
      </c>
      <c r="G1380" s="40">
        <v>1858</v>
      </c>
      <c r="H1380" s="41">
        <v>48898</v>
      </c>
      <c r="I1380" s="41">
        <v>30.58217537134643</v>
      </c>
      <c r="J1380" s="41">
        <v>26.317545748116252</v>
      </c>
      <c r="K1380" s="42">
        <v>-0.13944821032011565</v>
      </c>
    </row>
    <row r="1381" spans="1:11" x14ac:dyDescent="0.25">
      <c r="A1381" s="24" t="s">
        <v>7</v>
      </c>
      <c r="B1381" s="24" t="s">
        <v>7597</v>
      </c>
      <c r="C1381" s="25" t="s">
        <v>7598</v>
      </c>
      <c r="D1381" s="24" t="s">
        <v>21824</v>
      </c>
      <c r="E1381" s="40">
        <v>62</v>
      </c>
      <c r="F1381" s="41">
        <v>3370</v>
      </c>
      <c r="G1381" s="40">
        <v>75</v>
      </c>
      <c r="H1381" s="41">
        <v>3757</v>
      </c>
      <c r="I1381" s="41">
        <v>54.354838709677416</v>
      </c>
      <c r="J1381" s="41">
        <v>50.093333333333334</v>
      </c>
      <c r="K1381" s="42">
        <v>-7.8401582591493518E-2</v>
      </c>
    </row>
    <row r="1382" spans="1:11" x14ac:dyDescent="0.25">
      <c r="A1382" s="24" t="s">
        <v>7</v>
      </c>
      <c r="B1382" s="24" t="s">
        <v>7603</v>
      </c>
      <c r="C1382" s="25" t="s">
        <v>7604</v>
      </c>
      <c r="D1382" s="24" t="s">
        <v>21824</v>
      </c>
      <c r="E1382" s="40">
        <v>42</v>
      </c>
      <c r="F1382" s="41">
        <v>3606</v>
      </c>
      <c r="G1382" s="40">
        <v>9</v>
      </c>
      <c r="H1382" s="41">
        <v>783</v>
      </c>
      <c r="I1382" s="41">
        <v>85.857142857142861</v>
      </c>
      <c r="J1382" s="41">
        <v>87</v>
      </c>
      <c r="K1382" s="42">
        <v>1.3311148086522414E-2</v>
      </c>
    </row>
    <row r="1383" spans="1:11" x14ac:dyDescent="0.25">
      <c r="A1383" s="24" t="s">
        <v>7</v>
      </c>
      <c r="B1383" s="24" t="s">
        <v>7606</v>
      </c>
      <c r="C1383" s="25" t="s">
        <v>7607</v>
      </c>
      <c r="D1383" s="24" t="s">
        <v>21824</v>
      </c>
      <c r="G1383" s="40">
        <v>2</v>
      </c>
      <c r="H1383" s="41">
        <v>388</v>
      </c>
      <c r="J1383" s="41">
        <v>194</v>
      </c>
    </row>
    <row r="1384" spans="1:11" x14ac:dyDescent="0.25">
      <c r="A1384" s="24" t="s">
        <v>7</v>
      </c>
      <c r="B1384" s="24" t="s">
        <v>7609</v>
      </c>
      <c r="C1384" s="25" t="s">
        <v>7610</v>
      </c>
      <c r="D1384" s="24" t="s">
        <v>21824</v>
      </c>
      <c r="G1384" s="40">
        <v>15</v>
      </c>
      <c r="H1384" s="41">
        <v>870</v>
      </c>
      <c r="J1384" s="41">
        <v>58</v>
      </c>
    </row>
    <row r="1385" spans="1:11" x14ac:dyDescent="0.25">
      <c r="A1385" s="24" t="s">
        <v>7</v>
      </c>
      <c r="B1385" s="24" t="s">
        <v>7612</v>
      </c>
      <c r="C1385" s="25" t="s">
        <v>7613</v>
      </c>
      <c r="D1385" s="24" t="s">
        <v>21824</v>
      </c>
      <c r="G1385" s="40">
        <v>28</v>
      </c>
      <c r="H1385" s="41">
        <v>2385</v>
      </c>
      <c r="J1385" s="41">
        <v>85.178571428571431</v>
      </c>
    </row>
    <row r="1386" spans="1:11" x14ac:dyDescent="0.25">
      <c r="A1386" s="24" t="s">
        <v>7</v>
      </c>
      <c r="B1386" s="24" t="s">
        <v>7615</v>
      </c>
      <c r="C1386" s="25" t="s">
        <v>7616</v>
      </c>
      <c r="D1386" s="24" t="s">
        <v>21824</v>
      </c>
      <c r="E1386" s="40">
        <v>63</v>
      </c>
      <c r="F1386" s="41">
        <v>1706</v>
      </c>
      <c r="G1386" s="40">
        <v>82</v>
      </c>
      <c r="H1386" s="41">
        <v>2044</v>
      </c>
      <c r="I1386" s="41">
        <v>27.079365079365079</v>
      </c>
      <c r="J1386" s="41">
        <v>24.926829268292682</v>
      </c>
      <c r="K1386" s="42">
        <v>-7.9489892202556284E-2</v>
      </c>
    </row>
    <row r="1387" spans="1:11" x14ac:dyDescent="0.25">
      <c r="A1387" s="24" t="s">
        <v>7</v>
      </c>
      <c r="B1387" s="24" t="s">
        <v>7618</v>
      </c>
      <c r="C1387" s="25" t="s">
        <v>7619</v>
      </c>
      <c r="D1387" s="24" t="s">
        <v>21824</v>
      </c>
      <c r="E1387" s="40">
        <v>156</v>
      </c>
      <c r="F1387" s="41">
        <v>8152</v>
      </c>
      <c r="G1387" s="40">
        <v>222</v>
      </c>
      <c r="H1387" s="41">
        <v>10398</v>
      </c>
      <c r="I1387" s="41">
        <v>52.256410256410255</v>
      </c>
      <c r="J1387" s="41">
        <v>46.837837837837839</v>
      </c>
      <c r="K1387" s="42">
        <v>-0.10369201389809826</v>
      </c>
    </row>
    <row r="1388" spans="1:11" x14ac:dyDescent="0.25">
      <c r="A1388" s="24" t="s">
        <v>7</v>
      </c>
      <c r="B1388" s="24" t="s">
        <v>7621</v>
      </c>
      <c r="C1388" s="25" t="s">
        <v>7622</v>
      </c>
      <c r="D1388" s="24" t="s">
        <v>21824</v>
      </c>
      <c r="E1388" s="40">
        <v>91</v>
      </c>
      <c r="F1388" s="41">
        <v>1501</v>
      </c>
      <c r="G1388" s="40">
        <v>96</v>
      </c>
      <c r="H1388" s="41">
        <v>1548</v>
      </c>
      <c r="I1388" s="41">
        <v>16.494505494505493</v>
      </c>
      <c r="J1388" s="41">
        <v>16.125</v>
      </c>
      <c r="K1388" s="42">
        <v>-2.2401732178547532E-2</v>
      </c>
    </row>
    <row r="1389" spans="1:11" x14ac:dyDescent="0.25">
      <c r="A1389" s="24" t="s">
        <v>7</v>
      </c>
      <c r="B1389" s="24" t="s">
        <v>7624</v>
      </c>
      <c r="C1389" s="25" t="s">
        <v>7625</v>
      </c>
      <c r="D1389" s="24" t="s">
        <v>21824</v>
      </c>
      <c r="E1389" s="40">
        <v>795</v>
      </c>
      <c r="F1389" s="41">
        <v>65034</v>
      </c>
      <c r="G1389" s="40">
        <v>683</v>
      </c>
      <c r="H1389" s="41">
        <v>49029</v>
      </c>
      <c r="I1389" s="41">
        <v>81.803773584905656</v>
      </c>
      <c r="J1389" s="41">
        <v>71.784773060029281</v>
      </c>
      <c r="K1389" s="42">
        <v>-0.12247601896356858</v>
      </c>
    </row>
    <row r="1390" spans="1:11" x14ac:dyDescent="0.25">
      <c r="A1390" s="24" t="s">
        <v>7</v>
      </c>
      <c r="B1390" s="24" t="s">
        <v>7633</v>
      </c>
      <c r="C1390" s="25" t="s">
        <v>7634</v>
      </c>
      <c r="D1390" s="24" t="s">
        <v>21824</v>
      </c>
      <c r="E1390" s="40">
        <v>679</v>
      </c>
      <c r="F1390" s="41">
        <v>11412</v>
      </c>
      <c r="G1390" s="40">
        <v>1289</v>
      </c>
      <c r="H1390" s="41">
        <v>16063</v>
      </c>
      <c r="I1390" s="41">
        <v>16.807069219440354</v>
      </c>
      <c r="J1390" s="41">
        <v>12.461598138091544</v>
      </c>
      <c r="K1390" s="42">
        <v>-0.25855019840832827</v>
      </c>
    </row>
    <row r="1391" spans="1:11" x14ac:dyDescent="0.25">
      <c r="A1391" s="24" t="s">
        <v>7</v>
      </c>
      <c r="B1391" s="24" t="s">
        <v>7639</v>
      </c>
      <c r="C1391" s="25" t="s">
        <v>7640</v>
      </c>
      <c r="D1391" s="24" t="s">
        <v>21824</v>
      </c>
      <c r="E1391" s="40">
        <v>3022</v>
      </c>
      <c r="F1391" s="41">
        <v>50526</v>
      </c>
      <c r="G1391" s="40">
        <v>2511</v>
      </c>
      <c r="H1391" s="41">
        <v>36792</v>
      </c>
      <c r="I1391" s="41">
        <v>16.71939113170086</v>
      </c>
      <c r="J1391" s="41">
        <v>14.652329749103943</v>
      </c>
      <c r="K1391" s="42">
        <v>-0.12363257527229313</v>
      </c>
    </row>
    <row r="1392" spans="1:11" x14ac:dyDescent="0.25">
      <c r="A1392" s="24" t="s">
        <v>7</v>
      </c>
      <c r="B1392" s="24" t="s">
        <v>7642</v>
      </c>
      <c r="C1392" s="25" t="s">
        <v>7643</v>
      </c>
      <c r="D1392" s="24" t="s">
        <v>21824</v>
      </c>
      <c r="G1392" s="40">
        <v>39</v>
      </c>
      <c r="H1392" s="41">
        <v>1183</v>
      </c>
      <c r="J1392" s="41">
        <v>30.333333333333332</v>
      </c>
    </row>
    <row r="1393" spans="1:11" x14ac:dyDescent="0.25">
      <c r="A1393" s="24" t="s">
        <v>7</v>
      </c>
      <c r="B1393" s="24" t="s">
        <v>7645</v>
      </c>
      <c r="C1393" s="25" t="s">
        <v>7646</v>
      </c>
      <c r="D1393" s="24" t="s">
        <v>21824</v>
      </c>
      <c r="E1393" s="40">
        <v>561</v>
      </c>
      <c r="F1393" s="41">
        <v>31317</v>
      </c>
      <c r="G1393" s="40">
        <v>538</v>
      </c>
      <c r="H1393" s="41">
        <v>10164</v>
      </c>
      <c r="I1393" s="41">
        <v>55.823529411764703</v>
      </c>
      <c r="J1393" s="41">
        <v>18.892193308550187</v>
      </c>
      <c r="K1393" s="42">
        <v>-0.66157293335579226</v>
      </c>
    </row>
    <row r="1394" spans="1:11" x14ac:dyDescent="0.25">
      <c r="A1394" s="24" t="s">
        <v>7</v>
      </c>
      <c r="B1394" s="24" t="s">
        <v>7654</v>
      </c>
      <c r="C1394" s="25" t="s">
        <v>7655</v>
      </c>
      <c r="D1394" s="24" t="s">
        <v>21824</v>
      </c>
      <c r="E1394" s="40">
        <v>97</v>
      </c>
      <c r="F1394" s="41">
        <v>1616</v>
      </c>
      <c r="G1394" s="40">
        <v>141</v>
      </c>
      <c r="H1394" s="41">
        <v>1869</v>
      </c>
      <c r="I1394" s="41">
        <v>16.659793814432991</v>
      </c>
      <c r="J1394" s="41">
        <v>13.25531914893617</v>
      </c>
      <c r="K1394" s="42">
        <v>-0.20435274910469778</v>
      </c>
    </row>
    <row r="1395" spans="1:11" x14ac:dyDescent="0.25">
      <c r="A1395" s="24" t="s">
        <v>7</v>
      </c>
      <c r="B1395" s="24" t="s">
        <v>7657</v>
      </c>
      <c r="C1395" s="25" t="s">
        <v>7658</v>
      </c>
      <c r="D1395" s="24" t="s">
        <v>21824</v>
      </c>
      <c r="G1395" s="40">
        <v>1</v>
      </c>
      <c r="H1395" s="41">
        <v>19</v>
      </c>
      <c r="J1395" s="41">
        <v>19</v>
      </c>
    </row>
    <row r="1396" spans="1:11" x14ac:dyDescent="0.25">
      <c r="A1396" s="24" t="s">
        <v>7</v>
      </c>
      <c r="B1396" s="24" t="s">
        <v>7660</v>
      </c>
      <c r="C1396" s="25" t="s">
        <v>7661</v>
      </c>
      <c r="D1396" s="24" t="s">
        <v>21824</v>
      </c>
      <c r="E1396" s="40">
        <v>160</v>
      </c>
      <c r="F1396" s="41">
        <v>3614</v>
      </c>
      <c r="G1396" s="40">
        <v>321</v>
      </c>
      <c r="H1396" s="41">
        <v>5784</v>
      </c>
      <c r="I1396" s="41">
        <v>22.587499999999999</v>
      </c>
      <c r="J1396" s="41">
        <v>18.018691588785046</v>
      </c>
      <c r="K1396" s="42">
        <v>-0.20227154006485679</v>
      </c>
    </row>
    <row r="1397" spans="1:11" x14ac:dyDescent="0.25">
      <c r="A1397" s="24" t="s">
        <v>7</v>
      </c>
      <c r="B1397" s="24" t="s">
        <v>7663</v>
      </c>
      <c r="C1397" s="25" t="s">
        <v>7664</v>
      </c>
      <c r="D1397" s="24" t="s">
        <v>21824</v>
      </c>
      <c r="E1397" s="40">
        <v>534</v>
      </c>
      <c r="F1397" s="41">
        <v>12470</v>
      </c>
      <c r="G1397" s="40">
        <v>488</v>
      </c>
      <c r="H1397" s="41">
        <v>11097</v>
      </c>
      <c r="I1397" s="41">
        <v>23.352059925093634</v>
      </c>
      <c r="J1397" s="41">
        <v>22.739754098360656</v>
      </c>
      <c r="K1397" s="42">
        <v>-2.6220634440690484E-2</v>
      </c>
    </row>
    <row r="1398" spans="1:11" x14ac:dyDescent="0.25">
      <c r="A1398" s="24" t="s">
        <v>7</v>
      </c>
      <c r="B1398" s="24" t="s">
        <v>7666</v>
      </c>
      <c r="C1398" s="25" t="s">
        <v>7667</v>
      </c>
      <c r="D1398" s="24" t="s">
        <v>21824</v>
      </c>
      <c r="E1398" s="40">
        <v>588</v>
      </c>
      <c r="F1398" s="41">
        <v>80080</v>
      </c>
      <c r="G1398" s="40">
        <v>657</v>
      </c>
      <c r="H1398" s="41">
        <v>76340</v>
      </c>
      <c r="I1398" s="41">
        <v>136.1904761904762</v>
      </c>
      <c r="J1398" s="41">
        <v>116.19482496194826</v>
      </c>
      <c r="K1398" s="42">
        <v>-0.14682121531436604</v>
      </c>
    </row>
    <row r="1399" spans="1:11" x14ac:dyDescent="0.25">
      <c r="A1399" s="24" t="s">
        <v>7</v>
      </c>
      <c r="B1399" s="24" t="s">
        <v>7669</v>
      </c>
      <c r="C1399" s="25" t="s">
        <v>7670</v>
      </c>
      <c r="D1399" s="24" t="s">
        <v>21824</v>
      </c>
      <c r="E1399" s="40">
        <v>196</v>
      </c>
      <c r="F1399" s="41">
        <v>5954</v>
      </c>
      <c r="G1399" s="40">
        <v>255</v>
      </c>
      <c r="H1399" s="41">
        <v>6345</v>
      </c>
      <c r="I1399" s="41">
        <v>30.377551020408163</v>
      </c>
      <c r="J1399" s="41">
        <v>24.882352941176471</v>
      </c>
      <c r="K1399" s="42">
        <v>-0.18089667845640101</v>
      </c>
    </row>
    <row r="1400" spans="1:11" x14ac:dyDescent="0.25">
      <c r="A1400" s="24" t="s">
        <v>7</v>
      </c>
      <c r="B1400" s="24" t="s">
        <v>7672</v>
      </c>
      <c r="C1400" s="25" t="s">
        <v>7673</v>
      </c>
      <c r="D1400" s="24" t="s">
        <v>21824</v>
      </c>
      <c r="E1400" s="40">
        <v>598</v>
      </c>
      <c r="F1400" s="41">
        <v>32644</v>
      </c>
      <c r="G1400" s="40">
        <v>495</v>
      </c>
      <c r="H1400" s="41">
        <v>24145</v>
      </c>
      <c r="I1400" s="41">
        <v>54.588628762541809</v>
      </c>
      <c r="J1400" s="41">
        <v>48.777777777777779</v>
      </c>
      <c r="K1400" s="42">
        <v>-0.10644801154542612</v>
      </c>
    </row>
    <row r="1401" spans="1:11" x14ac:dyDescent="0.25">
      <c r="A1401" s="24" t="s">
        <v>7</v>
      </c>
      <c r="B1401" s="24" t="s">
        <v>7675</v>
      </c>
      <c r="C1401" s="25" t="s">
        <v>7676</v>
      </c>
      <c r="D1401" s="24" t="s">
        <v>21824</v>
      </c>
      <c r="G1401" s="40">
        <v>46</v>
      </c>
      <c r="H1401" s="41">
        <v>3241</v>
      </c>
      <c r="J1401" s="41">
        <v>70.456521739130437</v>
      </c>
    </row>
    <row r="1402" spans="1:11" x14ac:dyDescent="0.25">
      <c r="A1402" s="24" t="s">
        <v>7</v>
      </c>
      <c r="B1402" s="24" t="s">
        <v>7678</v>
      </c>
      <c r="C1402" s="25" t="s">
        <v>7679</v>
      </c>
      <c r="D1402" s="24" t="s">
        <v>21824</v>
      </c>
      <c r="E1402" s="40">
        <v>91</v>
      </c>
      <c r="F1402" s="41">
        <v>9323</v>
      </c>
      <c r="G1402" s="40">
        <v>104</v>
      </c>
      <c r="H1402" s="41">
        <v>10512</v>
      </c>
      <c r="I1402" s="41">
        <v>102.45054945054945</v>
      </c>
      <c r="J1402" s="41">
        <v>101.07692307692308</v>
      </c>
      <c r="K1402" s="42">
        <v>-1.3407701383674701E-2</v>
      </c>
    </row>
    <row r="1403" spans="1:11" x14ac:dyDescent="0.25">
      <c r="A1403" s="24" t="s">
        <v>7</v>
      </c>
      <c r="B1403" s="24" t="s">
        <v>7681</v>
      </c>
      <c r="C1403" s="25" t="s">
        <v>7682</v>
      </c>
      <c r="D1403" s="24" t="s">
        <v>21824</v>
      </c>
      <c r="E1403" s="40">
        <v>58</v>
      </c>
      <c r="F1403" s="41">
        <v>4814</v>
      </c>
      <c r="G1403" s="40">
        <v>100</v>
      </c>
      <c r="H1403" s="41">
        <v>6562</v>
      </c>
      <c r="I1403" s="41">
        <v>83</v>
      </c>
      <c r="J1403" s="41">
        <v>65.62</v>
      </c>
      <c r="K1403" s="42">
        <v>-0.20939759036144573</v>
      </c>
    </row>
    <row r="1404" spans="1:11" x14ac:dyDescent="0.25">
      <c r="A1404" s="24" t="s">
        <v>7</v>
      </c>
      <c r="B1404" s="24" t="s">
        <v>7684</v>
      </c>
      <c r="C1404" s="25" t="s">
        <v>7685</v>
      </c>
      <c r="D1404" s="24" t="s">
        <v>21824</v>
      </c>
      <c r="E1404" s="40">
        <v>357</v>
      </c>
      <c r="F1404" s="41">
        <v>11443</v>
      </c>
      <c r="G1404" s="40">
        <v>133</v>
      </c>
      <c r="H1404" s="41">
        <v>3924</v>
      </c>
      <c r="I1404" s="41">
        <v>32.05322128851541</v>
      </c>
      <c r="J1404" s="41">
        <v>29.503759398496239</v>
      </c>
      <c r="K1404" s="42">
        <v>-7.9538398561290191E-2</v>
      </c>
    </row>
    <row r="1405" spans="1:11" x14ac:dyDescent="0.25">
      <c r="A1405" s="24" t="s">
        <v>7</v>
      </c>
      <c r="B1405" s="24" t="s">
        <v>7687</v>
      </c>
      <c r="C1405" s="25" t="s">
        <v>7688</v>
      </c>
      <c r="D1405" s="24" t="s">
        <v>21824</v>
      </c>
      <c r="E1405" s="40">
        <v>21</v>
      </c>
      <c r="F1405" s="41">
        <v>1665</v>
      </c>
      <c r="G1405" s="40">
        <v>0</v>
      </c>
      <c r="H1405" s="41">
        <v>0</v>
      </c>
      <c r="I1405" s="41">
        <v>79.285714285714292</v>
      </c>
    </row>
    <row r="1406" spans="1:11" x14ac:dyDescent="0.25">
      <c r="A1406" s="24" t="s">
        <v>7</v>
      </c>
      <c r="B1406" s="24" t="s">
        <v>7689</v>
      </c>
      <c r="C1406" s="25" t="s">
        <v>7690</v>
      </c>
      <c r="D1406" s="24" t="s">
        <v>21824</v>
      </c>
      <c r="E1406" s="40">
        <v>68</v>
      </c>
      <c r="F1406" s="41">
        <v>9160</v>
      </c>
      <c r="G1406" s="40">
        <v>158</v>
      </c>
      <c r="H1406" s="41">
        <v>17051</v>
      </c>
      <c r="I1406" s="41">
        <v>134.70588235294119</v>
      </c>
      <c r="J1406" s="41">
        <v>107.91772151898734</v>
      </c>
      <c r="K1406" s="42">
        <v>-0.1988640760599194</v>
      </c>
    </row>
    <row r="1407" spans="1:11" x14ac:dyDescent="0.25">
      <c r="A1407" s="24" t="s">
        <v>7</v>
      </c>
      <c r="B1407" s="24" t="s">
        <v>7692</v>
      </c>
      <c r="C1407" s="25" t="s">
        <v>7693</v>
      </c>
      <c r="D1407" s="24" t="s">
        <v>21824</v>
      </c>
      <c r="E1407" s="40">
        <v>608</v>
      </c>
      <c r="F1407" s="41">
        <v>10212</v>
      </c>
      <c r="G1407" s="40">
        <v>643</v>
      </c>
      <c r="H1407" s="41">
        <v>10497</v>
      </c>
      <c r="I1407" s="41">
        <v>16.796052631578949</v>
      </c>
      <c r="J1407" s="41">
        <v>16.325038880248833</v>
      </c>
      <c r="K1407" s="42">
        <v>-2.8043121896661794E-2</v>
      </c>
    </row>
    <row r="1408" spans="1:11" x14ac:dyDescent="0.25">
      <c r="A1408" s="24" t="s">
        <v>7</v>
      </c>
      <c r="B1408" s="24" t="s">
        <v>7695</v>
      </c>
      <c r="C1408" s="25" t="s">
        <v>7696</v>
      </c>
      <c r="D1408" s="24" t="s">
        <v>21824</v>
      </c>
      <c r="E1408" s="40">
        <v>34</v>
      </c>
      <c r="F1408" s="41">
        <v>571</v>
      </c>
      <c r="G1408" s="40">
        <v>50</v>
      </c>
      <c r="H1408" s="41">
        <v>850</v>
      </c>
      <c r="I1408" s="41">
        <v>16.794117647058822</v>
      </c>
      <c r="J1408" s="41">
        <v>17</v>
      </c>
      <c r="K1408" s="42">
        <v>1.225919439579691E-2</v>
      </c>
    </row>
    <row r="1409" spans="1:11" x14ac:dyDescent="0.25">
      <c r="A1409" s="24" t="s">
        <v>7</v>
      </c>
      <c r="B1409" s="24" t="s">
        <v>7698</v>
      </c>
      <c r="C1409" s="25" t="s">
        <v>7699</v>
      </c>
      <c r="D1409" s="24" t="s">
        <v>21824</v>
      </c>
      <c r="E1409" s="40">
        <v>1382</v>
      </c>
      <c r="F1409" s="41">
        <v>29402</v>
      </c>
      <c r="G1409" s="40">
        <v>1371</v>
      </c>
      <c r="H1409" s="41">
        <v>24828</v>
      </c>
      <c r="I1409" s="41">
        <v>21.274963820549928</v>
      </c>
      <c r="J1409" s="41">
        <v>18.109409190371991</v>
      </c>
      <c r="K1409" s="42">
        <v>-0.14879248006618287</v>
      </c>
    </row>
    <row r="1410" spans="1:11" x14ac:dyDescent="0.25">
      <c r="A1410" s="24" t="s">
        <v>7</v>
      </c>
      <c r="B1410" s="24" t="s">
        <v>7701</v>
      </c>
      <c r="C1410" s="25" t="s">
        <v>7702</v>
      </c>
      <c r="D1410" s="24" t="s">
        <v>21824</v>
      </c>
      <c r="E1410" s="40">
        <v>3</v>
      </c>
      <c r="F1410" s="41">
        <v>50</v>
      </c>
      <c r="G1410" s="40">
        <v>6</v>
      </c>
      <c r="H1410" s="41">
        <v>102</v>
      </c>
      <c r="I1410" s="41">
        <v>16.666666666666668</v>
      </c>
      <c r="J1410" s="41">
        <v>17</v>
      </c>
      <c r="K1410" s="42">
        <v>1.9999999999999928E-2</v>
      </c>
    </row>
    <row r="1411" spans="1:11" x14ac:dyDescent="0.25">
      <c r="A1411" s="24" t="s">
        <v>7</v>
      </c>
      <c r="B1411" s="24" t="s">
        <v>7704</v>
      </c>
      <c r="C1411" s="25" t="s">
        <v>7705</v>
      </c>
      <c r="D1411" s="24" t="s">
        <v>21824</v>
      </c>
      <c r="E1411" s="40">
        <v>6102</v>
      </c>
      <c r="F1411" s="41">
        <v>160270</v>
      </c>
      <c r="G1411" s="40">
        <v>6750</v>
      </c>
      <c r="H1411" s="41">
        <v>146968</v>
      </c>
      <c r="I1411" s="41">
        <v>26.265158964274008</v>
      </c>
      <c r="J1411" s="41">
        <v>21.773037037037039</v>
      </c>
      <c r="K1411" s="42">
        <v>-0.17102968740250818</v>
      </c>
    </row>
    <row r="1412" spans="1:11" x14ac:dyDescent="0.25">
      <c r="A1412" s="24" t="s">
        <v>7</v>
      </c>
      <c r="B1412" s="24" t="s">
        <v>7707</v>
      </c>
      <c r="C1412" s="25" t="s">
        <v>7708</v>
      </c>
      <c r="D1412" s="24" t="s">
        <v>21824</v>
      </c>
      <c r="E1412" s="40">
        <v>763</v>
      </c>
      <c r="F1412" s="41">
        <v>12717</v>
      </c>
      <c r="G1412" s="40">
        <v>948</v>
      </c>
      <c r="H1412" s="41">
        <v>14478</v>
      </c>
      <c r="I1412" s="41">
        <v>16.66710353866317</v>
      </c>
      <c r="J1412" s="41">
        <v>15.272151898734178</v>
      </c>
      <c r="K1412" s="42">
        <v>-8.3694904558136454E-2</v>
      </c>
    </row>
    <row r="1413" spans="1:11" x14ac:dyDescent="0.25">
      <c r="A1413" s="24" t="s">
        <v>7</v>
      </c>
      <c r="B1413" s="24" t="s">
        <v>7710</v>
      </c>
      <c r="C1413" s="25" t="s">
        <v>7711</v>
      </c>
      <c r="D1413" s="24" t="s">
        <v>21824</v>
      </c>
      <c r="E1413" s="40">
        <v>4268</v>
      </c>
      <c r="F1413" s="41">
        <v>387453</v>
      </c>
      <c r="G1413" s="40">
        <v>5207</v>
      </c>
      <c r="H1413" s="41">
        <v>415546</v>
      </c>
      <c r="I1413" s="41">
        <v>90.780927835051543</v>
      </c>
      <c r="J1413" s="41">
        <v>79.805262147109659</v>
      </c>
      <c r="K1413" s="42">
        <v>-0.12090277054542348</v>
      </c>
    </row>
    <row r="1414" spans="1:11" x14ac:dyDescent="0.25">
      <c r="A1414" s="24" t="s">
        <v>7</v>
      </c>
      <c r="B1414" s="24" t="s">
        <v>7713</v>
      </c>
      <c r="C1414" s="25" t="s">
        <v>7714</v>
      </c>
      <c r="D1414" s="24" t="s">
        <v>21824</v>
      </c>
      <c r="E1414" s="40">
        <v>93</v>
      </c>
      <c r="F1414" s="41">
        <v>22077</v>
      </c>
      <c r="G1414" s="40">
        <v>157</v>
      </c>
      <c r="H1414" s="41">
        <v>33471</v>
      </c>
      <c r="I1414" s="41">
        <v>237.38709677419354</v>
      </c>
      <c r="J1414" s="41">
        <v>213.19108280254778</v>
      </c>
      <c r="K1414" s="42">
        <v>-0.10192640754464172</v>
      </c>
    </row>
    <row r="1415" spans="1:11" x14ac:dyDescent="0.25">
      <c r="A1415" s="24" t="s">
        <v>7</v>
      </c>
      <c r="B1415" s="24" t="s">
        <v>7716</v>
      </c>
      <c r="C1415" s="25" t="s">
        <v>7717</v>
      </c>
      <c r="D1415" s="24" t="s">
        <v>21824</v>
      </c>
      <c r="G1415" s="40">
        <v>36</v>
      </c>
      <c r="H1415" s="41">
        <v>680</v>
      </c>
      <c r="J1415" s="41">
        <v>18.888888888888889</v>
      </c>
    </row>
    <row r="1416" spans="1:11" x14ac:dyDescent="0.25">
      <c r="A1416" s="24" t="s">
        <v>7</v>
      </c>
      <c r="B1416" s="24" t="s">
        <v>7719</v>
      </c>
      <c r="C1416" s="25" t="s">
        <v>7720</v>
      </c>
      <c r="D1416" s="24" t="s">
        <v>21824</v>
      </c>
      <c r="E1416" s="40">
        <v>108</v>
      </c>
      <c r="F1416" s="41">
        <v>5960</v>
      </c>
      <c r="G1416" s="40">
        <v>182</v>
      </c>
      <c r="H1416" s="41">
        <v>6256</v>
      </c>
      <c r="I1416" s="41">
        <v>55.185185185185183</v>
      </c>
      <c r="J1416" s="41">
        <v>34.373626373626372</v>
      </c>
      <c r="K1416" s="42">
        <v>-0.37712220665240798</v>
      </c>
    </row>
    <row r="1417" spans="1:11" x14ac:dyDescent="0.25">
      <c r="A1417" s="24" t="s">
        <v>7</v>
      </c>
      <c r="B1417" s="24" t="s">
        <v>7725</v>
      </c>
      <c r="C1417" s="25" t="s">
        <v>7726</v>
      </c>
      <c r="D1417" s="24" t="s">
        <v>21824</v>
      </c>
      <c r="E1417" s="40">
        <v>516</v>
      </c>
      <c r="F1417" s="41">
        <v>9086</v>
      </c>
      <c r="G1417" s="40">
        <v>501</v>
      </c>
      <c r="H1417" s="41">
        <v>7514</v>
      </c>
      <c r="I1417" s="41">
        <v>17.608527131782946</v>
      </c>
      <c r="J1417" s="41">
        <v>14.998003992015969</v>
      </c>
      <c r="K1417" s="42">
        <v>-0.14825335022229366</v>
      </c>
    </row>
    <row r="1418" spans="1:11" x14ac:dyDescent="0.25">
      <c r="A1418" s="24" t="s">
        <v>7</v>
      </c>
      <c r="B1418" s="24" t="s">
        <v>7728</v>
      </c>
      <c r="C1418" s="25" t="s">
        <v>7729</v>
      </c>
      <c r="D1418" s="24" t="s">
        <v>21824</v>
      </c>
      <c r="E1418" s="40">
        <v>210</v>
      </c>
      <c r="F1418" s="41">
        <v>5726</v>
      </c>
      <c r="G1418" s="40">
        <v>441</v>
      </c>
      <c r="H1418" s="41">
        <v>6540</v>
      </c>
      <c r="I1418" s="41">
        <v>27.266666666666666</v>
      </c>
      <c r="J1418" s="41">
        <v>14.829931972789115</v>
      </c>
      <c r="K1418" s="42">
        <v>-0.45611496432313758</v>
      </c>
    </row>
    <row r="1419" spans="1:11" x14ac:dyDescent="0.25">
      <c r="A1419" s="24" t="s">
        <v>7</v>
      </c>
      <c r="B1419" s="24" t="s">
        <v>7731</v>
      </c>
      <c r="C1419" s="25" t="s">
        <v>7732</v>
      </c>
      <c r="D1419" s="24" t="s">
        <v>21824</v>
      </c>
      <c r="G1419" s="40">
        <v>46</v>
      </c>
      <c r="H1419" s="41">
        <v>307.74</v>
      </c>
      <c r="J1419" s="41">
        <v>6.69</v>
      </c>
    </row>
    <row r="1420" spans="1:11" x14ac:dyDescent="0.25">
      <c r="A1420" s="24" t="s">
        <v>7</v>
      </c>
      <c r="B1420" s="24" t="s">
        <v>7743</v>
      </c>
      <c r="C1420" s="25" t="s">
        <v>7744</v>
      </c>
      <c r="D1420" s="24" t="s">
        <v>21824</v>
      </c>
      <c r="E1420" s="40">
        <v>58</v>
      </c>
      <c r="F1420" s="41">
        <v>982</v>
      </c>
      <c r="G1420" s="40">
        <v>9</v>
      </c>
      <c r="H1420" s="41">
        <v>153</v>
      </c>
      <c r="I1420" s="41">
        <v>16.931034482758619</v>
      </c>
      <c r="J1420" s="41">
        <v>17</v>
      </c>
      <c r="K1420" s="42">
        <v>4.0733197556009019E-3</v>
      </c>
    </row>
    <row r="1421" spans="1:11" x14ac:dyDescent="0.25">
      <c r="A1421" s="24" t="s">
        <v>7</v>
      </c>
      <c r="B1421" s="24" t="s">
        <v>7755</v>
      </c>
      <c r="C1421" s="25" t="s">
        <v>7756</v>
      </c>
      <c r="D1421" s="24" t="s">
        <v>21824</v>
      </c>
      <c r="E1421" s="40">
        <v>468</v>
      </c>
      <c r="F1421" s="41">
        <v>10074</v>
      </c>
      <c r="G1421" s="40">
        <v>688</v>
      </c>
      <c r="H1421" s="41">
        <v>12994</v>
      </c>
      <c r="I1421" s="41">
        <v>21.525641025641026</v>
      </c>
      <c r="J1421" s="41">
        <v>18.886627906976745</v>
      </c>
      <c r="K1421" s="42">
        <v>-0.12259858442871582</v>
      </c>
    </row>
    <row r="1422" spans="1:11" x14ac:dyDescent="0.25">
      <c r="A1422" s="24" t="s">
        <v>7</v>
      </c>
      <c r="B1422" s="24" t="s">
        <v>7758</v>
      </c>
      <c r="C1422" s="25" t="s">
        <v>7759</v>
      </c>
      <c r="D1422" s="24" t="s">
        <v>21824</v>
      </c>
      <c r="E1422" s="40">
        <v>763</v>
      </c>
      <c r="F1422" s="41">
        <v>16432</v>
      </c>
      <c r="G1422" s="40">
        <v>687</v>
      </c>
      <c r="H1422" s="41">
        <v>11922</v>
      </c>
      <c r="I1422" s="41">
        <v>21.536041939711666</v>
      </c>
      <c r="J1422" s="41">
        <v>17.353711790393014</v>
      </c>
      <c r="K1422" s="42">
        <v>-0.19420143037549484</v>
      </c>
    </row>
    <row r="1423" spans="1:11" x14ac:dyDescent="0.25">
      <c r="A1423" s="24" t="s">
        <v>7</v>
      </c>
      <c r="B1423" s="24" t="s">
        <v>7761</v>
      </c>
      <c r="C1423" s="25" t="s">
        <v>7762</v>
      </c>
      <c r="D1423" s="24" t="s">
        <v>21830</v>
      </c>
      <c r="G1423" s="40">
        <v>4</v>
      </c>
      <c r="H1423" s="41">
        <v>304</v>
      </c>
      <c r="J1423" s="41">
        <v>76</v>
      </c>
    </row>
    <row r="1424" spans="1:11" x14ac:dyDescent="0.25">
      <c r="A1424" s="24" t="s">
        <v>7</v>
      </c>
      <c r="B1424" s="24" t="s">
        <v>7764</v>
      </c>
      <c r="C1424" s="25" t="s">
        <v>7765</v>
      </c>
      <c r="D1424" s="24" t="s">
        <v>21831</v>
      </c>
      <c r="G1424" s="40">
        <v>5</v>
      </c>
      <c r="H1424" s="41">
        <v>325</v>
      </c>
      <c r="J1424" s="41">
        <v>65</v>
      </c>
    </row>
    <row r="1425" spans="1:11" x14ac:dyDescent="0.25">
      <c r="A1425" s="24" t="s">
        <v>7</v>
      </c>
      <c r="B1425" s="24" t="s">
        <v>7767</v>
      </c>
      <c r="C1425" s="25" t="s">
        <v>7768</v>
      </c>
      <c r="D1425" s="24" t="s">
        <v>21831</v>
      </c>
      <c r="E1425" s="40">
        <v>412</v>
      </c>
      <c r="F1425" s="41">
        <v>27396</v>
      </c>
      <c r="G1425" s="40">
        <v>184</v>
      </c>
      <c r="H1425" s="41">
        <v>12512</v>
      </c>
      <c r="I1425" s="41">
        <v>66.495145631067956</v>
      </c>
      <c r="J1425" s="41">
        <v>68</v>
      </c>
      <c r="K1425" s="42">
        <v>2.263104102788736E-2</v>
      </c>
    </row>
    <row r="1426" spans="1:11" x14ac:dyDescent="0.25">
      <c r="A1426" s="24" t="s">
        <v>7</v>
      </c>
      <c r="B1426" s="24" t="s">
        <v>7770</v>
      </c>
      <c r="C1426" s="25" t="s">
        <v>7771</v>
      </c>
      <c r="D1426" s="24" t="s">
        <v>21832</v>
      </c>
      <c r="G1426" s="40">
        <v>5</v>
      </c>
      <c r="H1426" s="41">
        <v>400</v>
      </c>
      <c r="J1426" s="41">
        <v>80</v>
      </c>
    </row>
    <row r="1427" spans="1:11" x14ac:dyDescent="0.25">
      <c r="A1427" s="24" t="s">
        <v>7</v>
      </c>
      <c r="B1427" s="24" t="s">
        <v>7773</v>
      </c>
      <c r="C1427" s="25" t="s">
        <v>7774</v>
      </c>
      <c r="D1427" s="24" t="s">
        <v>21832</v>
      </c>
      <c r="G1427" s="40">
        <v>43</v>
      </c>
      <c r="H1427" s="41">
        <v>1419</v>
      </c>
      <c r="J1427" s="41">
        <v>33</v>
      </c>
    </row>
    <row r="1428" spans="1:11" x14ac:dyDescent="0.25">
      <c r="A1428" s="24" t="s">
        <v>7</v>
      </c>
      <c r="B1428" s="24" t="s">
        <v>7776</v>
      </c>
      <c r="C1428" s="25" t="s">
        <v>7777</v>
      </c>
      <c r="D1428" s="24" t="s">
        <v>21824</v>
      </c>
      <c r="G1428" s="40">
        <v>217</v>
      </c>
      <c r="H1428" s="41">
        <v>3497</v>
      </c>
      <c r="J1428" s="41">
        <v>16.11520737327189</v>
      </c>
    </row>
    <row r="1429" spans="1:11" x14ac:dyDescent="0.25">
      <c r="A1429" s="24" t="s">
        <v>7</v>
      </c>
      <c r="B1429" s="24" t="s">
        <v>7779</v>
      </c>
      <c r="C1429" s="25" t="s">
        <v>7780</v>
      </c>
      <c r="D1429" s="24" t="s">
        <v>21824</v>
      </c>
      <c r="E1429" s="40">
        <v>21</v>
      </c>
      <c r="F1429" s="41">
        <v>843</v>
      </c>
      <c r="G1429" s="40">
        <v>45</v>
      </c>
      <c r="H1429" s="41">
        <v>1803</v>
      </c>
      <c r="I1429" s="41">
        <v>40.142857142857146</v>
      </c>
      <c r="J1429" s="41">
        <v>40.06666666666667</v>
      </c>
      <c r="K1429" s="42">
        <v>-1.8979833926453075E-3</v>
      </c>
    </row>
    <row r="1430" spans="1:11" x14ac:dyDescent="0.25">
      <c r="A1430" s="24" t="s">
        <v>7</v>
      </c>
      <c r="B1430" s="24" t="s">
        <v>7782</v>
      </c>
      <c r="C1430" s="25" t="s">
        <v>7783</v>
      </c>
      <c r="D1430" s="24" t="s">
        <v>21824</v>
      </c>
      <c r="E1430" s="40">
        <v>95</v>
      </c>
      <c r="F1430" s="41">
        <v>5371</v>
      </c>
      <c r="G1430" s="40">
        <v>37</v>
      </c>
      <c r="H1430" s="41">
        <v>1665</v>
      </c>
      <c r="I1430" s="41">
        <v>56.536842105263155</v>
      </c>
      <c r="J1430" s="41">
        <v>45</v>
      </c>
      <c r="K1430" s="42">
        <v>-0.20405883448147455</v>
      </c>
    </row>
    <row r="1431" spans="1:11" x14ac:dyDescent="0.25">
      <c r="A1431" s="24" t="s">
        <v>7</v>
      </c>
      <c r="B1431" s="24" t="s">
        <v>7785</v>
      </c>
      <c r="C1431" s="25" t="s">
        <v>7786</v>
      </c>
      <c r="D1431" s="24" t="s">
        <v>21824</v>
      </c>
      <c r="E1431" s="40">
        <v>7</v>
      </c>
      <c r="F1431" s="41">
        <v>147.28</v>
      </c>
      <c r="G1431" s="40">
        <v>2</v>
      </c>
      <c r="H1431" s="41">
        <v>42.08</v>
      </c>
      <c r="I1431" s="41">
        <v>21.04</v>
      </c>
      <c r="J1431" s="41">
        <v>21.04</v>
      </c>
      <c r="K1431" s="42">
        <v>0</v>
      </c>
    </row>
    <row r="1432" spans="1:11" x14ac:dyDescent="0.25">
      <c r="A1432" s="24" t="s">
        <v>7</v>
      </c>
      <c r="B1432" s="24" t="s">
        <v>7788</v>
      </c>
      <c r="C1432" s="25" t="s">
        <v>7789</v>
      </c>
      <c r="D1432" s="24" t="s">
        <v>21824</v>
      </c>
      <c r="G1432" s="40">
        <v>40</v>
      </c>
      <c r="H1432" s="41">
        <v>1320</v>
      </c>
      <c r="J1432" s="41">
        <v>33</v>
      </c>
    </row>
    <row r="1433" spans="1:11" x14ac:dyDescent="0.25">
      <c r="A1433" s="24" t="s">
        <v>7</v>
      </c>
      <c r="B1433" s="24" t="s">
        <v>7797</v>
      </c>
      <c r="C1433" s="25" t="s">
        <v>7798</v>
      </c>
      <c r="D1433" s="24" t="s">
        <v>21824</v>
      </c>
      <c r="G1433" s="40">
        <v>26</v>
      </c>
      <c r="H1433" s="41">
        <v>3048.76</v>
      </c>
      <c r="J1433" s="41">
        <v>117.26</v>
      </c>
    </row>
    <row r="1434" spans="1:11" x14ac:dyDescent="0.25">
      <c r="A1434" s="24" t="s">
        <v>7</v>
      </c>
      <c r="B1434" s="24" t="s">
        <v>7800</v>
      </c>
      <c r="C1434" s="25" t="s">
        <v>7801</v>
      </c>
      <c r="D1434" s="24" t="s">
        <v>21824</v>
      </c>
      <c r="E1434" s="40">
        <v>366</v>
      </c>
      <c r="F1434" s="41">
        <v>46737.16</v>
      </c>
      <c r="G1434" s="40">
        <v>982</v>
      </c>
      <c r="H1434" s="41">
        <v>125142</v>
      </c>
      <c r="I1434" s="41">
        <v>127.69715846994536</v>
      </c>
      <c r="J1434" s="41">
        <v>127.43584521384929</v>
      </c>
      <c r="K1434" s="42">
        <v>-2.046351377173173E-3</v>
      </c>
    </row>
    <row r="1435" spans="1:11" x14ac:dyDescent="0.25">
      <c r="A1435" s="24" t="s">
        <v>7</v>
      </c>
      <c r="B1435" s="24" t="s">
        <v>7803</v>
      </c>
      <c r="C1435" s="25" t="s">
        <v>7804</v>
      </c>
      <c r="D1435" s="24" t="s">
        <v>21824</v>
      </c>
      <c r="G1435" s="40">
        <v>8</v>
      </c>
      <c r="H1435" s="41">
        <v>120</v>
      </c>
      <c r="J1435" s="41">
        <v>15</v>
      </c>
    </row>
    <row r="1436" spans="1:11" x14ac:dyDescent="0.25">
      <c r="A1436" s="24" t="s">
        <v>7</v>
      </c>
      <c r="B1436" s="24" t="s">
        <v>7806</v>
      </c>
      <c r="C1436" s="25" t="s">
        <v>7807</v>
      </c>
      <c r="D1436" s="24" t="s">
        <v>21824</v>
      </c>
      <c r="G1436" s="40">
        <v>9</v>
      </c>
      <c r="H1436" s="41">
        <v>234</v>
      </c>
      <c r="J1436" s="41">
        <v>26</v>
      </c>
    </row>
    <row r="1437" spans="1:11" x14ac:dyDescent="0.25">
      <c r="A1437" s="24" t="s">
        <v>7</v>
      </c>
      <c r="B1437" s="24" t="s">
        <v>7830</v>
      </c>
      <c r="C1437" s="25" t="s">
        <v>7831</v>
      </c>
      <c r="D1437" s="24" t="s">
        <v>21824</v>
      </c>
      <c r="G1437" s="40">
        <v>49</v>
      </c>
      <c r="H1437" s="41">
        <v>1323</v>
      </c>
      <c r="J1437" s="41">
        <v>27</v>
      </c>
    </row>
    <row r="1438" spans="1:11" x14ac:dyDescent="0.25">
      <c r="A1438" s="24" t="s">
        <v>7</v>
      </c>
      <c r="B1438" s="24" t="s">
        <v>7839</v>
      </c>
      <c r="C1438" s="25" t="s">
        <v>7840</v>
      </c>
      <c r="D1438" s="24" t="s">
        <v>21824</v>
      </c>
      <c r="G1438" s="40">
        <v>9</v>
      </c>
      <c r="H1438" s="41">
        <v>216</v>
      </c>
      <c r="J1438" s="41">
        <v>24</v>
      </c>
    </row>
    <row r="1439" spans="1:11" x14ac:dyDescent="0.25">
      <c r="A1439" s="24" t="s">
        <v>7</v>
      </c>
      <c r="B1439" s="24" t="s">
        <v>7845</v>
      </c>
      <c r="C1439" s="25" t="s">
        <v>7846</v>
      </c>
      <c r="D1439" s="24" t="s">
        <v>21824</v>
      </c>
      <c r="E1439" s="40">
        <v>79</v>
      </c>
      <c r="F1439" s="41">
        <v>3565</v>
      </c>
      <c r="G1439" s="40">
        <v>33</v>
      </c>
      <c r="H1439" s="41">
        <v>1254</v>
      </c>
      <c r="I1439" s="41">
        <v>45.12658227848101</v>
      </c>
      <c r="J1439" s="41">
        <v>38</v>
      </c>
      <c r="K1439" s="42">
        <v>-0.15792426367461426</v>
      </c>
    </row>
    <row r="1440" spans="1:11" x14ac:dyDescent="0.25">
      <c r="A1440" s="24" t="s">
        <v>7</v>
      </c>
      <c r="B1440" s="24" t="s">
        <v>7848</v>
      </c>
      <c r="C1440" s="25" t="s">
        <v>7849</v>
      </c>
      <c r="D1440" s="24" t="s">
        <v>21824</v>
      </c>
      <c r="G1440" s="40">
        <v>1</v>
      </c>
      <c r="H1440" s="41">
        <v>53</v>
      </c>
      <c r="J1440" s="41">
        <v>53</v>
      </c>
    </row>
    <row r="1441" spans="1:11" x14ac:dyDescent="0.25">
      <c r="A1441" s="24" t="s">
        <v>7</v>
      </c>
      <c r="B1441" s="24" t="s">
        <v>7857</v>
      </c>
      <c r="C1441" s="25" t="s">
        <v>7858</v>
      </c>
      <c r="D1441" s="24" t="s">
        <v>21824</v>
      </c>
      <c r="G1441" s="40">
        <v>48</v>
      </c>
      <c r="H1441" s="41">
        <v>1248</v>
      </c>
      <c r="J1441" s="41">
        <v>26</v>
      </c>
    </row>
    <row r="1442" spans="1:11" x14ac:dyDescent="0.25">
      <c r="A1442" s="24" t="s">
        <v>7</v>
      </c>
      <c r="B1442" s="24" t="s">
        <v>7860</v>
      </c>
      <c r="C1442" s="25" t="s">
        <v>7861</v>
      </c>
      <c r="D1442" s="24" t="s">
        <v>21824</v>
      </c>
      <c r="E1442" s="40">
        <v>463</v>
      </c>
      <c r="F1442" s="41">
        <v>4486</v>
      </c>
      <c r="G1442" s="40">
        <v>404</v>
      </c>
      <c r="H1442" s="41">
        <v>3536</v>
      </c>
      <c r="I1442" s="41">
        <v>9.6889848812095032</v>
      </c>
      <c r="J1442" s="41">
        <v>8.7524752475247531</v>
      </c>
      <c r="K1442" s="42">
        <v>-9.6657146766838897E-2</v>
      </c>
    </row>
    <row r="1443" spans="1:11" x14ac:dyDescent="0.25">
      <c r="A1443" s="24" t="s">
        <v>7</v>
      </c>
      <c r="B1443" s="24" t="s">
        <v>7863</v>
      </c>
      <c r="C1443" s="25" t="s">
        <v>7864</v>
      </c>
      <c r="D1443" s="24" t="s">
        <v>21824</v>
      </c>
      <c r="E1443" s="40">
        <v>903</v>
      </c>
      <c r="F1443" s="41">
        <v>19268</v>
      </c>
      <c r="G1443" s="40">
        <v>1078</v>
      </c>
      <c r="H1443" s="41">
        <v>21378</v>
      </c>
      <c r="I1443" s="41">
        <v>21.337763012181618</v>
      </c>
      <c r="J1443" s="41">
        <v>19.831168831168831</v>
      </c>
      <c r="K1443" s="42">
        <v>-7.0606941325230765E-2</v>
      </c>
    </row>
    <row r="1444" spans="1:11" x14ac:dyDescent="0.25">
      <c r="A1444" s="24" t="s">
        <v>7</v>
      </c>
      <c r="B1444" s="24" t="s">
        <v>7866</v>
      </c>
      <c r="C1444" s="25" t="s">
        <v>7867</v>
      </c>
      <c r="D1444" s="24" t="s">
        <v>21824</v>
      </c>
      <c r="E1444" s="40">
        <v>384</v>
      </c>
      <c r="F1444" s="41">
        <v>4485</v>
      </c>
      <c r="G1444" s="40">
        <v>171</v>
      </c>
      <c r="H1444" s="41">
        <v>2052</v>
      </c>
      <c r="I1444" s="41">
        <v>11.6796875</v>
      </c>
      <c r="J1444" s="41">
        <v>12</v>
      </c>
      <c r="K1444" s="42">
        <v>2.7424749163879599E-2</v>
      </c>
    </row>
    <row r="1445" spans="1:11" x14ac:dyDescent="0.25">
      <c r="A1445" s="24" t="s">
        <v>7</v>
      </c>
      <c r="B1445" s="24" t="s">
        <v>7869</v>
      </c>
      <c r="C1445" s="25" t="s">
        <v>7870</v>
      </c>
      <c r="D1445" s="24" t="s">
        <v>21824</v>
      </c>
      <c r="E1445" s="40">
        <v>36</v>
      </c>
      <c r="F1445" s="41">
        <v>611</v>
      </c>
      <c r="G1445" s="40">
        <v>22</v>
      </c>
      <c r="H1445" s="41">
        <v>374</v>
      </c>
      <c r="I1445" s="41">
        <v>16.972222222222221</v>
      </c>
      <c r="J1445" s="41">
        <v>17</v>
      </c>
      <c r="K1445" s="42">
        <v>1.6366612111293429E-3</v>
      </c>
    </row>
    <row r="1446" spans="1:11" x14ac:dyDescent="0.25">
      <c r="A1446" s="24" t="s">
        <v>7</v>
      </c>
      <c r="B1446" s="24" t="s">
        <v>7874</v>
      </c>
      <c r="C1446" s="25" t="s">
        <v>7875</v>
      </c>
      <c r="D1446" s="24" t="s">
        <v>21824</v>
      </c>
      <c r="E1446" s="40">
        <v>86</v>
      </c>
      <c r="F1446" s="41">
        <v>1920</v>
      </c>
      <c r="G1446" s="40">
        <v>66</v>
      </c>
      <c r="H1446" s="41">
        <v>1423</v>
      </c>
      <c r="I1446" s="41">
        <v>22.325581395348838</v>
      </c>
      <c r="J1446" s="41">
        <v>21.560606060606062</v>
      </c>
      <c r="K1446" s="42">
        <v>-3.426452020202015E-2</v>
      </c>
    </row>
    <row r="1447" spans="1:11" x14ac:dyDescent="0.25">
      <c r="A1447" s="24" t="s">
        <v>7</v>
      </c>
      <c r="B1447" s="24" t="s">
        <v>7877</v>
      </c>
      <c r="C1447" s="25" t="s">
        <v>7878</v>
      </c>
      <c r="D1447" s="24" t="s">
        <v>21824</v>
      </c>
      <c r="G1447" s="40">
        <v>1</v>
      </c>
      <c r="H1447" s="41">
        <v>17</v>
      </c>
      <c r="J1447" s="41">
        <v>17</v>
      </c>
    </row>
    <row r="1448" spans="1:11" x14ac:dyDescent="0.25">
      <c r="A1448" s="24" t="s">
        <v>7</v>
      </c>
      <c r="B1448" s="24" t="s">
        <v>7880</v>
      </c>
      <c r="C1448" s="25" t="s">
        <v>7881</v>
      </c>
      <c r="D1448" s="24" t="s">
        <v>21824</v>
      </c>
      <c r="E1448" s="40">
        <v>640</v>
      </c>
      <c r="F1448" s="41">
        <v>13588</v>
      </c>
      <c r="G1448" s="40">
        <v>698</v>
      </c>
      <c r="H1448" s="41">
        <v>13193</v>
      </c>
      <c r="I1448" s="41">
        <v>21.231249999999999</v>
      </c>
      <c r="J1448" s="41">
        <v>18.901146131805156</v>
      </c>
      <c r="K1448" s="42">
        <v>-0.10974878390084632</v>
      </c>
    </row>
    <row r="1449" spans="1:11" x14ac:dyDescent="0.25">
      <c r="A1449" s="24" t="s">
        <v>7</v>
      </c>
      <c r="B1449" s="24" t="s">
        <v>7883</v>
      </c>
      <c r="C1449" s="25" t="s">
        <v>7884</v>
      </c>
      <c r="D1449" s="24" t="s">
        <v>21824</v>
      </c>
      <c r="E1449" s="40">
        <v>10</v>
      </c>
      <c r="F1449" s="41">
        <v>87.8</v>
      </c>
      <c r="G1449" s="40">
        <v>0</v>
      </c>
      <c r="H1449" s="41">
        <v>0</v>
      </c>
      <c r="I1449" s="41">
        <v>8.7799999999999994</v>
      </c>
    </row>
    <row r="1450" spans="1:11" x14ac:dyDescent="0.25">
      <c r="A1450" s="24" t="s">
        <v>7</v>
      </c>
      <c r="B1450" s="24" t="s">
        <v>7886</v>
      </c>
      <c r="C1450" s="25" t="s">
        <v>7887</v>
      </c>
      <c r="D1450" s="24" t="s">
        <v>21824</v>
      </c>
      <c r="E1450" s="40">
        <v>17</v>
      </c>
      <c r="F1450" s="41">
        <v>356</v>
      </c>
      <c r="G1450" s="40">
        <v>12</v>
      </c>
      <c r="H1450" s="41">
        <v>184</v>
      </c>
      <c r="I1450" s="41">
        <v>20.941176470588236</v>
      </c>
      <c r="J1450" s="41">
        <v>15.333333333333334</v>
      </c>
      <c r="K1450" s="42">
        <v>-0.26779026217228463</v>
      </c>
    </row>
    <row r="1451" spans="1:11" x14ac:dyDescent="0.25">
      <c r="A1451" s="24" t="s">
        <v>7</v>
      </c>
      <c r="B1451" s="24" t="s">
        <v>7889</v>
      </c>
      <c r="C1451" s="25" t="s">
        <v>7890</v>
      </c>
      <c r="D1451" s="24" t="s">
        <v>21824</v>
      </c>
      <c r="G1451" s="40">
        <v>21</v>
      </c>
      <c r="H1451" s="41">
        <v>945</v>
      </c>
      <c r="J1451" s="41">
        <v>45</v>
      </c>
    </row>
    <row r="1452" spans="1:11" x14ac:dyDescent="0.25">
      <c r="A1452" s="24" t="s">
        <v>7</v>
      </c>
      <c r="B1452" s="24" t="s">
        <v>7892</v>
      </c>
      <c r="C1452" s="25" t="s">
        <v>7893</v>
      </c>
      <c r="D1452" s="24" t="s">
        <v>21824</v>
      </c>
      <c r="G1452" s="40">
        <v>10</v>
      </c>
      <c r="H1452" s="41">
        <v>240</v>
      </c>
      <c r="J1452" s="41">
        <v>24</v>
      </c>
    </row>
    <row r="1453" spans="1:11" x14ac:dyDescent="0.25">
      <c r="A1453" s="24" t="s">
        <v>7</v>
      </c>
      <c r="B1453" s="24" t="s">
        <v>7895</v>
      </c>
      <c r="C1453" s="25" t="s">
        <v>7896</v>
      </c>
      <c r="D1453" s="24" t="s">
        <v>21824</v>
      </c>
      <c r="E1453" s="40">
        <v>162</v>
      </c>
      <c r="F1453" s="41">
        <v>3498</v>
      </c>
      <c r="G1453" s="40">
        <v>144</v>
      </c>
      <c r="H1453" s="41">
        <v>3078</v>
      </c>
      <c r="I1453" s="41">
        <v>21.592592592592592</v>
      </c>
      <c r="J1453" s="41">
        <v>21.375</v>
      </c>
      <c r="K1453" s="42">
        <v>-1.0077186963979374E-2</v>
      </c>
    </row>
    <row r="1454" spans="1:11" x14ac:dyDescent="0.25">
      <c r="A1454" s="24" t="s">
        <v>7</v>
      </c>
      <c r="B1454" s="24" t="s">
        <v>7898</v>
      </c>
      <c r="C1454" s="25" t="s">
        <v>7899</v>
      </c>
      <c r="D1454" s="24" t="s">
        <v>21824</v>
      </c>
      <c r="E1454" s="40">
        <v>230</v>
      </c>
      <c r="F1454" s="41">
        <v>3853</v>
      </c>
      <c r="G1454" s="40">
        <v>74</v>
      </c>
      <c r="H1454" s="41">
        <v>1258</v>
      </c>
      <c r="I1454" s="41">
        <v>16.752173913043478</v>
      </c>
      <c r="J1454" s="41">
        <v>17</v>
      </c>
      <c r="K1454" s="42">
        <v>1.4793667272255394E-2</v>
      </c>
    </row>
    <row r="1455" spans="1:11" x14ac:dyDescent="0.25">
      <c r="A1455" s="24" t="s">
        <v>7</v>
      </c>
      <c r="B1455" s="24" t="s">
        <v>7901</v>
      </c>
      <c r="C1455" s="25" t="s">
        <v>7902</v>
      </c>
      <c r="D1455" s="24" t="s">
        <v>21824</v>
      </c>
      <c r="E1455" s="40">
        <v>640</v>
      </c>
      <c r="F1455" s="41">
        <v>17376</v>
      </c>
      <c r="G1455" s="40">
        <v>532</v>
      </c>
      <c r="H1455" s="41">
        <v>13384</v>
      </c>
      <c r="I1455" s="41">
        <v>27.15</v>
      </c>
      <c r="J1455" s="41">
        <v>25.157894736842106</v>
      </c>
      <c r="K1455" s="42">
        <v>-7.3374042841911319E-2</v>
      </c>
    </row>
    <row r="1456" spans="1:11" x14ac:dyDescent="0.25">
      <c r="A1456" s="24" t="s">
        <v>7</v>
      </c>
      <c r="B1456" s="24" t="s">
        <v>7904</v>
      </c>
      <c r="C1456" s="25" t="s">
        <v>7905</v>
      </c>
      <c r="D1456" s="24" t="s">
        <v>21824</v>
      </c>
      <c r="E1456" s="40">
        <v>211</v>
      </c>
      <c r="F1456" s="41">
        <v>3534</v>
      </c>
      <c r="G1456" s="40">
        <v>226</v>
      </c>
      <c r="H1456" s="41">
        <v>3368</v>
      </c>
      <c r="I1456" s="41">
        <v>16.748815165876778</v>
      </c>
      <c r="J1456" s="41">
        <v>14.902654867256636</v>
      </c>
      <c r="K1456" s="42">
        <v>-0.11022632230018388</v>
      </c>
    </row>
    <row r="1457" spans="1:11" x14ac:dyDescent="0.25">
      <c r="A1457" s="24" t="s">
        <v>7</v>
      </c>
      <c r="B1457" s="24" t="s">
        <v>7907</v>
      </c>
      <c r="C1457" s="25" t="s">
        <v>7908</v>
      </c>
      <c r="D1457" s="24" t="s">
        <v>21824</v>
      </c>
      <c r="E1457" s="40">
        <v>1718</v>
      </c>
      <c r="F1457" s="41">
        <v>28881</v>
      </c>
      <c r="G1457" s="40">
        <v>1843</v>
      </c>
      <c r="H1457" s="41">
        <v>28172</v>
      </c>
      <c r="I1457" s="41">
        <v>16.81082654249127</v>
      </c>
      <c r="J1457" s="41">
        <v>15.285946825827455</v>
      </c>
      <c r="K1457" s="42">
        <v>-9.0708194080136889E-2</v>
      </c>
    </row>
    <row r="1458" spans="1:11" x14ac:dyDescent="0.25">
      <c r="A1458" s="24" t="s">
        <v>7</v>
      </c>
      <c r="B1458" s="24" t="s">
        <v>7910</v>
      </c>
      <c r="C1458" s="25" t="s">
        <v>7911</v>
      </c>
      <c r="D1458" s="24" t="s">
        <v>21824</v>
      </c>
      <c r="E1458" s="40">
        <v>2623</v>
      </c>
      <c r="F1458" s="41">
        <v>56072</v>
      </c>
      <c r="G1458" s="40">
        <v>2459</v>
      </c>
      <c r="H1458" s="41">
        <v>43318</v>
      </c>
      <c r="I1458" s="41">
        <v>21.377049180327869</v>
      </c>
      <c r="J1458" s="41">
        <v>17.616104107360716</v>
      </c>
      <c r="K1458" s="42">
        <v>-0.17593378025383158</v>
      </c>
    </row>
    <row r="1459" spans="1:11" x14ac:dyDescent="0.25">
      <c r="A1459" s="24" t="s">
        <v>7</v>
      </c>
      <c r="B1459" s="24" t="s">
        <v>7913</v>
      </c>
      <c r="C1459" s="25" t="s">
        <v>7914</v>
      </c>
      <c r="D1459" s="24" t="s">
        <v>21824</v>
      </c>
      <c r="E1459" s="40">
        <v>505</v>
      </c>
      <c r="F1459" s="41">
        <v>14024</v>
      </c>
      <c r="G1459" s="40">
        <v>550</v>
      </c>
      <c r="H1459" s="41">
        <v>11566</v>
      </c>
      <c r="I1459" s="41">
        <v>27.77029702970297</v>
      </c>
      <c r="J1459" s="41">
        <v>21.029090909090908</v>
      </c>
      <c r="K1459" s="42">
        <v>-0.24274879427474982</v>
      </c>
    </row>
    <row r="1460" spans="1:11" x14ac:dyDescent="0.25">
      <c r="A1460" s="24" t="s">
        <v>7</v>
      </c>
      <c r="B1460" s="24" t="s">
        <v>7916</v>
      </c>
      <c r="C1460" s="25" t="s">
        <v>7917</v>
      </c>
      <c r="D1460" s="24" t="s">
        <v>21824</v>
      </c>
      <c r="G1460" s="40">
        <v>13</v>
      </c>
      <c r="H1460" s="41">
        <v>559</v>
      </c>
      <c r="J1460" s="41">
        <v>43</v>
      </c>
    </row>
    <row r="1461" spans="1:11" x14ac:dyDescent="0.25">
      <c r="A1461" s="24" t="s">
        <v>7</v>
      </c>
      <c r="B1461" s="24" t="s">
        <v>7922</v>
      </c>
      <c r="C1461" s="25" t="s">
        <v>7923</v>
      </c>
      <c r="D1461" s="24" t="s">
        <v>21824</v>
      </c>
      <c r="E1461" s="40">
        <v>127</v>
      </c>
      <c r="F1461" s="41">
        <v>4458</v>
      </c>
      <c r="G1461" s="40">
        <v>91</v>
      </c>
      <c r="H1461" s="41">
        <v>3150</v>
      </c>
      <c r="I1461" s="41">
        <v>35.102362204724407</v>
      </c>
      <c r="J1461" s="41">
        <v>34.615384615384613</v>
      </c>
      <c r="K1461" s="42">
        <v>-1.3873071746557622E-2</v>
      </c>
    </row>
    <row r="1462" spans="1:11" x14ac:dyDescent="0.25">
      <c r="A1462" s="24" t="s">
        <v>7</v>
      </c>
      <c r="B1462" s="24" t="s">
        <v>7925</v>
      </c>
      <c r="C1462" s="25" t="s">
        <v>7926</v>
      </c>
      <c r="D1462" s="24" t="s">
        <v>21824</v>
      </c>
      <c r="E1462" s="40">
        <v>1222</v>
      </c>
      <c r="F1462" s="41">
        <v>49902</v>
      </c>
      <c r="G1462" s="40">
        <v>1068</v>
      </c>
      <c r="H1462" s="41">
        <v>39896</v>
      </c>
      <c r="I1462" s="41">
        <v>40.836333878887068</v>
      </c>
      <c r="J1462" s="41">
        <v>37.355805243445694</v>
      </c>
      <c r="K1462" s="42">
        <v>-8.5231172949167544E-2</v>
      </c>
    </row>
    <row r="1463" spans="1:11" x14ac:dyDescent="0.25">
      <c r="A1463" s="24" t="s">
        <v>7</v>
      </c>
      <c r="B1463" s="24" t="s">
        <v>7928</v>
      </c>
      <c r="C1463" s="25" t="s">
        <v>7929</v>
      </c>
      <c r="D1463" s="24" t="s">
        <v>21824</v>
      </c>
      <c r="E1463" s="40">
        <v>234</v>
      </c>
      <c r="F1463" s="41">
        <v>10509</v>
      </c>
      <c r="G1463" s="40">
        <v>367</v>
      </c>
      <c r="H1463" s="41">
        <v>15678</v>
      </c>
      <c r="I1463" s="41">
        <v>44.910256410256409</v>
      </c>
      <c r="J1463" s="41">
        <v>42.719346049046322</v>
      </c>
      <c r="K1463" s="42">
        <v>-4.8784187317838068E-2</v>
      </c>
    </row>
    <row r="1464" spans="1:11" x14ac:dyDescent="0.25">
      <c r="A1464" s="24" t="s">
        <v>7</v>
      </c>
      <c r="B1464" s="24" t="s">
        <v>7931</v>
      </c>
      <c r="C1464" s="25" t="s">
        <v>7932</v>
      </c>
      <c r="D1464" s="24" t="s">
        <v>21824</v>
      </c>
      <c r="E1464" s="40">
        <v>40</v>
      </c>
      <c r="F1464" s="41">
        <v>3523</v>
      </c>
      <c r="G1464" s="40">
        <v>83</v>
      </c>
      <c r="H1464" s="41">
        <v>5836</v>
      </c>
      <c r="I1464" s="41">
        <v>88.075000000000003</v>
      </c>
      <c r="J1464" s="41">
        <v>70.313253012048193</v>
      </c>
      <c r="K1464" s="42">
        <v>-0.20166615938633903</v>
      </c>
    </row>
    <row r="1465" spans="1:11" x14ac:dyDescent="0.25">
      <c r="A1465" s="24" t="s">
        <v>7</v>
      </c>
      <c r="B1465" s="24" t="s">
        <v>7934</v>
      </c>
      <c r="C1465" s="25" t="s">
        <v>7935</v>
      </c>
      <c r="D1465" s="24" t="s">
        <v>21823</v>
      </c>
      <c r="G1465" s="40">
        <v>1</v>
      </c>
      <c r="H1465" s="41">
        <v>14</v>
      </c>
      <c r="J1465" s="41">
        <v>14</v>
      </c>
    </row>
    <row r="1466" spans="1:11" x14ac:dyDescent="0.25">
      <c r="A1466" s="24" t="s">
        <v>7</v>
      </c>
      <c r="B1466" s="24" t="s">
        <v>7937</v>
      </c>
      <c r="C1466" s="25" t="s">
        <v>7938</v>
      </c>
      <c r="D1466" s="24" t="s">
        <v>21823</v>
      </c>
      <c r="E1466" s="40">
        <v>1070</v>
      </c>
      <c r="F1466" s="41">
        <v>32614</v>
      </c>
      <c r="G1466" s="40">
        <v>1135</v>
      </c>
      <c r="H1466" s="41">
        <v>29665</v>
      </c>
      <c r="I1466" s="41">
        <v>30.480373831775701</v>
      </c>
      <c r="J1466" s="41">
        <v>26.136563876651984</v>
      </c>
      <c r="K1466" s="42">
        <v>-0.14251170209058617</v>
      </c>
    </row>
    <row r="1467" spans="1:11" x14ac:dyDescent="0.25">
      <c r="A1467" s="24" t="s">
        <v>7</v>
      </c>
      <c r="B1467" s="24" t="s">
        <v>7940</v>
      </c>
      <c r="C1467" s="25" t="s">
        <v>7941</v>
      </c>
      <c r="D1467" s="24" t="s">
        <v>21824</v>
      </c>
      <c r="E1467" s="40">
        <v>344</v>
      </c>
      <c r="F1467" s="41">
        <v>5719</v>
      </c>
      <c r="G1467" s="40">
        <v>432</v>
      </c>
      <c r="H1467" s="41">
        <v>6144</v>
      </c>
      <c r="I1467" s="41">
        <v>16.625</v>
      </c>
      <c r="J1467" s="41">
        <v>14.222222222222221</v>
      </c>
      <c r="K1467" s="42">
        <v>-0.14452798663324984</v>
      </c>
    </row>
    <row r="1468" spans="1:11" x14ac:dyDescent="0.25">
      <c r="A1468" s="24" t="s">
        <v>7</v>
      </c>
      <c r="B1468" s="24" t="s">
        <v>7943</v>
      </c>
      <c r="C1468" s="25" t="s">
        <v>7944</v>
      </c>
      <c r="D1468" s="24" t="s">
        <v>21824</v>
      </c>
      <c r="E1468" s="40">
        <v>211</v>
      </c>
      <c r="F1468" s="41">
        <v>3542</v>
      </c>
      <c r="G1468" s="40">
        <v>266</v>
      </c>
      <c r="H1468" s="41">
        <v>3976</v>
      </c>
      <c r="I1468" s="41">
        <v>16.786729857819907</v>
      </c>
      <c r="J1468" s="41">
        <v>14.947368421052632</v>
      </c>
      <c r="K1468" s="42">
        <v>-0.10957234984694947</v>
      </c>
    </row>
    <row r="1469" spans="1:11" x14ac:dyDescent="0.25">
      <c r="A1469" s="24" t="s">
        <v>7</v>
      </c>
      <c r="B1469" s="24" t="s">
        <v>7949</v>
      </c>
      <c r="C1469" s="25" t="s">
        <v>7950</v>
      </c>
      <c r="D1469" s="24" t="s">
        <v>21824</v>
      </c>
      <c r="G1469" s="40">
        <v>30</v>
      </c>
      <c r="H1469" s="41">
        <v>720</v>
      </c>
      <c r="J1469" s="41">
        <v>24</v>
      </c>
    </row>
    <row r="1470" spans="1:11" x14ac:dyDescent="0.25">
      <c r="A1470" s="24" t="s">
        <v>7</v>
      </c>
      <c r="B1470" s="24" t="s">
        <v>7952</v>
      </c>
      <c r="C1470" s="25" t="s">
        <v>7953</v>
      </c>
      <c r="D1470" s="24" t="s">
        <v>21824</v>
      </c>
      <c r="G1470" s="40">
        <v>13</v>
      </c>
      <c r="H1470" s="41">
        <v>325</v>
      </c>
      <c r="J1470" s="41">
        <v>25</v>
      </c>
    </row>
    <row r="1471" spans="1:11" x14ac:dyDescent="0.25">
      <c r="A1471" s="24" t="s">
        <v>7</v>
      </c>
      <c r="B1471" s="24" t="s">
        <v>7967</v>
      </c>
      <c r="C1471" s="25" t="s">
        <v>7968</v>
      </c>
      <c r="D1471" s="24" t="s">
        <v>21824</v>
      </c>
      <c r="E1471" s="40">
        <v>217</v>
      </c>
      <c r="F1471" s="41">
        <v>3577</v>
      </c>
      <c r="G1471" s="40">
        <v>95</v>
      </c>
      <c r="H1471" s="41">
        <v>1471</v>
      </c>
      <c r="I1471" s="41">
        <v>16.483870967741936</v>
      </c>
      <c r="J1471" s="41">
        <v>15.48421052631579</v>
      </c>
      <c r="K1471" s="42">
        <v>-6.0644762591410023E-2</v>
      </c>
    </row>
    <row r="1472" spans="1:11" x14ac:dyDescent="0.25">
      <c r="A1472" s="24" t="s">
        <v>7</v>
      </c>
      <c r="B1472" s="24" t="s">
        <v>7970</v>
      </c>
      <c r="C1472" s="25" t="s">
        <v>7971</v>
      </c>
      <c r="D1472" s="24" t="s">
        <v>21824</v>
      </c>
      <c r="E1472" s="40">
        <v>225</v>
      </c>
      <c r="F1472" s="41">
        <v>3774</v>
      </c>
      <c r="G1472" s="40">
        <v>374</v>
      </c>
      <c r="H1472" s="41">
        <v>5222</v>
      </c>
      <c r="I1472" s="41">
        <v>16.773333333333333</v>
      </c>
      <c r="J1472" s="41">
        <v>13.962566844919786</v>
      </c>
      <c r="K1472" s="42">
        <v>-0.16757351878459142</v>
      </c>
    </row>
    <row r="1473" spans="1:11" x14ac:dyDescent="0.25">
      <c r="A1473" s="24" t="s">
        <v>7</v>
      </c>
      <c r="B1473" s="24" t="s">
        <v>7973</v>
      </c>
      <c r="C1473" s="25" t="s">
        <v>7974</v>
      </c>
      <c r="D1473" s="24" t="s">
        <v>21824</v>
      </c>
      <c r="E1473" s="40">
        <v>447</v>
      </c>
      <c r="F1473" s="41">
        <v>9502</v>
      </c>
      <c r="G1473" s="40">
        <v>835</v>
      </c>
      <c r="H1473" s="41">
        <v>9510</v>
      </c>
      <c r="I1473" s="41">
        <v>21.257270693512304</v>
      </c>
      <c r="J1473" s="41">
        <v>11.389221556886227</v>
      </c>
      <c r="K1473" s="42">
        <v>-0.46421994991284532</v>
      </c>
    </row>
    <row r="1474" spans="1:11" x14ac:dyDescent="0.25">
      <c r="A1474" s="24" t="s">
        <v>7</v>
      </c>
      <c r="B1474" s="24" t="s">
        <v>7976</v>
      </c>
      <c r="C1474" s="25" t="s">
        <v>7977</v>
      </c>
      <c r="D1474" s="24" t="s">
        <v>21824</v>
      </c>
      <c r="E1474" s="40">
        <v>393</v>
      </c>
      <c r="F1474" s="41">
        <v>3730</v>
      </c>
      <c r="G1474" s="40">
        <v>366</v>
      </c>
      <c r="H1474" s="41">
        <v>3630</v>
      </c>
      <c r="I1474" s="41">
        <v>9.4910941475826966</v>
      </c>
      <c r="J1474" s="41">
        <v>9.9180327868852451</v>
      </c>
      <c r="K1474" s="42">
        <v>4.4983079154397206E-2</v>
      </c>
    </row>
    <row r="1475" spans="1:11" x14ac:dyDescent="0.25">
      <c r="A1475" s="24" t="s">
        <v>7</v>
      </c>
      <c r="B1475" s="24" t="s">
        <v>7979</v>
      </c>
      <c r="C1475" s="25" t="s">
        <v>7980</v>
      </c>
      <c r="D1475" s="24" t="s">
        <v>21824</v>
      </c>
      <c r="E1475" s="40">
        <v>57</v>
      </c>
      <c r="F1475" s="41">
        <v>998</v>
      </c>
      <c r="G1475" s="40">
        <v>164</v>
      </c>
      <c r="H1475" s="41">
        <v>2757</v>
      </c>
      <c r="I1475" s="41">
        <v>17.508771929824562</v>
      </c>
      <c r="J1475" s="41">
        <v>16.810975609756099</v>
      </c>
      <c r="K1475" s="42">
        <v>-3.9854098440783942E-2</v>
      </c>
    </row>
    <row r="1476" spans="1:11" x14ac:dyDescent="0.25">
      <c r="A1476" s="24" t="s">
        <v>7</v>
      </c>
      <c r="B1476" s="24" t="s">
        <v>7982</v>
      </c>
      <c r="C1476" s="25" t="s">
        <v>7983</v>
      </c>
      <c r="D1476" s="24" t="s">
        <v>21823</v>
      </c>
      <c r="E1476" s="40">
        <v>29053</v>
      </c>
      <c r="F1476" s="41">
        <v>1105170</v>
      </c>
      <c r="G1476" s="40">
        <v>27209</v>
      </c>
      <c r="H1476" s="41">
        <v>914015</v>
      </c>
      <c r="I1476" s="41">
        <v>38.039789350497365</v>
      </c>
      <c r="J1476" s="41">
        <v>33.592377522143408</v>
      </c>
      <c r="K1476" s="42">
        <v>-0.11691473334343812</v>
      </c>
    </row>
    <row r="1477" spans="1:11" x14ac:dyDescent="0.25">
      <c r="A1477" s="24" t="s">
        <v>7</v>
      </c>
      <c r="B1477" s="24" t="s">
        <v>7985</v>
      </c>
      <c r="C1477" s="25" t="s">
        <v>7986</v>
      </c>
      <c r="D1477" s="24" t="s">
        <v>21823</v>
      </c>
      <c r="E1477" s="40">
        <v>4854</v>
      </c>
      <c r="F1477" s="41">
        <v>80994</v>
      </c>
      <c r="G1477" s="40">
        <v>5102</v>
      </c>
      <c r="H1477" s="41">
        <v>76750</v>
      </c>
      <c r="I1477" s="41">
        <v>16.686032138442521</v>
      </c>
      <c r="J1477" s="41">
        <v>15.043120344962759</v>
      </c>
      <c r="K1477" s="42">
        <v>-9.8460303794734971E-2</v>
      </c>
    </row>
    <row r="1478" spans="1:11" x14ac:dyDescent="0.25">
      <c r="A1478" s="24" t="s">
        <v>7</v>
      </c>
      <c r="B1478" s="24" t="s">
        <v>7988</v>
      </c>
      <c r="C1478" s="25" t="s">
        <v>7989</v>
      </c>
      <c r="D1478" s="24" t="s">
        <v>21824</v>
      </c>
      <c r="E1478" s="40">
        <v>3432</v>
      </c>
      <c r="F1478" s="41">
        <v>407946</v>
      </c>
      <c r="G1478" s="40">
        <v>3768</v>
      </c>
      <c r="H1478" s="41">
        <v>386328</v>
      </c>
      <c r="I1478" s="41">
        <v>118.86538461538461</v>
      </c>
      <c r="J1478" s="41">
        <v>102.52866242038216</v>
      </c>
      <c r="K1478" s="42">
        <v>-0.1374388536062332</v>
      </c>
    </row>
    <row r="1479" spans="1:11" x14ac:dyDescent="0.25">
      <c r="A1479" s="24" t="s">
        <v>7</v>
      </c>
      <c r="B1479" s="24" t="s">
        <v>7994</v>
      </c>
      <c r="C1479" s="25" t="s">
        <v>7995</v>
      </c>
      <c r="D1479" s="24" t="s">
        <v>21824</v>
      </c>
      <c r="E1479" s="40">
        <v>1092</v>
      </c>
      <c r="F1479" s="41">
        <v>29170</v>
      </c>
      <c r="G1479" s="40">
        <v>700</v>
      </c>
      <c r="H1479" s="41">
        <v>17536</v>
      </c>
      <c r="I1479" s="41">
        <v>26.712454212454212</v>
      </c>
      <c r="J1479" s="41">
        <v>25.05142857142857</v>
      </c>
      <c r="K1479" s="42">
        <v>-6.2181693520740523E-2</v>
      </c>
    </row>
    <row r="1480" spans="1:11" x14ac:dyDescent="0.25">
      <c r="A1480" s="24" t="s">
        <v>7</v>
      </c>
      <c r="B1480" s="24" t="s">
        <v>7997</v>
      </c>
      <c r="C1480" s="25" t="s">
        <v>7998</v>
      </c>
      <c r="D1480" s="24" t="s">
        <v>21824</v>
      </c>
      <c r="E1480" s="40">
        <v>802</v>
      </c>
      <c r="F1480" s="41">
        <v>18782</v>
      </c>
      <c r="G1480" s="40">
        <v>1015</v>
      </c>
      <c r="H1480" s="41">
        <v>22061</v>
      </c>
      <c r="I1480" s="41">
        <v>23.418952618453865</v>
      </c>
      <c r="J1480" s="41">
        <v>21.734975369458127</v>
      </c>
      <c r="K1480" s="42">
        <v>-7.1906599600393042E-2</v>
      </c>
    </row>
    <row r="1481" spans="1:11" x14ac:dyDescent="0.25">
      <c r="A1481" s="24" t="s">
        <v>7</v>
      </c>
      <c r="B1481" s="24" t="s">
        <v>8000</v>
      </c>
      <c r="C1481" s="25" t="s">
        <v>8001</v>
      </c>
      <c r="D1481" s="24" t="s">
        <v>21824</v>
      </c>
      <c r="E1481" s="40">
        <v>15</v>
      </c>
      <c r="F1481" s="41">
        <v>253</v>
      </c>
      <c r="G1481" s="40">
        <v>24</v>
      </c>
      <c r="H1481" s="41">
        <v>342</v>
      </c>
      <c r="I1481" s="41">
        <v>16.866666666666667</v>
      </c>
      <c r="J1481" s="41">
        <v>14.25</v>
      </c>
      <c r="K1481" s="42">
        <v>-0.15513833992094864</v>
      </c>
    </row>
    <row r="1482" spans="1:11" x14ac:dyDescent="0.25">
      <c r="A1482" s="24" t="s">
        <v>7</v>
      </c>
      <c r="B1482" s="24" t="s">
        <v>8002</v>
      </c>
      <c r="C1482" s="25" t="s">
        <v>8003</v>
      </c>
      <c r="D1482" s="24" t="s">
        <v>21824</v>
      </c>
      <c r="E1482" s="40">
        <v>103</v>
      </c>
      <c r="F1482" s="41">
        <v>1716</v>
      </c>
      <c r="G1482" s="40">
        <v>210</v>
      </c>
      <c r="H1482" s="41">
        <v>3442</v>
      </c>
      <c r="I1482" s="41">
        <v>16.660194174757283</v>
      </c>
      <c r="J1482" s="41">
        <v>16.390476190476189</v>
      </c>
      <c r="K1482" s="42">
        <v>-1.618936618936636E-2</v>
      </c>
    </row>
    <row r="1483" spans="1:11" x14ac:dyDescent="0.25">
      <c r="A1483" s="24" t="s">
        <v>7</v>
      </c>
      <c r="B1483" s="24" t="s">
        <v>8007</v>
      </c>
      <c r="C1483" s="25" t="s">
        <v>8008</v>
      </c>
      <c r="D1483" s="24" t="s">
        <v>21824</v>
      </c>
      <c r="E1483" s="40">
        <v>42</v>
      </c>
      <c r="F1483" s="41">
        <v>456</v>
      </c>
      <c r="G1483" s="40">
        <v>140</v>
      </c>
      <c r="H1483" s="41">
        <v>1342</v>
      </c>
      <c r="I1483" s="41">
        <v>10.857142857142858</v>
      </c>
      <c r="J1483" s="41">
        <v>9.5857142857142854</v>
      </c>
      <c r="K1483" s="42">
        <v>-0.11710526315789481</v>
      </c>
    </row>
    <row r="1484" spans="1:11" x14ac:dyDescent="0.25">
      <c r="A1484" s="24" t="s">
        <v>7</v>
      </c>
      <c r="B1484" s="24" t="s">
        <v>8010</v>
      </c>
      <c r="C1484" s="25" t="s">
        <v>8011</v>
      </c>
      <c r="D1484" s="24" t="s">
        <v>21824</v>
      </c>
      <c r="E1484" s="40">
        <v>544</v>
      </c>
      <c r="F1484" s="41">
        <v>34989</v>
      </c>
      <c r="G1484" s="40">
        <v>889</v>
      </c>
      <c r="H1484" s="41">
        <v>50930</v>
      </c>
      <c r="I1484" s="41">
        <v>64.318014705882348</v>
      </c>
      <c r="J1484" s="41">
        <v>57.289088863892012</v>
      </c>
      <c r="K1484" s="42">
        <v>-0.10928393660987006</v>
      </c>
    </row>
    <row r="1485" spans="1:11" x14ac:dyDescent="0.25">
      <c r="A1485" s="24" t="s">
        <v>7</v>
      </c>
      <c r="B1485" s="24" t="s">
        <v>8013</v>
      </c>
      <c r="C1485" s="25" t="s">
        <v>8014</v>
      </c>
      <c r="D1485" s="24" t="s">
        <v>21824</v>
      </c>
      <c r="E1485" s="40">
        <v>40</v>
      </c>
      <c r="F1485" s="41">
        <v>1912</v>
      </c>
      <c r="G1485" s="40">
        <v>114</v>
      </c>
      <c r="H1485" s="41">
        <v>5814</v>
      </c>
      <c r="I1485" s="41">
        <v>47.8</v>
      </c>
      <c r="J1485" s="41">
        <v>51</v>
      </c>
      <c r="K1485" s="42">
        <v>6.6945606694560733E-2</v>
      </c>
    </row>
    <row r="1486" spans="1:11" x14ac:dyDescent="0.25">
      <c r="A1486" s="24" t="s">
        <v>7</v>
      </c>
      <c r="B1486" s="24" t="s">
        <v>8016</v>
      </c>
      <c r="C1486" s="25" t="s">
        <v>8017</v>
      </c>
      <c r="D1486" s="24" t="s">
        <v>21824</v>
      </c>
      <c r="E1486" s="40">
        <v>284</v>
      </c>
      <c r="F1486" s="41">
        <v>24354</v>
      </c>
      <c r="G1486" s="40">
        <v>389</v>
      </c>
      <c r="H1486" s="41">
        <v>39514</v>
      </c>
      <c r="I1486" s="41">
        <v>85.75352112676056</v>
      </c>
      <c r="J1486" s="41">
        <v>101.57840616966581</v>
      </c>
      <c r="K1486" s="42">
        <v>0.18453918667098182</v>
      </c>
    </row>
    <row r="1487" spans="1:11" x14ac:dyDescent="0.25">
      <c r="A1487" s="24" t="s">
        <v>7</v>
      </c>
      <c r="B1487" s="24" t="s">
        <v>8019</v>
      </c>
      <c r="C1487" s="25" t="s">
        <v>8020</v>
      </c>
      <c r="D1487" s="24" t="s">
        <v>21824</v>
      </c>
      <c r="E1487" s="40">
        <v>62</v>
      </c>
      <c r="F1487" s="41">
        <v>8245.84</v>
      </c>
      <c r="G1487" s="40">
        <v>281</v>
      </c>
      <c r="H1487" s="41">
        <v>37134</v>
      </c>
      <c r="I1487" s="41">
        <v>132.99741935483871</v>
      </c>
      <c r="J1487" s="41">
        <v>132.14946619217082</v>
      </c>
      <c r="K1487" s="42">
        <v>-6.3757113993734181E-3</v>
      </c>
    </row>
    <row r="1488" spans="1:11" x14ac:dyDescent="0.25">
      <c r="A1488" s="24" t="s">
        <v>7</v>
      </c>
      <c r="B1488" s="24" t="s">
        <v>8022</v>
      </c>
      <c r="C1488" s="25" t="s">
        <v>8023</v>
      </c>
      <c r="D1488" s="24" t="s">
        <v>21824</v>
      </c>
      <c r="E1488" s="40">
        <v>318</v>
      </c>
      <c r="F1488" s="41">
        <v>14370</v>
      </c>
      <c r="G1488" s="40">
        <v>506</v>
      </c>
      <c r="H1488" s="41">
        <v>21072</v>
      </c>
      <c r="I1488" s="41">
        <v>45.188679245283019</v>
      </c>
      <c r="J1488" s="41">
        <v>41.644268774703555</v>
      </c>
      <c r="K1488" s="42">
        <v>-7.8435805820756418E-2</v>
      </c>
    </row>
    <row r="1489" spans="1:11" x14ac:dyDescent="0.25">
      <c r="A1489" s="24" t="s">
        <v>7</v>
      </c>
      <c r="B1489" s="24" t="s">
        <v>8025</v>
      </c>
      <c r="C1489" s="25" t="s">
        <v>8026</v>
      </c>
      <c r="D1489" s="24" t="s">
        <v>21824</v>
      </c>
      <c r="E1489" s="40">
        <v>2602</v>
      </c>
      <c r="F1489" s="41">
        <v>152236</v>
      </c>
      <c r="G1489" s="40">
        <v>2679</v>
      </c>
      <c r="H1489" s="41">
        <v>142988</v>
      </c>
      <c r="I1489" s="41">
        <v>58.50730207532667</v>
      </c>
      <c r="J1489" s="41">
        <v>53.373646883165357</v>
      </c>
      <c r="K1489" s="42">
        <v>-8.7743837265848668E-2</v>
      </c>
    </row>
    <row r="1490" spans="1:11" x14ac:dyDescent="0.25">
      <c r="A1490" s="24" t="s">
        <v>7</v>
      </c>
      <c r="B1490" s="24" t="s">
        <v>8028</v>
      </c>
      <c r="C1490" s="25" t="s">
        <v>8029</v>
      </c>
      <c r="D1490" s="24" t="s">
        <v>21824</v>
      </c>
      <c r="G1490" s="40">
        <v>37</v>
      </c>
      <c r="H1490" s="41">
        <v>93832</v>
      </c>
      <c r="J1490" s="41">
        <v>2536</v>
      </c>
    </row>
    <row r="1491" spans="1:11" x14ac:dyDescent="0.25">
      <c r="A1491" s="24" t="s">
        <v>7</v>
      </c>
      <c r="B1491" s="24" t="s">
        <v>8031</v>
      </c>
      <c r="C1491" s="25" t="s">
        <v>8032</v>
      </c>
      <c r="D1491" s="24" t="s">
        <v>21824</v>
      </c>
      <c r="E1491" s="40">
        <v>1222</v>
      </c>
      <c r="F1491" s="41">
        <v>35944</v>
      </c>
      <c r="G1491" s="40">
        <v>1192</v>
      </c>
      <c r="H1491" s="41">
        <v>49560</v>
      </c>
      <c r="I1491" s="41">
        <v>29.414075286415713</v>
      </c>
      <c r="J1491" s="41">
        <v>41.577181208053695</v>
      </c>
      <c r="K1491" s="42">
        <v>0.41351311585359485</v>
      </c>
    </row>
    <row r="1492" spans="1:11" x14ac:dyDescent="0.25">
      <c r="A1492" s="24" t="s">
        <v>7</v>
      </c>
      <c r="B1492" s="24" t="s">
        <v>8037</v>
      </c>
      <c r="C1492" s="25" t="s">
        <v>8038</v>
      </c>
      <c r="D1492" s="24" t="s">
        <v>21824</v>
      </c>
      <c r="E1492" s="40">
        <v>12</v>
      </c>
      <c r="F1492" s="41">
        <v>318</v>
      </c>
      <c r="G1492" s="40">
        <v>120</v>
      </c>
      <c r="H1492" s="41">
        <v>2434</v>
      </c>
      <c r="I1492" s="41">
        <v>26.5</v>
      </c>
      <c r="J1492" s="41">
        <v>20.283333333333335</v>
      </c>
      <c r="K1492" s="42">
        <v>-0.23459119496855341</v>
      </c>
    </row>
    <row r="1493" spans="1:11" x14ac:dyDescent="0.25">
      <c r="A1493" s="24" t="s">
        <v>7</v>
      </c>
      <c r="B1493" s="24" t="s">
        <v>8040</v>
      </c>
      <c r="C1493" s="25" t="s">
        <v>8041</v>
      </c>
      <c r="D1493" s="24" t="s">
        <v>21824</v>
      </c>
      <c r="E1493" s="40">
        <v>33</v>
      </c>
      <c r="F1493" s="41">
        <v>706</v>
      </c>
      <c r="G1493" s="40">
        <v>30</v>
      </c>
      <c r="H1493" s="41">
        <v>620</v>
      </c>
      <c r="I1493" s="41">
        <v>21.393939393939394</v>
      </c>
      <c r="J1493" s="41">
        <v>20.666666666666668</v>
      </c>
      <c r="K1493" s="42">
        <v>-3.3994334277620365E-2</v>
      </c>
    </row>
    <row r="1494" spans="1:11" x14ac:dyDescent="0.25">
      <c r="A1494" s="24" t="s">
        <v>7</v>
      </c>
      <c r="B1494" s="24" t="s">
        <v>8043</v>
      </c>
      <c r="C1494" s="25" t="s">
        <v>8044</v>
      </c>
      <c r="D1494" s="24" t="s">
        <v>21824</v>
      </c>
      <c r="E1494" s="40">
        <v>161</v>
      </c>
      <c r="F1494" s="41">
        <v>3412</v>
      </c>
      <c r="G1494" s="40">
        <v>20</v>
      </c>
      <c r="H1494" s="41">
        <v>251</v>
      </c>
      <c r="I1494" s="41">
        <v>21.19254658385093</v>
      </c>
      <c r="J1494" s="41">
        <v>12.55</v>
      </c>
      <c r="K1494" s="42">
        <v>-0.40781066822977718</v>
      </c>
    </row>
    <row r="1495" spans="1:11" x14ac:dyDescent="0.25">
      <c r="A1495" s="24" t="s">
        <v>7</v>
      </c>
      <c r="B1495" s="24" t="s">
        <v>8046</v>
      </c>
      <c r="C1495" s="25" t="s">
        <v>8047</v>
      </c>
      <c r="D1495" s="24" t="s">
        <v>21824</v>
      </c>
      <c r="E1495" s="40">
        <v>42</v>
      </c>
      <c r="F1495" s="41">
        <v>1122</v>
      </c>
      <c r="G1495" s="40">
        <v>100</v>
      </c>
      <c r="H1495" s="41">
        <v>2700</v>
      </c>
      <c r="I1495" s="41">
        <v>26.714285714285715</v>
      </c>
      <c r="J1495" s="41">
        <v>27</v>
      </c>
      <c r="K1495" s="42">
        <v>1.0695187165775362E-2</v>
      </c>
    </row>
    <row r="1496" spans="1:11" x14ac:dyDescent="0.25">
      <c r="A1496" s="24" t="s">
        <v>7</v>
      </c>
      <c r="B1496" s="24" t="s">
        <v>8049</v>
      </c>
      <c r="C1496" s="25" t="s">
        <v>8050</v>
      </c>
      <c r="D1496" s="24" t="s">
        <v>21824</v>
      </c>
      <c r="E1496" s="40">
        <v>21</v>
      </c>
      <c r="F1496" s="41">
        <v>10542</v>
      </c>
      <c r="G1496" s="40">
        <v>22</v>
      </c>
      <c r="H1496" s="41">
        <v>11044</v>
      </c>
      <c r="I1496" s="41">
        <v>502</v>
      </c>
      <c r="J1496" s="41">
        <v>502</v>
      </c>
      <c r="K1496" s="42">
        <v>0</v>
      </c>
    </row>
    <row r="1497" spans="1:11" x14ac:dyDescent="0.25">
      <c r="A1497" s="24" t="s">
        <v>7</v>
      </c>
      <c r="B1497" s="24" t="s">
        <v>8055</v>
      </c>
      <c r="C1497" s="25" t="s">
        <v>8056</v>
      </c>
      <c r="D1497" s="24" t="s">
        <v>21824</v>
      </c>
      <c r="E1497" s="40">
        <v>104</v>
      </c>
      <c r="F1497" s="41">
        <v>34672</v>
      </c>
      <c r="G1497" s="40">
        <v>261</v>
      </c>
      <c r="H1497" s="41">
        <v>58979</v>
      </c>
      <c r="I1497" s="41">
        <v>333.38461538461536</v>
      </c>
      <c r="J1497" s="41">
        <v>225.97318007662835</v>
      </c>
      <c r="K1497" s="42">
        <v>-0.32218473904103168</v>
      </c>
    </row>
    <row r="1498" spans="1:11" x14ac:dyDescent="0.25">
      <c r="A1498" s="24" t="s">
        <v>7</v>
      </c>
      <c r="B1498" s="24" t="s">
        <v>8061</v>
      </c>
      <c r="C1498" s="25" t="s">
        <v>8062</v>
      </c>
      <c r="D1498" s="24" t="s">
        <v>21824</v>
      </c>
      <c r="E1498" s="40">
        <v>474</v>
      </c>
      <c r="F1498" s="41">
        <v>12536</v>
      </c>
      <c r="G1498" s="40">
        <v>543</v>
      </c>
      <c r="H1498" s="41">
        <v>11868</v>
      </c>
      <c r="I1498" s="41">
        <v>26.447257383966246</v>
      </c>
      <c r="J1498" s="41">
        <v>21.856353591160222</v>
      </c>
      <c r="K1498" s="42">
        <v>-0.17358714085753474</v>
      </c>
    </row>
    <row r="1499" spans="1:11" x14ac:dyDescent="0.25">
      <c r="A1499" s="24" t="s">
        <v>7</v>
      </c>
      <c r="B1499" s="24" t="s">
        <v>8064</v>
      </c>
      <c r="C1499" s="25" t="s">
        <v>8065</v>
      </c>
      <c r="D1499" s="24" t="s">
        <v>21824</v>
      </c>
      <c r="E1499" s="40">
        <v>135</v>
      </c>
      <c r="F1499" s="41">
        <v>6159</v>
      </c>
      <c r="G1499" s="40">
        <v>50</v>
      </c>
      <c r="H1499" s="41">
        <v>1569</v>
      </c>
      <c r="I1499" s="41">
        <v>45.62222222222222</v>
      </c>
      <c r="J1499" s="41">
        <v>31.38</v>
      </c>
      <c r="K1499" s="42">
        <v>-0.31217730150998535</v>
      </c>
    </row>
    <row r="1500" spans="1:11" x14ac:dyDescent="0.25">
      <c r="A1500" s="24" t="s">
        <v>7</v>
      </c>
      <c r="B1500" s="24" t="s">
        <v>8070</v>
      </c>
      <c r="C1500" s="25" t="s">
        <v>8071</v>
      </c>
      <c r="D1500" s="24" t="s">
        <v>21824</v>
      </c>
      <c r="E1500" s="40">
        <v>258</v>
      </c>
      <c r="F1500" s="41">
        <v>4300</v>
      </c>
      <c r="G1500" s="40">
        <v>329</v>
      </c>
      <c r="H1500" s="41">
        <v>4303</v>
      </c>
      <c r="I1500" s="41">
        <v>16.666666666666668</v>
      </c>
      <c r="J1500" s="41">
        <v>13.079027355623101</v>
      </c>
      <c r="K1500" s="42">
        <v>-0.215258358662614</v>
      </c>
    </row>
    <row r="1501" spans="1:11" x14ac:dyDescent="0.25">
      <c r="A1501" s="24" t="s">
        <v>7</v>
      </c>
      <c r="B1501" s="24" t="s">
        <v>8082</v>
      </c>
      <c r="C1501" s="25" t="s">
        <v>8083</v>
      </c>
      <c r="D1501" s="24" t="s">
        <v>21824</v>
      </c>
      <c r="G1501" s="40">
        <v>5</v>
      </c>
      <c r="H1501" s="41">
        <v>165</v>
      </c>
      <c r="J1501" s="41">
        <v>33</v>
      </c>
    </row>
    <row r="1502" spans="1:11" x14ac:dyDescent="0.25">
      <c r="A1502" s="24" t="s">
        <v>7</v>
      </c>
      <c r="B1502" s="24" t="s">
        <v>8085</v>
      </c>
      <c r="C1502" s="25" t="s">
        <v>8086</v>
      </c>
      <c r="D1502" s="24" t="s">
        <v>21824</v>
      </c>
      <c r="E1502" s="40">
        <v>130</v>
      </c>
      <c r="F1502" s="41">
        <v>2118</v>
      </c>
      <c r="G1502" s="40">
        <v>116</v>
      </c>
      <c r="H1502" s="41">
        <v>2455</v>
      </c>
      <c r="I1502" s="41">
        <v>16.292307692307691</v>
      </c>
      <c r="J1502" s="41">
        <v>21.163793103448278</v>
      </c>
      <c r="K1502" s="42">
        <v>0.29900524242128246</v>
      </c>
    </row>
    <row r="1503" spans="1:11" x14ac:dyDescent="0.25">
      <c r="A1503" s="24" t="s">
        <v>7</v>
      </c>
      <c r="B1503" s="24" t="s">
        <v>8088</v>
      </c>
      <c r="C1503" s="25" t="s">
        <v>8089</v>
      </c>
      <c r="D1503" s="24" t="s">
        <v>21824</v>
      </c>
      <c r="E1503" s="40">
        <v>9</v>
      </c>
      <c r="F1503" s="41">
        <v>387</v>
      </c>
      <c r="G1503" s="40">
        <v>4</v>
      </c>
      <c r="H1503" s="41">
        <v>172</v>
      </c>
      <c r="I1503" s="41">
        <v>43</v>
      </c>
      <c r="J1503" s="41">
        <v>43</v>
      </c>
      <c r="K1503" s="42">
        <v>0</v>
      </c>
    </row>
    <row r="1504" spans="1:11" x14ac:dyDescent="0.25">
      <c r="A1504" s="24" t="s">
        <v>7</v>
      </c>
      <c r="B1504" s="24" t="s">
        <v>8091</v>
      </c>
      <c r="C1504" s="25" t="s">
        <v>8092</v>
      </c>
      <c r="D1504" s="24" t="s">
        <v>21824</v>
      </c>
      <c r="E1504" s="40">
        <v>237</v>
      </c>
      <c r="F1504" s="41">
        <v>15547</v>
      </c>
      <c r="G1504" s="40">
        <v>194</v>
      </c>
      <c r="H1504" s="41">
        <v>10473</v>
      </c>
      <c r="I1504" s="41">
        <v>65.599156118143455</v>
      </c>
      <c r="J1504" s="41">
        <v>53.984536082474229</v>
      </c>
      <c r="K1504" s="42">
        <v>-0.17705441232736907</v>
      </c>
    </row>
    <row r="1505" spans="1:11" x14ac:dyDescent="0.25">
      <c r="A1505" s="24" t="s">
        <v>7</v>
      </c>
      <c r="B1505" s="24" t="s">
        <v>8094</v>
      </c>
      <c r="C1505" s="25" t="s">
        <v>8095</v>
      </c>
      <c r="D1505" s="24" t="s">
        <v>21824</v>
      </c>
      <c r="E1505" s="40">
        <v>3338</v>
      </c>
      <c r="F1505" s="41">
        <v>248996</v>
      </c>
      <c r="G1505" s="40">
        <v>3182</v>
      </c>
      <c r="H1505" s="41">
        <v>190440</v>
      </c>
      <c r="I1505" s="41">
        <v>74.594367884961059</v>
      </c>
      <c r="J1505" s="41">
        <v>59.849151477058456</v>
      </c>
      <c r="K1505" s="42">
        <v>-0.19767198015060036</v>
      </c>
    </row>
    <row r="1506" spans="1:11" x14ac:dyDescent="0.25">
      <c r="A1506" s="24" t="s">
        <v>7</v>
      </c>
      <c r="B1506" s="24" t="s">
        <v>8097</v>
      </c>
      <c r="C1506" s="25" t="s">
        <v>8098</v>
      </c>
      <c r="D1506" s="24" t="s">
        <v>21824</v>
      </c>
      <c r="E1506" s="40">
        <v>281</v>
      </c>
      <c r="F1506" s="41">
        <v>10767</v>
      </c>
      <c r="G1506" s="40">
        <v>423</v>
      </c>
      <c r="H1506" s="41">
        <v>15889</v>
      </c>
      <c r="I1506" s="41">
        <v>38.316725978647689</v>
      </c>
      <c r="J1506" s="41">
        <v>37.562647754137117</v>
      </c>
      <c r="K1506" s="42">
        <v>-1.9680131985462118E-2</v>
      </c>
    </row>
    <row r="1507" spans="1:11" x14ac:dyDescent="0.25">
      <c r="A1507" s="24" t="s">
        <v>7</v>
      </c>
      <c r="B1507" s="24" t="s">
        <v>8100</v>
      </c>
      <c r="C1507" s="25" t="s">
        <v>8101</v>
      </c>
      <c r="D1507" s="24" t="s">
        <v>21824</v>
      </c>
      <c r="E1507" s="40">
        <v>2097</v>
      </c>
      <c r="F1507" s="41">
        <v>61878</v>
      </c>
      <c r="G1507" s="40">
        <v>2385</v>
      </c>
      <c r="H1507" s="41">
        <v>54078</v>
      </c>
      <c r="I1507" s="41">
        <v>29.507868383404865</v>
      </c>
      <c r="J1507" s="41">
        <v>22.674213836477989</v>
      </c>
      <c r="K1507" s="42">
        <v>-0.23158753652195707</v>
      </c>
    </row>
    <row r="1508" spans="1:11" x14ac:dyDescent="0.25">
      <c r="A1508" s="24" t="s">
        <v>7</v>
      </c>
      <c r="B1508" s="24" t="s">
        <v>8103</v>
      </c>
      <c r="C1508" s="25" t="s">
        <v>8104</v>
      </c>
      <c r="D1508" s="24" t="s">
        <v>21824</v>
      </c>
      <c r="G1508" s="40">
        <v>21</v>
      </c>
      <c r="H1508" s="41">
        <v>315</v>
      </c>
      <c r="J1508" s="41">
        <v>15</v>
      </c>
    </row>
    <row r="1509" spans="1:11" x14ac:dyDescent="0.25">
      <c r="A1509" s="24" t="s">
        <v>7</v>
      </c>
      <c r="B1509" s="24" t="s">
        <v>8106</v>
      </c>
      <c r="C1509" s="25" t="s">
        <v>8107</v>
      </c>
      <c r="D1509" s="24" t="s">
        <v>21824</v>
      </c>
      <c r="E1509" s="40">
        <v>61</v>
      </c>
      <c r="F1509" s="41">
        <v>1008</v>
      </c>
      <c r="G1509" s="40">
        <v>81</v>
      </c>
      <c r="H1509" s="41">
        <v>769</v>
      </c>
      <c r="I1509" s="41">
        <v>16.524590163934427</v>
      </c>
      <c r="J1509" s="41">
        <v>9.4938271604938276</v>
      </c>
      <c r="K1509" s="42">
        <v>-0.42547276112090926</v>
      </c>
    </row>
    <row r="1510" spans="1:11" x14ac:dyDescent="0.25">
      <c r="A1510" s="24" t="s">
        <v>7</v>
      </c>
      <c r="B1510" s="24" t="s">
        <v>8109</v>
      </c>
      <c r="C1510" s="25" t="s">
        <v>8110</v>
      </c>
      <c r="D1510" s="24" t="s">
        <v>21824</v>
      </c>
      <c r="E1510" s="40">
        <v>31</v>
      </c>
      <c r="F1510" s="41">
        <v>355</v>
      </c>
      <c r="G1510" s="40">
        <v>10</v>
      </c>
      <c r="H1510" s="41">
        <v>120</v>
      </c>
      <c r="I1510" s="41">
        <v>11.451612903225806</v>
      </c>
      <c r="J1510" s="41">
        <v>12</v>
      </c>
      <c r="K1510" s="42">
        <v>4.7887323943662005E-2</v>
      </c>
    </row>
    <row r="1511" spans="1:11" x14ac:dyDescent="0.25">
      <c r="A1511" s="24" t="s">
        <v>7</v>
      </c>
      <c r="B1511" s="24" t="s">
        <v>8124</v>
      </c>
      <c r="C1511" s="25" t="s">
        <v>8125</v>
      </c>
      <c r="D1511" s="24" t="s">
        <v>21824</v>
      </c>
      <c r="E1511" s="40">
        <v>544</v>
      </c>
      <c r="F1511" s="41">
        <v>9036</v>
      </c>
      <c r="G1511" s="40">
        <v>470</v>
      </c>
      <c r="H1511" s="41">
        <v>7540</v>
      </c>
      <c r="I1511" s="41">
        <v>16.610294117647058</v>
      </c>
      <c r="J1511" s="41">
        <v>16.042553191489361</v>
      </c>
      <c r="K1511" s="42">
        <v>-3.4180064611530225E-2</v>
      </c>
    </row>
    <row r="1512" spans="1:11" x14ac:dyDescent="0.25">
      <c r="A1512" s="24" t="s">
        <v>7</v>
      </c>
      <c r="B1512" s="24" t="s">
        <v>8127</v>
      </c>
      <c r="C1512" s="25" t="s">
        <v>8128</v>
      </c>
      <c r="D1512" s="24" t="s">
        <v>21824</v>
      </c>
      <c r="E1512" s="40">
        <v>11</v>
      </c>
      <c r="F1512" s="41">
        <v>1290</v>
      </c>
      <c r="G1512" s="40">
        <v>33</v>
      </c>
      <c r="H1512" s="41">
        <v>3155</v>
      </c>
      <c r="I1512" s="41">
        <v>117.27272727272727</v>
      </c>
      <c r="J1512" s="41">
        <v>95.606060606060609</v>
      </c>
      <c r="K1512" s="42">
        <v>-0.18475452196382422</v>
      </c>
    </row>
    <row r="1513" spans="1:11" x14ac:dyDescent="0.25">
      <c r="A1513" s="24" t="s">
        <v>7</v>
      </c>
      <c r="B1513" s="24" t="s">
        <v>8130</v>
      </c>
      <c r="C1513" s="25" t="s">
        <v>8131</v>
      </c>
      <c r="D1513" s="24" t="s">
        <v>21824</v>
      </c>
      <c r="G1513" s="40">
        <v>6</v>
      </c>
      <c r="H1513" s="41">
        <v>252</v>
      </c>
      <c r="J1513" s="41">
        <v>42</v>
      </c>
    </row>
    <row r="1514" spans="1:11" x14ac:dyDescent="0.25">
      <c r="A1514" s="24" t="s">
        <v>7</v>
      </c>
      <c r="B1514" s="24" t="s">
        <v>8133</v>
      </c>
      <c r="C1514" s="25" t="s">
        <v>8134</v>
      </c>
      <c r="D1514" s="24" t="s">
        <v>21824</v>
      </c>
      <c r="E1514" s="40">
        <v>1007</v>
      </c>
      <c r="F1514" s="41">
        <v>35457</v>
      </c>
      <c r="G1514" s="40">
        <v>1181</v>
      </c>
      <c r="H1514" s="41">
        <v>34046</v>
      </c>
      <c r="I1514" s="41">
        <v>35.210526315789473</v>
      </c>
      <c r="J1514" s="41">
        <v>28.828111769686707</v>
      </c>
      <c r="K1514" s="42">
        <v>-0.1812643892017228</v>
      </c>
    </row>
    <row r="1515" spans="1:11" x14ac:dyDescent="0.25">
      <c r="A1515" s="24" t="s">
        <v>7</v>
      </c>
      <c r="B1515" s="24" t="s">
        <v>8136</v>
      </c>
      <c r="C1515" s="25" t="s">
        <v>8137</v>
      </c>
      <c r="D1515" s="24" t="s">
        <v>21824</v>
      </c>
      <c r="E1515" s="40">
        <v>15</v>
      </c>
      <c r="F1515" s="41">
        <v>3330</v>
      </c>
      <c r="G1515" s="40">
        <v>38</v>
      </c>
      <c r="H1515" s="41">
        <v>8436</v>
      </c>
      <c r="I1515" s="41">
        <v>222</v>
      </c>
      <c r="J1515" s="41">
        <v>222</v>
      </c>
      <c r="K1515" s="42">
        <v>0</v>
      </c>
    </row>
    <row r="1516" spans="1:11" x14ac:dyDescent="0.25">
      <c r="A1516" s="24" t="s">
        <v>7</v>
      </c>
      <c r="B1516" s="24" t="s">
        <v>8139</v>
      </c>
      <c r="C1516" s="25" t="s">
        <v>8140</v>
      </c>
      <c r="D1516" s="24" t="s">
        <v>21823</v>
      </c>
      <c r="E1516" s="40">
        <v>232</v>
      </c>
      <c r="F1516" s="41">
        <v>2686</v>
      </c>
      <c r="G1516" s="40">
        <v>227</v>
      </c>
      <c r="H1516" s="41">
        <v>2405</v>
      </c>
      <c r="I1516" s="41">
        <v>11.577586206896552</v>
      </c>
      <c r="J1516" s="41">
        <v>10.594713656387665</v>
      </c>
      <c r="K1516" s="42">
        <v>-8.4894427296374447E-2</v>
      </c>
    </row>
    <row r="1517" spans="1:11" x14ac:dyDescent="0.25">
      <c r="A1517" s="24" t="s">
        <v>7</v>
      </c>
      <c r="B1517" s="24" t="s">
        <v>8142</v>
      </c>
      <c r="C1517" s="25" t="s">
        <v>8143</v>
      </c>
      <c r="D1517" s="24" t="s">
        <v>21824</v>
      </c>
      <c r="E1517" s="40">
        <v>17467</v>
      </c>
      <c r="F1517" s="41">
        <v>1585455</v>
      </c>
      <c r="G1517" s="40">
        <v>15117</v>
      </c>
      <c r="H1517" s="41">
        <v>1198881</v>
      </c>
      <c r="I1517" s="41">
        <v>90.768592202438882</v>
      </c>
      <c r="J1517" s="41">
        <v>79.306806906132167</v>
      </c>
      <c r="K1517" s="42">
        <v>-0.12627479415725415</v>
      </c>
    </row>
    <row r="1518" spans="1:11" x14ac:dyDescent="0.25">
      <c r="A1518" s="24" t="s">
        <v>7</v>
      </c>
      <c r="B1518" s="24" t="s">
        <v>8145</v>
      </c>
      <c r="C1518" s="25" t="s">
        <v>8146</v>
      </c>
      <c r="D1518" s="24" t="s">
        <v>21824</v>
      </c>
      <c r="G1518" s="40">
        <v>37</v>
      </c>
      <c r="H1518" s="41">
        <v>4588</v>
      </c>
      <c r="J1518" s="41">
        <v>124</v>
      </c>
    </row>
    <row r="1519" spans="1:11" x14ac:dyDescent="0.25">
      <c r="A1519" s="24" t="s">
        <v>7</v>
      </c>
      <c r="B1519" s="24" t="s">
        <v>8148</v>
      </c>
      <c r="C1519" s="25" t="s">
        <v>8149</v>
      </c>
      <c r="D1519" s="24" t="s">
        <v>21824</v>
      </c>
      <c r="E1519" s="40">
        <v>281</v>
      </c>
      <c r="F1519" s="41">
        <v>15167</v>
      </c>
      <c r="G1519" s="40">
        <v>222</v>
      </c>
      <c r="H1519" s="41">
        <v>9142</v>
      </c>
      <c r="I1519" s="41">
        <v>53.97508896797153</v>
      </c>
      <c r="J1519" s="41">
        <v>41.18018018018018</v>
      </c>
      <c r="K1519" s="42">
        <v>-0.2370521111208129</v>
      </c>
    </row>
    <row r="1520" spans="1:11" x14ac:dyDescent="0.25">
      <c r="A1520" s="24" t="s">
        <v>7</v>
      </c>
      <c r="B1520" s="24" t="s">
        <v>8151</v>
      </c>
      <c r="C1520" s="25" t="s">
        <v>8152</v>
      </c>
      <c r="D1520" s="24" t="s">
        <v>21824</v>
      </c>
      <c r="G1520" s="40">
        <v>45</v>
      </c>
      <c r="H1520" s="41">
        <v>1485</v>
      </c>
      <c r="J1520" s="41">
        <v>33</v>
      </c>
    </row>
    <row r="1521" spans="1:11" x14ac:dyDescent="0.25">
      <c r="A1521" s="24" t="s">
        <v>7</v>
      </c>
      <c r="B1521" s="24" t="s">
        <v>8154</v>
      </c>
      <c r="C1521" s="25" t="s">
        <v>8155</v>
      </c>
      <c r="D1521" s="24" t="s">
        <v>21824</v>
      </c>
      <c r="G1521" s="40">
        <v>11</v>
      </c>
      <c r="H1521" s="41">
        <v>209</v>
      </c>
      <c r="J1521" s="41">
        <v>19</v>
      </c>
    </row>
    <row r="1522" spans="1:11" x14ac:dyDescent="0.25">
      <c r="A1522" s="24" t="s">
        <v>7</v>
      </c>
      <c r="B1522" s="24" t="s">
        <v>8157</v>
      </c>
      <c r="C1522" s="25" t="s">
        <v>8158</v>
      </c>
      <c r="D1522" s="24" t="s">
        <v>21824</v>
      </c>
      <c r="E1522" s="40">
        <v>76</v>
      </c>
      <c r="F1522" s="41">
        <v>742</v>
      </c>
      <c r="G1522" s="40">
        <v>60</v>
      </c>
      <c r="H1522" s="41">
        <v>600</v>
      </c>
      <c r="I1522" s="41">
        <v>9.7631578947368425</v>
      </c>
      <c r="J1522" s="41">
        <v>10</v>
      </c>
      <c r="K1522" s="42">
        <v>2.4258760107816673E-2</v>
      </c>
    </row>
    <row r="1523" spans="1:11" x14ac:dyDescent="0.25">
      <c r="A1523" s="24" t="s">
        <v>7</v>
      </c>
      <c r="B1523" s="24" t="s">
        <v>8160</v>
      </c>
      <c r="C1523" s="25" t="s">
        <v>8161</v>
      </c>
      <c r="D1523" s="24" t="s">
        <v>21824</v>
      </c>
      <c r="E1523" s="40">
        <v>62</v>
      </c>
      <c r="F1523" s="41">
        <v>1043</v>
      </c>
      <c r="G1523" s="40">
        <v>59</v>
      </c>
      <c r="H1523" s="41">
        <v>838</v>
      </c>
      <c r="I1523" s="41">
        <v>16.822580645161292</v>
      </c>
      <c r="J1523" s="41">
        <v>14.203389830508474</v>
      </c>
      <c r="K1523" s="42">
        <v>-0.15569494775500928</v>
      </c>
    </row>
    <row r="1524" spans="1:11" x14ac:dyDescent="0.25">
      <c r="A1524" s="24" t="s">
        <v>7</v>
      </c>
      <c r="B1524" s="24" t="s">
        <v>8163</v>
      </c>
      <c r="C1524" s="25" t="s">
        <v>8164</v>
      </c>
      <c r="D1524" s="24" t="s">
        <v>21824</v>
      </c>
      <c r="E1524" s="40">
        <v>322</v>
      </c>
      <c r="F1524" s="41">
        <v>5358</v>
      </c>
      <c r="G1524" s="40">
        <v>212</v>
      </c>
      <c r="H1524" s="41">
        <v>2420</v>
      </c>
      <c r="I1524" s="41">
        <v>16.63975155279503</v>
      </c>
      <c r="J1524" s="41">
        <v>11.415094339622641</v>
      </c>
      <c r="K1524" s="42">
        <v>-0.31398649172107301</v>
      </c>
    </row>
    <row r="1525" spans="1:11" x14ac:dyDescent="0.25">
      <c r="A1525" s="24" t="s">
        <v>7</v>
      </c>
      <c r="B1525" s="24" t="s">
        <v>8166</v>
      </c>
      <c r="C1525" s="25" t="s">
        <v>8167</v>
      </c>
      <c r="D1525" s="24" t="s">
        <v>21824</v>
      </c>
      <c r="E1525" s="40">
        <v>528</v>
      </c>
      <c r="F1525" s="41">
        <v>14364</v>
      </c>
      <c r="G1525" s="40">
        <v>534</v>
      </c>
      <c r="H1525" s="41">
        <v>12742</v>
      </c>
      <c r="I1525" s="41">
        <v>27.204545454545453</v>
      </c>
      <c r="J1525" s="41">
        <v>23.861423220973784</v>
      </c>
      <c r="K1525" s="42">
        <v>-0.1228883694880146</v>
      </c>
    </row>
    <row r="1526" spans="1:11" x14ac:dyDescent="0.25">
      <c r="A1526" s="24" t="s">
        <v>7</v>
      </c>
      <c r="B1526" s="24" t="s">
        <v>8172</v>
      </c>
      <c r="C1526" s="25" t="s">
        <v>8173</v>
      </c>
      <c r="D1526" s="24" t="s">
        <v>21823</v>
      </c>
      <c r="E1526" s="40">
        <v>51</v>
      </c>
      <c r="F1526" s="41">
        <v>867</v>
      </c>
      <c r="G1526" s="40">
        <v>95</v>
      </c>
      <c r="H1526" s="41">
        <v>1303</v>
      </c>
      <c r="I1526" s="41">
        <v>17</v>
      </c>
      <c r="J1526" s="41">
        <v>13.715789473684211</v>
      </c>
      <c r="K1526" s="42">
        <v>-0.19318885448916406</v>
      </c>
    </row>
    <row r="1527" spans="1:11" x14ac:dyDescent="0.25">
      <c r="A1527" s="24" t="s">
        <v>7</v>
      </c>
      <c r="B1527" s="24" t="s">
        <v>8175</v>
      </c>
      <c r="C1527" s="25" t="s">
        <v>8176</v>
      </c>
      <c r="D1527" s="24" t="s">
        <v>21823</v>
      </c>
      <c r="E1527" s="40">
        <v>8388</v>
      </c>
      <c r="F1527" s="41">
        <v>156496</v>
      </c>
      <c r="G1527" s="40">
        <v>7688</v>
      </c>
      <c r="H1527" s="41">
        <v>123608</v>
      </c>
      <c r="I1527" s="41">
        <v>18.657129232236528</v>
      </c>
      <c r="J1527" s="41">
        <v>16.078043704474506</v>
      </c>
      <c r="K1527" s="42">
        <v>-0.13823592556274816</v>
      </c>
    </row>
    <row r="1528" spans="1:11" x14ac:dyDescent="0.25">
      <c r="A1528" s="24" t="s">
        <v>7</v>
      </c>
      <c r="B1528" s="24" t="s">
        <v>8178</v>
      </c>
      <c r="C1528" s="25" t="s">
        <v>8179</v>
      </c>
      <c r="D1528" s="24" t="s">
        <v>21824</v>
      </c>
      <c r="E1528" s="40">
        <v>4360</v>
      </c>
      <c r="F1528" s="41">
        <v>272670</v>
      </c>
      <c r="G1528" s="40">
        <v>4649</v>
      </c>
      <c r="H1528" s="41">
        <v>246128</v>
      </c>
      <c r="I1528" s="41">
        <v>62.538990825688074</v>
      </c>
      <c r="J1528" s="41">
        <v>52.94213809421381</v>
      </c>
      <c r="K1528" s="42">
        <v>-0.15345391098847616</v>
      </c>
    </row>
    <row r="1529" spans="1:11" x14ac:dyDescent="0.25">
      <c r="A1529" s="24" t="s">
        <v>7</v>
      </c>
      <c r="B1529" s="24" t="s">
        <v>8181</v>
      </c>
      <c r="C1529" s="25" t="s">
        <v>8182</v>
      </c>
      <c r="D1529" s="24" t="s">
        <v>21824</v>
      </c>
      <c r="E1529" s="40">
        <v>74</v>
      </c>
      <c r="F1529" s="41">
        <v>110482</v>
      </c>
      <c r="G1529" s="40">
        <v>173</v>
      </c>
      <c r="H1529" s="41">
        <v>233143</v>
      </c>
      <c r="I1529" s="41">
        <v>1493</v>
      </c>
      <c r="J1529" s="41">
        <v>1347.6473988439307</v>
      </c>
      <c r="K1529" s="42">
        <v>-9.7356062395223944E-2</v>
      </c>
    </row>
    <row r="1530" spans="1:11" x14ac:dyDescent="0.25">
      <c r="A1530" s="24" t="s">
        <v>7</v>
      </c>
      <c r="B1530" s="24" t="s">
        <v>8184</v>
      </c>
      <c r="C1530" s="25" t="s">
        <v>8185</v>
      </c>
      <c r="D1530" s="24" t="s">
        <v>21824</v>
      </c>
      <c r="E1530" s="40">
        <v>130</v>
      </c>
      <c r="F1530" s="41">
        <v>3004</v>
      </c>
      <c r="G1530" s="40">
        <v>210</v>
      </c>
      <c r="H1530" s="41">
        <v>4764</v>
      </c>
      <c r="I1530" s="41">
        <v>23.107692307692307</v>
      </c>
      <c r="J1530" s="41">
        <v>22.685714285714287</v>
      </c>
      <c r="K1530" s="42">
        <v>-1.8261365797983577E-2</v>
      </c>
    </row>
    <row r="1531" spans="1:11" x14ac:dyDescent="0.25">
      <c r="A1531" s="24" t="s">
        <v>7</v>
      </c>
      <c r="B1531" s="24" t="s">
        <v>8187</v>
      </c>
      <c r="C1531" s="25" t="s">
        <v>8188</v>
      </c>
      <c r="D1531" s="24" t="s">
        <v>21824</v>
      </c>
      <c r="G1531" s="40">
        <v>20</v>
      </c>
      <c r="H1531" s="41">
        <v>440</v>
      </c>
      <c r="J1531" s="41">
        <v>22</v>
      </c>
    </row>
    <row r="1532" spans="1:11" x14ac:dyDescent="0.25">
      <c r="A1532" s="24" t="s">
        <v>7</v>
      </c>
      <c r="B1532" s="24" t="s">
        <v>8190</v>
      </c>
      <c r="C1532" s="25" t="s">
        <v>8191</v>
      </c>
      <c r="D1532" s="24" t="s">
        <v>21824</v>
      </c>
      <c r="E1532" s="40">
        <v>101</v>
      </c>
      <c r="F1532" s="41">
        <v>14216</v>
      </c>
      <c r="G1532" s="40">
        <v>211</v>
      </c>
      <c r="H1532" s="41">
        <v>23679</v>
      </c>
      <c r="I1532" s="41">
        <v>140.75247524752476</v>
      </c>
      <c r="J1532" s="41">
        <v>112.22274881516587</v>
      </c>
      <c r="K1532" s="42">
        <v>-0.20269431412973041</v>
      </c>
    </row>
    <row r="1533" spans="1:11" x14ac:dyDescent="0.25">
      <c r="A1533" s="24" t="s">
        <v>7</v>
      </c>
      <c r="B1533" s="24" t="s">
        <v>8193</v>
      </c>
      <c r="C1533" s="25" t="s">
        <v>8194</v>
      </c>
      <c r="D1533" s="24" t="s">
        <v>21824</v>
      </c>
      <c r="E1533" s="40">
        <v>722</v>
      </c>
      <c r="F1533" s="41">
        <v>191342</v>
      </c>
      <c r="G1533" s="40">
        <v>555</v>
      </c>
      <c r="H1533" s="41">
        <v>128901</v>
      </c>
      <c r="I1533" s="41">
        <v>265.01662049861494</v>
      </c>
      <c r="J1533" s="41">
        <v>232.25405405405405</v>
      </c>
      <c r="K1533" s="42">
        <v>-0.12362457261329433</v>
      </c>
    </row>
    <row r="1534" spans="1:11" x14ac:dyDescent="0.25">
      <c r="A1534" s="24" t="s">
        <v>7</v>
      </c>
      <c r="B1534" s="24" t="s">
        <v>8196</v>
      </c>
      <c r="C1534" s="25" t="s">
        <v>8197</v>
      </c>
      <c r="D1534" s="24" t="s">
        <v>21824</v>
      </c>
      <c r="E1534" s="40">
        <v>78</v>
      </c>
      <c r="F1534" s="41">
        <v>14832</v>
      </c>
      <c r="G1534" s="40">
        <v>81</v>
      </c>
      <c r="H1534" s="41">
        <v>12375</v>
      </c>
      <c r="I1534" s="41">
        <v>190.15384615384616</v>
      </c>
      <c r="J1534" s="41">
        <v>152.77777777777777</v>
      </c>
      <c r="K1534" s="42">
        <v>-0.19655699388709102</v>
      </c>
    </row>
    <row r="1535" spans="1:11" x14ac:dyDescent="0.25">
      <c r="A1535" s="24" t="s">
        <v>7</v>
      </c>
      <c r="B1535" s="24" t="s">
        <v>8199</v>
      </c>
      <c r="C1535" s="25" t="s">
        <v>8200</v>
      </c>
      <c r="D1535" s="24" t="s">
        <v>21824</v>
      </c>
      <c r="G1535" s="40">
        <v>72</v>
      </c>
      <c r="H1535" s="41">
        <v>23256</v>
      </c>
      <c r="J1535" s="41">
        <v>323</v>
      </c>
    </row>
    <row r="1536" spans="1:11" x14ac:dyDescent="0.25">
      <c r="A1536" s="24" t="s">
        <v>7</v>
      </c>
      <c r="B1536" s="24" t="s">
        <v>8202</v>
      </c>
      <c r="C1536" s="25" t="s">
        <v>8203</v>
      </c>
      <c r="D1536" s="24" t="s">
        <v>21824</v>
      </c>
      <c r="G1536" s="40">
        <v>384</v>
      </c>
      <c r="H1536" s="41">
        <v>207744</v>
      </c>
      <c r="J1536" s="41">
        <v>541</v>
      </c>
    </row>
    <row r="1537" spans="1:11" x14ac:dyDescent="0.25">
      <c r="A1537" s="24" t="s">
        <v>7</v>
      </c>
      <c r="B1537" s="24" t="s">
        <v>8205</v>
      </c>
      <c r="C1537" s="25" t="s">
        <v>8206</v>
      </c>
      <c r="D1537" s="24" t="s">
        <v>21824</v>
      </c>
      <c r="E1537" s="40">
        <v>10</v>
      </c>
      <c r="F1537" s="41">
        <v>111</v>
      </c>
      <c r="G1537" s="40">
        <v>7</v>
      </c>
      <c r="H1537" s="41">
        <v>84</v>
      </c>
      <c r="I1537" s="41">
        <v>11.1</v>
      </c>
      <c r="J1537" s="41">
        <v>12</v>
      </c>
      <c r="K1537" s="42">
        <v>8.1081081081081113E-2</v>
      </c>
    </row>
    <row r="1538" spans="1:11" x14ac:dyDescent="0.25">
      <c r="A1538" s="24" t="s">
        <v>7</v>
      </c>
      <c r="B1538" s="24" t="s">
        <v>8208</v>
      </c>
      <c r="C1538" s="25" t="s">
        <v>8209</v>
      </c>
      <c r="D1538" s="24" t="s">
        <v>21824</v>
      </c>
      <c r="E1538" s="40">
        <v>964</v>
      </c>
      <c r="F1538" s="41">
        <v>15910</v>
      </c>
      <c r="G1538" s="40">
        <v>1039</v>
      </c>
      <c r="H1538" s="41">
        <v>15726</v>
      </c>
      <c r="I1538" s="41">
        <v>16.504149377593361</v>
      </c>
      <c r="J1538" s="41">
        <v>15.135707410972088</v>
      </c>
      <c r="K1538" s="42">
        <v>-8.2915025507410867E-2</v>
      </c>
    </row>
    <row r="1539" spans="1:11" x14ac:dyDescent="0.25">
      <c r="A1539" s="24" t="s">
        <v>7</v>
      </c>
      <c r="B1539" s="24" t="s">
        <v>8211</v>
      </c>
      <c r="C1539" s="25" t="s">
        <v>8212</v>
      </c>
      <c r="D1539" s="24" t="s">
        <v>21824</v>
      </c>
      <c r="E1539" s="40">
        <v>132</v>
      </c>
      <c r="F1539" s="41">
        <v>3490</v>
      </c>
      <c r="G1539" s="40">
        <v>194</v>
      </c>
      <c r="H1539" s="41">
        <v>4692</v>
      </c>
      <c r="I1539" s="41">
        <v>26.439393939393938</v>
      </c>
      <c r="J1539" s="41">
        <v>24.185567010309278</v>
      </c>
      <c r="K1539" s="42">
        <v>-8.5245029982571677E-2</v>
      </c>
    </row>
    <row r="1540" spans="1:11" x14ac:dyDescent="0.25">
      <c r="A1540" s="24" t="s">
        <v>7</v>
      </c>
      <c r="B1540" s="24" t="s">
        <v>8214</v>
      </c>
      <c r="C1540" s="25" t="s">
        <v>8215</v>
      </c>
      <c r="D1540" s="24" t="s">
        <v>21824</v>
      </c>
      <c r="E1540" s="40">
        <v>1113</v>
      </c>
      <c r="F1540" s="41">
        <v>84486</v>
      </c>
      <c r="G1540" s="40">
        <v>1428</v>
      </c>
      <c r="H1540" s="41">
        <v>86744</v>
      </c>
      <c r="I1540" s="41">
        <v>75.908355795148253</v>
      </c>
      <c r="J1540" s="41">
        <v>60.745098039215684</v>
      </c>
      <c r="K1540" s="42">
        <v>-0.19975742587355241</v>
      </c>
    </row>
    <row r="1541" spans="1:11" x14ac:dyDescent="0.25">
      <c r="A1541" s="24" t="s">
        <v>7</v>
      </c>
      <c r="B1541" s="24" t="s">
        <v>8226</v>
      </c>
      <c r="C1541" s="25" t="s">
        <v>8227</v>
      </c>
      <c r="D1541" s="24" t="s">
        <v>21824</v>
      </c>
      <c r="G1541" s="40">
        <v>2</v>
      </c>
      <c r="H1541" s="41">
        <v>286</v>
      </c>
      <c r="J1541" s="41">
        <v>143</v>
      </c>
    </row>
    <row r="1542" spans="1:11" x14ac:dyDescent="0.25">
      <c r="A1542" s="24" t="s">
        <v>7</v>
      </c>
      <c r="B1542" s="24" t="s">
        <v>8232</v>
      </c>
      <c r="C1542" s="25" t="s">
        <v>8233</v>
      </c>
      <c r="D1542" s="24" t="s">
        <v>21824</v>
      </c>
      <c r="E1542" s="40">
        <v>5752</v>
      </c>
      <c r="F1542" s="41">
        <v>123112</v>
      </c>
      <c r="G1542" s="40">
        <v>6265</v>
      </c>
      <c r="H1542" s="41">
        <v>117607</v>
      </c>
      <c r="I1542" s="41">
        <v>21.403337969401946</v>
      </c>
      <c r="J1542" s="41">
        <v>18.772067039106144</v>
      </c>
      <c r="K1542" s="42">
        <v>-0.12293740976559112</v>
      </c>
    </row>
    <row r="1543" spans="1:11" x14ac:dyDescent="0.25">
      <c r="A1543" s="24" t="s">
        <v>7</v>
      </c>
      <c r="B1543" s="24" t="s">
        <v>8235</v>
      </c>
      <c r="C1543" s="25" t="s">
        <v>8236</v>
      </c>
      <c r="D1543" s="24" t="s">
        <v>21824</v>
      </c>
      <c r="G1543" s="40">
        <v>1</v>
      </c>
      <c r="H1543" s="41">
        <v>19</v>
      </c>
      <c r="J1543" s="41">
        <v>19</v>
      </c>
    </row>
    <row r="1544" spans="1:11" x14ac:dyDescent="0.25">
      <c r="A1544" s="24" t="s">
        <v>7</v>
      </c>
      <c r="B1544" s="24" t="s">
        <v>8238</v>
      </c>
      <c r="C1544" s="25" t="s">
        <v>8239</v>
      </c>
      <c r="D1544" s="24" t="s">
        <v>21824</v>
      </c>
      <c r="G1544" s="40">
        <v>20</v>
      </c>
      <c r="H1544" s="41">
        <v>480</v>
      </c>
      <c r="J1544" s="41">
        <v>24</v>
      </c>
    </row>
    <row r="1545" spans="1:11" x14ac:dyDescent="0.25">
      <c r="A1545" s="24" t="s">
        <v>7</v>
      </c>
      <c r="B1545" s="24" t="s">
        <v>8247</v>
      </c>
      <c r="C1545" s="25" t="s">
        <v>8248</v>
      </c>
      <c r="D1545" s="24" t="s">
        <v>21824</v>
      </c>
      <c r="E1545" s="40">
        <v>20</v>
      </c>
      <c r="F1545" s="41">
        <v>240</v>
      </c>
      <c r="G1545" s="40">
        <v>82</v>
      </c>
      <c r="H1545" s="41">
        <v>984</v>
      </c>
      <c r="I1545" s="41">
        <v>12</v>
      </c>
      <c r="J1545" s="41">
        <v>12</v>
      </c>
      <c r="K1545" s="42">
        <v>0</v>
      </c>
    </row>
    <row r="1546" spans="1:11" x14ac:dyDescent="0.25">
      <c r="A1546" s="24" t="s">
        <v>7</v>
      </c>
      <c r="B1546" s="24" t="s">
        <v>8250</v>
      </c>
      <c r="C1546" s="25" t="s">
        <v>8251</v>
      </c>
      <c r="D1546" s="24" t="s">
        <v>21824</v>
      </c>
      <c r="E1546" s="40">
        <v>2722</v>
      </c>
      <c r="F1546" s="41">
        <v>58462</v>
      </c>
      <c r="G1546" s="40">
        <v>2972</v>
      </c>
      <c r="H1546" s="41">
        <v>57047</v>
      </c>
      <c r="I1546" s="41">
        <v>21.477590007347537</v>
      </c>
      <c r="J1546" s="41">
        <v>19.194818304172273</v>
      </c>
      <c r="K1546" s="42">
        <v>-0.106286212856951</v>
      </c>
    </row>
    <row r="1547" spans="1:11" x14ac:dyDescent="0.25">
      <c r="A1547" s="24" t="s">
        <v>7</v>
      </c>
      <c r="B1547" s="24" t="s">
        <v>8253</v>
      </c>
      <c r="C1547" s="25" t="s">
        <v>8254</v>
      </c>
      <c r="D1547" s="24" t="s">
        <v>21824</v>
      </c>
      <c r="E1547" s="40">
        <v>2265</v>
      </c>
      <c r="F1547" s="41">
        <v>37759</v>
      </c>
      <c r="G1547" s="40">
        <v>2435</v>
      </c>
      <c r="H1547" s="41">
        <v>35235</v>
      </c>
      <c r="I1547" s="41">
        <v>16.67064017660044</v>
      </c>
      <c r="J1547" s="41">
        <v>14.470225872689939</v>
      </c>
      <c r="K1547" s="42">
        <v>-0.13199338961194113</v>
      </c>
    </row>
    <row r="1548" spans="1:11" x14ac:dyDescent="0.25">
      <c r="A1548" s="24" t="s">
        <v>7</v>
      </c>
      <c r="B1548" s="24" t="s">
        <v>8256</v>
      </c>
      <c r="C1548" s="25" t="s">
        <v>8257</v>
      </c>
      <c r="D1548" s="24" t="s">
        <v>21824</v>
      </c>
      <c r="E1548" s="40">
        <v>175</v>
      </c>
      <c r="F1548" s="41">
        <v>2939</v>
      </c>
      <c r="G1548" s="40">
        <v>190</v>
      </c>
      <c r="H1548" s="41">
        <v>2318</v>
      </c>
      <c r="I1548" s="41">
        <v>16.794285714285714</v>
      </c>
      <c r="J1548" s="41">
        <v>12.2</v>
      </c>
      <c r="K1548" s="42">
        <v>-0.27356243620279008</v>
      </c>
    </row>
    <row r="1549" spans="1:11" x14ac:dyDescent="0.25">
      <c r="A1549" s="24" t="s">
        <v>7</v>
      </c>
      <c r="B1549" s="24" t="s">
        <v>8259</v>
      </c>
      <c r="C1549" s="25" t="s">
        <v>8260</v>
      </c>
      <c r="D1549" s="24" t="s">
        <v>21824</v>
      </c>
      <c r="E1549" s="40">
        <v>7641</v>
      </c>
      <c r="F1549" s="41">
        <v>127384</v>
      </c>
      <c r="G1549" s="40">
        <v>10357</v>
      </c>
      <c r="H1549" s="41">
        <v>152997</v>
      </c>
      <c r="I1549" s="41">
        <v>16.671116346028008</v>
      </c>
      <c r="J1549" s="41">
        <v>14.772327894177851</v>
      </c>
      <c r="K1549" s="42">
        <v>-0.11389689883020669</v>
      </c>
    </row>
    <row r="1550" spans="1:11" x14ac:dyDescent="0.25">
      <c r="A1550" s="24" t="s">
        <v>7</v>
      </c>
      <c r="B1550" s="24" t="s">
        <v>8262</v>
      </c>
      <c r="C1550" s="25" t="s">
        <v>8263</v>
      </c>
      <c r="D1550" s="24" t="s">
        <v>21824</v>
      </c>
      <c r="E1550" s="40">
        <v>16553</v>
      </c>
      <c r="F1550" s="41">
        <v>629232</v>
      </c>
      <c r="G1550" s="40">
        <v>16399</v>
      </c>
      <c r="H1550" s="41">
        <v>535555</v>
      </c>
      <c r="I1550" s="41">
        <v>38.013169818159852</v>
      </c>
      <c r="J1550" s="41">
        <v>32.657784011220194</v>
      </c>
      <c r="K1550" s="42">
        <v>-0.14088237925323593</v>
      </c>
    </row>
    <row r="1551" spans="1:11" x14ac:dyDescent="0.25">
      <c r="A1551" s="24" t="s">
        <v>7</v>
      </c>
      <c r="B1551" s="24" t="s">
        <v>8265</v>
      </c>
      <c r="C1551" s="25" t="s">
        <v>8266</v>
      </c>
      <c r="D1551" s="24" t="s">
        <v>21824</v>
      </c>
      <c r="E1551" s="40">
        <v>3520</v>
      </c>
      <c r="F1551" s="41">
        <v>147310</v>
      </c>
      <c r="G1551" s="40">
        <v>2720</v>
      </c>
      <c r="H1551" s="41">
        <v>95582</v>
      </c>
      <c r="I1551" s="41">
        <v>41.84943181818182</v>
      </c>
      <c r="J1551" s="41">
        <v>35.140441176470588</v>
      </c>
      <c r="K1551" s="42">
        <v>-0.16031258610293622</v>
      </c>
    </row>
    <row r="1552" spans="1:11" x14ac:dyDescent="0.25">
      <c r="A1552" s="24" t="s">
        <v>7</v>
      </c>
      <c r="B1552" s="24" t="s">
        <v>8271</v>
      </c>
      <c r="C1552" s="25" t="s">
        <v>8272</v>
      </c>
      <c r="D1552" s="24" t="s">
        <v>21824</v>
      </c>
      <c r="G1552" s="40">
        <v>115</v>
      </c>
      <c r="H1552" s="41">
        <v>2930</v>
      </c>
      <c r="J1552" s="41">
        <v>25.478260869565219</v>
      </c>
    </row>
    <row r="1553" spans="1:11" x14ac:dyDescent="0.25">
      <c r="A1553" s="24" t="s">
        <v>7</v>
      </c>
      <c r="B1553" s="24" t="s">
        <v>8274</v>
      </c>
      <c r="C1553" s="25" t="s">
        <v>8275</v>
      </c>
      <c r="D1553" s="24" t="s">
        <v>21824</v>
      </c>
      <c r="E1553" s="40">
        <v>360</v>
      </c>
      <c r="F1553" s="41">
        <v>12759</v>
      </c>
      <c r="G1553" s="40">
        <v>285</v>
      </c>
      <c r="H1553" s="41">
        <v>7983</v>
      </c>
      <c r="I1553" s="41">
        <v>35.44166666666667</v>
      </c>
      <c r="J1553" s="41">
        <v>28.010526315789473</v>
      </c>
      <c r="K1553" s="42">
        <v>-0.20967242936874289</v>
      </c>
    </row>
    <row r="1554" spans="1:11" x14ac:dyDescent="0.25">
      <c r="A1554" s="24" t="s">
        <v>7</v>
      </c>
      <c r="B1554" s="24" t="s">
        <v>8280</v>
      </c>
      <c r="C1554" s="25" t="s">
        <v>8281</v>
      </c>
      <c r="D1554" s="24" t="s">
        <v>21824</v>
      </c>
      <c r="E1554" s="40">
        <v>59</v>
      </c>
      <c r="F1554" s="41">
        <v>870</v>
      </c>
      <c r="G1554" s="40">
        <v>30</v>
      </c>
      <c r="H1554" s="41">
        <v>430</v>
      </c>
      <c r="I1554" s="41">
        <v>14.745762711864407</v>
      </c>
      <c r="J1554" s="41">
        <v>14.333333333333334</v>
      </c>
      <c r="K1554" s="42">
        <v>-2.7969348659003777E-2</v>
      </c>
    </row>
    <row r="1555" spans="1:11" x14ac:dyDescent="0.25">
      <c r="A1555" s="24" t="s">
        <v>7</v>
      </c>
      <c r="B1555" s="24" t="s">
        <v>8283</v>
      </c>
      <c r="C1555" s="25" t="s">
        <v>8284</v>
      </c>
      <c r="D1555" s="24" t="s">
        <v>21824</v>
      </c>
      <c r="G1555" s="40">
        <v>11</v>
      </c>
      <c r="H1555" s="41">
        <v>185</v>
      </c>
      <c r="J1555" s="41">
        <v>16.818181818181817</v>
      </c>
    </row>
    <row r="1556" spans="1:11" x14ac:dyDescent="0.25">
      <c r="A1556" s="24" t="s">
        <v>7</v>
      </c>
      <c r="B1556" s="24" t="s">
        <v>8286</v>
      </c>
      <c r="C1556" s="25" t="s">
        <v>8287</v>
      </c>
      <c r="D1556" s="24" t="s">
        <v>21824</v>
      </c>
      <c r="E1556" s="40">
        <v>7</v>
      </c>
      <c r="F1556" s="41">
        <v>124</v>
      </c>
      <c r="G1556" s="40">
        <v>1</v>
      </c>
      <c r="H1556" s="41">
        <v>18</v>
      </c>
      <c r="I1556" s="41">
        <v>17.714285714285715</v>
      </c>
      <c r="J1556" s="41">
        <v>18</v>
      </c>
      <c r="K1556" s="42">
        <v>1.6129032258064457E-2</v>
      </c>
    </row>
    <row r="1557" spans="1:11" x14ac:dyDescent="0.25">
      <c r="A1557" s="24" t="s">
        <v>7</v>
      </c>
      <c r="B1557" s="24" t="s">
        <v>8289</v>
      </c>
      <c r="C1557" s="25" t="s">
        <v>8290</v>
      </c>
      <c r="D1557" s="24" t="s">
        <v>21824</v>
      </c>
      <c r="G1557" s="40">
        <v>3</v>
      </c>
      <c r="H1557" s="41">
        <v>54</v>
      </c>
      <c r="J1557" s="41">
        <v>18</v>
      </c>
    </row>
    <row r="1558" spans="1:11" x14ac:dyDescent="0.25">
      <c r="A1558" s="24" t="s">
        <v>7</v>
      </c>
      <c r="B1558" s="24" t="s">
        <v>8292</v>
      </c>
      <c r="C1558" s="25" t="s">
        <v>8293</v>
      </c>
      <c r="D1558" s="24" t="s">
        <v>21824</v>
      </c>
      <c r="E1558" s="40">
        <v>101</v>
      </c>
      <c r="F1558" s="41">
        <v>1693</v>
      </c>
      <c r="G1558" s="40">
        <v>105</v>
      </c>
      <c r="H1558" s="41">
        <v>1743</v>
      </c>
      <c r="I1558" s="41">
        <v>16.762376237623762</v>
      </c>
      <c r="J1558" s="41">
        <v>16.600000000000001</v>
      </c>
      <c r="K1558" s="42">
        <v>-9.6869462492615681E-3</v>
      </c>
    </row>
    <row r="1559" spans="1:11" x14ac:dyDescent="0.25">
      <c r="A1559" s="24" t="s">
        <v>7</v>
      </c>
      <c r="B1559" s="24" t="s">
        <v>8295</v>
      </c>
      <c r="C1559" s="25" t="s">
        <v>8293</v>
      </c>
      <c r="D1559" s="24" t="s">
        <v>21824</v>
      </c>
      <c r="E1559" s="40">
        <v>12</v>
      </c>
      <c r="F1559" s="41">
        <v>312</v>
      </c>
      <c r="G1559" s="40">
        <v>10</v>
      </c>
      <c r="H1559" s="41">
        <v>260</v>
      </c>
      <c r="I1559" s="41">
        <v>26</v>
      </c>
      <c r="J1559" s="41">
        <v>26</v>
      </c>
      <c r="K1559" s="42">
        <v>0</v>
      </c>
    </row>
    <row r="1560" spans="1:11" x14ac:dyDescent="0.25">
      <c r="A1560" s="24" t="s">
        <v>7</v>
      </c>
      <c r="B1560" s="24" t="s">
        <v>8297</v>
      </c>
      <c r="C1560" s="25" t="s">
        <v>8298</v>
      </c>
      <c r="D1560" s="24" t="s">
        <v>21824</v>
      </c>
      <c r="E1560" s="40">
        <v>2</v>
      </c>
      <c r="F1560" s="41">
        <v>34</v>
      </c>
      <c r="G1560" s="40">
        <v>3</v>
      </c>
      <c r="H1560" s="41">
        <v>51</v>
      </c>
      <c r="I1560" s="41">
        <v>17</v>
      </c>
      <c r="J1560" s="41">
        <v>17</v>
      </c>
      <c r="K1560" s="42">
        <v>0</v>
      </c>
    </row>
    <row r="1561" spans="1:11" x14ac:dyDescent="0.25">
      <c r="A1561" s="24" t="s">
        <v>7</v>
      </c>
      <c r="B1561" s="24" t="s">
        <v>8300</v>
      </c>
      <c r="C1561" s="25" t="s">
        <v>8301</v>
      </c>
      <c r="D1561" s="24" t="s">
        <v>21824</v>
      </c>
      <c r="G1561" s="40">
        <v>1</v>
      </c>
      <c r="H1561" s="41">
        <v>32</v>
      </c>
      <c r="J1561" s="41">
        <v>32</v>
      </c>
    </row>
    <row r="1562" spans="1:11" x14ac:dyDescent="0.25">
      <c r="A1562" s="24" t="s">
        <v>7</v>
      </c>
      <c r="B1562" s="24" t="s">
        <v>8309</v>
      </c>
      <c r="C1562" s="25" t="s">
        <v>8310</v>
      </c>
      <c r="D1562" s="24" t="s">
        <v>21824</v>
      </c>
      <c r="G1562" s="40">
        <v>1</v>
      </c>
      <c r="H1562" s="41">
        <v>18</v>
      </c>
      <c r="J1562" s="41">
        <v>18</v>
      </c>
    </row>
    <row r="1563" spans="1:11" x14ac:dyDescent="0.25">
      <c r="A1563" s="24" t="s">
        <v>7</v>
      </c>
      <c r="B1563" s="24" t="s">
        <v>8315</v>
      </c>
      <c r="C1563" s="25" t="s">
        <v>8316</v>
      </c>
      <c r="D1563" s="24" t="s">
        <v>21824</v>
      </c>
      <c r="E1563" s="40">
        <v>89</v>
      </c>
      <c r="F1563" s="41">
        <v>1506</v>
      </c>
      <c r="G1563" s="40">
        <v>105</v>
      </c>
      <c r="H1563" s="41">
        <v>1305</v>
      </c>
      <c r="I1563" s="41">
        <v>16.921348314606742</v>
      </c>
      <c r="J1563" s="41">
        <v>12.428571428571429</v>
      </c>
      <c r="K1563" s="42">
        <v>-0.26550939100739901</v>
      </c>
    </row>
    <row r="1564" spans="1:11" x14ac:dyDescent="0.25">
      <c r="A1564" s="24" t="s">
        <v>7</v>
      </c>
      <c r="B1564" s="24" t="s">
        <v>8318</v>
      </c>
      <c r="C1564" s="25" t="s">
        <v>8319</v>
      </c>
      <c r="D1564" s="24" t="s">
        <v>21824</v>
      </c>
      <c r="E1564" s="40">
        <v>191</v>
      </c>
      <c r="F1564" s="41">
        <v>1855</v>
      </c>
      <c r="G1564" s="40">
        <v>198</v>
      </c>
      <c r="H1564" s="41">
        <v>1953</v>
      </c>
      <c r="I1564" s="41">
        <v>9.7120418848167542</v>
      </c>
      <c r="J1564" s="41">
        <v>9.8636363636363633</v>
      </c>
      <c r="K1564" s="42">
        <v>1.5608919382504223E-2</v>
      </c>
    </row>
    <row r="1565" spans="1:11" x14ac:dyDescent="0.25">
      <c r="A1565" s="24" t="s">
        <v>7</v>
      </c>
      <c r="B1565" s="24" t="s">
        <v>8321</v>
      </c>
      <c r="C1565" s="25" t="s">
        <v>8322</v>
      </c>
      <c r="D1565" s="24" t="s">
        <v>21824</v>
      </c>
      <c r="E1565" s="40">
        <v>913</v>
      </c>
      <c r="F1565" s="41">
        <v>21640</v>
      </c>
      <c r="G1565" s="40">
        <v>1056</v>
      </c>
      <c r="H1565" s="41">
        <v>22029</v>
      </c>
      <c r="I1565" s="41">
        <v>23.702081051478643</v>
      </c>
      <c r="J1565" s="41">
        <v>20.860795454545453</v>
      </c>
      <c r="K1565" s="42">
        <v>-0.119874942236599</v>
      </c>
    </row>
    <row r="1566" spans="1:11" x14ac:dyDescent="0.25">
      <c r="A1566" s="24" t="s">
        <v>7</v>
      </c>
      <c r="B1566" s="24" t="s">
        <v>8324</v>
      </c>
      <c r="C1566" s="25" t="s">
        <v>8325</v>
      </c>
      <c r="D1566" s="24" t="s">
        <v>21824</v>
      </c>
      <c r="G1566" s="40">
        <v>41</v>
      </c>
      <c r="H1566" s="41">
        <v>615</v>
      </c>
      <c r="J1566" s="41">
        <v>15</v>
      </c>
    </row>
    <row r="1567" spans="1:11" x14ac:dyDescent="0.25">
      <c r="A1567" s="24" t="s">
        <v>7</v>
      </c>
      <c r="B1567" s="24" t="s">
        <v>8327</v>
      </c>
      <c r="C1567" s="25" t="s">
        <v>8328</v>
      </c>
      <c r="D1567" s="24" t="s">
        <v>21824</v>
      </c>
      <c r="G1567" s="40">
        <v>15</v>
      </c>
      <c r="H1567" s="41">
        <v>360</v>
      </c>
      <c r="J1567" s="41">
        <v>24</v>
      </c>
    </row>
    <row r="1568" spans="1:11" x14ac:dyDescent="0.25">
      <c r="A1568" s="24" t="s">
        <v>7</v>
      </c>
      <c r="B1568" s="24" t="s">
        <v>8330</v>
      </c>
      <c r="C1568" s="25" t="s">
        <v>8331</v>
      </c>
      <c r="D1568" s="24" t="s">
        <v>21824</v>
      </c>
      <c r="E1568" s="40">
        <v>21</v>
      </c>
      <c r="F1568" s="41">
        <v>355</v>
      </c>
      <c r="G1568" s="40">
        <v>31</v>
      </c>
      <c r="H1568" s="41">
        <v>513</v>
      </c>
      <c r="I1568" s="41">
        <v>16.904761904761905</v>
      </c>
      <c r="J1568" s="41">
        <v>16.548387096774192</v>
      </c>
      <c r="K1568" s="42">
        <v>-2.1081326669695692E-2</v>
      </c>
    </row>
    <row r="1569" spans="1:11" x14ac:dyDescent="0.25">
      <c r="A1569" s="24" t="s">
        <v>7</v>
      </c>
      <c r="B1569" s="24" t="s">
        <v>8333</v>
      </c>
      <c r="C1569" s="25" t="s">
        <v>8334</v>
      </c>
      <c r="D1569" s="24" t="s">
        <v>21824</v>
      </c>
      <c r="E1569" s="40">
        <v>80</v>
      </c>
      <c r="F1569" s="41">
        <v>1436</v>
      </c>
      <c r="G1569" s="40">
        <v>18</v>
      </c>
      <c r="H1569" s="41">
        <v>226</v>
      </c>
      <c r="I1569" s="41">
        <v>17.95</v>
      </c>
      <c r="J1569" s="41">
        <v>12.555555555555555</v>
      </c>
      <c r="K1569" s="42">
        <v>-0.30052615289384088</v>
      </c>
    </row>
    <row r="1570" spans="1:11" x14ac:dyDescent="0.25">
      <c r="A1570" s="24" t="s">
        <v>7</v>
      </c>
      <c r="B1570" s="24" t="s">
        <v>8336</v>
      </c>
      <c r="C1570" s="25" t="s">
        <v>8337</v>
      </c>
      <c r="D1570" s="24" t="s">
        <v>21824</v>
      </c>
      <c r="E1570" s="40">
        <v>2</v>
      </c>
      <c r="F1570" s="41">
        <v>34</v>
      </c>
      <c r="G1570" s="40">
        <v>68</v>
      </c>
      <c r="H1570" s="41">
        <v>886</v>
      </c>
      <c r="I1570" s="41">
        <v>17</v>
      </c>
      <c r="J1570" s="41">
        <v>13.029411764705882</v>
      </c>
      <c r="K1570" s="42">
        <v>-0.23356401384083045</v>
      </c>
    </row>
    <row r="1571" spans="1:11" x14ac:dyDescent="0.25">
      <c r="A1571" s="24" t="s">
        <v>7</v>
      </c>
      <c r="B1571" s="24" t="s">
        <v>8339</v>
      </c>
      <c r="C1571" s="25" t="s">
        <v>8340</v>
      </c>
      <c r="D1571" s="24" t="s">
        <v>21824</v>
      </c>
      <c r="G1571" s="40">
        <v>90</v>
      </c>
      <c r="H1571" s="41">
        <v>1506</v>
      </c>
      <c r="J1571" s="41">
        <v>16.733333333333334</v>
      </c>
    </row>
    <row r="1572" spans="1:11" x14ac:dyDescent="0.25">
      <c r="A1572" s="24" t="s">
        <v>7</v>
      </c>
      <c r="B1572" s="24" t="s">
        <v>8342</v>
      </c>
      <c r="C1572" s="25" t="s">
        <v>8343</v>
      </c>
      <c r="D1572" s="24" t="s">
        <v>21824</v>
      </c>
      <c r="G1572" s="40">
        <v>47</v>
      </c>
      <c r="H1572" s="41">
        <v>517</v>
      </c>
      <c r="J1572" s="41">
        <v>11</v>
      </c>
    </row>
    <row r="1573" spans="1:11" x14ac:dyDescent="0.25">
      <c r="A1573" s="24" t="s">
        <v>7</v>
      </c>
      <c r="B1573" s="24" t="s">
        <v>8345</v>
      </c>
      <c r="C1573" s="25" t="s">
        <v>8346</v>
      </c>
      <c r="D1573" s="24" t="s">
        <v>21824</v>
      </c>
      <c r="E1573" s="40">
        <v>497</v>
      </c>
      <c r="F1573" s="41">
        <v>8250</v>
      </c>
      <c r="G1573" s="40">
        <v>438</v>
      </c>
      <c r="H1573" s="41">
        <v>5798</v>
      </c>
      <c r="I1573" s="41">
        <v>16.599597585513077</v>
      </c>
      <c r="J1573" s="41">
        <v>13.237442922374429</v>
      </c>
      <c r="K1573" s="42">
        <v>-0.20254434758544343</v>
      </c>
    </row>
    <row r="1574" spans="1:11" x14ac:dyDescent="0.25">
      <c r="A1574" s="24" t="s">
        <v>7</v>
      </c>
      <c r="B1574" s="24" t="s">
        <v>8348</v>
      </c>
      <c r="C1574" s="25" t="s">
        <v>8349</v>
      </c>
      <c r="D1574" s="24" t="s">
        <v>21824</v>
      </c>
      <c r="E1574" s="40">
        <v>47</v>
      </c>
      <c r="F1574" s="41">
        <v>512</v>
      </c>
      <c r="G1574" s="40">
        <v>21</v>
      </c>
      <c r="H1574" s="41">
        <v>231</v>
      </c>
      <c r="I1574" s="41">
        <v>10.893617021276595</v>
      </c>
      <c r="J1574" s="41">
        <v>11</v>
      </c>
      <c r="K1574" s="42">
        <v>9.7656250000000243E-3</v>
      </c>
    </row>
    <row r="1575" spans="1:11" x14ac:dyDescent="0.25">
      <c r="A1575" s="24" t="s">
        <v>7</v>
      </c>
      <c r="B1575" s="24" t="s">
        <v>8351</v>
      </c>
      <c r="C1575" s="25" t="s">
        <v>8352</v>
      </c>
      <c r="D1575" s="24" t="s">
        <v>21824</v>
      </c>
      <c r="E1575" s="40">
        <v>4835</v>
      </c>
      <c r="F1575" s="41">
        <v>80698</v>
      </c>
      <c r="G1575" s="40">
        <v>4293</v>
      </c>
      <c r="H1575" s="41">
        <v>64293</v>
      </c>
      <c r="I1575" s="41">
        <v>16.690382626680456</v>
      </c>
      <c r="J1575" s="41">
        <v>14.976240391334731</v>
      </c>
      <c r="K1575" s="42">
        <v>-0.10270239297004366</v>
      </c>
    </row>
    <row r="1576" spans="1:11" x14ac:dyDescent="0.25">
      <c r="A1576" s="24" t="s">
        <v>7</v>
      </c>
      <c r="B1576" s="24" t="s">
        <v>8354</v>
      </c>
      <c r="C1576" s="25" t="s">
        <v>8355</v>
      </c>
      <c r="D1576" s="24" t="s">
        <v>21824</v>
      </c>
      <c r="E1576" s="40">
        <v>14095</v>
      </c>
      <c r="F1576" s="41">
        <v>235688</v>
      </c>
      <c r="G1576" s="40">
        <v>18261</v>
      </c>
      <c r="H1576" s="41">
        <v>262181</v>
      </c>
      <c r="I1576" s="41">
        <v>16.721390564029797</v>
      </c>
      <c r="J1576" s="41">
        <v>14.357428399320957</v>
      </c>
      <c r="K1576" s="42">
        <v>-0.14137353921952367</v>
      </c>
    </row>
    <row r="1577" spans="1:11" x14ac:dyDescent="0.25">
      <c r="A1577" s="24" t="s">
        <v>7</v>
      </c>
      <c r="B1577" s="24" t="s">
        <v>8357</v>
      </c>
      <c r="C1577" s="25" t="s">
        <v>8358</v>
      </c>
      <c r="D1577" s="24" t="s">
        <v>21824</v>
      </c>
      <c r="G1577" s="40">
        <v>12</v>
      </c>
      <c r="H1577" s="41">
        <v>144</v>
      </c>
      <c r="J1577" s="41">
        <v>12</v>
      </c>
    </row>
    <row r="1578" spans="1:11" x14ac:dyDescent="0.25">
      <c r="A1578" s="24" t="s">
        <v>7</v>
      </c>
      <c r="B1578" s="24" t="s">
        <v>8360</v>
      </c>
      <c r="C1578" s="25" t="s">
        <v>8361</v>
      </c>
      <c r="D1578" s="24" t="s">
        <v>21824</v>
      </c>
      <c r="E1578" s="40">
        <v>681</v>
      </c>
      <c r="F1578" s="41">
        <v>15834</v>
      </c>
      <c r="G1578" s="40">
        <v>919</v>
      </c>
      <c r="H1578" s="41">
        <v>18307</v>
      </c>
      <c r="I1578" s="41">
        <v>23.251101321585903</v>
      </c>
      <c r="J1578" s="41">
        <v>19.920565832426551</v>
      </c>
      <c r="K1578" s="42">
        <v>-0.14324205305781981</v>
      </c>
    </row>
    <row r="1579" spans="1:11" x14ac:dyDescent="0.25">
      <c r="A1579" s="24" t="s">
        <v>7</v>
      </c>
      <c r="B1579" s="24" t="s">
        <v>8366</v>
      </c>
      <c r="C1579" s="25" t="s">
        <v>8367</v>
      </c>
      <c r="D1579" s="24" t="s">
        <v>21824</v>
      </c>
      <c r="E1579" s="40">
        <v>681</v>
      </c>
      <c r="F1579" s="41">
        <v>11341</v>
      </c>
      <c r="G1579" s="40">
        <v>762</v>
      </c>
      <c r="H1579" s="41">
        <v>10599</v>
      </c>
      <c r="I1579" s="41">
        <v>16.653450807635831</v>
      </c>
      <c r="J1579" s="41">
        <v>13.909448818897637</v>
      </c>
      <c r="K1579" s="42">
        <v>-0.16477077456403405</v>
      </c>
    </row>
    <row r="1580" spans="1:11" x14ac:dyDescent="0.25">
      <c r="A1580" s="24" t="s">
        <v>7</v>
      </c>
      <c r="B1580" s="24" t="s">
        <v>8369</v>
      </c>
      <c r="C1580" s="25" t="s">
        <v>8370</v>
      </c>
      <c r="D1580" s="24" t="s">
        <v>21824</v>
      </c>
      <c r="E1580" s="40">
        <v>183</v>
      </c>
      <c r="F1580" s="41">
        <v>3032</v>
      </c>
      <c r="G1580" s="40">
        <v>697</v>
      </c>
      <c r="H1580" s="41">
        <v>9779</v>
      </c>
      <c r="I1580" s="41">
        <v>16.568306010928961</v>
      </c>
      <c r="J1580" s="41">
        <v>14.030129124820659</v>
      </c>
      <c r="K1580" s="42">
        <v>-0.15319471311273719</v>
      </c>
    </row>
    <row r="1581" spans="1:11" x14ac:dyDescent="0.25">
      <c r="A1581" s="24" t="s">
        <v>7</v>
      </c>
      <c r="B1581" s="24" t="s">
        <v>8372</v>
      </c>
      <c r="C1581" s="25" t="s">
        <v>8373</v>
      </c>
      <c r="D1581" s="24" t="s">
        <v>21824</v>
      </c>
      <c r="E1581" s="40">
        <v>453</v>
      </c>
      <c r="F1581" s="41">
        <v>7559</v>
      </c>
      <c r="G1581" s="40">
        <v>374</v>
      </c>
      <c r="H1581" s="41">
        <v>5476</v>
      </c>
      <c r="I1581" s="41">
        <v>16.686534216335541</v>
      </c>
      <c r="J1581" s="41">
        <v>14.641711229946525</v>
      </c>
      <c r="K1581" s="42">
        <v>-0.12254330107609795</v>
      </c>
    </row>
    <row r="1582" spans="1:11" x14ac:dyDescent="0.25">
      <c r="A1582" s="24" t="s">
        <v>7</v>
      </c>
      <c r="B1582" s="24" t="s">
        <v>8375</v>
      </c>
      <c r="C1582" s="25" t="s">
        <v>8376</v>
      </c>
      <c r="D1582" s="24" t="s">
        <v>21824</v>
      </c>
      <c r="E1582" s="40">
        <v>32</v>
      </c>
      <c r="F1582" s="41">
        <v>531</v>
      </c>
      <c r="G1582" s="40">
        <v>161</v>
      </c>
      <c r="H1582" s="41">
        <v>2219</v>
      </c>
      <c r="I1582" s="41">
        <v>16.59375</v>
      </c>
      <c r="J1582" s="41">
        <v>13.782608695652174</v>
      </c>
      <c r="K1582" s="42">
        <v>-0.16940964545975601</v>
      </c>
    </row>
    <row r="1583" spans="1:11" x14ac:dyDescent="0.25">
      <c r="A1583" s="24" t="s">
        <v>7</v>
      </c>
      <c r="B1583" s="24" t="s">
        <v>8378</v>
      </c>
      <c r="C1583" s="25" t="s">
        <v>8379</v>
      </c>
      <c r="D1583" s="24" t="s">
        <v>21824</v>
      </c>
      <c r="E1583" s="40">
        <v>459</v>
      </c>
      <c r="F1583" s="41">
        <v>11644</v>
      </c>
      <c r="G1583" s="40">
        <v>287</v>
      </c>
      <c r="H1583" s="41">
        <v>6714</v>
      </c>
      <c r="I1583" s="41">
        <v>25.368191721132899</v>
      </c>
      <c r="J1583" s="41">
        <v>23.393728222996515</v>
      </c>
      <c r="K1583" s="42">
        <v>-7.783225228826865E-2</v>
      </c>
    </row>
    <row r="1584" spans="1:11" x14ac:dyDescent="0.25">
      <c r="A1584" s="24" t="s">
        <v>7</v>
      </c>
      <c r="B1584" s="24" t="s">
        <v>8381</v>
      </c>
      <c r="C1584" s="25" t="s">
        <v>8382</v>
      </c>
      <c r="D1584" s="24" t="s">
        <v>21824</v>
      </c>
      <c r="E1584" s="40">
        <v>206</v>
      </c>
      <c r="F1584" s="41">
        <v>4436</v>
      </c>
      <c r="G1584" s="40">
        <v>108</v>
      </c>
      <c r="H1584" s="41">
        <v>1656</v>
      </c>
      <c r="I1584" s="41">
        <v>21.533980582524272</v>
      </c>
      <c r="J1584" s="41">
        <v>15.333333333333334</v>
      </c>
      <c r="K1584" s="42">
        <v>-0.28794709948902913</v>
      </c>
    </row>
    <row r="1585" spans="1:11" x14ac:dyDescent="0.25">
      <c r="A1585" s="24" t="s">
        <v>7</v>
      </c>
      <c r="B1585" s="24" t="s">
        <v>8384</v>
      </c>
      <c r="C1585" s="25" t="s">
        <v>8385</v>
      </c>
      <c r="D1585" s="24" t="s">
        <v>21824</v>
      </c>
      <c r="E1585" s="40">
        <v>111</v>
      </c>
      <c r="F1585" s="41">
        <v>1850</v>
      </c>
      <c r="G1585" s="40">
        <v>98</v>
      </c>
      <c r="H1585" s="41">
        <v>1330</v>
      </c>
      <c r="I1585" s="41">
        <v>16.666666666666668</v>
      </c>
      <c r="J1585" s="41">
        <v>13.571428571428571</v>
      </c>
      <c r="K1585" s="42">
        <v>-0.18571428571428578</v>
      </c>
    </row>
    <row r="1586" spans="1:11" x14ac:dyDescent="0.25">
      <c r="A1586" s="24" t="s">
        <v>7</v>
      </c>
      <c r="B1586" s="24" t="s">
        <v>8387</v>
      </c>
      <c r="C1586" s="25" t="s">
        <v>8388</v>
      </c>
      <c r="D1586" s="24" t="s">
        <v>21824</v>
      </c>
      <c r="E1586" s="40">
        <v>677</v>
      </c>
      <c r="F1586" s="41">
        <v>19826</v>
      </c>
      <c r="G1586" s="40">
        <v>870</v>
      </c>
      <c r="H1586" s="41">
        <v>20276</v>
      </c>
      <c r="I1586" s="41">
        <v>29.285081240768093</v>
      </c>
      <c r="J1586" s="41">
        <v>23.305747126436781</v>
      </c>
      <c r="K1586" s="42">
        <v>-0.20417679791194887</v>
      </c>
    </row>
    <row r="1587" spans="1:11" x14ac:dyDescent="0.25">
      <c r="A1587" s="24" t="s">
        <v>7</v>
      </c>
      <c r="B1587" s="24" t="s">
        <v>8390</v>
      </c>
      <c r="C1587" s="25" t="s">
        <v>8391</v>
      </c>
      <c r="D1587" s="24" t="s">
        <v>21824</v>
      </c>
      <c r="G1587" s="40">
        <v>84</v>
      </c>
      <c r="H1587" s="41">
        <v>1380</v>
      </c>
      <c r="J1587" s="41">
        <v>16.428571428571427</v>
      </c>
    </row>
    <row r="1588" spans="1:11" x14ac:dyDescent="0.25">
      <c r="A1588" s="24" t="s">
        <v>7</v>
      </c>
      <c r="B1588" s="24" t="s">
        <v>8393</v>
      </c>
      <c r="C1588" s="25" t="s">
        <v>8394</v>
      </c>
      <c r="D1588" s="24" t="s">
        <v>21823</v>
      </c>
      <c r="E1588" s="40">
        <v>100</v>
      </c>
      <c r="F1588" s="41">
        <v>2254</v>
      </c>
      <c r="G1588" s="40">
        <v>22</v>
      </c>
      <c r="H1588" s="41">
        <v>390</v>
      </c>
      <c r="I1588" s="41">
        <v>22.54</v>
      </c>
      <c r="J1588" s="41">
        <v>17.727272727272727</v>
      </c>
      <c r="K1588" s="42">
        <v>-0.21351939985480359</v>
      </c>
    </row>
    <row r="1589" spans="1:11" x14ac:dyDescent="0.25">
      <c r="A1589" s="24" t="s">
        <v>7</v>
      </c>
      <c r="B1589" s="24" t="s">
        <v>8396</v>
      </c>
      <c r="C1589" s="25" t="s">
        <v>8397</v>
      </c>
      <c r="D1589" s="24" t="s">
        <v>21824</v>
      </c>
      <c r="E1589" s="40">
        <v>1175</v>
      </c>
      <c r="F1589" s="41">
        <v>45797</v>
      </c>
      <c r="G1589" s="40">
        <v>685</v>
      </c>
      <c r="H1589" s="41">
        <v>22720</v>
      </c>
      <c r="I1589" s="41">
        <v>38.976170212765958</v>
      </c>
      <c r="J1589" s="41">
        <v>33.167883211678834</v>
      </c>
      <c r="K1589" s="42">
        <v>-0.14902149106442278</v>
      </c>
    </row>
    <row r="1590" spans="1:11" x14ac:dyDescent="0.25">
      <c r="A1590" s="24" t="s">
        <v>7</v>
      </c>
      <c r="B1590" s="24" t="s">
        <v>8399</v>
      </c>
      <c r="C1590" s="25" t="s">
        <v>8400</v>
      </c>
      <c r="D1590" s="24" t="s">
        <v>21824</v>
      </c>
      <c r="E1590" s="40">
        <v>7118</v>
      </c>
      <c r="F1590" s="41">
        <v>277778</v>
      </c>
      <c r="G1590" s="40">
        <v>4601</v>
      </c>
      <c r="H1590" s="41">
        <v>152120</v>
      </c>
      <c r="I1590" s="41">
        <v>39.024726046642314</v>
      </c>
      <c r="J1590" s="41">
        <v>33.062377743968703</v>
      </c>
      <c r="K1590" s="42">
        <v>-0.1527838605592623</v>
      </c>
    </row>
    <row r="1591" spans="1:11" x14ac:dyDescent="0.25">
      <c r="A1591" s="24" t="s">
        <v>7</v>
      </c>
      <c r="B1591" s="24" t="s">
        <v>8402</v>
      </c>
      <c r="C1591" s="25" t="s">
        <v>8403</v>
      </c>
      <c r="D1591" s="24" t="s">
        <v>21824</v>
      </c>
      <c r="E1591" s="40">
        <v>1628</v>
      </c>
      <c r="F1591" s="41">
        <v>27174</v>
      </c>
      <c r="G1591" s="40">
        <v>6853</v>
      </c>
      <c r="H1591" s="41">
        <v>100949</v>
      </c>
      <c r="I1591" s="41">
        <v>16.691646191646193</v>
      </c>
      <c r="J1591" s="41">
        <v>14.730628921640157</v>
      </c>
      <c r="K1591" s="42">
        <v>-0.11748495310111964</v>
      </c>
    </row>
    <row r="1592" spans="1:11" x14ac:dyDescent="0.25">
      <c r="A1592" s="24" t="s">
        <v>7</v>
      </c>
      <c r="B1592" s="24" t="s">
        <v>8405</v>
      </c>
      <c r="C1592" s="25" t="s">
        <v>8406</v>
      </c>
      <c r="D1592" s="24" t="s">
        <v>21824</v>
      </c>
      <c r="G1592" s="40">
        <v>8</v>
      </c>
      <c r="H1592" s="41">
        <v>7080</v>
      </c>
      <c r="J1592" s="41">
        <v>885</v>
      </c>
    </row>
    <row r="1593" spans="1:11" x14ac:dyDescent="0.25">
      <c r="A1593" s="24" t="s">
        <v>7</v>
      </c>
      <c r="B1593" s="24" t="s">
        <v>8408</v>
      </c>
      <c r="C1593" s="25" t="s">
        <v>8409</v>
      </c>
      <c r="D1593" s="24" t="s">
        <v>21824</v>
      </c>
      <c r="G1593" s="40">
        <v>1</v>
      </c>
      <c r="H1593" s="41">
        <v>1248</v>
      </c>
      <c r="J1593" s="41">
        <v>1248</v>
      </c>
    </row>
    <row r="1594" spans="1:11" x14ac:dyDescent="0.25">
      <c r="A1594" s="24" t="s">
        <v>7</v>
      </c>
      <c r="B1594" s="24" t="s">
        <v>8414</v>
      </c>
      <c r="C1594" s="25" t="s">
        <v>8415</v>
      </c>
      <c r="D1594" s="24" t="s">
        <v>21824</v>
      </c>
      <c r="G1594" s="40">
        <v>260</v>
      </c>
      <c r="H1594" s="41">
        <v>4420</v>
      </c>
      <c r="J1594" s="41">
        <v>17</v>
      </c>
    </row>
    <row r="1595" spans="1:11" x14ac:dyDescent="0.25">
      <c r="A1595" s="24" t="s">
        <v>7</v>
      </c>
      <c r="B1595" s="24" t="s">
        <v>8420</v>
      </c>
      <c r="C1595" s="25" t="s">
        <v>8421</v>
      </c>
      <c r="D1595" s="24" t="s">
        <v>21824</v>
      </c>
      <c r="G1595" s="40">
        <v>14</v>
      </c>
      <c r="H1595" s="41">
        <v>238</v>
      </c>
      <c r="J1595" s="41">
        <v>17</v>
      </c>
    </row>
    <row r="1596" spans="1:11" x14ac:dyDescent="0.25">
      <c r="A1596" s="24" t="s">
        <v>7</v>
      </c>
      <c r="B1596" s="24" t="s">
        <v>8423</v>
      </c>
      <c r="C1596" s="25" t="s">
        <v>8424</v>
      </c>
      <c r="D1596" s="24" t="s">
        <v>21824</v>
      </c>
      <c r="E1596" s="40">
        <v>24</v>
      </c>
      <c r="F1596" s="41">
        <v>512</v>
      </c>
      <c r="G1596" s="40">
        <v>88</v>
      </c>
      <c r="H1596" s="41">
        <v>1936</v>
      </c>
      <c r="I1596" s="41">
        <v>21.333333333333332</v>
      </c>
      <c r="J1596" s="41">
        <v>22</v>
      </c>
      <c r="K1596" s="42">
        <v>3.1250000000000056E-2</v>
      </c>
    </row>
    <row r="1597" spans="1:11" x14ac:dyDescent="0.25">
      <c r="A1597" s="24" t="s">
        <v>7</v>
      </c>
      <c r="B1597" s="24" t="s">
        <v>8426</v>
      </c>
      <c r="C1597" s="25" t="s">
        <v>8427</v>
      </c>
      <c r="D1597" s="24" t="s">
        <v>21824</v>
      </c>
      <c r="E1597" s="40">
        <v>50</v>
      </c>
      <c r="F1597" s="41">
        <v>832</v>
      </c>
      <c r="G1597" s="40">
        <v>115</v>
      </c>
      <c r="H1597" s="41">
        <v>1871</v>
      </c>
      <c r="I1597" s="41">
        <v>16.64</v>
      </c>
      <c r="J1597" s="41">
        <v>16.269565217391303</v>
      </c>
      <c r="K1597" s="42">
        <v>-2.2261705685618829E-2</v>
      </c>
    </row>
    <row r="1598" spans="1:11" x14ac:dyDescent="0.25">
      <c r="A1598" s="24" t="s">
        <v>7</v>
      </c>
      <c r="B1598" s="24" t="s">
        <v>8432</v>
      </c>
      <c r="C1598" s="25" t="s">
        <v>8433</v>
      </c>
      <c r="D1598" s="24" t="s">
        <v>21824</v>
      </c>
      <c r="E1598" s="40">
        <v>279</v>
      </c>
      <c r="F1598" s="41">
        <v>4602</v>
      </c>
      <c r="G1598" s="40">
        <v>317</v>
      </c>
      <c r="H1598" s="41">
        <v>5095</v>
      </c>
      <c r="I1598" s="41">
        <v>16.49462365591398</v>
      </c>
      <c r="J1598" s="41">
        <v>16.072555205047319</v>
      </c>
      <c r="K1598" s="42">
        <v>-2.558824376179886E-2</v>
      </c>
    </row>
    <row r="1599" spans="1:11" x14ac:dyDescent="0.25">
      <c r="A1599" s="24" t="s">
        <v>7</v>
      </c>
      <c r="B1599" s="24" t="s">
        <v>8435</v>
      </c>
      <c r="C1599" s="25" t="s">
        <v>8436</v>
      </c>
      <c r="D1599" s="24" t="s">
        <v>21824</v>
      </c>
      <c r="E1599" s="40">
        <v>225</v>
      </c>
      <c r="F1599" s="41">
        <v>3750</v>
      </c>
      <c r="G1599" s="40">
        <v>268</v>
      </c>
      <c r="H1599" s="41">
        <v>4186</v>
      </c>
      <c r="I1599" s="41">
        <v>16.666666666666668</v>
      </c>
      <c r="J1599" s="41">
        <v>15.619402985074627</v>
      </c>
      <c r="K1599" s="42">
        <v>-6.2835820895522435E-2</v>
      </c>
    </row>
    <row r="1600" spans="1:11" x14ac:dyDescent="0.25">
      <c r="A1600" s="24" t="s">
        <v>7</v>
      </c>
      <c r="B1600" s="24" t="s">
        <v>8438</v>
      </c>
      <c r="C1600" s="25" t="s">
        <v>8439</v>
      </c>
      <c r="D1600" s="24" t="s">
        <v>21824</v>
      </c>
      <c r="E1600" s="40">
        <v>20</v>
      </c>
      <c r="F1600" s="41">
        <v>286</v>
      </c>
      <c r="G1600" s="40">
        <v>56</v>
      </c>
      <c r="H1600" s="41">
        <v>840</v>
      </c>
      <c r="I1600" s="41">
        <v>14.3</v>
      </c>
      <c r="J1600" s="41">
        <v>15</v>
      </c>
      <c r="K1600" s="42">
        <v>4.8951048951048896E-2</v>
      </c>
    </row>
    <row r="1601" spans="1:11" x14ac:dyDescent="0.25">
      <c r="A1601" s="24" t="s">
        <v>7</v>
      </c>
      <c r="B1601" s="24" t="s">
        <v>8441</v>
      </c>
      <c r="C1601" s="25" t="s">
        <v>8442</v>
      </c>
      <c r="D1601" s="24" t="s">
        <v>21824</v>
      </c>
      <c r="E1601" s="40">
        <v>147</v>
      </c>
      <c r="F1601" s="41">
        <v>2470</v>
      </c>
      <c r="G1601" s="40">
        <v>261</v>
      </c>
      <c r="H1601" s="41">
        <v>4437</v>
      </c>
      <c r="I1601" s="41">
        <v>16.802721088435373</v>
      </c>
      <c r="J1601" s="41">
        <v>17</v>
      </c>
      <c r="K1601" s="42">
        <v>1.174089068825919E-2</v>
      </c>
    </row>
    <row r="1602" spans="1:11" x14ac:dyDescent="0.25">
      <c r="A1602" s="24" t="s">
        <v>7</v>
      </c>
      <c r="B1602" s="24" t="s">
        <v>8444</v>
      </c>
      <c r="C1602" s="25" t="s">
        <v>8445</v>
      </c>
      <c r="D1602" s="24" t="s">
        <v>21824</v>
      </c>
      <c r="E1602" s="40">
        <v>315</v>
      </c>
      <c r="F1602" s="41">
        <v>5258</v>
      </c>
      <c r="G1602" s="40">
        <v>838</v>
      </c>
      <c r="H1602" s="41">
        <v>13206</v>
      </c>
      <c r="I1602" s="41">
        <v>16.692063492063493</v>
      </c>
      <c r="J1602" s="41">
        <v>15.758949880668258</v>
      </c>
      <c r="K1602" s="42">
        <v>-5.5901633242582564E-2</v>
      </c>
    </row>
    <row r="1603" spans="1:11" x14ac:dyDescent="0.25">
      <c r="A1603" s="24" t="s">
        <v>7</v>
      </c>
      <c r="B1603" s="24" t="s">
        <v>8447</v>
      </c>
      <c r="C1603" s="25" t="s">
        <v>8448</v>
      </c>
      <c r="D1603" s="24" t="s">
        <v>21824</v>
      </c>
      <c r="E1603" s="40">
        <v>537</v>
      </c>
      <c r="F1603" s="41">
        <v>8915</v>
      </c>
      <c r="G1603" s="40">
        <v>799</v>
      </c>
      <c r="H1603" s="41">
        <v>10475</v>
      </c>
      <c r="I1603" s="41">
        <v>16.60148975791434</v>
      </c>
      <c r="J1603" s="41">
        <v>13.110137672090113</v>
      </c>
      <c r="K1603" s="42">
        <v>-0.21030354123248565</v>
      </c>
    </row>
    <row r="1604" spans="1:11" x14ac:dyDescent="0.25">
      <c r="A1604" s="24" t="s">
        <v>7</v>
      </c>
      <c r="B1604" s="24" t="s">
        <v>8450</v>
      </c>
      <c r="C1604" s="25" t="s">
        <v>8451</v>
      </c>
      <c r="D1604" s="24" t="s">
        <v>21824</v>
      </c>
      <c r="G1604" s="40">
        <v>34</v>
      </c>
      <c r="H1604" s="41">
        <v>578</v>
      </c>
      <c r="J1604" s="41">
        <v>17</v>
      </c>
    </row>
    <row r="1605" spans="1:11" x14ac:dyDescent="0.25">
      <c r="A1605" s="24" t="s">
        <v>7</v>
      </c>
      <c r="B1605" s="24" t="s">
        <v>8453</v>
      </c>
      <c r="C1605" s="25" t="s">
        <v>8454</v>
      </c>
      <c r="D1605" s="24" t="s">
        <v>21824</v>
      </c>
      <c r="E1605" s="40">
        <v>136</v>
      </c>
      <c r="F1605" s="41">
        <v>1944</v>
      </c>
      <c r="G1605" s="40">
        <v>297</v>
      </c>
      <c r="H1605" s="41">
        <v>4285</v>
      </c>
      <c r="I1605" s="41">
        <v>14.294117647058824</v>
      </c>
      <c r="J1605" s="41">
        <v>14.427609427609427</v>
      </c>
      <c r="K1605" s="42">
        <v>9.3389311496306672E-3</v>
      </c>
    </row>
    <row r="1606" spans="1:11" x14ac:dyDescent="0.25">
      <c r="A1606" s="24" t="s">
        <v>7</v>
      </c>
      <c r="B1606" s="24" t="s">
        <v>8456</v>
      </c>
      <c r="C1606" s="25" t="s">
        <v>8457</v>
      </c>
      <c r="D1606" s="24" t="s">
        <v>21824</v>
      </c>
      <c r="E1606" s="40">
        <v>1202</v>
      </c>
      <c r="F1606" s="41">
        <v>42090</v>
      </c>
      <c r="G1606" s="40">
        <v>1477</v>
      </c>
      <c r="H1606" s="41">
        <v>45760</v>
      </c>
      <c r="I1606" s="41">
        <v>35.016638935108155</v>
      </c>
      <c r="J1606" s="41">
        <v>30.98171970209885</v>
      </c>
      <c r="K1606" s="42">
        <v>-0.11522862718168649</v>
      </c>
    </row>
    <row r="1607" spans="1:11" x14ac:dyDescent="0.25">
      <c r="A1607" s="24" t="s">
        <v>7</v>
      </c>
      <c r="B1607" s="24" t="s">
        <v>8459</v>
      </c>
      <c r="C1607" s="25" t="s">
        <v>8460</v>
      </c>
      <c r="D1607" s="24" t="s">
        <v>21824</v>
      </c>
      <c r="E1607" s="40">
        <v>921</v>
      </c>
      <c r="F1607" s="41">
        <v>25050</v>
      </c>
      <c r="G1607" s="40">
        <v>744</v>
      </c>
      <c r="H1607" s="41">
        <v>17407</v>
      </c>
      <c r="I1607" s="41">
        <v>27.198697068403909</v>
      </c>
      <c r="J1607" s="41">
        <v>23.396505376344088</v>
      </c>
      <c r="K1607" s="42">
        <v>-0.13979315562423536</v>
      </c>
    </row>
    <row r="1608" spans="1:11" x14ac:dyDescent="0.25">
      <c r="A1608" s="24" t="s">
        <v>7</v>
      </c>
      <c r="B1608" s="24" t="s">
        <v>8462</v>
      </c>
      <c r="C1608" s="25" t="s">
        <v>8463</v>
      </c>
      <c r="D1608" s="24" t="s">
        <v>21824</v>
      </c>
      <c r="E1608" s="40">
        <v>89</v>
      </c>
      <c r="F1608" s="41">
        <v>2290</v>
      </c>
      <c r="G1608" s="40">
        <v>103</v>
      </c>
      <c r="H1608" s="41">
        <v>1910</v>
      </c>
      <c r="I1608" s="41">
        <v>25.730337078651687</v>
      </c>
      <c r="J1608" s="41">
        <v>18.543689320388349</v>
      </c>
      <c r="K1608" s="42">
        <v>-0.27930639759189391</v>
      </c>
    </row>
    <row r="1609" spans="1:11" x14ac:dyDescent="0.25">
      <c r="A1609" s="24" t="s">
        <v>7</v>
      </c>
      <c r="B1609" s="24" t="s">
        <v>8465</v>
      </c>
      <c r="C1609" s="25" t="s">
        <v>8466</v>
      </c>
      <c r="D1609" s="24" t="s">
        <v>21824</v>
      </c>
      <c r="G1609" s="40">
        <v>112</v>
      </c>
      <c r="H1609" s="41">
        <v>2800</v>
      </c>
      <c r="J1609" s="41">
        <v>25</v>
      </c>
    </row>
    <row r="1610" spans="1:11" x14ac:dyDescent="0.25">
      <c r="A1610" s="24" t="s">
        <v>7</v>
      </c>
      <c r="B1610" s="24" t="s">
        <v>8468</v>
      </c>
      <c r="C1610" s="25" t="s">
        <v>8469</v>
      </c>
      <c r="D1610" s="24" t="s">
        <v>21824</v>
      </c>
      <c r="G1610" s="40">
        <v>34</v>
      </c>
      <c r="H1610" s="41">
        <v>2448</v>
      </c>
      <c r="J1610" s="41">
        <v>72</v>
      </c>
    </row>
    <row r="1611" spans="1:11" x14ac:dyDescent="0.25">
      <c r="A1611" s="24" t="s">
        <v>7</v>
      </c>
      <c r="B1611" s="24" t="s">
        <v>8474</v>
      </c>
      <c r="C1611" s="25" t="s">
        <v>8475</v>
      </c>
      <c r="D1611" s="24" t="s">
        <v>21824</v>
      </c>
      <c r="E1611" s="40">
        <v>66</v>
      </c>
      <c r="F1611" s="41">
        <v>1141</v>
      </c>
      <c r="G1611" s="40">
        <v>55</v>
      </c>
      <c r="H1611" s="41">
        <v>934</v>
      </c>
      <c r="I1611" s="41">
        <v>17.287878787878789</v>
      </c>
      <c r="J1611" s="41">
        <v>16.981818181818181</v>
      </c>
      <c r="K1611" s="42">
        <v>-1.7703768624014155E-2</v>
      </c>
    </row>
    <row r="1612" spans="1:11" x14ac:dyDescent="0.25">
      <c r="A1612" s="24" t="s">
        <v>7</v>
      </c>
      <c r="B1612" s="24" t="s">
        <v>8477</v>
      </c>
      <c r="C1612" s="25" t="s">
        <v>8478</v>
      </c>
      <c r="D1612" s="24" t="s">
        <v>21824</v>
      </c>
      <c r="E1612" s="40">
        <v>1451</v>
      </c>
      <c r="F1612" s="41">
        <v>33820</v>
      </c>
      <c r="G1612" s="40">
        <v>2645</v>
      </c>
      <c r="H1612" s="41">
        <v>58706</v>
      </c>
      <c r="I1612" s="41">
        <v>23.308063404548587</v>
      </c>
      <c r="J1612" s="41">
        <v>22.195085066162569</v>
      </c>
      <c r="K1612" s="42">
        <v>-4.7750785600180722E-2</v>
      </c>
    </row>
    <row r="1613" spans="1:11" x14ac:dyDescent="0.25">
      <c r="A1613" s="24" t="s">
        <v>7</v>
      </c>
      <c r="B1613" s="24" t="s">
        <v>8480</v>
      </c>
      <c r="C1613" s="25" t="s">
        <v>8481</v>
      </c>
      <c r="D1613" s="24" t="s">
        <v>21824</v>
      </c>
      <c r="E1613" s="40">
        <v>1243</v>
      </c>
      <c r="F1613" s="41">
        <v>20788</v>
      </c>
      <c r="G1613" s="40">
        <v>1446</v>
      </c>
      <c r="H1613" s="41">
        <v>21280</v>
      </c>
      <c r="I1613" s="41">
        <v>16.724054706355592</v>
      </c>
      <c r="J1613" s="41">
        <v>14.716459197786998</v>
      </c>
      <c r="K1613" s="42">
        <v>-0.12004239066532432</v>
      </c>
    </row>
    <row r="1614" spans="1:11" x14ac:dyDescent="0.25">
      <c r="A1614" s="24" t="s">
        <v>7</v>
      </c>
      <c r="B1614" s="24" t="s">
        <v>8489</v>
      </c>
      <c r="C1614" s="25" t="s">
        <v>8490</v>
      </c>
      <c r="D1614" s="24" t="s">
        <v>21824</v>
      </c>
      <c r="E1614" s="40">
        <v>3162</v>
      </c>
      <c r="F1614" s="41">
        <v>59266</v>
      </c>
      <c r="G1614" s="40">
        <v>2810</v>
      </c>
      <c r="H1614" s="41">
        <v>41303</v>
      </c>
      <c r="I1614" s="41">
        <v>18.743200506008854</v>
      </c>
      <c r="J1614" s="41">
        <v>14.698576512455515</v>
      </c>
      <c r="K1614" s="42">
        <v>-0.21579153422899569</v>
      </c>
    </row>
    <row r="1615" spans="1:11" x14ac:dyDescent="0.25">
      <c r="A1615" s="24" t="s">
        <v>7</v>
      </c>
      <c r="B1615" s="24" t="s">
        <v>8492</v>
      </c>
      <c r="C1615" s="25" t="s">
        <v>8493</v>
      </c>
      <c r="D1615" s="24" t="s">
        <v>21824</v>
      </c>
      <c r="E1615" s="40">
        <v>11</v>
      </c>
      <c r="F1615" s="41">
        <v>715</v>
      </c>
      <c r="G1615" s="40">
        <v>0</v>
      </c>
      <c r="H1615" s="41">
        <v>0</v>
      </c>
      <c r="I1615" s="41">
        <v>65</v>
      </c>
    </row>
    <row r="1616" spans="1:11" x14ac:dyDescent="0.25">
      <c r="A1616" s="24" t="s">
        <v>7</v>
      </c>
      <c r="B1616" s="24" t="s">
        <v>8498</v>
      </c>
      <c r="C1616" s="25" t="s">
        <v>8499</v>
      </c>
      <c r="D1616" s="24" t="s">
        <v>21824</v>
      </c>
      <c r="E1616" s="40">
        <v>852</v>
      </c>
      <c r="F1616" s="41">
        <v>37323</v>
      </c>
      <c r="G1616" s="40">
        <v>1077</v>
      </c>
      <c r="H1616" s="41">
        <v>37328</v>
      </c>
      <c r="I1616" s="41">
        <v>43.806338028169016</v>
      </c>
      <c r="J1616" s="41">
        <v>34.659238625812442</v>
      </c>
      <c r="K1616" s="42">
        <v>-0.20880767062690031</v>
      </c>
    </row>
    <row r="1617" spans="1:11" x14ac:dyDescent="0.25">
      <c r="A1617" s="24" t="s">
        <v>7</v>
      </c>
      <c r="B1617" s="24" t="s">
        <v>8501</v>
      </c>
      <c r="C1617" s="25" t="s">
        <v>8502</v>
      </c>
      <c r="D1617" s="24" t="s">
        <v>21824</v>
      </c>
      <c r="E1617" s="40">
        <v>867</v>
      </c>
      <c r="F1617" s="41">
        <v>41734</v>
      </c>
      <c r="G1617" s="40">
        <v>777</v>
      </c>
      <c r="H1617" s="41">
        <v>33042</v>
      </c>
      <c r="I1617" s="41">
        <v>48.136101499423297</v>
      </c>
      <c r="J1617" s="41">
        <v>42.525096525096522</v>
      </c>
      <c r="K1617" s="42">
        <v>-0.11656542178418829</v>
      </c>
    </row>
    <row r="1618" spans="1:11" x14ac:dyDescent="0.25">
      <c r="A1618" s="24" t="s">
        <v>7</v>
      </c>
      <c r="B1618" s="24" t="s">
        <v>8513</v>
      </c>
      <c r="C1618" s="25" t="s">
        <v>8514</v>
      </c>
      <c r="D1618" s="24" t="s">
        <v>21824</v>
      </c>
      <c r="E1618" s="40">
        <v>154</v>
      </c>
      <c r="F1618" s="41">
        <v>4568</v>
      </c>
      <c r="G1618" s="40">
        <v>114</v>
      </c>
      <c r="H1618" s="41">
        <v>3420</v>
      </c>
      <c r="I1618" s="41">
        <v>29.662337662337663</v>
      </c>
      <c r="J1618" s="41">
        <v>30</v>
      </c>
      <c r="K1618" s="42">
        <v>1.1383537653239911E-2</v>
      </c>
    </row>
    <row r="1619" spans="1:11" x14ac:dyDescent="0.25">
      <c r="A1619" s="24" t="s">
        <v>7</v>
      </c>
      <c r="B1619" s="24" t="s">
        <v>8516</v>
      </c>
      <c r="C1619" s="25" t="s">
        <v>8517</v>
      </c>
      <c r="D1619" s="24" t="s">
        <v>21824</v>
      </c>
      <c r="G1619" s="40">
        <v>11</v>
      </c>
      <c r="H1619" s="41">
        <v>3091</v>
      </c>
      <c r="J1619" s="41">
        <v>281</v>
      </c>
    </row>
    <row r="1620" spans="1:11" x14ac:dyDescent="0.25">
      <c r="A1620" s="24" t="s">
        <v>7</v>
      </c>
      <c r="B1620" s="24" t="s">
        <v>8519</v>
      </c>
      <c r="C1620" s="25" t="s">
        <v>8520</v>
      </c>
      <c r="D1620" s="24" t="s">
        <v>21824</v>
      </c>
      <c r="G1620" s="40">
        <v>7</v>
      </c>
      <c r="H1620" s="41">
        <v>1855</v>
      </c>
      <c r="J1620" s="41">
        <v>265</v>
      </c>
    </row>
    <row r="1621" spans="1:11" x14ac:dyDescent="0.25">
      <c r="A1621" s="24" t="s">
        <v>7</v>
      </c>
      <c r="B1621" s="24" t="s">
        <v>8522</v>
      </c>
      <c r="C1621" s="25" t="s">
        <v>8523</v>
      </c>
      <c r="D1621" s="24" t="s">
        <v>21824</v>
      </c>
      <c r="E1621" s="40">
        <v>82</v>
      </c>
      <c r="F1621" s="41">
        <v>9779</v>
      </c>
      <c r="G1621" s="40">
        <v>45</v>
      </c>
      <c r="H1621" s="41">
        <v>4890</v>
      </c>
      <c r="I1621" s="41">
        <v>119.2560975609756</v>
      </c>
      <c r="J1621" s="41">
        <v>108.66666666666667</v>
      </c>
      <c r="K1621" s="42">
        <v>-8.8795718716978472E-2</v>
      </c>
    </row>
    <row r="1622" spans="1:11" x14ac:dyDescent="0.25">
      <c r="A1622" s="24" t="s">
        <v>7</v>
      </c>
      <c r="B1622" s="24" t="s">
        <v>8528</v>
      </c>
      <c r="C1622" s="25" t="s">
        <v>8529</v>
      </c>
      <c r="D1622" s="24" t="s">
        <v>21833</v>
      </c>
      <c r="G1622" s="40">
        <v>5</v>
      </c>
      <c r="H1622" s="41">
        <v>1425</v>
      </c>
      <c r="J1622" s="41">
        <v>285</v>
      </c>
    </row>
    <row r="1623" spans="1:11" x14ac:dyDescent="0.25">
      <c r="A1623" s="24" t="s">
        <v>7</v>
      </c>
      <c r="B1623" s="24" t="s">
        <v>8531</v>
      </c>
      <c r="C1623" s="25" t="s">
        <v>8532</v>
      </c>
      <c r="D1623" s="24" t="s">
        <v>21824</v>
      </c>
      <c r="E1623" s="40">
        <v>27</v>
      </c>
      <c r="F1623" s="41">
        <v>1053</v>
      </c>
      <c r="G1623" s="40">
        <v>2</v>
      </c>
      <c r="H1623" s="41">
        <v>78</v>
      </c>
      <c r="I1623" s="41">
        <v>39</v>
      </c>
      <c r="J1623" s="41">
        <v>39</v>
      </c>
      <c r="K1623" s="42">
        <v>0</v>
      </c>
    </row>
    <row r="1624" spans="1:11" x14ac:dyDescent="0.25">
      <c r="A1624" s="24" t="s">
        <v>7</v>
      </c>
      <c r="B1624" s="24" t="s">
        <v>8534</v>
      </c>
      <c r="C1624" s="25" t="s">
        <v>8535</v>
      </c>
      <c r="D1624" s="24" t="s">
        <v>21824</v>
      </c>
      <c r="E1624" s="40">
        <v>866</v>
      </c>
      <c r="F1624" s="41">
        <v>22882</v>
      </c>
      <c r="G1624" s="40">
        <v>1298</v>
      </c>
      <c r="H1624" s="41">
        <v>30396</v>
      </c>
      <c r="I1624" s="41">
        <v>26.422632794457275</v>
      </c>
      <c r="J1624" s="41">
        <v>23.417565485362097</v>
      </c>
      <c r="K1624" s="42">
        <v>-0.11373080542244665</v>
      </c>
    </row>
    <row r="1625" spans="1:11" x14ac:dyDescent="0.25">
      <c r="A1625" s="24" t="s">
        <v>7</v>
      </c>
      <c r="B1625" s="24" t="s">
        <v>8537</v>
      </c>
      <c r="C1625" s="25" t="s">
        <v>8538</v>
      </c>
      <c r="D1625" s="24" t="s">
        <v>21824</v>
      </c>
      <c r="E1625" s="40">
        <v>3490</v>
      </c>
      <c r="F1625" s="41">
        <v>103014</v>
      </c>
      <c r="G1625" s="40">
        <v>4489</v>
      </c>
      <c r="H1625" s="41">
        <v>105970</v>
      </c>
      <c r="I1625" s="41">
        <v>29.516905444126074</v>
      </c>
      <c r="J1625" s="41">
        <v>23.606593896190688</v>
      </c>
      <c r="K1625" s="42">
        <v>-0.20023479626356125</v>
      </c>
    </row>
    <row r="1626" spans="1:11" x14ac:dyDescent="0.25">
      <c r="A1626" s="24" t="s">
        <v>7</v>
      </c>
      <c r="B1626" s="24" t="s">
        <v>8540</v>
      </c>
      <c r="C1626" s="25" t="s">
        <v>8541</v>
      </c>
      <c r="D1626" s="24" t="s">
        <v>21824</v>
      </c>
      <c r="G1626" s="40">
        <v>24</v>
      </c>
      <c r="H1626" s="41">
        <v>1176</v>
      </c>
      <c r="J1626" s="41">
        <v>49</v>
      </c>
    </row>
    <row r="1627" spans="1:11" x14ac:dyDescent="0.25">
      <c r="A1627" s="24" t="s">
        <v>7</v>
      </c>
      <c r="B1627" s="24" t="s">
        <v>8543</v>
      </c>
      <c r="C1627" s="25" t="s">
        <v>8544</v>
      </c>
      <c r="D1627" s="24" t="s">
        <v>21824</v>
      </c>
      <c r="E1627" s="40">
        <v>409</v>
      </c>
      <c r="F1627" s="41">
        <v>117553</v>
      </c>
      <c r="G1627" s="40">
        <v>292</v>
      </c>
      <c r="H1627" s="41">
        <v>69204</v>
      </c>
      <c r="I1627" s="41">
        <v>287.41564792176041</v>
      </c>
      <c r="J1627" s="41">
        <v>237</v>
      </c>
      <c r="K1627" s="42">
        <v>-0.17541024048726964</v>
      </c>
    </row>
    <row r="1628" spans="1:11" x14ac:dyDescent="0.25">
      <c r="A1628" s="24" t="s">
        <v>7</v>
      </c>
      <c r="B1628" s="24" t="s">
        <v>8546</v>
      </c>
      <c r="C1628" s="25" t="s">
        <v>8547</v>
      </c>
      <c r="D1628" s="24" t="s">
        <v>21824</v>
      </c>
      <c r="E1628" s="40">
        <v>93</v>
      </c>
      <c r="F1628" s="41">
        <v>21450</v>
      </c>
      <c r="G1628" s="40">
        <v>82</v>
      </c>
      <c r="H1628" s="41">
        <v>16684</v>
      </c>
      <c r="I1628" s="41">
        <v>230.64516129032259</v>
      </c>
      <c r="J1628" s="41">
        <v>203.46341463414635</v>
      </c>
      <c r="K1628" s="42">
        <v>-0.11785092955824665</v>
      </c>
    </row>
    <row r="1629" spans="1:11" x14ac:dyDescent="0.25">
      <c r="A1629" s="24" t="s">
        <v>7</v>
      </c>
      <c r="B1629" s="24" t="s">
        <v>8549</v>
      </c>
      <c r="C1629" s="25" t="s">
        <v>8550</v>
      </c>
      <c r="D1629" s="24" t="s">
        <v>21824</v>
      </c>
      <c r="E1629" s="40">
        <v>611</v>
      </c>
      <c r="F1629" s="41">
        <v>178433</v>
      </c>
      <c r="G1629" s="40">
        <v>607</v>
      </c>
      <c r="H1629" s="41">
        <v>153704</v>
      </c>
      <c r="I1629" s="41">
        <v>292.0343698854337</v>
      </c>
      <c r="J1629" s="41">
        <v>253.21911037891269</v>
      </c>
      <c r="K1629" s="42">
        <v>-0.13291332633808961</v>
      </c>
    </row>
    <row r="1630" spans="1:11" x14ac:dyDescent="0.25">
      <c r="A1630" s="24" t="s">
        <v>7</v>
      </c>
      <c r="B1630" s="24" t="s">
        <v>8552</v>
      </c>
      <c r="C1630" s="25" t="s">
        <v>8553</v>
      </c>
      <c r="D1630" s="24" t="s">
        <v>21824</v>
      </c>
      <c r="E1630" s="40">
        <v>531</v>
      </c>
      <c r="F1630" s="41">
        <v>11040</v>
      </c>
      <c r="G1630" s="40">
        <v>513</v>
      </c>
      <c r="H1630" s="41">
        <v>9558</v>
      </c>
      <c r="I1630" s="41">
        <v>20.790960451977401</v>
      </c>
      <c r="J1630" s="41">
        <v>18.631578947368421</v>
      </c>
      <c r="K1630" s="42">
        <v>-0.10386155606407323</v>
      </c>
    </row>
    <row r="1631" spans="1:11" x14ac:dyDescent="0.25">
      <c r="A1631" s="24" t="s">
        <v>7</v>
      </c>
      <c r="B1631" s="24" t="s">
        <v>8555</v>
      </c>
      <c r="C1631" s="25" t="s">
        <v>8556</v>
      </c>
      <c r="D1631" s="24" t="s">
        <v>21824</v>
      </c>
      <c r="E1631" s="40">
        <v>2462</v>
      </c>
      <c r="F1631" s="41">
        <v>40801</v>
      </c>
      <c r="G1631" s="40">
        <v>2149</v>
      </c>
      <c r="H1631" s="41">
        <v>29253</v>
      </c>
      <c r="I1631" s="41">
        <v>16.57229894394801</v>
      </c>
      <c r="J1631" s="41">
        <v>13.612377850162867</v>
      </c>
      <c r="K1631" s="42">
        <v>-0.17860654721450508</v>
      </c>
    </row>
    <row r="1632" spans="1:11" x14ac:dyDescent="0.25">
      <c r="A1632" s="24" t="s">
        <v>7</v>
      </c>
      <c r="B1632" s="24" t="s">
        <v>8558</v>
      </c>
      <c r="C1632" s="25" t="s">
        <v>8559</v>
      </c>
      <c r="D1632" s="24" t="s">
        <v>21824</v>
      </c>
      <c r="E1632" s="40">
        <v>1880</v>
      </c>
      <c r="F1632" s="41">
        <v>31273</v>
      </c>
      <c r="G1632" s="40">
        <v>1877</v>
      </c>
      <c r="H1632" s="41">
        <v>28085</v>
      </c>
      <c r="I1632" s="41">
        <v>16.634574468085106</v>
      </c>
      <c r="J1632" s="41">
        <v>14.962706446457112</v>
      </c>
      <c r="K1632" s="42">
        <v>-0.10050560805361264</v>
      </c>
    </row>
    <row r="1633" spans="1:11" x14ac:dyDescent="0.25">
      <c r="A1633" s="24" t="s">
        <v>7</v>
      </c>
      <c r="B1633" s="24" t="s">
        <v>8561</v>
      </c>
      <c r="C1633" s="25" t="s">
        <v>8562</v>
      </c>
      <c r="D1633" s="24" t="s">
        <v>21824</v>
      </c>
      <c r="E1633" s="40">
        <v>2094</v>
      </c>
      <c r="F1633" s="41">
        <v>53140</v>
      </c>
      <c r="G1633" s="40">
        <v>2316</v>
      </c>
      <c r="H1633" s="41">
        <v>55134</v>
      </c>
      <c r="I1633" s="41">
        <v>25.377268385864376</v>
      </c>
      <c r="J1633" s="41">
        <v>23.805699481865286</v>
      </c>
      <c r="K1633" s="42">
        <v>-6.192821386853771E-2</v>
      </c>
    </row>
    <row r="1634" spans="1:11" x14ac:dyDescent="0.25">
      <c r="A1634" s="24" t="s">
        <v>7</v>
      </c>
      <c r="B1634" s="24" t="s">
        <v>8564</v>
      </c>
      <c r="C1634" s="25" t="s">
        <v>8565</v>
      </c>
      <c r="D1634" s="24" t="s">
        <v>21824</v>
      </c>
      <c r="E1634" s="40">
        <v>434</v>
      </c>
      <c r="F1634" s="41">
        <v>7231</v>
      </c>
      <c r="G1634" s="40">
        <v>507</v>
      </c>
      <c r="H1634" s="41">
        <v>7443</v>
      </c>
      <c r="I1634" s="41">
        <v>16.661290322580644</v>
      </c>
      <c r="J1634" s="41">
        <v>14.680473372781066</v>
      </c>
      <c r="K1634" s="42">
        <v>-0.1188873677517656</v>
      </c>
    </row>
    <row r="1635" spans="1:11" x14ac:dyDescent="0.25">
      <c r="A1635" s="24" t="s">
        <v>7</v>
      </c>
      <c r="B1635" s="24" t="s">
        <v>8567</v>
      </c>
      <c r="C1635" s="25" t="s">
        <v>8568</v>
      </c>
      <c r="D1635" s="24" t="s">
        <v>21824</v>
      </c>
      <c r="E1635" s="40">
        <v>575</v>
      </c>
      <c r="F1635" s="41">
        <v>9522</v>
      </c>
      <c r="G1635" s="40">
        <v>681</v>
      </c>
      <c r="H1635" s="41">
        <v>10689</v>
      </c>
      <c r="I1635" s="41">
        <v>16.559999999999999</v>
      </c>
      <c r="J1635" s="41">
        <v>15.696035242290749</v>
      </c>
      <c r="K1635" s="42">
        <v>-5.2171784885824239E-2</v>
      </c>
    </row>
    <row r="1636" spans="1:11" x14ac:dyDescent="0.25">
      <c r="A1636" s="24" t="s">
        <v>7</v>
      </c>
      <c r="B1636" s="24" t="s">
        <v>8570</v>
      </c>
      <c r="C1636" s="25" t="s">
        <v>8571</v>
      </c>
      <c r="D1636" s="24" t="s">
        <v>21824</v>
      </c>
      <c r="E1636" s="40">
        <v>1533</v>
      </c>
      <c r="F1636" s="41">
        <v>38994</v>
      </c>
      <c r="G1636" s="40">
        <v>1541</v>
      </c>
      <c r="H1636" s="41">
        <v>34720</v>
      </c>
      <c r="I1636" s="41">
        <v>25.436399217221133</v>
      </c>
      <c r="J1636" s="41">
        <v>22.530824140168722</v>
      </c>
      <c r="K1636" s="42">
        <v>-0.11422902480179892</v>
      </c>
    </row>
    <row r="1637" spans="1:11" x14ac:dyDescent="0.25">
      <c r="A1637" s="24" t="s">
        <v>7</v>
      </c>
      <c r="B1637" s="24" t="s">
        <v>8576</v>
      </c>
      <c r="C1637" s="25" t="s">
        <v>8577</v>
      </c>
      <c r="D1637" s="24" t="s">
        <v>21824</v>
      </c>
      <c r="E1637" s="40">
        <v>863</v>
      </c>
      <c r="F1637" s="41">
        <v>1810291</v>
      </c>
      <c r="G1637" s="40">
        <v>748</v>
      </c>
      <c r="H1637" s="41">
        <v>1375896</v>
      </c>
      <c r="I1637" s="41">
        <v>2097.6720741599074</v>
      </c>
      <c r="J1637" s="41">
        <v>1839.433155080214</v>
      </c>
      <c r="K1637" s="42">
        <v>-0.12310738282727773</v>
      </c>
    </row>
    <row r="1638" spans="1:11" x14ac:dyDescent="0.25">
      <c r="A1638" s="24" t="s">
        <v>7</v>
      </c>
      <c r="B1638" s="24" t="s">
        <v>8579</v>
      </c>
      <c r="C1638" s="25" t="s">
        <v>8580</v>
      </c>
      <c r="D1638" s="24" t="s">
        <v>21824</v>
      </c>
      <c r="E1638" s="40">
        <v>39</v>
      </c>
      <c r="F1638" s="41">
        <v>355</v>
      </c>
      <c r="G1638" s="40">
        <v>92</v>
      </c>
      <c r="H1638" s="41">
        <v>920</v>
      </c>
      <c r="I1638" s="41">
        <v>9.1025641025641022</v>
      </c>
      <c r="J1638" s="41">
        <v>10</v>
      </c>
      <c r="K1638" s="42">
        <v>9.8591549295774697E-2</v>
      </c>
    </row>
    <row r="1639" spans="1:11" x14ac:dyDescent="0.25">
      <c r="A1639" s="24" t="s">
        <v>7</v>
      </c>
      <c r="B1639" s="24" t="s">
        <v>8582</v>
      </c>
      <c r="C1639" s="25" t="s">
        <v>8583</v>
      </c>
      <c r="D1639" s="24" t="s">
        <v>21824</v>
      </c>
      <c r="E1639" s="40">
        <v>2</v>
      </c>
      <c r="F1639" s="41">
        <v>24</v>
      </c>
      <c r="G1639" s="40">
        <v>1</v>
      </c>
      <c r="H1639" s="41">
        <v>12</v>
      </c>
      <c r="I1639" s="41">
        <v>12</v>
      </c>
      <c r="J1639" s="41">
        <v>12</v>
      </c>
      <c r="K1639" s="42">
        <v>0</v>
      </c>
    </row>
    <row r="1640" spans="1:11" x14ac:dyDescent="0.25">
      <c r="A1640" s="24" t="s">
        <v>7</v>
      </c>
      <c r="B1640" s="24" t="s">
        <v>8585</v>
      </c>
      <c r="C1640" s="25" t="s">
        <v>8586</v>
      </c>
      <c r="D1640" s="24" t="s">
        <v>21824</v>
      </c>
      <c r="E1640" s="40">
        <v>1515</v>
      </c>
      <c r="F1640" s="41">
        <v>22280</v>
      </c>
      <c r="G1640" s="40">
        <v>1392</v>
      </c>
      <c r="H1640" s="41">
        <v>22256</v>
      </c>
      <c r="I1640" s="41">
        <v>14.706270627062706</v>
      </c>
      <c r="J1640" s="41">
        <v>15.988505747126437</v>
      </c>
      <c r="K1640" s="42">
        <v>8.7189686126416213E-2</v>
      </c>
    </row>
    <row r="1641" spans="1:11" x14ac:dyDescent="0.25">
      <c r="A1641" s="24" t="s">
        <v>7</v>
      </c>
      <c r="B1641" s="24" t="s">
        <v>8588</v>
      </c>
      <c r="C1641" s="25" t="s">
        <v>8589</v>
      </c>
      <c r="D1641" s="24" t="s">
        <v>21824</v>
      </c>
      <c r="E1641" s="40">
        <v>353</v>
      </c>
      <c r="F1641" s="41">
        <v>6233</v>
      </c>
      <c r="G1641" s="40">
        <v>281</v>
      </c>
      <c r="H1641" s="41">
        <v>4463</v>
      </c>
      <c r="I1641" s="41">
        <v>17.657223796033993</v>
      </c>
      <c r="J1641" s="41">
        <v>15.882562277580071</v>
      </c>
      <c r="K1641" s="42">
        <v>-0.10050625958835784</v>
      </c>
    </row>
    <row r="1642" spans="1:11" x14ac:dyDescent="0.25">
      <c r="A1642" s="24" t="s">
        <v>7</v>
      </c>
      <c r="B1642" s="24" t="s">
        <v>8591</v>
      </c>
      <c r="C1642" s="25" t="s">
        <v>8592</v>
      </c>
      <c r="D1642" s="24" t="s">
        <v>21824</v>
      </c>
      <c r="E1642" s="40">
        <v>1029</v>
      </c>
      <c r="F1642" s="41">
        <v>30230</v>
      </c>
      <c r="G1642" s="40">
        <v>1470</v>
      </c>
      <c r="H1642" s="41">
        <v>37720</v>
      </c>
      <c r="I1642" s="41">
        <v>29.378036929057338</v>
      </c>
      <c r="J1642" s="41">
        <v>25.65986394557823</v>
      </c>
      <c r="K1642" s="42">
        <v>-0.12656301687065832</v>
      </c>
    </row>
    <row r="1643" spans="1:11" x14ac:dyDescent="0.25">
      <c r="A1643" s="24" t="s">
        <v>7</v>
      </c>
      <c r="B1643" s="24" t="s">
        <v>8594</v>
      </c>
      <c r="C1643" s="25" t="s">
        <v>8595</v>
      </c>
      <c r="D1643" s="24" t="s">
        <v>21824</v>
      </c>
      <c r="E1643" s="40">
        <v>1504</v>
      </c>
      <c r="F1643" s="41">
        <v>61611</v>
      </c>
      <c r="G1643" s="40">
        <v>1500</v>
      </c>
      <c r="H1643" s="41">
        <v>55005</v>
      </c>
      <c r="I1643" s="41">
        <v>40.964760638297875</v>
      </c>
      <c r="J1643" s="41">
        <v>36.67</v>
      </c>
      <c r="K1643" s="42">
        <v>-0.10484036941455262</v>
      </c>
    </row>
    <row r="1644" spans="1:11" x14ac:dyDescent="0.25">
      <c r="A1644" s="24" t="s">
        <v>7</v>
      </c>
      <c r="B1644" s="24" t="s">
        <v>8597</v>
      </c>
      <c r="C1644" s="25" t="s">
        <v>8598</v>
      </c>
      <c r="D1644" s="24" t="s">
        <v>21824</v>
      </c>
      <c r="E1644" s="40">
        <v>3800</v>
      </c>
      <c r="F1644" s="41">
        <v>196052</v>
      </c>
      <c r="G1644" s="40">
        <v>4197</v>
      </c>
      <c r="H1644" s="41">
        <v>181777</v>
      </c>
      <c r="I1644" s="41">
        <v>51.592631578947369</v>
      </c>
      <c r="J1644" s="41">
        <v>43.311174648558492</v>
      </c>
      <c r="K1644" s="42">
        <v>-0.16051627290452397</v>
      </c>
    </row>
    <row r="1645" spans="1:11" x14ac:dyDescent="0.25">
      <c r="A1645" s="24" t="s">
        <v>7</v>
      </c>
      <c r="B1645" s="24" t="s">
        <v>8600</v>
      </c>
      <c r="C1645" s="25" t="s">
        <v>8601</v>
      </c>
      <c r="D1645" s="24" t="s">
        <v>21824</v>
      </c>
      <c r="E1645" s="40">
        <v>145</v>
      </c>
      <c r="F1645" s="41">
        <v>3420</v>
      </c>
      <c r="G1645" s="40">
        <v>79</v>
      </c>
      <c r="H1645" s="41">
        <v>1854</v>
      </c>
      <c r="I1645" s="41">
        <v>23.586206896551722</v>
      </c>
      <c r="J1645" s="41">
        <v>23.468354430379748</v>
      </c>
      <c r="K1645" s="42">
        <v>-4.9966688874082919E-3</v>
      </c>
    </row>
    <row r="1646" spans="1:11" x14ac:dyDescent="0.25">
      <c r="A1646" s="24" t="s">
        <v>7</v>
      </c>
      <c r="B1646" s="24" t="s">
        <v>8603</v>
      </c>
      <c r="C1646" s="25" t="s">
        <v>8604</v>
      </c>
      <c r="D1646" s="24" t="s">
        <v>21824</v>
      </c>
      <c r="E1646" s="40">
        <v>1</v>
      </c>
      <c r="F1646" s="41">
        <v>22</v>
      </c>
      <c r="G1646" s="40">
        <v>4</v>
      </c>
      <c r="H1646" s="41">
        <v>88</v>
      </c>
      <c r="I1646" s="41">
        <v>22</v>
      </c>
      <c r="J1646" s="41">
        <v>22</v>
      </c>
      <c r="K1646" s="42">
        <v>0</v>
      </c>
    </row>
    <row r="1647" spans="1:11" x14ac:dyDescent="0.25">
      <c r="A1647" s="24" t="s">
        <v>7</v>
      </c>
      <c r="B1647" s="24" t="s">
        <v>8606</v>
      </c>
      <c r="C1647" s="25" t="s">
        <v>8607</v>
      </c>
      <c r="D1647" s="24" t="s">
        <v>21824</v>
      </c>
      <c r="E1647" s="40">
        <v>9</v>
      </c>
      <c r="F1647" s="41">
        <v>105</v>
      </c>
      <c r="G1647" s="40">
        <v>44</v>
      </c>
      <c r="H1647" s="41">
        <v>488</v>
      </c>
      <c r="I1647" s="41">
        <v>11.666666666666666</v>
      </c>
      <c r="J1647" s="41">
        <v>11.090909090909092</v>
      </c>
      <c r="K1647" s="42">
        <v>-4.9350649350649235E-2</v>
      </c>
    </row>
    <row r="1648" spans="1:11" x14ac:dyDescent="0.25">
      <c r="A1648" s="24" t="s">
        <v>7</v>
      </c>
      <c r="B1648" s="24" t="s">
        <v>8612</v>
      </c>
      <c r="C1648" s="25" t="s">
        <v>8613</v>
      </c>
      <c r="D1648" s="24" t="s">
        <v>21823</v>
      </c>
      <c r="E1648" s="40">
        <v>326</v>
      </c>
      <c r="F1648" s="41">
        <v>5468</v>
      </c>
      <c r="G1648" s="40">
        <v>536</v>
      </c>
      <c r="H1648" s="41">
        <v>8292</v>
      </c>
      <c r="I1648" s="41">
        <v>16.773006134969325</v>
      </c>
      <c r="J1648" s="41">
        <v>15.470149253731343</v>
      </c>
      <c r="K1648" s="42">
        <v>-7.7675812597582716E-2</v>
      </c>
    </row>
    <row r="1649" spans="1:11" x14ac:dyDescent="0.25">
      <c r="A1649" s="24" t="s">
        <v>7</v>
      </c>
      <c r="B1649" s="24" t="s">
        <v>8621</v>
      </c>
      <c r="C1649" s="25" t="s">
        <v>8622</v>
      </c>
      <c r="D1649" s="24" t="s">
        <v>21823</v>
      </c>
      <c r="E1649" s="40">
        <v>115</v>
      </c>
      <c r="F1649" s="41">
        <v>1911</v>
      </c>
      <c r="G1649" s="40">
        <v>133</v>
      </c>
      <c r="H1649" s="41">
        <v>1933</v>
      </c>
      <c r="I1649" s="41">
        <v>16.617391304347827</v>
      </c>
      <c r="J1649" s="41">
        <v>14.533834586466165</v>
      </c>
      <c r="K1649" s="42">
        <v>-0.12538410390182683</v>
      </c>
    </row>
    <row r="1650" spans="1:11" x14ac:dyDescent="0.25">
      <c r="A1650" s="24" t="s">
        <v>7</v>
      </c>
      <c r="B1650" s="24" t="s">
        <v>8624</v>
      </c>
      <c r="C1650" s="25" t="s">
        <v>8625</v>
      </c>
      <c r="D1650" s="24" t="s">
        <v>21824</v>
      </c>
      <c r="E1650" s="40">
        <v>2804</v>
      </c>
      <c r="F1650" s="41">
        <v>159532</v>
      </c>
      <c r="G1650" s="40">
        <v>3056</v>
      </c>
      <c r="H1650" s="41">
        <v>147064</v>
      </c>
      <c r="I1650" s="41">
        <v>56.8944365192582</v>
      </c>
      <c r="J1650" s="41">
        <v>48.123036649214662</v>
      </c>
      <c r="K1650" s="42">
        <v>-0.15416972918036559</v>
      </c>
    </row>
    <row r="1651" spans="1:11" x14ac:dyDescent="0.25">
      <c r="A1651" s="24" t="s">
        <v>7</v>
      </c>
      <c r="B1651" s="24" t="s">
        <v>8627</v>
      </c>
      <c r="C1651" s="25" t="s">
        <v>8628</v>
      </c>
      <c r="D1651" s="24" t="s">
        <v>21824</v>
      </c>
      <c r="E1651" s="40">
        <v>45</v>
      </c>
      <c r="F1651" s="41">
        <v>765</v>
      </c>
      <c r="G1651" s="40">
        <v>38</v>
      </c>
      <c r="H1651" s="41">
        <v>646</v>
      </c>
      <c r="I1651" s="41">
        <v>17</v>
      </c>
      <c r="J1651" s="41">
        <v>17</v>
      </c>
      <c r="K1651" s="42">
        <v>0</v>
      </c>
    </row>
    <row r="1652" spans="1:11" x14ac:dyDescent="0.25">
      <c r="A1652" s="24" t="s">
        <v>7</v>
      </c>
      <c r="B1652" s="24" t="s">
        <v>8630</v>
      </c>
      <c r="C1652" s="25" t="s">
        <v>8631</v>
      </c>
      <c r="D1652" s="24" t="s">
        <v>21824</v>
      </c>
      <c r="E1652" s="40">
        <v>3253</v>
      </c>
      <c r="F1652" s="41">
        <v>95564</v>
      </c>
      <c r="G1652" s="40">
        <v>3343</v>
      </c>
      <c r="H1652" s="41">
        <v>77989</v>
      </c>
      <c r="I1652" s="41">
        <v>29.377190285889949</v>
      </c>
      <c r="J1652" s="41">
        <v>23.329045767274902</v>
      </c>
      <c r="K1652" s="42">
        <v>-0.20587893054973364</v>
      </c>
    </row>
    <row r="1653" spans="1:11" x14ac:dyDescent="0.25">
      <c r="A1653" s="24" t="s">
        <v>7</v>
      </c>
      <c r="B1653" s="24" t="s">
        <v>8633</v>
      </c>
      <c r="C1653" s="25" t="s">
        <v>8634</v>
      </c>
      <c r="D1653" s="24" t="s">
        <v>21824</v>
      </c>
      <c r="E1653" s="40">
        <v>1029</v>
      </c>
      <c r="F1653" s="41">
        <v>15194</v>
      </c>
      <c r="G1653" s="40">
        <v>519</v>
      </c>
      <c r="H1653" s="41">
        <v>7295</v>
      </c>
      <c r="I1653" s="41">
        <v>14.765792031098153</v>
      </c>
      <c r="J1653" s="41">
        <v>14.055876685934489</v>
      </c>
      <c r="K1653" s="42">
        <v>-4.8078378976794116E-2</v>
      </c>
    </row>
    <row r="1654" spans="1:11" x14ac:dyDescent="0.25">
      <c r="A1654" s="24" t="s">
        <v>7</v>
      </c>
      <c r="B1654" s="24" t="s">
        <v>8636</v>
      </c>
      <c r="C1654" s="25" t="s">
        <v>8637</v>
      </c>
      <c r="D1654" s="24" t="s">
        <v>21824</v>
      </c>
      <c r="E1654" s="40">
        <v>2692</v>
      </c>
      <c r="F1654" s="41">
        <v>57230</v>
      </c>
      <c r="G1654" s="40">
        <v>2664</v>
      </c>
      <c r="H1654" s="41">
        <v>49452</v>
      </c>
      <c r="I1654" s="41">
        <v>21.259286775631502</v>
      </c>
      <c r="J1654" s="41">
        <v>18.563063063063062</v>
      </c>
      <c r="K1654" s="42">
        <v>-0.12682568992196819</v>
      </c>
    </row>
    <row r="1655" spans="1:11" x14ac:dyDescent="0.25">
      <c r="A1655" s="24" t="s">
        <v>7</v>
      </c>
      <c r="B1655" s="24" t="s">
        <v>8639</v>
      </c>
      <c r="C1655" s="25" t="s">
        <v>8640</v>
      </c>
      <c r="D1655" s="24" t="s">
        <v>21824</v>
      </c>
      <c r="E1655" s="40">
        <v>4332</v>
      </c>
      <c r="F1655" s="41">
        <v>151758</v>
      </c>
      <c r="G1655" s="40">
        <v>5413</v>
      </c>
      <c r="H1655" s="41">
        <v>160918</v>
      </c>
      <c r="I1655" s="41">
        <v>35.031855955678672</v>
      </c>
      <c r="J1655" s="41">
        <v>29.728062072787733</v>
      </c>
      <c r="K1655" s="42">
        <v>-0.1513991690763159</v>
      </c>
    </row>
    <row r="1656" spans="1:11" x14ac:dyDescent="0.25">
      <c r="A1656" s="24" t="s">
        <v>7</v>
      </c>
      <c r="B1656" s="24" t="s">
        <v>8642</v>
      </c>
      <c r="C1656" s="25" t="s">
        <v>8643</v>
      </c>
      <c r="D1656" s="24" t="s">
        <v>21824</v>
      </c>
      <c r="E1656" s="40">
        <v>2308</v>
      </c>
      <c r="F1656" s="41">
        <v>80793</v>
      </c>
      <c r="G1656" s="40">
        <v>2416</v>
      </c>
      <c r="H1656" s="41">
        <v>73743</v>
      </c>
      <c r="I1656" s="41">
        <v>35.005632582322356</v>
      </c>
      <c r="J1656" s="41">
        <v>30.522764900662253</v>
      </c>
      <c r="K1656" s="42">
        <v>-0.12806132473446361</v>
      </c>
    </row>
    <row r="1657" spans="1:11" x14ac:dyDescent="0.25">
      <c r="A1657" s="24" t="s">
        <v>7</v>
      </c>
      <c r="B1657" s="24" t="s">
        <v>8645</v>
      </c>
      <c r="C1657" s="25" t="s">
        <v>8646</v>
      </c>
      <c r="D1657" s="24" t="s">
        <v>21824</v>
      </c>
      <c r="E1657" s="40">
        <v>79</v>
      </c>
      <c r="F1657" s="41">
        <v>3365</v>
      </c>
      <c r="G1657" s="40">
        <v>6</v>
      </c>
      <c r="H1657" s="41">
        <v>230</v>
      </c>
      <c r="I1657" s="41">
        <v>42.594936708860757</v>
      </c>
      <c r="J1657" s="41">
        <v>38.333333333333336</v>
      </c>
      <c r="K1657" s="42">
        <v>-0.10004952947003456</v>
      </c>
    </row>
    <row r="1658" spans="1:11" x14ac:dyDescent="0.25">
      <c r="A1658" s="24" t="s">
        <v>7</v>
      </c>
      <c r="B1658" s="24" t="s">
        <v>8648</v>
      </c>
      <c r="C1658" s="25" t="s">
        <v>8649</v>
      </c>
      <c r="D1658" s="24" t="s">
        <v>21824</v>
      </c>
      <c r="E1658" s="40">
        <v>1222</v>
      </c>
      <c r="F1658" s="41">
        <v>52925</v>
      </c>
      <c r="G1658" s="40">
        <v>2258</v>
      </c>
      <c r="H1658" s="41">
        <v>88234</v>
      </c>
      <c r="I1658" s="41">
        <v>43.310147299509005</v>
      </c>
      <c r="J1658" s="41">
        <v>39.07617360496014</v>
      </c>
      <c r="K1658" s="42">
        <v>-9.7759392626144789E-2</v>
      </c>
    </row>
    <row r="1659" spans="1:11" x14ac:dyDescent="0.25">
      <c r="A1659" s="24" t="s">
        <v>7</v>
      </c>
      <c r="B1659" s="24" t="s">
        <v>8651</v>
      </c>
      <c r="C1659" s="25" t="s">
        <v>8652</v>
      </c>
      <c r="D1659" s="24" t="s">
        <v>21824</v>
      </c>
      <c r="E1659" s="40">
        <v>54</v>
      </c>
      <c r="F1659" s="41">
        <v>12060</v>
      </c>
      <c r="G1659" s="40">
        <v>30</v>
      </c>
      <c r="H1659" s="41">
        <v>6420</v>
      </c>
      <c r="I1659" s="41">
        <v>223.33333333333334</v>
      </c>
      <c r="J1659" s="41">
        <v>214</v>
      </c>
      <c r="K1659" s="42">
        <v>-4.1791044776119446E-2</v>
      </c>
    </row>
    <row r="1660" spans="1:11" x14ac:dyDescent="0.25">
      <c r="A1660" s="24" t="s">
        <v>7</v>
      </c>
      <c r="B1660" s="24" t="s">
        <v>8654</v>
      </c>
      <c r="C1660" s="25" t="s">
        <v>8655</v>
      </c>
      <c r="D1660" s="24" t="s">
        <v>21824</v>
      </c>
      <c r="G1660" s="40">
        <v>36</v>
      </c>
      <c r="H1660" s="41">
        <v>1072</v>
      </c>
      <c r="J1660" s="41">
        <v>29.777777777777779</v>
      </c>
    </row>
    <row r="1661" spans="1:11" x14ac:dyDescent="0.25">
      <c r="A1661" s="24" t="s">
        <v>7</v>
      </c>
      <c r="B1661" s="24" t="s">
        <v>8657</v>
      </c>
      <c r="C1661" s="25" t="s">
        <v>8658</v>
      </c>
      <c r="D1661" s="24" t="s">
        <v>21824</v>
      </c>
      <c r="E1661" s="40">
        <v>51</v>
      </c>
      <c r="F1661" s="41">
        <v>17171</v>
      </c>
      <c r="G1661" s="40">
        <v>77</v>
      </c>
      <c r="H1661" s="41">
        <v>6181</v>
      </c>
      <c r="I1661" s="41">
        <v>336.68627450980392</v>
      </c>
      <c r="J1661" s="41">
        <v>80.272727272727266</v>
      </c>
      <c r="K1661" s="42">
        <v>-0.76158004246059696</v>
      </c>
    </row>
    <row r="1662" spans="1:11" x14ac:dyDescent="0.25">
      <c r="A1662" s="24" t="s">
        <v>7</v>
      </c>
      <c r="B1662" s="24" t="s">
        <v>8660</v>
      </c>
      <c r="C1662" s="25" t="s">
        <v>8661</v>
      </c>
      <c r="D1662" s="24" t="s">
        <v>21823</v>
      </c>
      <c r="E1662" s="40">
        <v>147</v>
      </c>
      <c r="F1662" s="41">
        <v>1720</v>
      </c>
      <c r="G1662" s="40">
        <v>175</v>
      </c>
      <c r="H1662" s="41">
        <v>1880</v>
      </c>
      <c r="I1662" s="41">
        <v>11.700680272108844</v>
      </c>
      <c r="J1662" s="41">
        <v>10.742857142857142</v>
      </c>
      <c r="K1662" s="42">
        <v>-8.1860465116279188E-2</v>
      </c>
    </row>
    <row r="1663" spans="1:11" x14ac:dyDescent="0.25">
      <c r="A1663" s="24" t="s">
        <v>7</v>
      </c>
      <c r="B1663" s="24" t="s">
        <v>8663</v>
      </c>
      <c r="C1663" s="25" t="s">
        <v>8664</v>
      </c>
      <c r="D1663" s="24" t="s">
        <v>21823</v>
      </c>
      <c r="E1663" s="40">
        <v>128</v>
      </c>
      <c r="F1663" s="41">
        <v>1385</v>
      </c>
      <c r="G1663" s="40">
        <v>177</v>
      </c>
      <c r="H1663" s="41">
        <v>1947</v>
      </c>
      <c r="I1663" s="41">
        <v>10.8203125</v>
      </c>
      <c r="J1663" s="41">
        <v>11</v>
      </c>
      <c r="K1663" s="42">
        <v>1.6606498194945848E-2</v>
      </c>
    </row>
    <row r="1664" spans="1:11" x14ac:dyDescent="0.25">
      <c r="A1664" s="24" t="s">
        <v>7</v>
      </c>
      <c r="B1664" s="24" t="s">
        <v>8666</v>
      </c>
      <c r="C1664" s="25" t="s">
        <v>8667</v>
      </c>
      <c r="D1664" s="24" t="s">
        <v>21823</v>
      </c>
      <c r="E1664" s="40">
        <v>9067</v>
      </c>
      <c r="F1664" s="41">
        <v>87929</v>
      </c>
      <c r="G1664" s="40">
        <v>12002</v>
      </c>
      <c r="H1664" s="41">
        <v>100967</v>
      </c>
      <c r="I1664" s="41">
        <v>9.6976949376861139</v>
      </c>
      <c r="J1664" s="41">
        <v>8.4125145809031832</v>
      </c>
      <c r="K1664" s="42">
        <v>-0.1325243127404023</v>
      </c>
    </row>
    <row r="1665" spans="1:11" x14ac:dyDescent="0.25">
      <c r="A1665" s="24" t="s">
        <v>7</v>
      </c>
      <c r="B1665" s="24" t="s">
        <v>8669</v>
      </c>
      <c r="C1665" s="25" t="s">
        <v>8670</v>
      </c>
      <c r="D1665" s="24" t="s">
        <v>21823</v>
      </c>
      <c r="G1665" s="40">
        <v>276</v>
      </c>
      <c r="H1665" s="41">
        <v>4692</v>
      </c>
      <c r="J1665" s="41">
        <v>17</v>
      </c>
    </row>
    <row r="1666" spans="1:11" x14ac:dyDescent="0.25">
      <c r="A1666" s="24" t="s">
        <v>7</v>
      </c>
      <c r="B1666" s="24" t="s">
        <v>8675</v>
      </c>
      <c r="C1666" s="25" t="s">
        <v>8676</v>
      </c>
      <c r="D1666" s="24" t="s">
        <v>21824</v>
      </c>
      <c r="E1666" s="40">
        <v>217</v>
      </c>
      <c r="F1666" s="41">
        <v>3647</v>
      </c>
      <c r="G1666" s="40">
        <v>150</v>
      </c>
      <c r="H1666" s="41">
        <v>2290</v>
      </c>
      <c r="I1666" s="41">
        <v>16.806451612903224</v>
      </c>
      <c r="J1666" s="41">
        <v>15.266666666666667</v>
      </c>
      <c r="K1666" s="42">
        <v>-9.1618682021752898E-2</v>
      </c>
    </row>
    <row r="1667" spans="1:11" x14ac:dyDescent="0.25">
      <c r="A1667" s="24" t="s">
        <v>7</v>
      </c>
      <c r="B1667" s="24" t="s">
        <v>8678</v>
      </c>
      <c r="C1667" s="25" t="s">
        <v>8679</v>
      </c>
      <c r="D1667" s="24" t="s">
        <v>21824</v>
      </c>
      <c r="E1667" s="40">
        <v>1568</v>
      </c>
      <c r="F1667" s="41">
        <v>38118</v>
      </c>
      <c r="G1667" s="40">
        <v>1471</v>
      </c>
      <c r="H1667" s="41">
        <v>32129</v>
      </c>
      <c r="I1667" s="41">
        <v>24.309948979591837</v>
      </c>
      <c r="J1667" s="41">
        <v>21.841604350781783</v>
      </c>
      <c r="K1667" s="42">
        <v>-0.10153639692465936</v>
      </c>
    </row>
    <row r="1668" spans="1:11" x14ac:dyDescent="0.25">
      <c r="A1668" s="24" t="s">
        <v>7</v>
      </c>
      <c r="B1668" s="24" t="s">
        <v>8681</v>
      </c>
      <c r="C1668" s="25" t="s">
        <v>8682</v>
      </c>
      <c r="D1668" s="24" t="s">
        <v>21824</v>
      </c>
      <c r="G1668" s="40">
        <v>5</v>
      </c>
      <c r="H1668" s="41">
        <v>85</v>
      </c>
      <c r="J1668" s="41">
        <v>17</v>
      </c>
    </row>
    <row r="1669" spans="1:11" x14ac:dyDescent="0.25">
      <c r="A1669" s="24" t="s">
        <v>7</v>
      </c>
      <c r="B1669" s="24" t="s">
        <v>8687</v>
      </c>
      <c r="C1669" s="25" t="s">
        <v>8688</v>
      </c>
      <c r="D1669" s="24" t="s">
        <v>21824</v>
      </c>
      <c r="E1669" s="40">
        <v>65</v>
      </c>
      <c r="F1669" s="41">
        <v>1768</v>
      </c>
      <c r="G1669" s="40">
        <v>34</v>
      </c>
      <c r="H1669" s="41">
        <v>926</v>
      </c>
      <c r="I1669" s="41">
        <v>27.2</v>
      </c>
      <c r="J1669" s="41">
        <v>27.235294117647058</v>
      </c>
      <c r="K1669" s="42">
        <v>1.2975778546712757E-3</v>
      </c>
    </row>
    <row r="1670" spans="1:11" x14ac:dyDescent="0.25">
      <c r="A1670" s="24" t="s">
        <v>7</v>
      </c>
      <c r="B1670" s="24" t="s">
        <v>8690</v>
      </c>
      <c r="C1670" s="25" t="s">
        <v>8691</v>
      </c>
      <c r="D1670" s="24" t="s">
        <v>21824</v>
      </c>
      <c r="G1670" s="40">
        <v>60</v>
      </c>
      <c r="H1670" s="41">
        <v>1064</v>
      </c>
      <c r="J1670" s="41">
        <v>17.733333333333334</v>
      </c>
    </row>
    <row r="1671" spans="1:11" x14ac:dyDescent="0.25">
      <c r="A1671" s="24" t="s">
        <v>7</v>
      </c>
      <c r="B1671" s="24" t="s">
        <v>8693</v>
      </c>
      <c r="C1671" s="25" t="s">
        <v>8694</v>
      </c>
      <c r="D1671" s="24" t="s">
        <v>21824</v>
      </c>
      <c r="E1671" s="40">
        <v>839</v>
      </c>
      <c r="F1671" s="41">
        <v>17946</v>
      </c>
      <c r="G1671" s="40">
        <v>1003</v>
      </c>
      <c r="H1671" s="41">
        <v>19466</v>
      </c>
      <c r="I1671" s="41">
        <v>21.389749702026222</v>
      </c>
      <c r="J1671" s="41">
        <v>19.407776669990032</v>
      </c>
      <c r="K1671" s="42">
        <v>-9.2659945050616505E-2</v>
      </c>
    </row>
    <row r="1672" spans="1:11" x14ac:dyDescent="0.25">
      <c r="A1672" s="24" t="s">
        <v>7</v>
      </c>
      <c r="B1672" s="24" t="s">
        <v>8696</v>
      </c>
      <c r="C1672" s="25" t="s">
        <v>8697</v>
      </c>
      <c r="D1672" s="24" t="s">
        <v>21824</v>
      </c>
      <c r="E1672" s="40">
        <v>154</v>
      </c>
      <c r="F1672" s="41">
        <v>1766</v>
      </c>
      <c r="G1672" s="40">
        <v>169</v>
      </c>
      <c r="H1672" s="41">
        <v>1863</v>
      </c>
      <c r="I1672" s="41">
        <v>11.467532467532468</v>
      </c>
      <c r="J1672" s="41">
        <v>11.023668639053254</v>
      </c>
      <c r="K1672" s="42">
        <v>-3.8706132268289367E-2</v>
      </c>
    </row>
    <row r="1673" spans="1:11" x14ac:dyDescent="0.25">
      <c r="A1673" s="24" t="s">
        <v>7</v>
      </c>
      <c r="B1673" s="24" t="s">
        <v>8699</v>
      </c>
      <c r="C1673" s="25" t="s">
        <v>8700</v>
      </c>
      <c r="D1673" s="24" t="s">
        <v>21824</v>
      </c>
      <c r="E1673" s="40">
        <v>1899</v>
      </c>
      <c r="F1673" s="41">
        <v>28012</v>
      </c>
      <c r="G1673" s="40">
        <v>1924</v>
      </c>
      <c r="H1673" s="41">
        <v>24562</v>
      </c>
      <c r="I1673" s="41">
        <v>14.750921537651395</v>
      </c>
      <c r="J1673" s="41">
        <v>12.766112266112266</v>
      </c>
      <c r="K1673" s="42">
        <v>-0.13455493383738421</v>
      </c>
    </row>
    <row r="1674" spans="1:11" x14ac:dyDescent="0.25">
      <c r="A1674" s="24" t="s">
        <v>7</v>
      </c>
      <c r="B1674" s="24" t="s">
        <v>8702</v>
      </c>
      <c r="C1674" s="25" t="s">
        <v>8703</v>
      </c>
      <c r="D1674" s="24" t="s">
        <v>21824</v>
      </c>
      <c r="E1674" s="40">
        <v>1182</v>
      </c>
      <c r="F1674" s="41">
        <v>11370</v>
      </c>
      <c r="G1674" s="40">
        <v>1069</v>
      </c>
      <c r="H1674" s="41">
        <v>8818</v>
      </c>
      <c r="I1674" s="41">
        <v>9.6192893401015223</v>
      </c>
      <c r="J1674" s="41">
        <v>8.2488306828811968</v>
      </c>
      <c r="K1674" s="42">
        <v>-0.14246984457646655</v>
      </c>
    </row>
    <row r="1675" spans="1:11" x14ac:dyDescent="0.25">
      <c r="A1675" s="24" t="s">
        <v>7</v>
      </c>
      <c r="B1675" s="24" t="s">
        <v>8705</v>
      </c>
      <c r="C1675" s="25" t="s">
        <v>8706</v>
      </c>
      <c r="D1675" s="24" t="s">
        <v>21824</v>
      </c>
      <c r="E1675" s="40">
        <v>160</v>
      </c>
      <c r="F1675" s="41">
        <v>6449</v>
      </c>
      <c r="G1675" s="40">
        <v>207</v>
      </c>
      <c r="H1675" s="41">
        <v>7707</v>
      </c>
      <c r="I1675" s="41">
        <v>40.306249999999999</v>
      </c>
      <c r="J1675" s="41">
        <v>37.231884057971016</v>
      </c>
      <c r="K1675" s="42">
        <v>-7.6275166804874756E-2</v>
      </c>
    </row>
    <row r="1676" spans="1:11" x14ac:dyDescent="0.25">
      <c r="A1676" s="24" t="s">
        <v>7</v>
      </c>
      <c r="B1676" s="24" t="s">
        <v>8708</v>
      </c>
      <c r="C1676" s="25" t="s">
        <v>8709</v>
      </c>
      <c r="D1676" s="24" t="s">
        <v>21824</v>
      </c>
      <c r="E1676" s="40">
        <v>2229</v>
      </c>
      <c r="F1676" s="41">
        <v>67715</v>
      </c>
      <c r="G1676" s="40">
        <v>1761</v>
      </c>
      <c r="H1676" s="41">
        <v>45351</v>
      </c>
      <c r="I1676" s="41">
        <v>30.379093764019739</v>
      </c>
      <c r="J1676" s="41">
        <v>25.75298126064736</v>
      </c>
      <c r="K1676" s="42">
        <v>-0.15227947677792267</v>
      </c>
    </row>
    <row r="1677" spans="1:11" x14ac:dyDescent="0.25">
      <c r="A1677" s="24" t="s">
        <v>7</v>
      </c>
      <c r="B1677" s="24" t="s">
        <v>8711</v>
      </c>
      <c r="C1677" s="25" t="s">
        <v>8712</v>
      </c>
      <c r="D1677" s="24" t="s">
        <v>21824</v>
      </c>
      <c r="E1677" s="40">
        <v>1235</v>
      </c>
      <c r="F1677" s="41">
        <v>58859</v>
      </c>
      <c r="G1677" s="40">
        <v>1680</v>
      </c>
      <c r="H1677" s="41">
        <v>70176</v>
      </c>
      <c r="I1677" s="41">
        <v>47.659109311740892</v>
      </c>
      <c r="J1677" s="41">
        <v>41.771428571428572</v>
      </c>
      <c r="K1677" s="42">
        <v>-0.12353736411229743</v>
      </c>
    </row>
    <row r="1678" spans="1:11" x14ac:dyDescent="0.25">
      <c r="A1678" s="24" t="s">
        <v>7</v>
      </c>
      <c r="B1678" s="24" t="s">
        <v>8714</v>
      </c>
      <c r="C1678" s="25" t="s">
        <v>8715</v>
      </c>
      <c r="D1678" s="24" t="s">
        <v>21833</v>
      </c>
      <c r="G1678" s="40">
        <v>9</v>
      </c>
      <c r="H1678" s="41">
        <v>135</v>
      </c>
      <c r="J1678" s="41">
        <v>15</v>
      </c>
    </row>
    <row r="1679" spans="1:11" x14ac:dyDescent="0.25">
      <c r="A1679" s="24" t="s">
        <v>7</v>
      </c>
      <c r="B1679" s="24" t="s">
        <v>8717</v>
      </c>
      <c r="C1679" s="25" t="s">
        <v>8718</v>
      </c>
      <c r="D1679" s="24" t="s">
        <v>21824</v>
      </c>
      <c r="G1679" s="40">
        <v>182</v>
      </c>
      <c r="H1679" s="41">
        <v>4902</v>
      </c>
      <c r="J1679" s="41">
        <v>26.934065934065934</v>
      </c>
    </row>
    <row r="1680" spans="1:11" x14ac:dyDescent="0.25">
      <c r="A1680" s="24" t="s">
        <v>7</v>
      </c>
      <c r="B1680" s="24" t="s">
        <v>8720</v>
      </c>
      <c r="C1680" s="25" t="s">
        <v>8721</v>
      </c>
      <c r="D1680" s="24" t="s">
        <v>21824</v>
      </c>
      <c r="G1680" s="40">
        <v>30</v>
      </c>
      <c r="H1680" s="41">
        <v>1260</v>
      </c>
      <c r="J1680" s="41">
        <v>42</v>
      </c>
    </row>
    <row r="1681" spans="1:11" x14ac:dyDescent="0.25">
      <c r="A1681" s="24" t="s">
        <v>7</v>
      </c>
      <c r="B1681" s="24" t="s">
        <v>8729</v>
      </c>
      <c r="C1681" s="25" t="s">
        <v>8730</v>
      </c>
      <c r="D1681" s="24" t="s">
        <v>21824</v>
      </c>
      <c r="E1681" s="40">
        <v>130</v>
      </c>
      <c r="F1681" s="41">
        <v>7188</v>
      </c>
      <c r="G1681" s="40">
        <v>237</v>
      </c>
      <c r="H1681" s="41">
        <v>12480</v>
      </c>
      <c r="I1681" s="41">
        <v>55.292307692307695</v>
      </c>
      <c r="J1681" s="41">
        <v>52.658227848101269</v>
      </c>
      <c r="K1681" s="42">
        <v>-4.7639173587484041E-2</v>
      </c>
    </row>
    <row r="1682" spans="1:11" x14ac:dyDescent="0.25">
      <c r="A1682" s="24" t="s">
        <v>7</v>
      </c>
      <c r="B1682" s="24" t="s">
        <v>8735</v>
      </c>
      <c r="C1682" s="25" t="s">
        <v>8736</v>
      </c>
      <c r="D1682" s="24" t="s">
        <v>21824</v>
      </c>
      <c r="E1682" s="40">
        <v>1032</v>
      </c>
      <c r="F1682" s="41">
        <v>22020</v>
      </c>
      <c r="G1682" s="40">
        <v>726</v>
      </c>
      <c r="H1682" s="41">
        <v>13977</v>
      </c>
      <c r="I1682" s="41">
        <v>21.337209302325583</v>
      </c>
      <c r="J1682" s="41">
        <v>19.25206611570248</v>
      </c>
      <c r="K1682" s="42">
        <v>-9.7723331907131797E-2</v>
      </c>
    </row>
    <row r="1683" spans="1:11" x14ac:dyDescent="0.25">
      <c r="A1683" s="24" t="s">
        <v>7</v>
      </c>
      <c r="B1683" s="24" t="s">
        <v>8738</v>
      </c>
      <c r="C1683" s="25" t="s">
        <v>8739</v>
      </c>
      <c r="D1683" s="24" t="s">
        <v>21824</v>
      </c>
      <c r="E1683" s="40">
        <v>17</v>
      </c>
      <c r="F1683" s="41">
        <v>476</v>
      </c>
      <c r="G1683" s="40">
        <v>16</v>
      </c>
      <c r="H1683" s="41">
        <v>448</v>
      </c>
      <c r="I1683" s="41">
        <v>28</v>
      </c>
      <c r="J1683" s="41">
        <v>28</v>
      </c>
      <c r="K1683" s="42">
        <v>0</v>
      </c>
    </row>
    <row r="1684" spans="1:11" x14ac:dyDescent="0.25">
      <c r="A1684" s="24" t="s">
        <v>7</v>
      </c>
      <c r="B1684" s="24" t="s">
        <v>8741</v>
      </c>
      <c r="C1684" s="25" t="s">
        <v>8742</v>
      </c>
      <c r="D1684" s="24" t="s">
        <v>21824</v>
      </c>
      <c r="G1684" s="40">
        <v>14</v>
      </c>
      <c r="H1684" s="41">
        <v>239</v>
      </c>
      <c r="J1684" s="41">
        <v>17.071428571428573</v>
      </c>
    </row>
    <row r="1685" spans="1:11" x14ac:dyDescent="0.25">
      <c r="A1685" s="24" t="s">
        <v>7</v>
      </c>
      <c r="B1685" s="24" t="s">
        <v>8747</v>
      </c>
      <c r="C1685" s="25" t="s">
        <v>8748</v>
      </c>
      <c r="D1685" s="24" t="s">
        <v>21824</v>
      </c>
      <c r="E1685" s="40">
        <v>313</v>
      </c>
      <c r="F1685" s="41">
        <v>3332</v>
      </c>
      <c r="G1685" s="40">
        <v>472</v>
      </c>
      <c r="H1685" s="41">
        <v>4952</v>
      </c>
      <c r="I1685" s="41">
        <v>10.645367412140574</v>
      </c>
      <c r="J1685" s="41">
        <v>10.491525423728813</v>
      </c>
      <c r="K1685" s="42">
        <v>-1.4451543329196058E-2</v>
      </c>
    </row>
    <row r="1686" spans="1:11" x14ac:dyDescent="0.25">
      <c r="A1686" s="24" t="s">
        <v>7</v>
      </c>
      <c r="B1686" s="24" t="s">
        <v>8750</v>
      </c>
      <c r="C1686" s="25" t="s">
        <v>8751</v>
      </c>
      <c r="D1686" s="24" t="s">
        <v>21824</v>
      </c>
      <c r="E1686" s="40">
        <v>481</v>
      </c>
      <c r="F1686" s="41">
        <v>8064</v>
      </c>
      <c r="G1686" s="40">
        <v>230</v>
      </c>
      <c r="H1686" s="41">
        <v>3750</v>
      </c>
      <c r="I1686" s="41">
        <v>16.765072765072766</v>
      </c>
      <c r="J1686" s="41">
        <v>16.304347826086957</v>
      </c>
      <c r="K1686" s="42">
        <v>-2.7481237060041436E-2</v>
      </c>
    </row>
    <row r="1687" spans="1:11" x14ac:dyDescent="0.25">
      <c r="A1687" s="24" t="s">
        <v>7</v>
      </c>
      <c r="B1687" s="24" t="s">
        <v>8753</v>
      </c>
      <c r="C1687" s="25" t="s">
        <v>8754</v>
      </c>
      <c r="D1687" s="24" t="s">
        <v>21824</v>
      </c>
      <c r="E1687" s="40">
        <v>1161</v>
      </c>
      <c r="F1687" s="41">
        <v>19378</v>
      </c>
      <c r="G1687" s="40">
        <v>2622</v>
      </c>
      <c r="H1687" s="41">
        <v>33758</v>
      </c>
      <c r="I1687" s="41">
        <v>16.690783807062878</v>
      </c>
      <c r="J1687" s="41">
        <v>12.87490465293669</v>
      </c>
      <c r="K1687" s="42">
        <v>-0.22862192682116336</v>
      </c>
    </row>
    <row r="1688" spans="1:11" x14ac:dyDescent="0.25">
      <c r="A1688" s="24" t="s">
        <v>7</v>
      </c>
      <c r="B1688" s="24" t="s">
        <v>8756</v>
      </c>
      <c r="C1688" s="25" t="s">
        <v>8757</v>
      </c>
      <c r="D1688" s="24" t="s">
        <v>21824</v>
      </c>
      <c r="E1688" s="40">
        <v>455</v>
      </c>
      <c r="F1688" s="41">
        <v>9624</v>
      </c>
      <c r="G1688" s="40">
        <v>1642</v>
      </c>
      <c r="H1688" s="41">
        <v>30874</v>
      </c>
      <c r="I1688" s="41">
        <v>21.151648351648351</v>
      </c>
      <c r="J1688" s="41">
        <v>18.802679658952496</v>
      </c>
      <c r="K1688" s="42">
        <v>-0.11105369442816025</v>
      </c>
    </row>
    <row r="1689" spans="1:11" x14ac:dyDescent="0.25">
      <c r="A1689" s="24" t="s">
        <v>7</v>
      </c>
      <c r="B1689" s="24" t="s">
        <v>8759</v>
      </c>
      <c r="C1689" s="25" t="s">
        <v>8760</v>
      </c>
      <c r="D1689" s="24" t="s">
        <v>21834</v>
      </c>
      <c r="E1689" s="40">
        <v>94</v>
      </c>
      <c r="F1689" s="41">
        <v>2686</v>
      </c>
      <c r="G1689" s="40">
        <v>61</v>
      </c>
      <c r="H1689" s="41">
        <v>1769</v>
      </c>
      <c r="I1689" s="41">
        <v>28.574468085106382</v>
      </c>
      <c r="J1689" s="41">
        <v>29</v>
      </c>
      <c r="K1689" s="42">
        <v>1.4892032762472114E-2</v>
      </c>
    </row>
    <row r="1690" spans="1:11" x14ac:dyDescent="0.25">
      <c r="A1690" s="24" t="s">
        <v>7</v>
      </c>
      <c r="B1690" s="24" t="s">
        <v>8762</v>
      </c>
      <c r="C1690" s="25" t="s">
        <v>8763</v>
      </c>
      <c r="D1690" s="24" t="s">
        <v>21824</v>
      </c>
      <c r="E1690" s="40">
        <v>26</v>
      </c>
      <c r="F1690" s="41">
        <v>13518</v>
      </c>
      <c r="G1690" s="40">
        <v>42</v>
      </c>
      <c r="H1690" s="41">
        <v>15462</v>
      </c>
      <c r="I1690" s="41">
        <v>519.92307692307691</v>
      </c>
      <c r="J1690" s="41">
        <v>368.14285714285717</v>
      </c>
      <c r="K1690" s="42">
        <v>-0.29192822268721064</v>
      </c>
    </row>
    <row r="1691" spans="1:11" x14ac:dyDescent="0.25">
      <c r="A1691" s="24" t="s">
        <v>7</v>
      </c>
      <c r="B1691" s="24" t="s">
        <v>8765</v>
      </c>
      <c r="C1691" s="25" t="s">
        <v>8766</v>
      </c>
      <c r="D1691" s="24" t="s">
        <v>21824</v>
      </c>
      <c r="E1691" s="40">
        <v>256</v>
      </c>
      <c r="F1691" s="41">
        <v>4248</v>
      </c>
      <c r="G1691" s="40">
        <v>194</v>
      </c>
      <c r="H1691" s="41">
        <v>2980</v>
      </c>
      <c r="I1691" s="41">
        <v>16.59375</v>
      </c>
      <c r="J1691" s="41">
        <v>15.360824742268042</v>
      </c>
      <c r="K1691" s="42">
        <v>-7.4300580503620831E-2</v>
      </c>
    </row>
    <row r="1692" spans="1:11" x14ac:dyDescent="0.25">
      <c r="A1692" s="24" t="s">
        <v>7</v>
      </c>
      <c r="B1692" s="24" t="s">
        <v>8768</v>
      </c>
      <c r="C1692" s="25" t="s">
        <v>8769</v>
      </c>
      <c r="D1692" s="24" t="s">
        <v>21824</v>
      </c>
      <c r="E1692" s="40">
        <v>1079</v>
      </c>
      <c r="F1692" s="41">
        <v>45797</v>
      </c>
      <c r="G1692" s="40">
        <v>1743</v>
      </c>
      <c r="H1692" s="41">
        <v>61269</v>
      </c>
      <c r="I1692" s="41">
        <v>42.443929564411491</v>
      </c>
      <c r="J1692" s="41">
        <v>35.151462994836486</v>
      </c>
      <c r="K1692" s="42">
        <v>-0.17181412381971375</v>
      </c>
    </row>
    <row r="1693" spans="1:11" x14ac:dyDescent="0.25">
      <c r="A1693" s="24" t="s">
        <v>7</v>
      </c>
      <c r="B1693" s="24" t="s">
        <v>8771</v>
      </c>
      <c r="C1693" s="25" t="s">
        <v>8772</v>
      </c>
      <c r="D1693" s="24" t="s">
        <v>21824</v>
      </c>
      <c r="E1693" s="40">
        <v>434</v>
      </c>
      <c r="F1693" s="41">
        <v>17099</v>
      </c>
      <c r="G1693" s="40">
        <v>453</v>
      </c>
      <c r="H1693" s="41">
        <v>16580</v>
      </c>
      <c r="I1693" s="41">
        <v>39.39861751152074</v>
      </c>
      <c r="J1693" s="41">
        <v>36.600441501103752</v>
      </c>
      <c r="K1693" s="42">
        <v>-7.1022187760744648E-2</v>
      </c>
    </row>
    <row r="1694" spans="1:11" x14ac:dyDescent="0.25">
      <c r="A1694" s="24" t="s">
        <v>7</v>
      </c>
      <c r="B1694" s="24" t="s">
        <v>8774</v>
      </c>
      <c r="C1694" s="25" t="s">
        <v>8775</v>
      </c>
      <c r="D1694" s="24" t="s">
        <v>21824</v>
      </c>
      <c r="E1694" s="40">
        <v>190</v>
      </c>
      <c r="F1694" s="41">
        <v>3179</v>
      </c>
      <c r="G1694" s="40">
        <v>151</v>
      </c>
      <c r="H1694" s="41">
        <v>2281</v>
      </c>
      <c r="I1694" s="41">
        <v>16.731578947368423</v>
      </c>
      <c r="J1694" s="41">
        <v>15.105960264900663</v>
      </c>
      <c r="K1694" s="42">
        <v>-9.7158713327736498E-2</v>
      </c>
    </row>
    <row r="1695" spans="1:11" x14ac:dyDescent="0.25">
      <c r="A1695" s="24" t="s">
        <v>7</v>
      </c>
      <c r="B1695" s="24" t="s">
        <v>8777</v>
      </c>
      <c r="C1695" s="25" t="s">
        <v>8778</v>
      </c>
      <c r="D1695" s="24" t="s">
        <v>21824</v>
      </c>
      <c r="E1695" s="40">
        <v>303</v>
      </c>
      <c r="F1695" s="41">
        <v>5065</v>
      </c>
      <c r="G1695" s="40">
        <v>375</v>
      </c>
      <c r="H1695" s="41">
        <v>5367</v>
      </c>
      <c r="I1695" s="41">
        <v>16.716171617161717</v>
      </c>
      <c r="J1695" s="41">
        <v>14.311999999999999</v>
      </c>
      <c r="K1695" s="42">
        <v>-0.14382309970385002</v>
      </c>
    </row>
    <row r="1696" spans="1:11" x14ac:dyDescent="0.25">
      <c r="A1696" s="24" t="s">
        <v>7</v>
      </c>
      <c r="B1696" s="24" t="s">
        <v>8780</v>
      </c>
      <c r="C1696" s="25" t="s">
        <v>8781</v>
      </c>
      <c r="D1696" s="24" t="s">
        <v>21824</v>
      </c>
      <c r="E1696" s="40">
        <v>6167</v>
      </c>
      <c r="F1696" s="41">
        <v>102927</v>
      </c>
      <c r="G1696" s="40">
        <v>7063</v>
      </c>
      <c r="H1696" s="41">
        <v>100727</v>
      </c>
      <c r="I1696" s="41">
        <v>16.689962704718663</v>
      </c>
      <c r="J1696" s="41">
        <v>14.261220444570295</v>
      </c>
      <c r="K1696" s="42">
        <v>-0.14552113165967132</v>
      </c>
    </row>
    <row r="1697" spans="1:11" x14ac:dyDescent="0.25">
      <c r="A1697" s="24" t="s">
        <v>7</v>
      </c>
      <c r="B1697" s="24" t="s">
        <v>8783</v>
      </c>
      <c r="C1697" s="25" t="s">
        <v>8784</v>
      </c>
      <c r="D1697" s="24" t="s">
        <v>21824</v>
      </c>
      <c r="E1697" s="40">
        <v>1777</v>
      </c>
      <c r="F1697" s="41">
        <v>29638</v>
      </c>
      <c r="G1697" s="40">
        <v>2160</v>
      </c>
      <c r="H1697" s="41">
        <v>31540</v>
      </c>
      <c r="I1697" s="41">
        <v>16.678671918964547</v>
      </c>
      <c r="J1697" s="41">
        <v>14.601851851851851</v>
      </c>
      <c r="K1697" s="42">
        <v>-0.12451951073821647</v>
      </c>
    </row>
    <row r="1698" spans="1:11" x14ac:dyDescent="0.25">
      <c r="A1698" s="24" t="s">
        <v>7</v>
      </c>
      <c r="B1698" s="24" t="s">
        <v>8786</v>
      </c>
      <c r="C1698" s="25" t="s">
        <v>8787</v>
      </c>
      <c r="D1698" s="24" t="s">
        <v>21824</v>
      </c>
      <c r="E1698" s="40">
        <v>1099</v>
      </c>
      <c r="F1698" s="41">
        <v>26807</v>
      </c>
      <c r="G1698" s="40">
        <v>1023</v>
      </c>
      <c r="H1698" s="41">
        <v>19758</v>
      </c>
      <c r="I1698" s="41">
        <v>24.392174704276616</v>
      </c>
      <c r="J1698" s="41">
        <v>19.313782991202345</v>
      </c>
      <c r="K1698" s="42">
        <v>-0.20819757871707481</v>
      </c>
    </row>
    <row r="1699" spans="1:11" x14ac:dyDescent="0.25">
      <c r="A1699" s="24" t="s">
        <v>7</v>
      </c>
      <c r="B1699" s="24" t="s">
        <v>8789</v>
      </c>
      <c r="C1699" s="25" t="s">
        <v>8790</v>
      </c>
      <c r="D1699" s="24" t="s">
        <v>21824</v>
      </c>
      <c r="E1699" s="40">
        <v>4383</v>
      </c>
      <c r="F1699" s="41">
        <v>81794</v>
      </c>
      <c r="G1699" s="40">
        <v>4919</v>
      </c>
      <c r="H1699" s="41">
        <v>78827</v>
      </c>
      <c r="I1699" s="41">
        <v>18.661647273556923</v>
      </c>
      <c r="J1699" s="41">
        <v>16.025005082333809</v>
      </c>
      <c r="K1699" s="42">
        <v>-0.14128668024709526</v>
      </c>
    </row>
    <row r="1700" spans="1:11" x14ac:dyDescent="0.25">
      <c r="A1700" s="24" t="s">
        <v>7</v>
      </c>
      <c r="B1700" s="24" t="s">
        <v>8792</v>
      </c>
      <c r="C1700" s="25" t="s">
        <v>8793</v>
      </c>
      <c r="D1700" s="24" t="s">
        <v>21824</v>
      </c>
      <c r="E1700" s="40">
        <v>1300</v>
      </c>
      <c r="F1700" s="41">
        <v>21785</v>
      </c>
      <c r="G1700" s="40">
        <v>1793</v>
      </c>
      <c r="H1700" s="41">
        <v>25936</v>
      </c>
      <c r="I1700" s="41">
        <v>16.757692307692309</v>
      </c>
      <c r="J1700" s="41">
        <v>14.465142219743447</v>
      </c>
      <c r="K1700" s="42">
        <v>-0.13680583494760254</v>
      </c>
    </row>
    <row r="1701" spans="1:11" x14ac:dyDescent="0.25">
      <c r="A1701" s="24" t="s">
        <v>7</v>
      </c>
      <c r="B1701" s="24" t="s">
        <v>8795</v>
      </c>
      <c r="C1701" s="25" t="s">
        <v>8796</v>
      </c>
      <c r="D1701" s="24" t="s">
        <v>21824</v>
      </c>
      <c r="E1701" s="40">
        <v>12169</v>
      </c>
      <c r="F1701" s="41">
        <v>321417</v>
      </c>
      <c r="G1701" s="40">
        <v>13772</v>
      </c>
      <c r="H1701" s="41">
        <v>307416</v>
      </c>
      <c r="I1701" s="41">
        <v>26.412770153669161</v>
      </c>
      <c r="J1701" s="41">
        <v>22.321812372930584</v>
      </c>
      <c r="K1701" s="42">
        <v>-0.15488560105348423</v>
      </c>
    </row>
    <row r="1702" spans="1:11" x14ac:dyDescent="0.25">
      <c r="A1702" s="24" t="s">
        <v>7</v>
      </c>
      <c r="B1702" s="24" t="s">
        <v>8798</v>
      </c>
      <c r="C1702" s="25" t="s">
        <v>8799</v>
      </c>
      <c r="D1702" s="24" t="s">
        <v>21824</v>
      </c>
      <c r="E1702" s="40">
        <v>2506</v>
      </c>
      <c r="F1702" s="41">
        <v>26794</v>
      </c>
      <c r="G1702" s="40">
        <v>3125</v>
      </c>
      <c r="H1702" s="41">
        <v>29585</v>
      </c>
      <c r="I1702" s="41">
        <v>10.691939345570631</v>
      </c>
      <c r="J1702" s="41">
        <v>9.4672000000000001</v>
      </c>
      <c r="K1702" s="42">
        <v>-0.11454791371202515</v>
      </c>
    </row>
    <row r="1703" spans="1:11" x14ac:dyDescent="0.25">
      <c r="A1703" s="24" t="s">
        <v>7</v>
      </c>
      <c r="B1703" s="24" t="s">
        <v>8801</v>
      </c>
      <c r="C1703" s="25" t="s">
        <v>8802</v>
      </c>
      <c r="D1703" s="24" t="s">
        <v>21824</v>
      </c>
      <c r="E1703" s="40">
        <v>226</v>
      </c>
      <c r="F1703" s="41">
        <v>3292</v>
      </c>
      <c r="G1703" s="40">
        <v>248</v>
      </c>
      <c r="H1703" s="41">
        <v>3720</v>
      </c>
      <c r="I1703" s="41">
        <v>14.56637168141593</v>
      </c>
      <c r="J1703" s="41">
        <v>15</v>
      </c>
      <c r="K1703" s="42">
        <v>2.9769137302551579E-2</v>
      </c>
    </row>
    <row r="1704" spans="1:11" x14ac:dyDescent="0.25">
      <c r="A1704" s="24" t="s">
        <v>7</v>
      </c>
      <c r="B1704" s="24" t="s">
        <v>8804</v>
      </c>
      <c r="C1704" s="25" t="s">
        <v>8805</v>
      </c>
      <c r="D1704" s="24" t="s">
        <v>21824</v>
      </c>
      <c r="G1704" s="40">
        <v>8</v>
      </c>
      <c r="H1704" s="41">
        <v>88</v>
      </c>
      <c r="J1704" s="41">
        <v>11</v>
      </c>
    </row>
    <row r="1705" spans="1:11" x14ac:dyDescent="0.25">
      <c r="A1705" s="24" t="s">
        <v>7</v>
      </c>
      <c r="B1705" s="24" t="s">
        <v>8807</v>
      </c>
      <c r="C1705" s="25" t="s">
        <v>8808</v>
      </c>
      <c r="D1705" s="24" t="s">
        <v>21824</v>
      </c>
      <c r="G1705" s="40">
        <v>14</v>
      </c>
      <c r="H1705" s="41">
        <v>224</v>
      </c>
      <c r="J1705" s="41">
        <v>16</v>
      </c>
    </row>
    <row r="1706" spans="1:11" x14ac:dyDescent="0.25">
      <c r="A1706" s="24" t="s">
        <v>7</v>
      </c>
      <c r="B1706" s="24" t="s">
        <v>8810</v>
      </c>
      <c r="C1706" s="25" t="s">
        <v>8811</v>
      </c>
      <c r="D1706" s="24" t="s">
        <v>21824</v>
      </c>
      <c r="E1706" s="40">
        <v>1612</v>
      </c>
      <c r="F1706" s="41">
        <v>26895</v>
      </c>
      <c r="G1706" s="40">
        <v>1257</v>
      </c>
      <c r="H1706" s="41">
        <v>20263</v>
      </c>
      <c r="I1706" s="41">
        <v>16.684243176178661</v>
      </c>
      <c r="J1706" s="41">
        <v>16.120127287191725</v>
      </c>
      <c r="K1706" s="42">
        <v>-3.3811296264991332E-2</v>
      </c>
    </row>
    <row r="1707" spans="1:11" x14ac:dyDescent="0.25">
      <c r="A1707" s="24" t="s">
        <v>7</v>
      </c>
      <c r="B1707" s="24" t="s">
        <v>8813</v>
      </c>
      <c r="C1707" s="25" t="s">
        <v>8814</v>
      </c>
      <c r="D1707" s="24" t="s">
        <v>21824</v>
      </c>
      <c r="E1707" s="40">
        <v>121</v>
      </c>
      <c r="F1707" s="41">
        <v>2143</v>
      </c>
      <c r="G1707" s="40">
        <v>43</v>
      </c>
      <c r="H1707" s="41">
        <v>648</v>
      </c>
      <c r="I1707" s="41">
        <v>17.710743801652892</v>
      </c>
      <c r="J1707" s="41">
        <v>15.069767441860465</v>
      </c>
      <c r="K1707" s="42">
        <v>-0.14911719063690326</v>
      </c>
    </row>
    <row r="1708" spans="1:11" x14ac:dyDescent="0.25">
      <c r="A1708" s="24" t="s">
        <v>7</v>
      </c>
      <c r="B1708" s="24" t="s">
        <v>8819</v>
      </c>
      <c r="C1708" s="25" t="s">
        <v>8820</v>
      </c>
      <c r="D1708" s="24" t="s">
        <v>21824</v>
      </c>
      <c r="E1708" s="40">
        <v>568</v>
      </c>
      <c r="F1708" s="41">
        <v>6085</v>
      </c>
      <c r="G1708" s="40">
        <v>421</v>
      </c>
      <c r="H1708" s="41">
        <v>4199</v>
      </c>
      <c r="I1708" s="41">
        <v>10.713028169014084</v>
      </c>
      <c r="J1708" s="41">
        <v>9.973871733966746</v>
      </c>
      <c r="K1708" s="42">
        <v>-6.8996032063580612E-2</v>
      </c>
    </row>
    <row r="1709" spans="1:11" x14ac:dyDescent="0.25">
      <c r="A1709" s="24" t="s">
        <v>7</v>
      </c>
      <c r="B1709" s="24" t="s">
        <v>8822</v>
      </c>
      <c r="C1709" s="25" t="s">
        <v>8823</v>
      </c>
      <c r="D1709" s="24" t="s">
        <v>21824</v>
      </c>
      <c r="E1709" s="40">
        <v>5211</v>
      </c>
      <c r="F1709" s="41">
        <v>182121</v>
      </c>
      <c r="G1709" s="40">
        <v>7712</v>
      </c>
      <c r="H1709" s="41">
        <v>218098</v>
      </c>
      <c r="I1709" s="41">
        <v>34.949337938975248</v>
      </c>
      <c r="J1709" s="41">
        <v>28.280342323651453</v>
      </c>
      <c r="K1709" s="42">
        <v>-0.19081893988860313</v>
      </c>
    </row>
    <row r="1710" spans="1:11" x14ac:dyDescent="0.25">
      <c r="A1710" s="24" t="s">
        <v>7</v>
      </c>
      <c r="B1710" s="24" t="s">
        <v>8825</v>
      </c>
      <c r="C1710" s="25" t="s">
        <v>8826</v>
      </c>
      <c r="D1710" s="24" t="s">
        <v>21824</v>
      </c>
      <c r="E1710" s="40">
        <v>7957</v>
      </c>
      <c r="F1710" s="41">
        <v>674907</v>
      </c>
      <c r="G1710" s="40">
        <v>9478</v>
      </c>
      <c r="H1710" s="41">
        <v>665636</v>
      </c>
      <c r="I1710" s="41">
        <v>84.819278622596457</v>
      </c>
      <c r="J1710" s="41">
        <v>70.229584300485328</v>
      </c>
      <c r="K1710" s="42">
        <v>-0.17200917714742661</v>
      </c>
    </row>
    <row r="1711" spans="1:11" x14ac:dyDescent="0.25">
      <c r="A1711" s="24" t="s">
        <v>7</v>
      </c>
      <c r="B1711" s="24" t="s">
        <v>8828</v>
      </c>
      <c r="C1711" s="25" t="s">
        <v>8829</v>
      </c>
      <c r="D1711" s="24" t="s">
        <v>21824</v>
      </c>
      <c r="G1711" s="40">
        <v>34</v>
      </c>
      <c r="H1711" s="41">
        <v>1020</v>
      </c>
      <c r="J1711" s="41">
        <v>30</v>
      </c>
    </row>
    <row r="1712" spans="1:11" x14ac:dyDescent="0.25">
      <c r="A1712" s="24" t="s">
        <v>7</v>
      </c>
      <c r="B1712" s="24" t="s">
        <v>8831</v>
      </c>
      <c r="C1712" s="25" t="s">
        <v>8832</v>
      </c>
      <c r="D1712" s="24" t="s">
        <v>21824</v>
      </c>
      <c r="E1712" s="40">
        <v>947</v>
      </c>
      <c r="F1712" s="41">
        <v>36998</v>
      </c>
      <c r="G1712" s="40">
        <v>821</v>
      </c>
      <c r="H1712" s="41">
        <v>27224</v>
      </c>
      <c r="I1712" s="41">
        <v>39.068637803590285</v>
      </c>
      <c r="J1712" s="41">
        <v>33.159561510353228</v>
      </c>
      <c r="K1712" s="42">
        <v>-0.15124858775327024</v>
      </c>
    </row>
    <row r="1713" spans="1:11" x14ac:dyDescent="0.25">
      <c r="A1713" s="24" t="s">
        <v>7</v>
      </c>
      <c r="B1713" s="24" t="s">
        <v>8834</v>
      </c>
      <c r="C1713" s="25" t="s">
        <v>8835</v>
      </c>
      <c r="D1713" s="24" t="s">
        <v>21824</v>
      </c>
      <c r="G1713" s="40">
        <v>3</v>
      </c>
      <c r="H1713" s="41">
        <v>84</v>
      </c>
      <c r="J1713" s="41">
        <v>28</v>
      </c>
    </row>
    <row r="1714" spans="1:11" x14ac:dyDescent="0.25">
      <c r="A1714" s="24" t="s">
        <v>7</v>
      </c>
      <c r="B1714" s="24" t="s">
        <v>8837</v>
      </c>
      <c r="C1714" s="25" t="s">
        <v>8838</v>
      </c>
      <c r="D1714" s="24" t="s">
        <v>21824</v>
      </c>
      <c r="E1714" s="40">
        <v>128</v>
      </c>
      <c r="F1714" s="41">
        <v>7084</v>
      </c>
      <c r="G1714" s="40">
        <v>93</v>
      </c>
      <c r="H1714" s="41">
        <v>2694</v>
      </c>
      <c r="I1714" s="41">
        <v>55.34375</v>
      </c>
      <c r="J1714" s="41">
        <v>28.967741935483872</v>
      </c>
      <c r="K1714" s="42">
        <v>-0.47658512595398989</v>
      </c>
    </row>
    <row r="1715" spans="1:11" x14ac:dyDescent="0.25">
      <c r="A1715" s="24" t="s">
        <v>7</v>
      </c>
      <c r="B1715" s="24" t="s">
        <v>8840</v>
      </c>
      <c r="C1715" s="25" t="s">
        <v>8841</v>
      </c>
      <c r="D1715" s="24" t="s">
        <v>21824</v>
      </c>
      <c r="E1715" s="40">
        <v>207</v>
      </c>
      <c r="F1715" s="41">
        <v>11554</v>
      </c>
      <c r="G1715" s="40">
        <v>219</v>
      </c>
      <c r="H1715" s="41">
        <v>11750</v>
      </c>
      <c r="I1715" s="41">
        <v>55.816425120772948</v>
      </c>
      <c r="J1715" s="41">
        <v>53.652968036529678</v>
      </c>
      <c r="K1715" s="42">
        <v>-3.8760222991029665E-2</v>
      </c>
    </row>
    <row r="1716" spans="1:11" x14ac:dyDescent="0.25">
      <c r="A1716" s="24" t="s">
        <v>7</v>
      </c>
      <c r="B1716" s="24" t="s">
        <v>8843</v>
      </c>
      <c r="C1716" s="25" t="s">
        <v>8844</v>
      </c>
      <c r="D1716" s="24" t="s">
        <v>21824</v>
      </c>
      <c r="E1716" s="40">
        <v>1393</v>
      </c>
      <c r="F1716" s="41">
        <v>74915</v>
      </c>
      <c r="G1716" s="40">
        <v>1431</v>
      </c>
      <c r="H1716" s="41">
        <v>66939</v>
      </c>
      <c r="I1716" s="41">
        <v>53.779612347451547</v>
      </c>
      <c r="J1716" s="41">
        <v>46.777777777777779</v>
      </c>
      <c r="K1716" s="42">
        <v>-0.13019496169733108</v>
      </c>
    </row>
    <row r="1717" spans="1:11" x14ac:dyDescent="0.25">
      <c r="A1717" s="24" t="s">
        <v>7</v>
      </c>
      <c r="B1717" s="24" t="s">
        <v>8846</v>
      </c>
      <c r="C1717" s="25" t="s">
        <v>8847</v>
      </c>
      <c r="D1717" s="24" t="s">
        <v>21824</v>
      </c>
      <c r="E1717" s="40">
        <v>1204</v>
      </c>
      <c r="F1717" s="41">
        <v>20130</v>
      </c>
      <c r="G1717" s="40">
        <v>1750</v>
      </c>
      <c r="H1717" s="41">
        <v>24662</v>
      </c>
      <c r="I1717" s="41">
        <v>16.719269102990033</v>
      </c>
      <c r="J1717" s="41">
        <v>14.092571428571429</v>
      </c>
      <c r="K1717" s="42">
        <v>-0.15710601092896176</v>
      </c>
    </row>
    <row r="1718" spans="1:11" x14ac:dyDescent="0.25">
      <c r="A1718" s="24" t="s">
        <v>7</v>
      </c>
      <c r="B1718" s="24" t="s">
        <v>8849</v>
      </c>
      <c r="C1718" s="25" t="s">
        <v>8850</v>
      </c>
      <c r="D1718" s="24" t="s">
        <v>21824</v>
      </c>
      <c r="E1718" s="40">
        <v>259</v>
      </c>
      <c r="F1718" s="41">
        <v>45764</v>
      </c>
      <c r="G1718" s="40">
        <v>417</v>
      </c>
      <c r="H1718" s="41">
        <v>51874</v>
      </c>
      <c r="I1718" s="41">
        <v>176.6949806949807</v>
      </c>
      <c r="J1718" s="41">
        <v>124.39808153477219</v>
      </c>
      <c r="K1718" s="42">
        <v>-0.29597274894008402</v>
      </c>
    </row>
    <row r="1719" spans="1:11" x14ac:dyDescent="0.25">
      <c r="A1719" s="24" t="s">
        <v>7</v>
      </c>
      <c r="B1719" s="24" t="s">
        <v>8852</v>
      </c>
      <c r="C1719" s="25" t="s">
        <v>8853</v>
      </c>
      <c r="D1719" s="24" t="s">
        <v>21824</v>
      </c>
      <c r="E1719" s="40">
        <v>208</v>
      </c>
      <c r="F1719" s="41">
        <v>18730</v>
      </c>
      <c r="G1719" s="40">
        <v>172</v>
      </c>
      <c r="H1719" s="41">
        <v>11641</v>
      </c>
      <c r="I1719" s="41">
        <v>90.04807692307692</v>
      </c>
      <c r="J1719" s="41">
        <v>67.680232558139537</v>
      </c>
      <c r="K1719" s="42">
        <v>-0.24839891232818878</v>
      </c>
    </row>
    <row r="1720" spans="1:11" x14ac:dyDescent="0.25">
      <c r="A1720" s="24" t="s">
        <v>7</v>
      </c>
      <c r="B1720" s="24" t="s">
        <v>8858</v>
      </c>
      <c r="C1720" s="25" t="s">
        <v>8859</v>
      </c>
      <c r="D1720" s="24" t="s">
        <v>21824</v>
      </c>
      <c r="E1720" s="40">
        <v>425</v>
      </c>
      <c r="F1720" s="41">
        <v>4523</v>
      </c>
      <c r="G1720" s="40">
        <v>490</v>
      </c>
      <c r="H1720" s="41">
        <v>5390</v>
      </c>
      <c r="I1720" s="41">
        <v>10.642352941176471</v>
      </c>
      <c r="J1720" s="41">
        <v>11</v>
      </c>
      <c r="K1720" s="42">
        <v>3.3606013707716098E-2</v>
      </c>
    </row>
    <row r="1721" spans="1:11" x14ac:dyDescent="0.25">
      <c r="A1721" s="24" t="s">
        <v>7</v>
      </c>
      <c r="B1721" s="24" t="s">
        <v>8861</v>
      </c>
      <c r="C1721" s="25" t="s">
        <v>8862</v>
      </c>
      <c r="D1721" s="24" t="s">
        <v>21824</v>
      </c>
      <c r="E1721" s="40">
        <v>134</v>
      </c>
      <c r="F1721" s="41">
        <v>2850</v>
      </c>
      <c r="G1721" s="40">
        <v>160</v>
      </c>
      <c r="H1721" s="41">
        <v>2544</v>
      </c>
      <c r="I1721" s="41">
        <v>21.268656716417912</v>
      </c>
      <c r="J1721" s="41">
        <v>15.9</v>
      </c>
      <c r="K1721" s="42">
        <v>-0.25242105263157899</v>
      </c>
    </row>
    <row r="1722" spans="1:11" x14ac:dyDescent="0.25">
      <c r="A1722" s="24" t="s">
        <v>7</v>
      </c>
      <c r="B1722" s="24" t="s">
        <v>8864</v>
      </c>
      <c r="C1722" s="25" t="s">
        <v>8865</v>
      </c>
      <c r="D1722" s="24" t="s">
        <v>21824</v>
      </c>
      <c r="G1722" s="40">
        <v>3</v>
      </c>
      <c r="H1722" s="41">
        <v>54</v>
      </c>
      <c r="J1722" s="41">
        <v>18</v>
      </c>
    </row>
    <row r="1723" spans="1:11" x14ac:dyDescent="0.25">
      <c r="A1723" s="24" t="s">
        <v>7</v>
      </c>
      <c r="B1723" s="24" t="s">
        <v>8867</v>
      </c>
      <c r="C1723" s="25" t="s">
        <v>8868</v>
      </c>
      <c r="D1723" s="24" t="s">
        <v>21824</v>
      </c>
      <c r="E1723" s="40">
        <v>1501</v>
      </c>
      <c r="F1723" s="41">
        <v>38106</v>
      </c>
      <c r="G1723" s="40">
        <v>1522</v>
      </c>
      <c r="H1723" s="41">
        <v>36782</v>
      </c>
      <c r="I1723" s="41">
        <v>25.387075283144569</v>
      </c>
      <c r="J1723" s="41">
        <v>24.166885676741131</v>
      </c>
      <c r="K1723" s="42">
        <v>-4.8063417813771041E-2</v>
      </c>
    </row>
    <row r="1724" spans="1:11" x14ac:dyDescent="0.25">
      <c r="A1724" s="24" t="s">
        <v>7</v>
      </c>
      <c r="B1724" s="24" t="s">
        <v>8870</v>
      </c>
      <c r="C1724" s="25" t="s">
        <v>8871</v>
      </c>
      <c r="D1724" s="24" t="s">
        <v>21824</v>
      </c>
      <c r="E1724" s="40">
        <v>150</v>
      </c>
      <c r="F1724" s="41">
        <v>450</v>
      </c>
      <c r="G1724" s="40">
        <v>141</v>
      </c>
      <c r="H1724" s="41">
        <v>423</v>
      </c>
      <c r="I1724" s="41">
        <v>3</v>
      </c>
      <c r="J1724" s="41">
        <v>3</v>
      </c>
      <c r="K1724" s="42">
        <v>0</v>
      </c>
    </row>
    <row r="1725" spans="1:11" x14ac:dyDescent="0.25">
      <c r="A1725" s="24" t="s">
        <v>7</v>
      </c>
      <c r="B1725" s="24" t="s">
        <v>8873</v>
      </c>
      <c r="C1725" s="25" t="s">
        <v>8874</v>
      </c>
      <c r="D1725" s="24" t="s">
        <v>21824</v>
      </c>
      <c r="E1725" s="40">
        <v>3167</v>
      </c>
      <c r="F1725" s="41">
        <v>143156</v>
      </c>
      <c r="G1725" s="40">
        <v>4260</v>
      </c>
      <c r="H1725" s="41">
        <v>163366</v>
      </c>
      <c r="I1725" s="41">
        <v>45.202399747395013</v>
      </c>
      <c r="J1725" s="41">
        <v>38.34882629107981</v>
      </c>
      <c r="K1725" s="42">
        <v>-0.15161968157918806</v>
      </c>
    </row>
    <row r="1726" spans="1:11" x14ac:dyDescent="0.25">
      <c r="A1726" s="24" t="s">
        <v>7</v>
      </c>
      <c r="B1726" s="24" t="s">
        <v>8876</v>
      </c>
      <c r="C1726" s="25" t="s">
        <v>8877</v>
      </c>
      <c r="D1726" s="24" t="s">
        <v>21824</v>
      </c>
      <c r="G1726" s="40">
        <v>96</v>
      </c>
      <c r="H1726" s="41">
        <v>4578</v>
      </c>
      <c r="J1726" s="41">
        <v>47.6875</v>
      </c>
    </row>
    <row r="1727" spans="1:11" x14ac:dyDescent="0.25">
      <c r="A1727" s="24" t="s">
        <v>7</v>
      </c>
      <c r="B1727" s="24" t="s">
        <v>8879</v>
      </c>
      <c r="C1727" s="25" t="s">
        <v>8880</v>
      </c>
      <c r="D1727" s="24" t="s">
        <v>21824</v>
      </c>
      <c r="G1727" s="40">
        <v>2</v>
      </c>
      <c r="H1727" s="41">
        <v>90</v>
      </c>
      <c r="J1727" s="41">
        <v>45</v>
      </c>
    </row>
    <row r="1728" spans="1:11" x14ac:dyDescent="0.25">
      <c r="A1728" s="24" t="s">
        <v>7</v>
      </c>
      <c r="B1728" s="24" t="s">
        <v>8882</v>
      </c>
      <c r="C1728" s="25" t="s">
        <v>8883</v>
      </c>
      <c r="D1728" s="24" t="s">
        <v>21824</v>
      </c>
      <c r="G1728" s="40">
        <v>3</v>
      </c>
      <c r="H1728" s="41">
        <v>444</v>
      </c>
      <c r="J1728" s="41">
        <v>148</v>
      </c>
    </row>
    <row r="1729" spans="1:11" x14ac:dyDescent="0.25">
      <c r="A1729" s="24" t="s">
        <v>7</v>
      </c>
      <c r="B1729" s="24" t="s">
        <v>8885</v>
      </c>
      <c r="C1729" s="25" t="s">
        <v>8886</v>
      </c>
      <c r="D1729" s="24" t="s">
        <v>21823</v>
      </c>
      <c r="E1729" s="40">
        <v>5240</v>
      </c>
      <c r="F1729" s="41">
        <v>76970</v>
      </c>
      <c r="G1729" s="40">
        <v>5601</v>
      </c>
      <c r="H1729" s="41">
        <v>71905</v>
      </c>
      <c r="I1729" s="41">
        <v>14.688931297709924</v>
      </c>
      <c r="J1729" s="41">
        <v>12.837886091769327</v>
      </c>
      <c r="K1729" s="42">
        <v>-0.12601632946769817</v>
      </c>
    </row>
    <row r="1730" spans="1:11" x14ac:dyDescent="0.25">
      <c r="A1730" s="24" t="s">
        <v>7</v>
      </c>
      <c r="B1730" s="24" t="s">
        <v>8894</v>
      </c>
      <c r="C1730" s="25" t="s">
        <v>8895</v>
      </c>
      <c r="D1730" s="24" t="s">
        <v>21823</v>
      </c>
      <c r="E1730" s="40">
        <v>152</v>
      </c>
      <c r="F1730" s="41">
        <v>4952</v>
      </c>
      <c r="G1730" s="40">
        <v>191</v>
      </c>
      <c r="H1730" s="41">
        <v>5373</v>
      </c>
      <c r="I1730" s="41">
        <v>32.578947368421055</v>
      </c>
      <c r="J1730" s="41">
        <v>28.130890052356023</v>
      </c>
      <c r="K1730" s="42">
        <v>-0.1365316462120123</v>
      </c>
    </row>
    <row r="1731" spans="1:11" x14ac:dyDescent="0.25">
      <c r="A1731" s="24" t="s">
        <v>7</v>
      </c>
      <c r="B1731" s="24" t="s">
        <v>8897</v>
      </c>
      <c r="C1731" s="25" t="s">
        <v>8898</v>
      </c>
      <c r="D1731" s="24" t="s">
        <v>21823</v>
      </c>
      <c r="E1731" s="40">
        <v>2601</v>
      </c>
      <c r="F1731" s="41">
        <v>28041</v>
      </c>
      <c r="G1731" s="40">
        <v>2048</v>
      </c>
      <c r="H1731" s="41">
        <v>19128</v>
      </c>
      <c r="I1731" s="41">
        <v>10.780853517877739</v>
      </c>
      <c r="J1731" s="41">
        <v>9.33984375</v>
      </c>
      <c r="K1731" s="42">
        <v>-0.13366379252701402</v>
      </c>
    </row>
    <row r="1732" spans="1:11" x14ac:dyDescent="0.25">
      <c r="A1732" s="24" t="s">
        <v>7</v>
      </c>
      <c r="B1732" s="24" t="s">
        <v>8900</v>
      </c>
      <c r="C1732" s="25" t="s">
        <v>8901</v>
      </c>
      <c r="D1732" s="24" t="s">
        <v>21835</v>
      </c>
      <c r="E1732" s="40">
        <v>1077</v>
      </c>
      <c r="F1732" s="41">
        <v>40620</v>
      </c>
      <c r="G1732" s="40">
        <v>1048</v>
      </c>
      <c r="H1732" s="41">
        <v>30586</v>
      </c>
      <c r="I1732" s="41">
        <v>37.715877437325908</v>
      </c>
      <c r="J1732" s="41">
        <v>29.185114503816795</v>
      </c>
      <c r="K1732" s="42">
        <v>-0.22618492563735387</v>
      </c>
    </row>
    <row r="1733" spans="1:11" x14ac:dyDescent="0.25">
      <c r="A1733" s="24" t="s">
        <v>7</v>
      </c>
      <c r="B1733" s="24" t="s">
        <v>8903</v>
      </c>
      <c r="C1733" s="25" t="s">
        <v>8904</v>
      </c>
      <c r="D1733" s="24" t="s">
        <v>21836</v>
      </c>
      <c r="E1733" s="40">
        <v>174</v>
      </c>
      <c r="F1733" s="41">
        <v>7422</v>
      </c>
      <c r="G1733" s="40">
        <v>530</v>
      </c>
      <c r="H1733" s="41">
        <v>17952</v>
      </c>
      <c r="I1733" s="41">
        <v>42.655172413793103</v>
      </c>
      <c r="J1733" s="41">
        <v>33.87169811320755</v>
      </c>
      <c r="K1733" s="42">
        <v>-0.20591815256021101</v>
      </c>
    </row>
    <row r="1734" spans="1:11" x14ac:dyDescent="0.25">
      <c r="A1734" s="24" t="s">
        <v>7</v>
      </c>
      <c r="B1734" s="24" t="s">
        <v>8906</v>
      </c>
      <c r="C1734" s="25" t="s">
        <v>8907</v>
      </c>
      <c r="D1734" s="24" t="s">
        <v>21824</v>
      </c>
      <c r="E1734" s="40">
        <v>2405</v>
      </c>
      <c r="F1734" s="41">
        <v>42449</v>
      </c>
      <c r="G1734" s="40">
        <v>1753</v>
      </c>
      <c r="H1734" s="41">
        <v>28376</v>
      </c>
      <c r="I1734" s="41">
        <v>17.650311850311851</v>
      </c>
      <c r="J1734" s="41">
        <v>16.187107815173988</v>
      </c>
      <c r="K1734" s="42">
        <v>-8.2899613760196028E-2</v>
      </c>
    </row>
    <row r="1735" spans="1:11" x14ac:dyDescent="0.25">
      <c r="A1735" s="24" t="s">
        <v>7</v>
      </c>
      <c r="B1735" s="24" t="s">
        <v>8909</v>
      </c>
      <c r="C1735" s="25" t="s">
        <v>8910</v>
      </c>
      <c r="D1735" s="24" t="s">
        <v>21824</v>
      </c>
      <c r="E1735" s="40">
        <v>34</v>
      </c>
      <c r="F1735" s="41">
        <v>556</v>
      </c>
      <c r="G1735" s="40">
        <v>0</v>
      </c>
      <c r="H1735" s="41">
        <v>0</v>
      </c>
      <c r="I1735" s="41">
        <v>16.352941176470587</v>
      </c>
    </row>
    <row r="1736" spans="1:11" x14ac:dyDescent="0.25">
      <c r="A1736" s="24" t="s">
        <v>7</v>
      </c>
      <c r="B1736" s="24" t="s">
        <v>8913</v>
      </c>
      <c r="C1736" s="25" t="s">
        <v>8914</v>
      </c>
      <c r="D1736" s="24" t="s">
        <v>21824</v>
      </c>
      <c r="E1736" s="40">
        <v>11</v>
      </c>
      <c r="F1736" s="41">
        <v>187</v>
      </c>
      <c r="G1736" s="40">
        <v>29</v>
      </c>
      <c r="H1736" s="41">
        <v>373</v>
      </c>
      <c r="I1736" s="41">
        <v>17</v>
      </c>
      <c r="J1736" s="41">
        <v>12.862068965517242</v>
      </c>
      <c r="K1736" s="42">
        <v>-0.24340770791075048</v>
      </c>
    </row>
    <row r="1737" spans="1:11" x14ac:dyDescent="0.25">
      <c r="A1737" s="24" t="s">
        <v>7</v>
      </c>
      <c r="B1737" s="24" t="s">
        <v>8916</v>
      </c>
      <c r="C1737" s="25" t="s">
        <v>8917</v>
      </c>
      <c r="D1737" s="24" t="s">
        <v>21824</v>
      </c>
      <c r="E1737" s="40">
        <v>33</v>
      </c>
      <c r="F1737" s="41">
        <v>706</v>
      </c>
      <c r="G1737" s="40">
        <v>7</v>
      </c>
      <c r="H1737" s="41">
        <v>112</v>
      </c>
      <c r="I1737" s="41">
        <v>21.393939393939394</v>
      </c>
      <c r="J1737" s="41">
        <v>16</v>
      </c>
      <c r="K1737" s="42">
        <v>-0.25212464589235128</v>
      </c>
    </row>
    <row r="1738" spans="1:11" x14ac:dyDescent="0.25">
      <c r="A1738" s="24" t="s">
        <v>7</v>
      </c>
      <c r="B1738" s="24" t="s">
        <v>8922</v>
      </c>
      <c r="C1738" s="25" t="s">
        <v>8923</v>
      </c>
      <c r="D1738" s="24" t="s">
        <v>21824</v>
      </c>
      <c r="E1738" s="40">
        <v>244</v>
      </c>
      <c r="F1738" s="41">
        <v>6016</v>
      </c>
      <c r="G1738" s="40">
        <v>77</v>
      </c>
      <c r="H1738" s="41">
        <v>1856</v>
      </c>
      <c r="I1738" s="41">
        <v>24.655737704918032</v>
      </c>
      <c r="J1738" s="41">
        <v>24.103896103896105</v>
      </c>
      <c r="K1738" s="42">
        <v>-2.2381873445703155E-2</v>
      </c>
    </row>
    <row r="1739" spans="1:11" x14ac:dyDescent="0.25">
      <c r="A1739" s="24" t="s">
        <v>7</v>
      </c>
      <c r="B1739" s="24" t="s">
        <v>8925</v>
      </c>
      <c r="C1739" s="25" t="s">
        <v>8926</v>
      </c>
      <c r="D1739" s="24" t="s">
        <v>21824</v>
      </c>
      <c r="G1739" s="40">
        <v>50</v>
      </c>
      <c r="H1739" s="41">
        <v>558</v>
      </c>
      <c r="J1739" s="41">
        <v>11.16</v>
      </c>
    </row>
    <row r="1740" spans="1:11" x14ac:dyDescent="0.25">
      <c r="A1740" s="24" t="s">
        <v>7</v>
      </c>
      <c r="B1740" s="24" t="s">
        <v>8931</v>
      </c>
      <c r="C1740" s="25" t="s">
        <v>8932</v>
      </c>
      <c r="D1740" s="24" t="s">
        <v>21824</v>
      </c>
      <c r="E1740" s="40">
        <v>31</v>
      </c>
      <c r="F1740" s="41">
        <v>966</v>
      </c>
      <c r="G1740" s="40">
        <v>31</v>
      </c>
      <c r="H1740" s="41">
        <v>528</v>
      </c>
      <c r="I1740" s="41">
        <v>31.161290322580644</v>
      </c>
      <c r="J1740" s="41">
        <v>17.032258064516128</v>
      </c>
      <c r="K1740" s="42">
        <v>-0.453416149068323</v>
      </c>
    </row>
    <row r="1741" spans="1:11" x14ac:dyDescent="0.25">
      <c r="A1741" s="24" t="s">
        <v>7</v>
      </c>
      <c r="B1741" s="24" t="s">
        <v>8934</v>
      </c>
      <c r="C1741" s="25" t="s">
        <v>8935</v>
      </c>
      <c r="D1741" s="24" t="s">
        <v>21824</v>
      </c>
      <c r="E1741" s="40">
        <v>338</v>
      </c>
      <c r="F1741" s="41">
        <v>13373</v>
      </c>
      <c r="G1741" s="40">
        <v>173</v>
      </c>
      <c r="H1741" s="41">
        <v>6312</v>
      </c>
      <c r="I1741" s="41">
        <v>39.565088757396452</v>
      </c>
      <c r="J1741" s="41">
        <v>36.48554913294798</v>
      </c>
      <c r="K1741" s="42">
        <v>-7.7834771035936848E-2</v>
      </c>
    </row>
    <row r="1742" spans="1:11" x14ac:dyDescent="0.25">
      <c r="A1742" s="24" t="s">
        <v>7</v>
      </c>
      <c r="B1742" s="24" t="s">
        <v>8937</v>
      </c>
      <c r="C1742" s="25" t="s">
        <v>8938</v>
      </c>
      <c r="D1742" s="24" t="s">
        <v>21824</v>
      </c>
      <c r="G1742" s="40">
        <v>122</v>
      </c>
      <c r="H1742" s="41">
        <v>2074</v>
      </c>
      <c r="J1742" s="41">
        <v>17</v>
      </c>
    </row>
    <row r="1743" spans="1:11" x14ac:dyDescent="0.25">
      <c r="A1743" s="24" t="s">
        <v>7</v>
      </c>
      <c r="B1743" s="24" t="s">
        <v>8945</v>
      </c>
      <c r="C1743" s="25" t="s">
        <v>8946</v>
      </c>
      <c r="D1743" s="24" t="s">
        <v>21823</v>
      </c>
      <c r="G1743" s="40">
        <v>16</v>
      </c>
      <c r="H1743" s="41">
        <v>272</v>
      </c>
      <c r="J1743" s="41">
        <v>17</v>
      </c>
    </row>
    <row r="1744" spans="1:11" x14ac:dyDescent="0.25">
      <c r="A1744" s="24" t="s">
        <v>7</v>
      </c>
      <c r="B1744" s="24" t="s">
        <v>8947</v>
      </c>
      <c r="C1744" s="25" t="s">
        <v>8948</v>
      </c>
      <c r="D1744" s="24" t="s">
        <v>21823</v>
      </c>
      <c r="G1744" s="40">
        <v>36</v>
      </c>
      <c r="H1744" s="41">
        <v>1116</v>
      </c>
      <c r="J1744" s="41">
        <v>31</v>
      </c>
    </row>
    <row r="1745" spans="1:11" x14ac:dyDescent="0.25">
      <c r="A1745" s="24" t="s">
        <v>7</v>
      </c>
      <c r="B1745" s="24" t="s">
        <v>8959</v>
      </c>
      <c r="C1745" s="25" t="s">
        <v>8960</v>
      </c>
      <c r="D1745" s="24" t="s">
        <v>21823</v>
      </c>
      <c r="E1745" s="40">
        <v>396</v>
      </c>
      <c r="F1745" s="41">
        <v>7519</v>
      </c>
      <c r="G1745" s="40">
        <v>76</v>
      </c>
      <c r="H1745" s="41">
        <v>1444</v>
      </c>
      <c r="I1745" s="41">
        <v>18.987373737373737</v>
      </c>
      <c r="J1745" s="41">
        <v>19</v>
      </c>
      <c r="K1745" s="42">
        <v>6.6498204548479079E-4</v>
      </c>
    </row>
    <row r="1746" spans="1:11" x14ac:dyDescent="0.25">
      <c r="A1746" s="24" t="s">
        <v>7</v>
      </c>
      <c r="B1746" s="24" t="s">
        <v>8962</v>
      </c>
      <c r="C1746" s="25" t="s">
        <v>8963</v>
      </c>
      <c r="D1746" s="24" t="s">
        <v>21823</v>
      </c>
      <c r="G1746" s="40">
        <v>1</v>
      </c>
      <c r="H1746" s="41">
        <v>14</v>
      </c>
      <c r="J1746" s="41">
        <v>14</v>
      </c>
    </row>
    <row r="1747" spans="1:11" x14ac:dyDescent="0.25">
      <c r="A1747" s="24" t="s">
        <v>7</v>
      </c>
      <c r="B1747" s="24" t="s">
        <v>8965</v>
      </c>
      <c r="C1747" s="25" t="s">
        <v>8966</v>
      </c>
      <c r="D1747" s="24" t="s">
        <v>21823</v>
      </c>
      <c r="G1747" s="40">
        <v>1</v>
      </c>
      <c r="H1747" s="41">
        <v>14</v>
      </c>
      <c r="J1747" s="41">
        <v>14</v>
      </c>
    </row>
    <row r="1748" spans="1:11" x14ac:dyDescent="0.25">
      <c r="A1748" s="24" t="s">
        <v>7</v>
      </c>
      <c r="B1748" s="24" t="s">
        <v>8969</v>
      </c>
      <c r="C1748" s="25" t="s">
        <v>8970</v>
      </c>
      <c r="D1748" s="24" t="s">
        <v>21824</v>
      </c>
      <c r="E1748" s="40">
        <v>270</v>
      </c>
      <c r="F1748" s="41">
        <v>20394</v>
      </c>
      <c r="G1748" s="40">
        <v>299</v>
      </c>
      <c r="H1748" s="41">
        <v>19253</v>
      </c>
      <c r="I1748" s="41">
        <v>75.533333333333331</v>
      </c>
      <c r="J1748" s="41">
        <v>64.391304347826093</v>
      </c>
      <c r="K1748" s="42">
        <v>-0.14751141640124324</v>
      </c>
    </row>
    <row r="1749" spans="1:11" x14ac:dyDescent="0.25">
      <c r="A1749" s="24" t="s">
        <v>7</v>
      </c>
      <c r="B1749" s="24" t="s">
        <v>8972</v>
      </c>
      <c r="C1749" s="25" t="s">
        <v>8973</v>
      </c>
      <c r="D1749" s="24" t="s">
        <v>21824</v>
      </c>
      <c r="E1749" s="40">
        <v>569</v>
      </c>
      <c r="F1749" s="41">
        <v>36030</v>
      </c>
      <c r="G1749" s="40">
        <v>708</v>
      </c>
      <c r="H1749" s="41">
        <v>41236</v>
      </c>
      <c r="I1749" s="41">
        <v>63.321616871704748</v>
      </c>
      <c r="J1749" s="41">
        <v>58.242937853107343</v>
      </c>
      <c r="K1749" s="42">
        <v>-8.0204506288701738E-2</v>
      </c>
    </row>
    <row r="1750" spans="1:11" x14ac:dyDescent="0.25">
      <c r="A1750" s="24" t="s">
        <v>7</v>
      </c>
      <c r="B1750" s="24" t="s">
        <v>8975</v>
      </c>
      <c r="C1750" s="25" t="s">
        <v>8976</v>
      </c>
      <c r="D1750" s="24" t="s">
        <v>21824</v>
      </c>
      <c r="E1750" s="40">
        <v>665</v>
      </c>
      <c r="F1750" s="41">
        <v>29864</v>
      </c>
      <c r="G1750" s="40">
        <v>637</v>
      </c>
      <c r="H1750" s="41">
        <v>25902</v>
      </c>
      <c r="I1750" s="41">
        <v>44.908270676691728</v>
      </c>
      <c r="J1750" s="41">
        <v>40.662480376766091</v>
      </c>
      <c r="K1750" s="42">
        <v>-9.4543616041071157E-2</v>
      </c>
    </row>
    <row r="1751" spans="1:11" x14ac:dyDescent="0.25">
      <c r="A1751" s="24" t="s">
        <v>7</v>
      </c>
      <c r="B1751" s="24" t="s">
        <v>8978</v>
      </c>
      <c r="C1751" s="25" t="s">
        <v>8979</v>
      </c>
      <c r="D1751" s="24" t="s">
        <v>21824</v>
      </c>
      <c r="E1751" s="40">
        <v>226</v>
      </c>
      <c r="F1751" s="41">
        <v>3787</v>
      </c>
      <c r="G1751" s="40">
        <v>322</v>
      </c>
      <c r="H1751" s="41">
        <v>5422</v>
      </c>
      <c r="I1751" s="41">
        <v>16.756637168141594</v>
      </c>
      <c r="J1751" s="41">
        <v>16.838509316770185</v>
      </c>
      <c r="K1751" s="42">
        <v>4.8859534169689856E-3</v>
      </c>
    </row>
    <row r="1752" spans="1:11" x14ac:dyDescent="0.25">
      <c r="A1752" s="24" t="s">
        <v>7</v>
      </c>
      <c r="B1752" s="24" t="s">
        <v>8981</v>
      </c>
      <c r="C1752" s="25" t="s">
        <v>8982</v>
      </c>
      <c r="D1752" s="24" t="s">
        <v>21824</v>
      </c>
      <c r="E1752" s="40">
        <v>147</v>
      </c>
      <c r="F1752" s="41">
        <v>3998</v>
      </c>
      <c r="G1752" s="40">
        <v>168</v>
      </c>
      <c r="H1752" s="41">
        <v>4324</v>
      </c>
      <c r="I1752" s="41">
        <v>27.197278911564627</v>
      </c>
      <c r="J1752" s="41">
        <v>25.738095238095237</v>
      </c>
      <c r="K1752" s="42">
        <v>-5.3651825912956558E-2</v>
      </c>
    </row>
    <row r="1753" spans="1:11" x14ac:dyDescent="0.25">
      <c r="A1753" s="24" t="s">
        <v>7</v>
      </c>
      <c r="B1753" s="24" t="s">
        <v>8984</v>
      </c>
      <c r="C1753" s="25" t="s">
        <v>8985</v>
      </c>
      <c r="D1753" s="24" t="s">
        <v>21824</v>
      </c>
      <c r="E1753" s="40">
        <v>1152</v>
      </c>
      <c r="F1753" s="41">
        <v>324450</v>
      </c>
      <c r="G1753" s="40">
        <v>1291</v>
      </c>
      <c r="H1753" s="41">
        <v>335042</v>
      </c>
      <c r="I1753" s="41">
        <v>281.640625</v>
      </c>
      <c r="J1753" s="41">
        <v>259.52130131680866</v>
      </c>
      <c r="K1753" s="42">
        <v>-7.8537404478460235E-2</v>
      </c>
    </row>
    <row r="1754" spans="1:11" x14ac:dyDescent="0.25">
      <c r="A1754" s="24" t="s">
        <v>7</v>
      </c>
      <c r="B1754" s="24" t="s">
        <v>8987</v>
      </c>
      <c r="C1754" s="25" t="s">
        <v>8988</v>
      </c>
      <c r="D1754" s="24" t="s">
        <v>21824</v>
      </c>
      <c r="E1754" s="40">
        <v>15</v>
      </c>
      <c r="F1754" s="41">
        <v>254</v>
      </c>
      <c r="G1754" s="40">
        <v>7</v>
      </c>
      <c r="H1754" s="41">
        <v>119</v>
      </c>
      <c r="I1754" s="41">
        <v>16.933333333333334</v>
      </c>
      <c r="J1754" s="41">
        <v>17</v>
      </c>
      <c r="K1754" s="42">
        <v>3.9370078740157341E-3</v>
      </c>
    </row>
    <row r="1755" spans="1:11" x14ac:dyDescent="0.25">
      <c r="A1755" s="24" t="s">
        <v>7</v>
      </c>
      <c r="B1755" s="24" t="s">
        <v>8990</v>
      </c>
      <c r="C1755" s="25" t="s">
        <v>8991</v>
      </c>
      <c r="D1755" s="24" t="s">
        <v>21824</v>
      </c>
      <c r="E1755" s="40">
        <v>227</v>
      </c>
      <c r="F1755" s="41">
        <v>4836</v>
      </c>
      <c r="G1755" s="40">
        <v>327</v>
      </c>
      <c r="H1755" s="41">
        <v>6429</v>
      </c>
      <c r="I1755" s="41">
        <v>21.303964757709252</v>
      </c>
      <c r="J1755" s="41">
        <v>19.660550458715598</v>
      </c>
      <c r="K1755" s="42">
        <v>-7.7141241908924643E-2</v>
      </c>
    </row>
    <row r="1756" spans="1:11" x14ac:dyDescent="0.25">
      <c r="A1756" s="24" t="s">
        <v>7</v>
      </c>
      <c r="B1756" s="24" t="s">
        <v>8996</v>
      </c>
      <c r="C1756" s="25" t="s">
        <v>8997</v>
      </c>
      <c r="D1756" s="24" t="s">
        <v>21824</v>
      </c>
      <c r="G1756" s="40">
        <v>38</v>
      </c>
      <c r="H1756" s="41">
        <v>722</v>
      </c>
      <c r="J1756" s="41">
        <v>19</v>
      </c>
    </row>
    <row r="1757" spans="1:11" x14ac:dyDescent="0.25">
      <c r="A1757" s="24" t="s">
        <v>7</v>
      </c>
      <c r="B1757" s="24" t="s">
        <v>8999</v>
      </c>
      <c r="C1757" s="25" t="s">
        <v>9000</v>
      </c>
      <c r="D1757" s="24" t="s">
        <v>21824</v>
      </c>
      <c r="E1757" s="40">
        <v>243</v>
      </c>
      <c r="F1757" s="41">
        <v>3562</v>
      </c>
      <c r="G1757" s="40">
        <v>309</v>
      </c>
      <c r="H1757" s="41">
        <v>3977</v>
      </c>
      <c r="I1757" s="41">
        <v>14.65843621399177</v>
      </c>
      <c r="J1757" s="41">
        <v>12.870550161812298</v>
      </c>
      <c r="K1757" s="42">
        <v>-0.12196976717563493</v>
      </c>
    </row>
    <row r="1758" spans="1:11" x14ac:dyDescent="0.25">
      <c r="A1758" s="24" t="s">
        <v>7</v>
      </c>
      <c r="B1758" s="24" t="s">
        <v>9002</v>
      </c>
      <c r="C1758" s="25" t="s">
        <v>9003</v>
      </c>
      <c r="D1758" s="24" t="s">
        <v>21824</v>
      </c>
      <c r="E1758" s="40">
        <v>199</v>
      </c>
      <c r="F1758" s="41">
        <v>65560</v>
      </c>
      <c r="G1758" s="40">
        <v>179</v>
      </c>
      <c r="H1758" s="41">
        <v>52385</v>
      </c>
      <c r="I1758" s="41">
        <v>329.4472361809045</v>
      </c>
      <c r="J1758" s="41">
        <v>292.65363128491617</v>
      </c>
      <c r="K1758" s="42">
        <v>-0.11168284585573028</v>
      </c>
    </row>
    <row r="1759" spans="1:11" x14ac:dyDescent="0.25">
      <c r="A1759" s="24" t="s">
        <v>7</v>
      </c>
      <c r="B1759" s="24" t="s">
        <v>9005</v>
      </c>
      <c r="C1759" s="25" t="s">
        <v>9006</v>
      </c>
      <c r="D1759" s="24" t="s">
        <v>21824</v>
      </c>
      <c r="E1759" s="40">
        <v>59</v>
      </c>
      <c r="F1759" s="41">
        <v>1642</v>
      </c>
      <c r="G1759" s="40">
        <v>33</v>
      </c>
      <c r="H1759" s="41">
        <v>814</v>
      </c>
      <c r="I1759" s="41">
        <v>27.83050847457627</v>
      </c>
      <c r="J1759" s="41">
        <v>24.666666666666668</v>
      </c>
      <c r="K1759" s="42">
        <v>-0.11368250101502225</v>
      </c>
    </row>
    <row r="1760" spans="1:11" x14ac:dyDescent="0.25">
      <c r="A1760" s="24" t="s">
        <v>7</v>
      </c>
      <c r="B1760" s="24" t="s">
        <v>9008</v>
      </c>
      <c r="C1760" s="25" t="s">
        <v>9009</v>
      </c>
      <c r="D1760" s="24" t="s">
        <v>21824</v>
      </c>
      <c r="E1760" s="40">
        <v>79</v>
      </c>
      <c r="F1760" s="41">
        <v>1337</v>
      </c>
      <c r="G1760" s="40">
        <v>45</v>
      </c>
      <c r="H1760" s="41">
        <v>765</v>
      </c>
      <c r="I1760" s="41">
        <v>16.924050632911392</v>
      </c>
      <c r="J1760" s="41">
        <v>17</v>
      </c>
      <c r="K1760" s="42">
        <v>4.4876589379207422E-3</v>
      </c>
    </row>
    <row r="1761" spans="1:11" x14ac:dyDescent="0.25">
      <c r="A1761" s="24" t="s">
        <v>7</v>
      </c>
      <c r="B1761" s="24" t="s">
        <v>9011</v>
      </c>
      <c r="C1761" s="25" t="s">
        <v>9012</v>
      </c>
      <c r="D1761" s="24" t="s">
        <v>21824</v>
      </c>
      <c r="E1761" s="40">
        <v>137</v>
      </c>
      <c r="F1761" s="41">
        <v>2278</v>
      </c>
      <c r="G1761" s="40">
        <v>70</v>
      </c>
      <c r="H1761" s="41">
        <v>1158</v>
      </c>
      <c r="I1761" s="41">
        <v>16.627737226277372</v>
      </c>
      <c r="J1761" s="41">
        <v>16.542857142857144</v>
      </c>
      <c r="K1761" s="42">
        <v>-5.1047284585474676E-3</v>
      </c>
    </row>
    <row r="1762" spans="1:11" x14ac:dyDescent="0.25">
      <c r="A1762" s="24" t="s">
        <v>7</v>
      </c>
      <c r="B1762" s="24" t="s">
        <v>9014</v>
      </c>
      <c r="C1762" s="25" t="s">
        <v>9015</v>
      </c>
      <c r="D1762" s="24" t="s">
        <v>21824</v>
      </c>
      <c r="E1762" s="40">
        <v>405</v>
      </c>
      <c r="F1762" s="41">
        <v>43420</v>
      </c>
      <c r="G1762" s="40">
        <v>1033</v>
      </c>
      <c r="H1762" s="41">
        <v>107406</v>
      </c>
      <c r="I1762" s="41">
        <v>107.20987654320987</v>
      </c>
      <c r="J1762" s="41">
        <v>103.97483059051306</v>
      </c>
      <c r="K1762" s="42">
        <v>-3.0174887398484739E-2</v>
      </c>
    </row>
    <row r="1763" spans="1:11" x14ac:dyDescent="0.25">
      <c r="A1763" s="24" t="s">
        <v>7</v>
      </c>
      <c r="B1763" s="24" t="s">
        <v>9017</v>
      </c>
      <c r="C1763" s="25" t="s">
        <v>9018</v>
      </c>
      <c r="D1763" s="24" t="s">
        <v>21824</v>
      </c>
      <c r="G1763" s="40">
        <v>35</v>
      </c>
      <c r="H1763" s="41">
        <v>4900</v>
      </c>
      <c r="J1763" s="41">
        <v>140</v>
      </c>
    </row>
    <row r="1764" spans="1:11" x14ac:dyDescent="0.25">
      <c r="A1764" s="24" t="s">
        <v>7</v>
      </c>
      <c r="B1764" s="24" t="s">
        <v>9020</v>
      </c>
      <c r="C1764" s="25" t="s">
        <v>9021</v>
      </c>
      <c r="D1764" s="24" t="s">
        <v>21824</v>
      </c>
      <c r="E1764" s="40">
        <v>2524</v>
      </c>
      <c r="F1764" s="41">
        <v>1106563</v>
      </c>
      <c r="G1764" s="40">
        <v>3500</v>
      </c>
      <c r="H1764" s="41">
        <v>1314032</v>
      </c>
      <c r="I1764" s="41">
        <v>438.41640253565771</v>
      </c>
      <c r="J1764" s="41">
        <v>375.43771428571426</v>
      </c>
      <c r="K1764" s="42">
        <v>-0.14365039237969934</v>
      </c>
    </row>
    <row r="1765" spans="1:11" x14ac:dyDescent="0.25">
      <c r="A1765" s="24" t="s">
        <v>7</v>
      </c>
      <c r="B1765" s="24" t="s">
        <v>9023</v>
      </c>
      <c r="C1765" s="25" t="s">
        <v>9024</v>
      </c>
      <c r="D1765" s="24" t="s">
        <v>21824</v>
      </c>
      <c r="E1765" s="40">
        <v>290</v>
      </c>
      <c r="F1765" s="41">
        <v>41662</v>
      </c>
      <c r="G1765" s="40">
        <v>298</v>
      </c>
      <c r="H1765" s="41">
        <v>35742</v>
      </c>
      <c r="I1765" s="41">
        <v>143.66206896551725</v>
      </c>
      <c r="J1765" s="41">
        <v>119.93959731543625</v>
      </c>
      <c r="K1765" s="42">
        <v>-0.16512689689701626</v>
      </c>
    </row>
    <row r="1766" spans="1:11" x14ac:dyDescent="0.25">
      <c r="A1766" s="24" t="s">
        <v>7</v>
      </c>
      <c r="B1766" s="24" t="s">
        <v>9026</v>
      </c>
      <c r="C1766" s="25" t="s">
        <v>9027</v>
      </c>
      <c r="D1766" s="24" t="s">
        <v>21824</v>
      </c>
      <c r="E1766" s="40">
        <v>425</v>
      </c>
      <c r="F1766" s="41">
        <v>65631</v>
      </c>
      <c r="G1766" s="40">
        <v>421</v>
      </c>
      <c r="H1766" s="41">
        <v>61323</v>
      </c>
      <c r="I1766" s="41">
        <v>154.42588235294119</v>
      </c>
      <c r="J1766" s="41">
        <v>145.6603325415677</v>
      </c>
      <c r="K1766" s="42">
        <v>-5.6762180521913924E-2</v>
      </c>
    </row>
    <row r="1767" spans="1:11" x14ac:dyDescent="0.25">
      <c r="A1767" s="24" t="s">
        <v>7</v>
      </c>
      <c r="B1767" s="24" t="s">
        <v>9029</v>
      </c>
      <c r="C1767" s="25" t="s">
        <v>9030</v>
      </c>
      <c r="D1767" s="24" t="s">
        <v>21824</v>
      </c>
      <c r="E1767" s="40">
        <v>1030</v>
      </c>
      <c r="F1767" s="41">
        <v>217210</v>
      </c>
      <c r="G1767" s="40">
        <v>385</v>
      </c>
      <c r="H1767" s="41">
        <v>60305</v>
      </c>
      <c r="I1767" s="41">
        <v>210.88349514563106</v>
      </c>
      <c r="J1767" s="41">
        <v>156.63636363636363</v>
      </c>
      <c r="K1767" s="42">
        <v>-0.2572374451201393</v>
      </c>
    </row>
    <row r="1768" spans="1:11" x14ac:dyDescent="0.25">
      <c r="A1768" s="24" t="s">
        <v>7</v>
      </c>
      <c r="B1768" s="24" t="s">
        <v>9032</v>
      </c>
      <c r="C1768" s="25" t="s">
        <v>9033</v>
      </c>
      <c r="D1768" s="24" t="s">
        <v>21824</v>
      </c>
      <c r="E1768" s="40">
        <v>441</v>
      </c>
      <c r="F1768" s="41">
        <v>41762</v>
      </c>
      <c r="G1768" s="40">
        <v>175</v>
      </c>
      <c r="H1768" s="41">
        <v>12336</v>
      </c>
      <c r="I1768" s="41">
        <v>94.698412698412696</v>
      </c>
      <c r="J1768" s="41">
        <v>70.491428571428571</v>
      </c>
      <c r="K1768" s="42">
        <v>-0.25562185719074754</v>
      </c>
    </row>
    <row r="1769" spans="1:11" x14ac:dyDescent="0.25">
      <c r="A1769" s="24" t="s">
        <v>7</v>
      </c>
      <c r="B1769" s="24" t="s">
        <v>9035</v>
      </c>
      <c r="C1769" s="25" t="s">
        <v>9036</v>
      </c>
      <c r="D1769" s="24" t="s">
        <v>21824</v>
      </c>
      <c r="E1769" s="40">
        <v>593</v>
      </c>
      <c r="F1769" s="41">
        <v>77383</v>
      </c>
      <c r="G1769" s="40">
        <v>1029</v>
      </c>
      <c r="H1769" s="41">
        <v>128699</v>
      </c>
      <c r="I1769" s="41">
        <v>130.49409780775716</v>
      </c>
      <c r="J1769" s="41">
        <v>125.07191448007775</v>
      </c>
      <c r="K1769" s="42">
        <v>-4.1551176787070647E-2</v>
      </c>
    </row>
    <row r="1770" spans="1:11" x14ac:dyDescent="0.25">
      <c r="A1770" s="24" t="s">
        <v>7</v>
      </c>
      <c r="B1770" s="24" t="s">
        <v>9038</v>
      </c>
      <c r="C1770" s="25" t="s">
        <v>9039</v>
      </c>
      <c r="D1770" s="24" t="s">
        <v>21824</v>
      </c>
      <c r="E1770" s="40">
        <v>461</v>
      </c>
      <c r="F1770" s="41">
        <v>66809</v>
      </c>
      <c r="G1770" s="40">
        <v>307</v>
      </c>
      <c r="H1770" s="41">
        <v>43022</v>
      </c>
      <c r="I1770" s="41">
        <v>144.92190889370931</v>
      </c>
      <c r="J1770" s="41">
        <v>140.13680781758958</v>
      </c>
      <c r="K1770" s="42">
        <v>-3.3018479487661775E-2</v>
      </c>
    </row>
    <row r="1771" spans="1:11" x14ac:dyDescent="0.25">
      <c r="A1771" s="24" t="s">
        <v>7</v>
      </c>
      <c r="B1771" s="24" t="s">
        <v>9041</v>
      </c>
      <c r="C1771" s="25" t="s">
        <v>9042</v>
      </c>
      <c r="D1771" s="24" t="s">
        <v>21824</v>
      </c>
      <c r="E1771" s="40">
        <v>1115</v>
      </c>
      <c r="F1771" s="41">
        <v>16456</v>
      </c>
      <c r="G1771" s="40">
        <v>1216</v>
      </c>
      <c r="H1771" s="41">
        <v>15562</v>
      </c>
      <c r="I1771" s="41">
        <v>14.758744394618834</v>
      </c>
      <c r="J1771" s="41">
        <v>12.797697368421053</v>
      </c>
      <c r="K1771" s="42">
        <v>-0.13287356795153898</v>
      </c>
    </row>
    <row r="1772" spans="1:11" x14ac:dyDescent="0.25">
      <c r="A1772" s="24" t="s">
        <v>7</v>
      </c>
      <c r="B1772" s="24" t="s">
        <v>9044</v>
      </c>
      <c r="C1772" s="25" t="s">
        <v>9045</v>
      </c>
      <c r="D1772" s="24" t="s">
        <v>21823</v>
      </c>
      <c r="E1772" s="40">
        <v>995</v>
      </c>
      <c r="F1772" s="41">
        <v>11800</v>
      </c>
      <c r="G1772" s="40">
        <v>800</v>
      </c>
      <c r="H1772" s="41">
        <v>8480</v>
      </c>
      <c r="I1772" s="41">
        <v>11.859296482412061</v>
      </c>
      <c r="J1772" s="41">
        <v>10.6</v>
      </c>
      <c r="K1772" s="42">
        <v>-0.10618644067796619</v>
      </c>
    </row>
    <row r="1773" spans="1:11" x14ac:dyDescent="0.25">
      <c r="A1773" s="24" t="s">
        <v>7</v>
      </c>
      <c r="B1773" s="24" t="s">
        <v>9047</v>
      </c>
      <c r="C1773" s="25" t="s">
        <v>9048</v>
      </c>
      <c r="D1773" s="24" t="s">
        <v>21824</v>
      </c>
      <c r="E1773" s="40">
        <v>673</v>
      </c>
      <c r="F1773" s="41">
        <v>11007</v>
      </c>
      <c r="G1773" s="40">
        <v>581</v>
      </c>
      <c r="H1773" s="41">
        <v>8497</v>
      </c>
      <c r="I1773" s="41">
        <v>16.355126300148587</v>
      </c>
      <c r="J1773" s="41">
        <v>14.624784853700517</v>
      </c>
      <c r="K1773" s="42">
        <v>-0.10579810969924154</v>
      </c>
    </row>
    <row r="1774" spans="1:11" x14ac:dyDescent="0.25">
      <c r="A1774" s="24" t="s">
        <v>7</v>
      </c>
      <c r="B1774" s="24" t="s">
        <v>9050</v>
      </c>
      <c r="C1774" s="25" t="s">
        <v>9051</v>
      </c>
      <c r="D1774" s="24" t="s">
        <v>21824</v>
      </c>
      <c r="E1774" s="40">
        <v>11</v>
      </c>
      <c r="F1774" s="41">
        <v>209</v>
      </c>
      <c r="G1774" s="40">
        <v>123</v>
      </c>
      <c r="H1774" s="41">
        <v>2337</v>
      </c>
      <c r="I1774" s="41">
        <v>19</v>
      </c>
      <c r="J1774" s="41">
        <v>19</v>
      </c>
      <c r="K1774" s="42">
        <v>0</v>
      </c>
    </row>
    <row r="1775" spans="1:11" x14ac:dyDescent="0.25">
      <c r="A1775" s="24" t="s">
        <v>7</v>
      </c>
      <c r="B1775" s="24" t="s">
        <v>9053</v>
      </c>
      <c r="C1775" s="25" t="s">
        <v>9054</v>
      </c>
      <c r="D1775" s="24" t="s">
        <v>21824</v>
      </c>
      <c r="E1775" s="40">
        <v>854</v>
      </c>
      <c r="F1775" s="41">
        <v>14179</v>
      </c>
      <c r="G1775" s="40">
        <v>1154</v>
      </c>
      <c r="H1775" s="41">
        <v>17858</v>
      </c>
      <c r="I1775" s="41">
        <v>16.603044496487119</v>
      </c>
      <c r="J1775" s="41">
        <v>15.474870017331023</v>
      </c>
      <c r="K1775" s="42">
        <v>-6.7949855786677893E-2</v>
      </c>
    </row>
    <row r="1776" spans="1:11" x14ac:dyDescent="0.25">
      <c r="A1776" s="24" t="s">
        <v>7</v>
      </c>
      <c r="B1776" s="24" t="s">
        <v>9056</v>
      </c>
      <c r="C1776" s="25" t="s">
        <v>9057</v>
      </c>
      <c r="D1776" s="24" t="s">
        <v>21824</v>
      </c>
      <c r="E1776" s="40">
        <v>1134</v>
      </c>
      <c r="F1776" s="41">
        <v>48669</v>
      </c>
      <c r="G1776" s="40">
        <v>693</v>
      </c>
      <c r="H1776" s="41">
        <v>22932</v>
      </c>
      <c r="I1776" s="41">
        <v>42.917989417989418</v>
      </c>
      <c r="J1776" s="41">
        <v>33.090909090909093</v>
      </c>
      <c r="K1776" s="42">
        <v>-0.22897345519548559</v>
      </c>
    </row>
    <row r="1777" spans="1:11" x14ac:dyDescent="0.25">
      <c r="A1777" s="24" t="s">
        <v>7</v>
      </c>
      <c r="B1777" s="24" t="s">
        <v>9059</v>
      </c>
      <c r="C1777" s="25" t="s">
        <v>9060</v>
      </c>
      <c r="D1777" s="24" t="s">
        <v>21824</v>
      </c>
      <c r="E1777" s="40">
        <v>18680</v>
      </c>
      <c r="F1777" s="41">
        <v>1640859</v>
      </c>
      <c r="G1777" s="40">
        <v>21787</v>
      </c>
      <c r="H1777" s="41">
        <v>1617201</v>
      </c>
      <c r="I1777" s="41">
        <v>87.840417558886514</v>
      </c>
      <c r="J1777" s="41">
        <v>74.227796392344061</v>
      </c>
      <c r="K1777" s="42">
        <v>-0.15496990502597299</v>
      </c>
    </row>
    <row r="1778" spans="1:11" x14ac:dyDescent="0.25">
      <c r="A1778" s="24" t="s">
        <v>7</v>
      </c>
      <c r="B1778" s="24" t="s">
        <v>9062</v>
      </c>
      <c r="C1778" s="25" t="s">
        <v>9063</v>
      </c>
      <c r="D1778" s="24" t="s">
        <v>21824</v>
      </c>
      <c r="E1778" s="40">
        <v>1758</v>
      </c>
      <c r="F1778" s="41">
        <v>92184</v>
      </c>
      <c r="G1778" s="40">
        <v>1719</v>
      </c>
      <c r="H1778" s="41">
        <v>76343</v>
      </c>
      <c r="I1778" s="41">
        <v>52.436860068259385</v>
      </c>
      <c r="J1778" s="41">
        <v>44.411285631180917</v>
      </c>
      <c r="K1778" s="42">
        <v>-0.15305215504191561</v>
      </c>
    </row>
    <row r="1779" spans="1:11" x14ac:dyDescent="0.25">
      <c r="A1779" s="24" t="s">
        <v>7</v>
      </c>
      <c r="B1779" s="24" t="s">
        <v>9065</v>
      </c>
      <c r="C1779" s="25" t="s">
        <v>9066</v>
      </c>
      <c r="D1779" s="24" t="s">
        <v>21824</v>
      </c>
      <c r="G1779" s="40">
        <v>91</v>
      </c>
      <c r="H1779" s="41">
        <v>16894</v>
      </c>
      <c r="J1779" s="41">
        <v>185.64835164835165</v>
      </c>
    </row>
    <row r="1780" spans="1:11" x14ac:dyDescent="0.25">
      <c r="A1780" s="24" t="s">
        <v>7</v>
      </c>
      <c r="B1780" s="24" t="s">
        <v>9068</v>
      </c>
      <c r="C1780" s="25" t="s">
        <v>9069</v>
      </c>
      <c r="D1780" s="24" t="s">
        <v>21824</v>
      </c>
      <c r="G1780" s="40">
        <v>2</v>
      </c>
      <c r="H1780" s="41">
        <v>192</v>
      </c>
      <c r="J1780" s="41">
        <v>96</v>
      </c>
    </row>
    <row r="1781" spans="1:11" x14ac:dyDescent="0.25">
      <c r="A1781" s="24" t="s">
        <v>7</v>
      </c>
      <c r="B1781" s="24" t="s">
        <v>9071</v>
      </c>
      <c r="C1781" s="25" t="s">
        <v>9072</v>
      </c>
      <c r="D1781" s="24" t="s">
        <v>21824</v>
      </c>
      <c r="E1781" s="40">
        <v>228</v>
      </c>
      <c r="F1781" s="41">
        <v>10868</v>
      </c>
      <c r="G1781" s="40">
        <v>140</v>
      </c>
      <c r="H1781" s="41">
        <v>6402</v>
      </c>
      <c r="I1781" s="41">
        <v>47.666666666666664</v>
      </c>
      <c r="J1781" s="41">
        <v>45.728571428571428</v>
      </c>
      <c r="K1781" s="42">
        <v>-4.0659340659340626E-2</v>
      </c>
    </row>
    <row r="1782" spans="1:11" x14ac:dyDescent="0.25">
      <c r="A1782" s="24" t="s">
        <v>7</v>
      </c>
      <c r="B1782" s="24" t="s">
        <v>9074</v>
      </c>
      <c r="C1782" s="25" t="s">
        <v>9075</v>
      </c>
      <c r="D1782" s="24" t="s">
        <v>21824</v>
      </c>
      <c r="E1782" s="40">
        <v>372</v>
      </c>
      <c r="F1782" s="41">
        <v>23348</v>
      </c>
      <c r="G1782" s="40">
        <v>264</v>
      </c>
      <c r="H1782" s="41">
        <v>16524</v>
      </c>
      <c r="I1782" s="41">
        <v>62.763440860215056</v>
      </c>
      <c r="J1782" s="41">
        <v>62.590909090909093</v>
      </c>
      <c r="K1782" s="42">
        <v>-2.748921457161982E-3</v>
      </c>
    </row>
    <row r="1783" spans="1:11" x14ac:dyDescent="0.25">
      <c r="A1783" s="24" t="s">
        <v>7</v>
      </c>
      <c r="B1783" s="24" t="s">
        <v>9077</v>
      </c>
      <c r="C1783" s="25" t="s">
        <v>9078</v>
      </c>
      <c r="D1783" s="24" t="s">
        <v>21824</v>
      </c>
      <c r="G1783" s="40">
        <v>118</v>
      </c>
      <c r="H1783" s="41">
        <v>4838</v>
      </c>
      <c r="J1783" s="41">
        <v>41</v>
      </c>
    </row>
    <row r="1784" spans="1:11" x14ac:dyDescent="0.25">
      <c r="A1784" s="24" t="s">
        <v>7</v>
      </c>
      <c r="B1784" s="24" t="s">
        <v>9083</v>
      </c>
      <c r="C1784" s="25" t="s">
        <v>9084</v>
      </c>
      <c r="D1784" s="24" t="s">
        <v>21824</v>
      </c>
      <c r="G1784" s="40">
        <v>61</v>
      </c>
      <c r="H1784" s="41">
        <v>758</v>
      </c>
      <c r="J1784" s="41">
        <v>12.426229508196721</v>
      </c>
    </row>
    <row r="1785" spans="1:11" x14ac:dyDescent="0.25">
      <c r="A1785" s="24" t="s">
        <v>7</v>
      </c>
      <c r="B1785" s="24" t="s">
        <v>9089</v>
      </c>
      <c r="C1785" s="25" t="s">
        <v>9090</v>
      </c>
      <c r="D1785" s="24" t="s">
        <v>21824</v>
      </c>
      <c r="G1785" s="40">
        <v>362</v>
      </c>
      <c r="H1785" s="41">
        <v>5776</v>
      </c>
      <c r="J1785" s="41">
        <v>15.955801104972375</v>
      </c>
    </row>
    <row r="1786" spans="1:11" x14ac:dyDescent="0.25">
      <c r="A1786" s="24" t="s">
        <v>7</v>
      </c>
      <c r="B1786" s="24" t="s">
        <v>9095</v>
      </c>
      <c r="C1786" s="25" t="s">
        <v>9096</v>
      </c>
      <c r="D1786" s="24" t="s">
        <v>21824</v>
      </c>
      <c r="G1786" s="40">
        <v>16</v>
      </c>
      <c r="H1786" s="41">
        <v>208</v>
      </c>
      <c r="J1786" s="41">
        <v>13</v>
      </c>
    </row>
    <row r="1787" spans="1:11" x14ac:dyDescent="0.25">
      <c r="A1787" s="24" t="s">
        <v>7</v>
      </c>
      <c r="B1787" s="24" t="s">
        <v>9098</v>
      </c>
      <c r="C1787" s="25" t="s">
        <v>9099</v>
      </c>
      <c r="D1787" s="24" t="s">
        <v>21824</v>
      </c>
      <c r="E1787" s="40">
        <v>170</v>
      </c>
      <c r="F1787" s="41">
        <v>2867</v>
      </c>
      <c r="G1787" s="40">
        <v>184</v>
      </c>
      <c r="H1787" s="41">
        <v>2648</v>
      </c>
      <c r="I1787" s="41">
        <v>16.86470588235294</v>
      </c>
      <c r="J1787" s="41">
        <v>14.391304347826088</v>
      </c>
      <c r="K1787" s="42">
        <v>-0.14666140944177358</v>
      </c>
    </row>
    <row r="1788" spans="1:11" x14ac:dyDescent="0.25">
      <c r="A1788" s="24" t="s">
        <v>7</v>
      </c>
      <c r="B1788" s="24" t="s">
        <v>9101</v>
      </c>
      <c r="C1788" s="25" t="s">
        <v>9102</v>
      </c>
      <c r="D1788" s="24" t="s">
        <v>21824</v>
      </c>
      <c r="E1788" s="40">
        <v>274</v>
      </c>
      <c r="F1788" s="41">
        <v>7218</v>
      </c>
      <c r="G1788" s="40">
        <v>176</v>
      </c>
      <c r="H1788" s="41">
        <v>3936</v>
      </c>
      <c r="I1788" s="41">
        <v>26.343065693430656</v>
      </c>
      <c r="J1788" s="41">
        <v>22.363636363636363</v>
      </c>
      <c r="K1788" s="42">
        <v>-0.15106173959041788</v>
      </c>
    </row>
    <row r="1789" spans="1:11" x14ac:dyDescent="0.25">
      <c r="A1789" s="24" t="s">
        <v>7</v>
      </c>
      <c r="B1789" s="24" t="s">
        <v>9113</v>
      </c>
      <c r="C1789" s="25" t="s">
        <v>9114</v>
      </c>
      <c r="D1789" s="24" t="s">
        <v>21824</v>
      </c>
      <c r="E1789" s="40">
        <v>287</v>
      </c>
      <c r="F1789" s="41">
        <v>4683</v>
      </c>
      <c r="G1789" s="40">
        <v>254</v>
      </c>
      <c r="H1789" s="41">
        <v>3988</v>
      </c>
      <c r="I1789" s="41">
        <v>16.317073170731707</v>
      </c>
      <c r="J1789" s="41">
        <v>15.700787401574804</v>
      </c>
      <c r="K1789" s="42">
        <v>-3.7769381966267598E-2</v>
      </c>
    </row>
    <row r="1790" spans="1:11" x14ac:dyDescent="0.25">
      <c r="A1790" s="24" t="s">
        <v>7</v>
      </c>
      <c r="B1790" s="24" t="s">
        <v>9116</v>
      </c>
      <c r="C1790" s="25" t="s">
        <v>9117</v>
      </c>
      <c r="D1790" s="24" t="s">
        <v>21824</v>
      </c>
      <c r="E1790" s="40">
        <v>47</v>
      </c>
      <c r="F1790" s="41">
        <v>792</v>
      </c>
      <c r="G1790" s="40">
        <v>49</v>
      </c>
      <c r="H1790" s="41">
        <v>833</v>
      </c>
      <c r="I1790" s="41">
        <v>16.851063829787233</v>
      </c>
      <c r="J1790" s="41">
        <v>17</v>
      </c>
      <c r="K1790" s="42">
        <v>8.8383838383839248E-3</v>
      </c>
    </row>
    <row r="1791" spans="1:11" x14ac:dyDescent="0.25">
      <c r="A1791" s="24" t="s">
        <v>7</v>
      </c>
      <c r="B1791" s="24" t="s">
        <v>9119</v>
      </c>
      <c r="C1791" s="25" t="s">
        <v>9120</v>
      </c>
      <c r="D1791" s="24" t="s">
        <v>21824</v>
      </c>
      <c r="E1791" s="40">
        <v>26</v>
      </c>
      <c r="F1791" s="41">
        <v>1212</v>
      </c>
      <c r="G1791" s="40">
        <v>28</v>
      </c>
      <c r="H1791" s="41">
        <v>1400</v>
      </c>
      <c r="I1791" s="41">
        <v>46.615384615384613</v>
      </c>
      <c r="J1791" s="41">
        <v>50</v>
      </c>
      <c r="K1791" s="42">
        <v>7.2607260726072653E-2</v>
      </c>
    </row>
    <row r="1792" spans="1:11" x14ac:dyDescent="0.25">
      <c r="A1792" s="24" t="s">
        <v>7</v>
      </c>
      <c r="B1792" s="24" t="s">
        <v>9122</v>
      </c>
      <c r="C1792" s="25" t="s">
        <v>9123</v>
      </c>
      <c r="D1792" s="24" t="s">
        <v>21824</v>
      </c>
      <c r="G1792" s="40">
        <v>17</v>
      </c>
      <c r="H1792" s="41">
        <v>1377</v>
      </c>
      <c r="J1792" s="41">
        <v>81</v>
      </c>
    </row>
    <row r="1793" spans="1:11" x14ac:dyDescent="0.25">
      <c r="A1793" s="24" t="s">
        <v>7</v>
      </c>
      <c r="B1793" s="24" t="s">
        <v>9128</v>
      </c>
      <c r="C1793" s="25" t="s">
        <v>9129</v>
      </c>
      <c r="D1793" s="24" t="s">
        <v>21824</v>
      </c>
      <c r="G1793" s="40">
        <v>87</v>
      </c>
      <c r="H1793" s="41">
        <v>27453</v>
      </c>
      <c r="J1793" s="41">
        <v>315.55172413793105</v>
      </c>
    </row>
    <row r="1794" spans="1:11" x14ac:dyDescent="0.25">
      <c r="A1794" s="24" t="s">
        <v>7</v>
      </c>
      <c r="B1794" s="24" t="s">
        <v>9131</v>
      </c>
      <c r="C1794" s="25" t="s">
        <v>9132</v>
      </c>
      <c r="D1794" s="24" t="s">
        <v>21824</v>
      </c>
      <c r="E1794" s="40">
        <v>244</v>
      </c>
      <c r="F1794" s="41">
        <v>3648</v>
      </c>
      <c r="G1794" s="40">
        <v>30</v>
      </c>
      <c r="H1794" s="41">
        <v>450</v>
      </c>
      <c r="I1794" s="41">
        <v>14.950819672131148</v>
      </c>
      <c r="J1794" s="41">
        <v>15</v>
      </c>
      <c r="K1794" s="42">
        <v>3.2894736842104854E-3</v>
      </c>
    </row>
    <row r="1795" spans="1:11" x14ac:dyDescent="0.25">
      <c r="A1795" s="24" t="s">
        <v>7</v>
      </c>
      <c r="B1795" s="24" t="s">
        <v>9134</v>
      </c>
      <c r="C1795" s="25" t="s">
        <v>9135</v>
      </c>
      <c r="D1795" s="24" t="s">
        <v>21824</v>
      </c>
      <c r="E1795" s="40">
        <v>1099</v>
      </c>
      <c r="F1795" s="41">
        <v>11812</v>
      </c>
      <c r="G1795" s="40">
        <v>1239</v>
      </c>
      <c r="H1795" s="41">
        <v>12018</v>
      </c>
      <c r="I1795" s="41">
        <v>10.747952684258417</v>
      </c>
      <c r="J1795" s="41">
        <v>9.6997578692493942</v>
      </c>
      <c r="K1795" s="42">
        <v>-9.7525067871225515E-2</v>
      </c>
    </row>
    <row r="1796" spans="1:11" x14ac:dyDescent="0.25">
      <c r="A1796" s="24" t="s">
        <v>7</v>
      </c>
      <c r="B1796" s="24" t="s">
        <v>9137</v>
      </c>
      <c r="C1796" s="25" t="s">
        <v>9138</v>
      </c>
      <c r="D1796" s="24" t="s">
        <v>21824</v>
      </c>
      <c r="E1796" s="40">
        <v>13490</v>
      </c>
      <c r="F1796" s="41">
        <v>314242</v>
      </c>
      <c r="G1796" s="40">
        <v>13570</v>
      </c>
      <c r="H1796" s="41">
        <v>280824</v>
      </c>
      <c r="I1796" s="41">
        <v>23.294440326167532</v>
      </c>
      <c r="J1796" s="41">
        <v>20.694473102431836</v>
      </c>
      <c r="K1796" s="42">
        <v>-0.11161320844506635</v>
      </c>
    </row>
    <row r="1797" spans="1:11" x14ac:dyDescent="0.25">
      <c r="A1797" s="24" t="s">
        <v>7</v>
      </c>
      <c r="B1797" s="24" t="s">
        <v>9140</v>
      </c>
      <c r="C1797" s="25" t="s">
        <v>9141</v>
      </c>
      <c r="D1797" s="24" t="s">
        <v>21824</v>
      </c>
      <c r="G1797" s="40">
        <v>20</v>
      </c>
      <c r="H1797" s="41">
        <v>380</v>
      </c>
      <c r="J1797" s="41">
        <v>19</v>
      </c>
    </row>
    <row r="1798" spans="1:11" x14ac:dyDescent="0.25">
      <c r="A1798" s="24" t="s">
        <v>7</v>
      </c>
      <c r="B1798" s="24" t="s">
        <v>9143</v>
      </c>
      <c r="C1798" s="25" t="s">
        <v>9144</v>
      </c>
      <c r="D1798" s="24" t="s">
        <v>21824</v>
      </c>
      <c r="E1798" s="40">
        <v>244</v>
      </c>
      <c r="F1798" s="41">
        <v>3629</v>
      </c>
      <c r="G1798" s="40">
        <v>94</v>
      </c>
      <c r="H1798" s="41">
        <v>1374</v>
      </c>
      <c r="I1798" s="41">
        <v>14.872950819672131</v>
      </c>
      <c r="J1798" s="41">
        <v>14.617021276595745</v>
      </c>
      <c r="K1798" s="42">
        <v>-1.7207717969313342E-2</v>
      </c>
    </row>
    <row r="1799" spans="1:11" x14ac:dyDescent="0.25">
      <c r="A1799" s="24" t="s">
        <v>7</v>
      </c>
      <c r="B1799" s="24" t="s">
        <v>9146</v>
      </c>
      <c r="C1799" s="25" t="s">
        <v>9147</v>
      </c>
      <c r="D1799" s="24" t="s">
        <v>21824</v>
      </c>
      <c r="E1799" s="40">
        <v>417</v>
      </c>
      <c r="F1799" s="41">
        <v>11478</v>
      </c>
      <c r="G1799" s="40">
        <v>515</v>
      </c>
      <c r="H1799" s="41">
        <v>14420</v>
      </c>
      <c r="I1799" s="41">
        <v>27.525179856115109</v>
      </c>
      <c r="J1799" s="41">
        <v>28</v>
      </c>
      <c r="K1799" s="42">
        <v>1.7250392054364828E-2</v>
      </c>
    </row>
    <row r="1800" spans="1:11" x14ac:dyDescent="0.25">
      <c r="A1800" s="24" t="s">
        <v>7</v>
      </c>
      <c r="B1800" s="24" t="s">
        <v>9149</v>
      </c>
      <c r="C1800" s="25" t="s">
        <v>9150</v>
      </c>
      <c r="D1800" s="24" t="s">
        <v>21824</v>
      </c>
      <c r="E1800" s="40">
        <v>2315</v>
      </c>
      <c r="F1800" s="41">
        <v>163280</v>
      </c>
      <c r="G1800" s="40">
        <v>2044</v>
      </c>
      <c r="H1800" s="41">
        <v>117792</v>
      </c>
      <c r="I1800" s="41">
        <v>70.53131749460043</v>
      </c>
      <c r="J1800" s="41">
        <v>57.628180039138947</v>
      </c>
      <c r="K1800" s="42">
        <v>-0.18294195988114487</v>
      </c>
    </row>
    <row r="1801" spans="1:11" x14ac:dyDescent="0.25">
      <c r="A1801" s="24" t="s">
        <v>7</v>
      </c>
      <c r="B1801" s="24" t="s">
        <v>9152</v>
      </c>
      <c r="C1801" s="25" t="s">
        <v>9153</v>
      </c>
      <c r="D1801" s="24" t="s">
        <v>21824</v>
      </c>
      <c r="E1801" s="40">
        <v>1149</v>
      </c>
      <c r="F1801" s="41">
        <v>31640</v>
      </c>
      <c r="G1801" s="40">
        <v>1321</v>
      </c>
      <c r="H1801" s="41">
        <v>34477</v>
      </c>
      <c r="I1801" s="41">
        <v>27.53698868581375</v>
      </c>
      <c r="J1801" s="41">
        <v>26.099167297501893</v>
      </c>
      <c r="K1801" s="42">
        <v>-5.2214183791729575E-2</v>
      </c>
    </row>
    <row r="1802" spans="1:11" x14ac:dyDescent="0.25">
      <c r="A1802" s="24" t="s">
        <v>7</v>
      </c>
      <c r="B1802" s="24" t="s">
        <v>9155</v>
      </c>
      <c r="C1802" s="25" t="s">
        <v>9156</v>
      </c>
      <c r="D1802" s="24" t="s">
        <v>21824</v>
      </c>
      <c r="E1802" s="40">
        <v>160</v>
      </c>
      <c r="F1802" s="41">
        <v>2234</v>
      </c>
      <c r="G1802" s="40">
        <v>71</v>
      </c>
      <c r="H1802" s="41">
        <v>435</v>
      </c>
      <c r="I1802" s="41">
        <v>13.9625</v>
      </c>
      <c r="J1802" s="41">
        <v>6.126760563380282</v>
      </c>
      <c r="K1802" s="42">
        <v>-0.56119888534429496</v>
      </c>
    </row>
    <row r="1803" spans="1:11" x14ac:dyDescent="0.25">
      <c r="A1803" s="24" t="s">
        <v>7</v>
      </c>
      <c r="B1803" s="24" t="s">
        <v>9158</v>
      </c>
      <c r="C1803" s="25" t="s">
        <v>9159</v>
      </c>
      <c r="D1803" s="24" t="s">
        <v>21824</v>
      </c>
      <c r="G1803" s="40">
        <v>25</v>
      </c>
      <c r="H1803" s="41">
        <v>25</v>
      </c>
      <c r="J1803" s="41">
        <v>1</v>
      </c>
    </row>
    <row r="1804" spans="1:11" x14ac:dyDescent="0.25">
      <c r="A1804" s="24" t="s">
        <v>7</v>
      </c>
      <c r="B1804" s="24" t="s">
        <v>9161</v>
      </c>
      <c r="C1804" s="25" t="s">
        <v>9162</v>
      </c>
      <c r="D1804" s="24" t="s">
        <v>21824</v>
      </c>
      <c r="E1804" s="40">
        <v>3</v>
      </c>
      <c r="F1804" s="41">
        <v>228</v>
      </c>
      <c r="G1804" s="40">
        <v>7</v>
      </c>
      <c r="H1804" s="41">
        <v>532</v>
      </c>
      <c r="I1804" s="41">
        <v>76</v>
      </c>
      <c r="J1804" s="41">
        <v>76</v>
      </c>
      <c r="K1804" s="42">
        <v>0</v>
      </c>
    </row>
    <row r="1805" spans="1:11" x14ac:dyDescent="0.25">
      <c r="A1805" s="24" t="s">
        <v>7</v>
      </c>
      <c r="B1805" s="24" t="s">
        <v>9164</v>
      </c>
      <c r="C1805" s="25" t="s">
        <v>9165</v>
      </c>
      <c r="D1805" s="24" t="s">
        <v>21824</v>
      </c>
      <c r="G1805" s="40">
        <v>11</v>
      </c>
      <c r="H1805" s="41">
        <v>561</v>
      </c>
      <c r="J1805" s="41">
        <v>51</v>
      </c>
    </row>
    <row r="1806" spans="1:11" x14ac:dyDescent="0.25">
      <c r="A1806" s="24" t="s">
        <v>7</v>
      </c>
      <c r="B1806" s="24" t="s">
        <v>9167</v>
      </c>
      <c r="C1806" s="25" t="s">
        <v>9168</v>
      </c>
      <c r="D1806" s="24" t="s">
        <v>21824</v>
      </c>
      <c r="E1806" s="40">
        <v>33</v>
      </c>
      <c r="F1806" s="41">
        <v>382</v>
      </c>
      <c r="G1806" s="40">
        <v>88</v>
      </c>
      <c r="H1806" s="41">
        <v>1056</v>
      </c>
      <c r="I1806" s="41">
        <v>11.575757575757576</v>
      </c>
      <c r="J1806" s="41">
        <v>12</v>
      </c>
      <c r="K1806" s="42">
        <v>3.6649214659685833E-2</v>
      </c>
    </row>
    <row r="1807" spans="1:11" x14ac:dyDescent="0.25">
      <c r="A1807" s="24" t="s">
        <v>7</v>
      </c>
      <c r="B1807" s="24" t="s">
        <v>9169</v>
      </c>
      <c r="C1807" s="25" t="s">
        <v>9170</v>
      </c>
      <c r="D1807" s="24" t="s">
        <v>21824</v>
      </c>
      <c r="E1807" s="40">
        <v>33</v>
      </c>
      <c r="F1807" s="41">
        <v>546</v>
      </c>
      <c r="G1807" s="40">
        <v>168</v>
      </c>
      <c r="H1807" s="41">
        <v>2600</v>
      </c>
      <c r="I1807" s="41">
        <v>16.545454545454547</v>
      </c>
      <c r="J1807" s="41">
        <v>15.476190476190476</v>
      </c>
      <c r="K1807" s="42">
        <v>-6.4625850340136126E-2</v>
      </c>
    </row>
    <row r="1808" spans="1:11" x14ac:dyDescent="0.25">
      <c r="A1808" s="24" t="s">
        <v>7</v>
      </c>
      <c r="B1808" s="24" t="s">
        <v>9171</v>
      </c>
      <c r="C1808" s="25" t="s">
        <v>9172</v>
      </c>
      <c r="D1808" s="24" t="s">
        <v>21824</v>
      </c>
      <c r="E1808" s="40">
        <v>11</v>
      </c>
      <c r="F1808" s="41">
        <v>272</v>
      </c>
      <c r="G1808" s="40">
        <v>9</v>
      </c>
      <c r="H1808" s="41">
        <v>211</v>
      </c>
      <c r="I1808" s="41">
        <v>24.727272727272727</v>
      </c>
      <c r="J1808" s="41">
        <v>23.444444444444443</v>
      </c>
      <c r="K1808" s="42">
        <v>-5.1879084967320299E-2</v>
      </c>
    </row>
    <row r="1809" spans="1:11" x14ac:dyDescent="0.25">
      <c r="A1809" s="24" t="s">
        <v>7</v>
      </c>
      <c r="B1809" s="24" t="s">
        <v>9173</v>
      </c>
      <c r="C1809" s="25" t="s">
        <v>9174</v>
      </c>
      <c r="D1809" s="24" t="s">
        <v>21837</v>
      </c>
      <c r="E1809" s="40">
        <v>69754</v>
      </c>
      <c r="F1809" s="41">
        <v>209262</v>
      </c>
      <c r="G1809" s="40">
        <v>63578</v>
      </c>
      <c r="H1809" s="41">
        <v>172288</v>
      </c>
      <c r="I1809" s="41">
        <v>3</v>
      </c>
      <c r="J1809" s="41">
        <v>2.7098681934002329</v>
      </c>
      <c r="K1809" s="42">
        <v>-9.6710602199922377E-2</v>
      </c>
    </row>
    <row r="1810" spans="1:11" x14ac:dyDescent="0.25">
      <c r="A1810" s="24" t="s">
        <v>7</v>
      </c>
      <c r="B1810" s="24" t="s">
        <v>9176</v>
      </c>
      <c r="C1810" s="25" t="s">
        <v>9177</v>
      </c>
      <c r="D1810" s="24" t="s">
        <v>21824</v>
      </c>
      <c r="E1810" s="40">
        <v>897</v>
      </c>
      <c r="F1810" s="41">
        <v>23679</v>
      </c>
      <c r="G1810" s="40">
        <v>956</v>
      </c>
      <c r="H1810" s="41">
        <v>22302</v>
      </c>
      <c r="I1810" s="41">
        <v>26.397993311036789</v>
      </c>
      <c r="J1810" s="41">
        <v>23.328451882845187</v>
      </c>
      <c r="K1810" s="42">
        <v>-0.1162793471467489</v>
      </c>
    </row>
    <row r="1811" spans="1:11" x14ac:dyDescent="0.25">
      <c r="A1811" s="24" t="s">
        <v>7</v>
      </c>
      <c r="B1811" s="24" t="s">
        <v>9179</v>
      </c>
      <c r="C1811" s="25" t="s">
        <v>9180</v>
      </c>
      <c r="D1811" s="24" t="s">
        <v>21824</v>
      </c>
      <c r="E1811" s="40">
        <v>1641</v>
      </c>
      <c r="F1811" s="41">
        <v>49779</v>
      </c>
      <c r="G1811" s="40">
        <v>2281</v>
      </c>
      <c r="H1811" s="41">
        <v>57301</v>
      </c>
      <c r="I1811" s="41">
        <v>30.334552102376598</v>
      </c>
      <c r="J1811" s="41">
        <v>25.120999561595792</v>
      </c>
      <c r="K1811" s="42">
        <v>-0.17186845295046715</v>
      </c>
    </row>
    <row r="1812" spans="1:11" x14ac:dyDescent="0.25">
      <c r="A1812" s="24" t="s">
        <v>7</v>
      </c>
      <c r="B1812" s="24" t="s">
        <v>9182</v>
      </c>
      <c r="C1812" s="25" t="s">
        <v>9183</v>
      </c>
      <c r="D1812" s="24" t="s">
        <v>21824</v>
      </c>
      <c r="E1812" s="40">
        <v>1143</v>
      </c>
      <c r="F1812" s="41">
        <v>34613</v>
      </c>
      <c r="G1812" s="40">
        <v>1547</v>
      </c>
      <c r="H1812" s="41">
        <v>39452</v>
      </c>
      <c r="I1812" s="41">
        <v>30.282589676290463</v>
      </c>
      <c r="J1812" s="41">
        <v>25.502262443438916</v>
      </c>
      <c r="K1812" s="42">
        <v>-0.15785727984136941</v>
      </c>
    </row>
    <row r="1813" spans="1:11" x14ac:dyDescent="0.25">
      <c r="A1813" s="24" t="s">
        <v>7</v>
      </c>
      <c r="B1813" s="24" t="s">
        <v>9188</v>
      </c>
      <c r="C1813" s="25" t="s">
        <v>9189</v>
      </c>
      <c r="D1813" s="24" t="s">
        <v>21824</v>
      </c>
      <c r="E1813" s="40">
        <v>22</v>
      </c>
      <c r="F1813" s="41">
        <v>374</v>
      </c>
      <c r="G1813" s="40">
        <v>59</v>
      </c>
      <c r="H1813" s="41">
        <v>1003</v>
      </c>
      <c r="I1813" s="41">
        <v>17</v>
      </c>
      <c r="J1813" s="41">
        <v>17</v>
      </c>
      <c r="K1813" s="42">
        <v>0</v>
      </c>
    </row>
    <row r="1814" spans="1:11" x14ac:dyDescent="0.25">
      <c r="A1814" s="24" t="s">
        <v>7</v>
      </c>
      <c r="B1814" s="24" t="s">
        <v>9191</v>
      </c>
      <c r="C1814" s="25" t="s">
        <v>9192</v>
      </c>
      <c r="D1814" s="24" t="s">
        <v>21824</v>
      </c>
      <c r="G1814" s="40">
        <v>133</v>
      </c>
      <c r="H1814" s="41">
        <v>1797</v>
      </c>
      <c r="J1814" s="41">
        <v>13.511278195488721</v>
      </c>
    </row>
    <row r="1815" spans="1:11" x14ac:dyDescent="0.25">
      <c r="A1815" s="24" t="s">
        <v>7</v>
      </c>
      <c r="B1815" s="24" t="s">
        <v>9197</v>
      </c>
      <c r="C1815" s="25" t="s">
        <v>9198</v>
      </c>
      <c r="D1815" s="24" t="s">
        <v>21824</v>
      </c>
      <c r="G1815" s="40">
        <v>3</v>
      </c>
      <c r="H1815" s="41">
        <v>57</v>
      </c>
      <c r="J1815" s="41">
        <v>19</v>
      </c>
    </row>
    <row r="1816" spans="1:11" x14ac:dyDescent="0.25">
      <c r="A1816" s="24" t="s">
        <v>7</v>
      </c>
      <c r="B1816" s="24" t="s">
        <v>9209</v>
      </c>
      <c r="C1816" s="25" t="s">
        <v>9210</v>
      </c>
      <c r="D1816" s="24" t="s">
        <v>21824</v>
      </c>
      <c r="E1816" s="40">
        <v>349</v>
      </c>
      <c r="F1816" s="41">
        <v>5767</v>
      </c>
      <c r="G1816" s="40">
        <v>436</v>
      </c>
      <c r="H1816" s="41">
        <v>6780</v>
      </c>
      <c r="I1816" s="41">
        <v>16.5243553008596</v>
      </c>
      <c r="J1816" s="41">
        <v>15.55045871559633</v>
      </c>
      <c r="K1816" s="42">
        <v>-5.8937039753230697E-2</v>
      </c>
    </row>
    <row r="1817" spans="1:11" x14ac:dyDescent="0.25">
      <c r="A1817" s="24" t="s">
        <v>7</v>
      </c>
      <c r="B1817" s="24" t="s">
        <v>9212</v>
      </c>
      <c r="C1817" s="25" t="s">
        <v>9213</v>
      </c>
      <c r="D1817" s="24" t="s">
        <v>21824</v>
      </c>
      <c r="E1817" s="40">
        <v>159</v>
      </c>
      <c r="F1817" s="41">
        <v>2814</v>
      </c>
      <c r="G1817" s="40">
        <v>19</v>
      </c>
      <c r="H1817" s="41">
        <v>318</v>
      </c>
      <c r="I1817" s="41">
        <v>17.69811320754717</v>
      </c>
      <c r="J1817" s="41">
        <v>16.736842105263158</v>
      </c>
      <c r="K1817" s="42">
        <v>-5.4314891706879163E-2</v>
      </c>
    </row>
    <row r="1818" spans="1:11" x14ac:dyDescent="0.25">
      <c r="A1818" s="24" t="s">
        <v>7</v>
      </c>
      <c r="B1818" s="24" t="s">
        <v>9215</v>
      </c>
      <c r="C1818" s="25" t="s">
        <v>9216</v>
      </c>
      <c r="D1818" s="24" t="s">
        <v>21824</v>
      </c>
      <c r="E1818" s="40">
        <v>20</v>
      </c>
      <c r="F1818" s="41">
        <v>360</v>
      </c>
      <c r="G1818" s="40">
        <v>69</v>
      </c>
      <c r="H1818" s="41">
        <v>1226</v>
      </c>
      <c r="I1818" s="41">
        <v>18</v>
      </c>
      <c r="J1818" s="41">
        <v>17.768115942028984</v>
      </c>
      <c r="K1818" s="42">
        <v>-1.2882447665056418E-2</v>
      </c>
    </row>
    <row r="1819" spans="1:11" x14ac:dyDescent="0.25">
      <c r="A1819" s="24" t="s">
        <v>7</v>
      </c>
      <c r="B1819" s="24" t="s">
        <v>9218</v>
      </c>
      <c r="C1819" s="25" t="s">
        <v>9219</v>
      </c>
      <c r="D1819" s="24" t="s">
        <v>21824</v>
      </c>
      <c r="E1819" s="40">
        <v>90</v>
      </c>
      <c r="F1819" s="41">
        <v>1335</v>
      </c>
      <c r="G1819" s="40">
        <v>133</v>
      </c>
      <c r="H1819" s="41">
        <v>1477</v>
      </c>
      <c r="I1819" s="41">
        <v>14.833333333333334</v>
      </c>
      <c r="J1819" s="41">
        <v>11.105263157894736</v>
      </c>
      <c r="K1819" s="42">
        <v>-0.25133057362507399</v>
      </c>
    </row>
    <row r="1820" spans="1:11" x14ac:dyDescent="0.25">
      <c r="A1820" s="24" t="s">
        <v>7</v>
      </c>
      <c r="B1820" s="24" t="s">
        <v>9221</v>
      </c>
      <c r="C1820" s="25" t="s">
        <v>9222</v>
      </c>
      <c r="D1820" s="24" t="s">
        <v>21824</v>
      </c>
      <c r="E1820" s="40">
        <v>16</v>
      </c>
      <c r="F1820" s="41">
        <v>271</v>
      </c>
      <c r="G1820" s="40">
        <v>17</v>
      </c>
      <c r="H1820" s="41">
        <v>274</v>
      </c>
      <c r="I1820" s="41">
        <v>16.9375</v>
      </c>
      <c r="J1820" s="41">
        <v>16.117647058823529</v>
      </c>
      <c r="K1820" s="42">
        <v>-4.8404601693075776E-2</v>
      </c>
    </row>
    <row r="1821" spans="1:11" x14ac:dyDescent="0.25">
      <c r="A1821" s="24" t="s">
        <v>7</v>
      </c>
      <c r="B1821" s="24" t="s">
        <v>9227</v>
      </c>
      <c r="C1821" s="25" t="s">
        <v>9228</v>
      </c>
      <c r="D1821" s="24" t="s">
        <v>21824</v>
      </c>
      <c r="G1821" s="40">
        <v>14</v>
      </c>
      <c r="H1821" s="41">
        <v>366</v>
      </c>
      <c r="J1821" s="41">
        <v>26.142857142857142</v>
      </c>
    </row>
    <row r="1822" spans="1:11" x14ac:dyDescent="0.25">
      <c r="A1822" s="24" t="s">
        <v>7</v>
      </c>
      <c r="B1822" s="24" t="s">
        <v>9230</v>
      </c>
      <c r="C1822" s="25" t="s">
        <v>9231</v>
      </c>
      <c r="D1822" s="24" t="s">
        <v>21824</v>
      </c>
      <c r="G1822" s="40">
        <v>2</v>
      </c>
      <c r="H1822" s="41">
        <v>90</v>
      </c>
      <c r="J1822" s="41">
        <v>45</v>
      </c>
    </row>
    <row r="1823" spans="1:11" x14ac:dyDescent="0.25">
      <c r="A1823" s="24" t="s">
        <v>7</v>
      </c>
      <c r="B1823" s="24" t="s">
        <v>9236</v>
      </c>
      <c r="C1823" s="25" t="s">
        <v>9237</v>
      </c>
      <c r="D1823" s="24" t="s">
        <v>21824</v>
      </c>
      <c r="E1823" s="40">
        <v>266</v>
      </c>
      <c r="F1823" s="41">
        <v>4459</v>
      </c>
      <c r="G1823" s="40">
        <v>282</v>
      </c>
      <c r="H1823" s="41">
        <v>4164</v>
      </c>
      <c r="I1823" s="41">
        <v>16.763157894736842</v>
      </c>
      <c r="J1823" s="41">
        <v>14.76595744680851</v>
      </c>
      <c r="K1823" s="42">
        <v>-0.11914225592037145</v>
      </c>
    </row>
    <row r="1824" spans="1:11" x14ac:dyDescent="0.25">
      <c r="A1824" s="24" t="s">
        <v>7</v>
      </c>
      <c r="B1824" s="24" t="s">
        <v>9239</v>
      </c>
      <c r="C1824" s="25" t="s">
        <v>9240</v>
      </c>
      <c r="D1824" s="24" t="s">
        <v>21824</v>
      </c>
      <c r="E1824" s="40">
        <v>221</v>
      </c>
      <c r="F1824" s="41">
        <v>3664</v>
      </c>
      <c r="G1824" s="40">
        <v>171</v>
      </c>
      <c r="H1824" s="41">
        <v>2203</v>
      </c>
      <c r="I1824" s="41">
        <v>16.579185520361992</v>
      </c>
      <c r="J1824" s="41">
        <v>12.883040935672515</v>
      </c>
      <c r="K1824" s="42">
        <v>-0.22293885186036422</v>
      </c>
    </row>
    <row r="1825" spans="1:11" x14ac:dyDescent="0.25">
      <c r="A1825" s="24" t="s">
        <v>7</v>
      </c>
      <c r="B1825" s="24" t="s">
        <v>9242</v>
      </c>
      <c r="C1825" s="25" t="s">
        <v>9243</v>
      </c>
      <c r="D1825" s="24" t="s">
        <v>21824</v>
      </c>
      <c r="E1825" s="40">
        <v>21</v>
      </c>
      <c r="F1825" s="41">
        <v>355</v>
      </c>
      <c r="G1825" s="40">
        <v>91</v>
      </c>
      <c r="H1825" s="41">
        <v>1277</v>
      </c>
      <c r="I1825" s="41">
        <v>16.904761904761905</v>
      </c>
      <c r="J1825" s="41">
        <v>14.032967032967033</v>
      </c>
      <c r="K1825" s="42">
        <v>-0.16988082340195018</v>
      </c>
    </row>
    <row r="1826" spans="1:11" x14ac:dyDescent="0.25">
      <c r="A1826" s="24" t="s">
        <v>7</v>
      </c>
      <c r="B1826" s="24" t="s">
        <v>9248</v>
      </c>
      <c r="C1826" s="25" t="s">
        <v>9249</v>
      </c>
      <c r="D1826" s="24" t="s">
        <v>21824</v>
      </c>
      <c r="E1826" s="40">
        <v>57</v>
      </c>
      <c r="F1826" s="41">
        <v>952</v>
      </c>
      <c r="G1826" s="40">
        <v>15</v>
      </c>
      <c r="H1826" s="41">
        <v>240</v>
      </c>
      <c r="I1826" s="41">
        <v>16.701754385964911</v>
      </c>
      <c r="J1826" s="41">
        <v>16</v>
      </c>
      <c r="K1826" s="42">
        <v>-4.2016806722688996E-2</v>
      </c>
    </row>
    <row r="1827" spans="1:11" x14ac:dyDescent="0.25">
      <c r="A1827" s="24" t="s">
        <v>7</v>
      </c>
      <c r="B1827" s="24" t="s">
        <v>9251</v>
      </c>
      <c r="C1827" s="25" t="s">
        <v>9252</v>
      </c>
      <c r="D1827" s="24" t="s">
        <v>21824</v>
      </c>
      <c r="G1827" s="40">
        <v>4</v>
      </c>
      <c r="H1827" s="41">
        <v>27</v>
      </c>
      <c r="J1827" s="41">
        <v>6.75</v>
      </c>
    </row>
    <row r="1828" spans="1:11" x14ac:dyDescent="0.25">
      <c r="A1828" s="24" t="s">
        <v>7</v>
      </c>
      <c r="B1828" s="24" t="s">
        <v>9254</v>
      </c>
      <c r="C1828" s="25" t="s">
        <v>9255</v>
      </c>
      <c r="D1828" s="24" t="s">
        <v>21824</v>
      </c>
      <c r="G1828" s="40">
        <v>5</v>
      </c>
      <c r="H1828" s="41">
        <v>120</v>
      </c>
      <c r="J1828" s="41">
        <v>24</v>
      </c>
    </row>
    <row r="1829" spans="1:11" x14ac:dyDescent="0.25">
      <c r="A1829" s="24" t="s">
        <v>7</v>
      </c>
      <c r="B1829" s="24" t="s">
        <v>9257</v>
      </c>
      <c r="C1829" s="25" t="s">
        <v>9258</v>
      </c>
      <c r="D1829" s="24" t="s">
        <v>21824</v>
      </c>
      <c r="E1829" s="40">
        <v>38</v>
      </c>
      <c r="F1829" s="41">
        <v>629</v>
      </c>
      <c r="G1829" s="40">
        <v>40</v>
      </c>
      <c r="H1829" s="41">
        <v>680</v>
      </c>
      <c r="I1829" s="41">
        <v>16.55263157894737</v>
      </c>
      <c r="J1829" s="41">
        <v>17</v>
      </c>
      <c r="K1829" s="42">
        <v>2.7027027027026935E-2</v>
      </c>
    </row>
    <row r="1830" spans="1:11" x14ac:dyDescent="0.25">
      <c r="A1830" s="24" t="s">
        <v>7</v>
      </c>
      <c r="B1830" s="24" t="s">
        <v>9260</v>
      </c>
      <c r="C1830" s="25" t="s">
        <v>9261</v>
      </c>
      <c r="D1830" s="24" t="s">
        <v>21823</v>
      </c>
      <c r="E1830" s="40">
        <v>196</v>
      </c>
      <c r="F1830" s="41">
        <v>3315</v>
      </c>
      <c r="G1830" s="40">
        <v>248</v>
      </c>
      <c r="H1830" s="41">
        <v>3800</v>
      </c>
      <c r="I1830" s="41">
        <v>16.913265306122447</v>
      </c>
      <c r="J1830" s="41">
        <v>15.32258064516129</v>
      </c>
      <c r="K1830" s="42">
        <v>-9.4049530482167978E-2</v>
      </c>
    </row>
    <row r="1831" spans="1:11" x14ac:dyDescent="0.25">
      <c r="A1831" s="24" t="s">
        <v>7</v>
      </c>
      <c r="B1831" s="24" t="s">
        <v>9263</v>
      </c>
      <c r="C1831" s="25" t="s">
        <v>9264</v>
      </c>
      <c r="D1831" s="24" t="s">
        <v>21823</v>
      </c>
      <c r="G1831" s="40">
        <v>1</v>
      </c>
      <c r="H1831" s="41">
        <v>19</v>
      </c>
      <c r="J1831" s="41">
        <v>19</v>
      </c>
    </row>
    <row r="1832" spans="1:11" x14ac:dyDescent="0.25">
      <c r="A1832" s="24" t="s">
        <v>7</v>
      </c>
      <c r="B1832" s="24" t="s">
        <v>9266</v>
      </c>
      <c r="C1832" s="25" t="s">
        <v>9267</v>
      </c>
      <c r="D1832" s="24" t="s">
        <v>21824</v>
      </c>
      <c r="G1832" s="40">
        <v>2</v>
      </c>
      <c r="H1832" s="41">
        <v>38</v>
      </c>
      <c r="J1832" s="41">
        <v>19</v>
      </c>
    </row>
    <row r="1833" spans="1:11" x14ac:dyDescent="0.25">
      <c r="A1833" s="24" t="s">
        <v>7</v>
      </c>
      <c r="B1833" s="24" t="s">
        <v>9269</v>
      </c>
      <c r="C1833" s="25" t="s">
        <v>9270</v>
      </c>
      <c r="D1833" s="24" t="s">
        <v>21824</v>
      </c>
      <c r="E1833" s="40">
        <v>464</v>
      </c>
      <c r="F1833" s="41">
        <v>19684</v>
      </c>
      <c r="G1833" s="40">
        <v>542</v>
      </c>
      <c r="H1833" s="41">
        <v>23344</v>
      </c>
      <c r="I1833" s="41">
        <v>42.422413793103445</v>
      </c>
      <c r="J1833" s="41">
        <v>43.070110701107012</v>
      </c>
      <c r="K1833" s="42">
        <v>1.5267799497747167E-2</v>
      </c>
    </row>
    <row r="1834" spans="1:11" x14ac:dyDescent="0.25">
      <c r="A1834" s="24" t="s">
        <v>7</v>
      </c>
      <c r="B1834" s="24" t="s">
        <v>9272</v>
      </c>
      <c r="C1834" s="25" t="s">
        <v>9273</v>
      </c>
      <c r="D1834" s="24" t="s">
        <v>21824</v>
      </c>
      <c r="G1834" s="40">
        <v>157</v>
      </c>
      <c r="H1834" s="41">
        <v>2435</v>
      </c>
      <c r="J1834" s="41">
        <v>15.509554140127388</v>
      </c>
    </row>
    <row r="1835" spans="1:11" x14ac:dyDescent="0.25">
      <c r="A1835" s="24" t="s">
        <v>7</v>
      </c>
      <c r="B1835" s="24" t="s">
        <v>9278</v>
      </c>
      <c r="C1835" s="25" t="s">
        <v>9279</v>
      </c>
      <c r="D1835" s="24" t="s">
        <v>21823</v>
      </c>
      <c r="G1835" s="40">
        <v>66</v>
      </c>
      <c r="H1835" s="41">
        <v>1128</v>
      </c>
      <c r="J1835" s="41">
        <v>17.09090909090909</v>
      </c>
    </row>
    <row r="1836" spans="1:11" x14ac:dyDescent="0.25">
      <c r="A1836" s="24" t="s">
        <v>7</v>
      </c>
      <c r="B1836" s="24" t="s">
        <v>9281</v>
      </c>
      <c r="C1836" s="25" t="s">
        <v>9282</v>
      </c>
      <c r="D1836" s="24" t="s">
        <v>21823</v>
      </c>
      <c r="E1836" s="40">
        <v>493</v>
      </c>
      <c r="F1836" s="41">
        <v>8141</v>
      </c>
      <c r="G1836" s="40">
        <v>530</v>
      </c>
      <c r="H1836" s="41">
        <v>8545</v>
      </c>
      <c r="I1836" s="41">
        <v>16.5131845841785</v>
      </c>
      <c r="J1836" s="41">
        <v>16.122641509433961</v>
      </c>
      <c r="K1836" s="42">
        <v>-2.365037905036943E-2</v>
      </c>
    </row>
    <row r="1837" spans="1:11" x14ac:dyDescent="0.25">
      <c r="A1837" s="24" t="s">
        <v>7</v>
      </c>
      <c r="B1837" s="24" t="s">
        <v>9287</v>
      </c>
      <c r="C1837" s="25" t="s">
        <v>9288</v>
      </c>
      <c r="D1837" s="24" t="s">
        <v>21824</v>
      </c>
      <c r="G1837" s="40">
        <v>15</v>
      </c>
      <c r="H1837" s="41">
        <v>810</v>
      </c>
      <c r="J1837" s="41">
        <v>54</v>
      </c>
    </row>
    <row r="1838" spans="1:11" x14ac:dyDescent="0.25">
      <c r="A1838" s="24" t="s">
        <v>7</v>
      </c>
      <c r="B1838" s="24" t="s">
        <v>9290</v>
      </c>
      <c r="C1838" s="25" t="s">
        <v>9291</v>
      </c>
      <c r="D1838" s="24" t="s">
        <v>21824</v>
      </c>
      <c r="E1838" s="40">
        <v>284</v>
      </c>
      <c r="F1838" s="41">
        <v>4758</v>
      </c>
      <c r="G1838" s="40">
        <v>364</v>
      </c>
      <c r="H1838" s="41">
        <v>6188</v>
      </c>
      <c r="I1838" s="41">
        <v>16.753521126760564</v>
      </c>
      <c r="J1838" s="41">
        <v>17</v>
      </c>
      <c r="K1838" s="42">
        <v>1.4712063892391727E-2</v>
      </c>
    </row>
    <row r="1839" spans="1:11" x14ac:dyDescent="0.25">
      <c r="A1839" s="24" t="s">
        <v>7</v>
      </c>
      <c r="B1839" s="24" t="s">
        <v>9293</v>
      </c>
      <c r="C1839" s="25" t="s">
        <v>9294</v>
      </c>
      <c r="D1839" s="24" t="s">
        <v>21824</v>
      </c>
      <c r="E1839" s="40">
        <v>3222</v>
      </c>
      <c r="F1839" s="41">
        <v>85532</v>
      </c>
      <c r="G1839" s="40">
        <v>3106</v>
      </c>
      <c r="H1839" s="41">
        <v>73410</v>
      </c>
      <c r="I1839" s="41">
        <v>26.546244568590936</v>
      </c>
      <c r="J1839" s="41">
        <v>23.634900193174502</v>
      </c>
      <c r="K1839" s="42">
        <v>-0.10967066802590551</v>
      </c>
    </row>
    <row r="1840" spans="1:11" x14ac:dyDescent="0.25">
      <c r="A1840" s="24" t="s">
        <v>7</v>
      </c>
      <c r="B1840" s="24" t="s">
        <v>9296</v>
      </c>
      <c r="C1840" s="25" t="s">
        <v>9297</v>
      </c>
      <c r="D1840" s="24" t="s">
        <v>21824</v>
      </c>
      <c r="E1840" s="40">
        <v>1725</v>
      </c>
      <c r="F1840" s="41">
        <v>84638</v>
      </c>
      <c r="G1840" s="40">
        <v>2081</v>
      </c>
      <c r="H1840" s="41">
        <v>85042</v>
      </c>
      <c r="I1840" s="41">
        <v>49.065507246376811</v>
      </c>
      <c r="J1840" s="41">
        <v>40.865929841422393</v>
      </c>
      <c r="K1840" s="42">
        <v>-0.16711490138645019</v>
      </c>
    </row>
    <row r="1841" spans="1:11" x14ac:dyDescent="0.25">
      <c r="A1841" s="24" t="s">
        <v>7</v>
      </c>
      <c r="B1841" s="24" t="s">
        <v>9299</v>
      </c>
      <c r="C1841" s="25" t="s">
        <v>9300</v>
      </c>
      <c r="D1841" s="24" t="s">
        <v>21824</v>
      </c>
      <c r="G1841" s="40">
        <v>1041</v>
      </c>
      <c r="H1841" s="41">
        <v>6330.5</v>
      </c>
      <c r="J1841" s="41">
        <v>6.0811719500480308</v>
      </c>
    </row>
    <row r="1842" spans="1:11" x14ac:dyDescent="0.25">
      <c r="A1842" s="24" t="s">
        <v>7</v>
      </c>
      <c r="B1842" s="24" t="s">
        <v>9302</v>
      </c>
      <c r="C1842" s="25" t="s">
        <v>9303</v>
      </c>
      <c r="D1842" s="24" t="s">
        <v>21824</v>
      </c>
      <c r="E1842" s="40">
        <v>248</v>
      </c>
      <c r="F1842" s="41">
        <v>23339</v>
      </c>
      <c r="G1842" s="40">
        <v>84</v>
      </c>
      <c r="H1842" s="41">
        <v>8064</v>
      </c>
      <c r="I1842" s="41">
        <v>94.108870967741936</v>
      </c>
      <c r="J1842" s="41">
        <v>96</v>
      </c>
      <c r="K1842" s="42">
        <v>2.0095119756630527E-2</v>
      </c>
    </row>
    <row r="1843" spans="1:11" x14ac:dyDescent="0.25">
      <c r="A1843" s="24" t="s">
        <v>7</v>
      </c>
      <c r="B1843" s="24" t="s">
        <v>9305</v>
      </c>
      <c r="C1843" s="25" t="s">
        <v>9306</v>
      </c>
      <c r="D1843" s="24" t="s">
        <v>21824</v>
      </c>
      <c r="E1843" s="40">
        <v>83</v>
      </c>
      <c r="F1843" s="41">
        <v>10882</v>
      </c>
      <c r="G1843" s="40">
        <v>30</v>
      </c>
      <c r="H1843" s="41">
        <v>2700</v>
      </c>
      <c r="I1843" s="41">
        <v>131.10843373493975</v>
      </c>
      <c r="J1843" s="41">
        <v>90</v>
      </c>
      <c r="K1843" s="42">
        <v>-0.31354530417202714</v>
      </c>
    </row>
    <row r="1844" spans="1:11" x14ac:dyDescent="0.25">
      <c r="A1844" s="24" t="s">
        <v>7</v>
      </c>
      <c r="B1844" s="24" t="s">
        <v>9320</v>
      </c>
      <c r="C1844" s="25" t="s">
        <v>9321</v>
      </c>
      <c r="D1844" s="24" t="s">
        <v>21824</v>
      </c>
      <c r="E1844" s="40">
        <v>2025</v>
      </c>
      <c r="F1844" s="41">
        <v>82524</v>
      </c>
      <c r="G1844" s="40">
        <v>1865</v>
      </c>
      <c r="H1844" s="41">
        <v>67050</v>
      </c>
      <c r="I1844" s="41">
        <v>40.752592592592592</v>
      </c>
      <c r="J1844" s="41">
        <v>35.951742627345844</v>
      </c>
      <c r="K1844" s="42">
        <v>-0.11780477412176657</v>
      </c>
    </row>
    <row r="1845" spans="1:11" x14ac:dyDescent="0.25">
      <c r="A1845" s="24" t="s">
        <v>7</v>
      </c>
      <c r="B1845" s="24" t="s">
        <v>9323</v>
      </c>
      <c r="C1845" s="25" t="s">
        <v>9324</v>
      </c>
      <c r="D1845" s="24" t="s">
        <v>21824</v>
      </c>
      <c r="E1845" s="40">
        <v>72</v>
      </c>
      <c r="F1845" s="41">
        <v>8056</v>
      </c>
      <c r="G1845" s="40">
        <v>114</v>
      </c>
      <c r="H1845" s="41">
        <v>7767</v>
      </c>
      <c r="I1845" s="41">
        <v>111.88888888888889</v>
      </c>
      <c r="J1845" s="41">
        <v>68.131578947368425</v>
      </c>
      <c r="K1845" s="42">
        <v>-0.39107824178121564</v>
      </c>
    </row>
    <row r="1846" spans="1:11" x14ac:dyDescent="0.25">
      <c r="A1846" s="24" t="s">
        <v>7</v>
      </c>
      <c r="B1846" s="24" t="s">
        <v>9326</v>
      </c>
      <c r="C1846" s="25" t="s">
        <v>9327</v>
      </c>
      <c r="D1846" s="24" t="s">
        <v>21824</v>
      </c>
      <c r="E1846" s="40">
        <v>12</v>
      </c>
      <c r="F1846" s="41">
        <v>300</v>
      </c>
      <c r="G1846" s="40">
        <v>0</v>
      </c>
      <c r="H1846" s="41">
        <v>0</v>
      </c>
      <c r="I1846" s="41">
        <v>25</v>
      </c>
    </row>
    <row r="1847" spans="1:11" x14ac:dyDescent="0.25">
      <c r="A1847" s="24" t="s">
        <v>7</v>
      </c>
      <c r="B1847" s="24" t="s">
        <v>9329</v>
      </c>
      <c r="C1847" s="25" t="s">
        <v>9330</v>
      </c>
      <c r="D1847" s="24" t="s">
        <v>21824</v>
      </c>
      <c r="E1847" s="40">
        <v>22</v>
      </c>
      <c r="F1847" s="41">
        <v>330</v>
      </c>
      <c r="G1847" s="40">
        <v>0</v>
      </c>
      <c r="H1847" s="41">
        <v>0</v>
      </c>
      <c r="I1847" s="41">
        <v>15</v>
      </c>
    </row>
    <row r="1848" spans="1:11" x14ac:dyDescent="0.25">
      <c r="A1848" s="24" t="s">
        <v>7</v>
      </c>
      <c r="B1848" s="24" t="s">
        <v>9332</v>
      </c>
      <c r="C1848" s="25" t="s">
        <v>9333</v>
      </c>
      <c r="D1848" s="24" t="s">
        <v>21823</v>
      </c>
      <c r="E1848" s="40">
        <v>48</v>
      </c>
      <c r="F1848" s="41">
        <v>691</v>
      </c>
      <c r="G1848" s="40">
        <v>29</v>
      </c>
      <c r="H1848" s="41">
        <v>435</v>
      </c>
      <c r="I1848" s="41">
        <v>14.395833333333334</v>
      </c>
      <c r="J1848" s="41">
        <v>15</v>
      </c>
      <c r="K1848" s="42">
        <v>4.1968162083936278E-2</v>
      </c>
    </row>
    <row r="1849" spans="1:11" x14ac:dyDescent="0.25">
      <c r="A1849" s="24" t="s">
        <v>7</v>
      </c>
      <c r="B1849" s="24" t="s">
        <v>9335</v>
      </c>
      <c r="C1849" s="25" t="s">
        <v>9336</v>
      </c>
      <c r="D1849" s="24" t="s">
        <v>21824</v>
      </c>
      <c r="E1849" s="40">
        <v>112</v>
      </c>
      <c r="F1849" s="41">
        <v>11360</v>
      </c>
      <c r="G1849" s="40">
        <v>28</v>
      </c>
      <c r="H1849" s="41">
        <v>2912</v>
      </c>
      <c r="I1849" s="41">
        <v>101.42857142857143</v>
      </c>
      <c r="J1849" s="41">
        <v>104</v>
      </c>
      <c r="K1849" s="42">
        <v>2.5352112676056318E-2</v>
      </c>
    </row>
    <row r="1850" spans="1:11" x14ac:dyDescent="0.25">
      <c r="A1850" s="24" t="s">
        <v>7</v>
      </c>
      <c r="B1850" s="24" t="s">
        <v>9338</v>
      </c>
      <c r="C1850" s="25" t="s">
        <v>9339</v>
      </c>
      <c r="D1850" s="24" t="s">
        <v>21824</v>
      </c>
      <c r="E1850" s="40">
        <v>199</v>
      </c>
      <c r="F1850" s="41">
        <v>11649</v>
      </c>
      <c r="G1850" s="40">
        <v>197</v>
      </c>
      <c r="H1850" s="41">
        <v>12361</v>
      </c>
      <c r="I1850" s="41">
        <v>58.537688442211056</v>
      </c>
      <c r="J1850" s="41">
        <v>62.746192893401016</v>
      </c>
      <c r="K1850" s="42">
        <v>7.189392958938981E-2</v>
      </c>
    </row>
    <row r="1851" spans="1:11" x14ac:dyDescent="0.25">
      <c r="A1851" s="24" t="s">
        <v>7</v>
      </c>
      <c r="B1851" s="24" t="s">
        <v>9341</v>
      </c>
      <c r="C1851" s="25" t="s">
        <v>9342</v>
      </c>
      <c r="D1851" s="24" t="s">
        <v>21824</v>
      </c>
      <c r="E1851" s="40">
        <v>4985</v>
      </c>
      <c r="F1851" s="41">
        <v>515372</v>
      </c>
      <c r="G1851" s="40">
        <v>122</v>
      </c>
      <c r="H1851" s="41">
        <v>13314</v>
      </c>
      <c r="I1851" s="41">
        <v>103.38455366098295</v>
      </c>
      <c r="J1851" s="41">
        <v>109.1311475409836</v>
      </c>
      <c r="K1851" s="42">
        <v>5.5584646608281572E-2</v>
      </c>
    </row>
    <row r="1852" spans="1:11" x14ac:dyDescent="0.25">
      <c r="A1852" s="24" t="s">
        <v>7</v>
      </c>
      <c r="B1852" s="24" t="s">
        <v>9344</v>
      </c>
      <c r="C1852" s="25" t="s">
        <v>9345</v>
      </c>
      <c r="D1852" s="24" t="s">
        <v>21824</v>
      </c>
      <c r="E1852" s="40">
        <v>1234</v>
      </c>
      <c r="F1852" s="41">
        <v>344286</v>
      </c>
      <c r="G1852" s="40">
        <v>2376</v>
      </c>
      <c r="H1852" s="41">
        <v>707832</v>
      </c>
      <c r="I1852" s="41">
        <v>279</v>
      </c>
      <c r="J1852" s="41">
        <v>297.90909090909093</v>
      </c>
      <c r="K1852" s="42">
        <v>6.777451938742271E-2</v>
      </c>
    </row>
    <row r="1853" spans="1:11" x14ac:dyDescent="0.25">
      <c r="A1853" s="24" t="s">
        <v>7</v>
      </c>
      <c r="B1853" s="24" t="s">
        <v>9347</v>
      </c>
      <c r="C1853" s="25" t="s">
        <v>9348</v>
      </c>
      <c r="D1853" s="24" t="s">
        <v>21824</v>
      </c>
      <c r="E1853" s="40">
        <v>395</v>
      </c>
      <c r="F1853" s="41">
        <v>51265</v>
      </c>
      <c r="G1853" s="40">
        <v>338</v>
      </c>
      <c r="H1853" s="41">
        <v>42159</v>
      </c>
      <c r="I1853" s="41">
        <v>129.78481012658227</v>
      </c>
      <c r="J1853" s="41">
        <v>124.73076923076923</v>
      </c>
      <c r="K1853" s="42">
        <v>-3.8941698114623099E-2</v>
      </c>
    </row>
    <row r="1854" spans="1:11" x14ac:dyDescent="0.25">
      <c r="A1854" s="24" t="s">
        <v>7</v>
      </c>
      <c r="B1854" s="24" t="s">
        <v>9350</v>
      </c>
      <c r="C1854" s="25" t="s">
        <v>9351</v>
      </c>
      <c r="D1854" s="24" t="s">
        <v>21824</v>
      </c>
      <c r="E1854" s="40">
        <v>2</v>
      </c>
      <c r="F1854" s="41">
        <v>116</v>
      </c>
      <c r="G1854" s="40">
        <v>43</v>
      </c>
      <c r="H1854" s="41">
        <v>2494</v>
      </c>
      <c r="I1854" s="41">
        <v>58</v>
      </c>
      <c r="J1854" s="41">
        <v>58</v>
      </c>
      <c r="K1854" s="42">
        <v>0</v>
      </c>
    </row>
    <row r="1855" spans="1:11" x14ac:dyDescent="0.25">
      <c r="A1855" s="24" t="s">
        <v>7</v>
      </c>
      <c r="B1855" s="24" t="s">
        <v>9353</v>
      </c>
      <c r="C1855" s="25" t="s">
        <v>9354</v>
      </c>
      <c r="D1855" s="24" t="s">
        <v>21824</v>
      </c>
      <c r="G1855" s="40">
        <v>19</v>
      </c>
      <c r="H1855" s="41">
        <v>1995</v>
      </c>
      <c r="J1855" s="41">
        <v>105</v>
      </c>
    </row>
    <row r="1856" spans="1:11" x14ac:dyDescent="0.25">
      <c r="A1856" s="24" t="s">
        <v>7</v>
      </c>
      <c r="B1856" s="24" t="s">
        <v>9356</v>
      </c>
      <c r="C1856" s="25" t="s">
        <v>9357</v>
      </c>
      <c r="D1856" s="24" t="s">
        <v>21824</v>
      </c>
      <c r="G1856" s="40">
        <v>281</v>
      </c>
      <c r="H1856" s="41">
        <v>4777</v>
      </c>
      <c r="J1856" s="41">
        <v>17</v>
      </c>
    </row>
    <row r="1857" spans="1:11" x14ac:dyDescent="0.25">
      <c r="A1857" s="24" t="s">
        <v>7</v>
      </c>
      <c r="B1857" s="24" t="s">
        <v>9359</v>
      </c>
      <c r="C1857" s="25" t="s">
        <v>9360</v>
      </c>
      <c r="D1857" s="24" t="s">
        <v>21824</v>
      </c>
      <c r="E1857" s="40">
        <v>507</v>
      </c>
      <c r="F1857" s="41">
        <v>13341</v>
      </c>
      <c r="G1857" s="40">
        <v>422</v>
      </c>
      <c r="H1857" s="41">
        <v>10902</v>
      </c>
      <c r="I1857" s="41">
        <v>26.31360946745562</v>
      </c>
      <c r="J1857" s="41">
        <v>25.834123222748815</v>
      </c>
      <c r="K1857" s="42">
        <v>-1.8221986812559061E-2</v>
      </c>
    </row>
    <row r="1858" spans="1:11" x14ac:dyDescent="0.25">
      <c r="A1858" s="24" t="s">
        <v>7</v>
      </c>
      <c r="B1858" s="24" t="s">
        <v>9365</v>
      </c>
      <c r="C1858" s="25" t="s">
        <v>9366</v>
      </c>
      <c r="D1858" s="24" t="s">
        <v>21824</v>
      </c>
      <c r="E1858" s="40">
        <v>1669</v>
      </c>
      <c r="F1858" s="41">
        <v>177876</v>
      </c>
      <c r="G1858" s="40">
        <v>1315</v>
      </c>
      <c r="H1858" s="41">
        <v>151335</v>
      </c>
      <c r="I1858" s="41">
        <v>106.57639304973037</v>
      </c>
      <c r="J1858" s="41">
        <v>115.08365019011407</v>
      </c>
      <c r="K1858" s="42">
        <v>7.9823091183186021E-2</v>
      </c>
    </row>
    <row r="1859" spans="1:11" x14ac:dyDescent="0.25">
      <c r="A1859" s="24" t="s">
        <v>7</v>
      </c>
      <c r="B1859" s="24" t="s">
        <v>9368</v>
      </c>
      <c r="C1859" s="25" t="s">
        <v>9369</v>
      </c>
      <c r="D1859" s="24" t="s">
        <v>21824</v>
      </c>
      <c r="E1859" s="40">
        <v>125</v>
      </c>
      <c r="F1859" s="41">
        <v>8495</v>
      </c>
      <c r="G1859" s="40">
        <v>171</v>
      </c>
      <c r="H1859" s="41">
        <v>9849</v>
      </c>
      <c r="I1859" s="41">
        <v>67.959999999999994</v>
      </c>
      <c r="J1859" s="41">
        <v>57.596491228070178</v>
      </c>
      <c r="K1859" s="42">
        <v>-0.15249424325970889</v>
      </c>
    </row>
    <row r="1860" spans="1:11" x14ac:dyDescent="0.25">
      <c r="A1860" s="24" t="s">
        <v>7</v>
      </c>
      <c r="B1860" s="24" t="s">
        <v>9371</v>
      </c>
      <c r="C1860" s="25" t="s">
        <v>9372</v>
      </c>
      <c r="D1860" s="24" t="s">
        <v>21824</v>
      </c>
      <c r="E1860" s="40">
        <v>1571</v>
      </c>
      <c r="F1860" s="41">
        <v>122866</v>
      </c>
      <c r="G1860" s="40">
        <v>1253</v>
      </c>
      <c r="H1860" s="41">
        <v>91313</v>
      </c>
      <c r="I1860" s="41">
        <v>78.208784213876513</v>
      </c>
      <c r="J1860" s="41">
        <v>72.875498802873111</v>
      </c>
      <c r="K1860" s="42">
        <v>-6.8192920585730343E-2</v>
      </c>
    </row>
    <row r="1861" spans="1:11" x14ac:dyDescent="0.25">
      <c r="A1861" s="24" t="s">
        <v>7</v>
      </c>
      <c r="B1861" s="24" t="s">
        <v>9374</v>
      </c>
      <c r="C1861" s="25" t="s">
        <v>9375</v>
      </c>
      <c r="D1861" s="24" t="s">
        <v>21824</v>
      </c>
      <c r="G1861" s="40">
        <v>72</v>
      </c>
      <c r="H1861" s="41">
        <v>2592</v>
      </c>
      <c r="J1861" s="41">
        <v>36</v>
      </c>
    </row>
    <row r="1862" spans="1:11" x14ac:dyDescent="0.25">
      <c r="A1862" s="24" t="s">
        <v>7</v>
      </c>
      <c r="B1862" s="24" t="s">
        <v>9377</v>
      </c>
      <c r="C1862" s="25" t="s">
        <v>9378</v>
      </c>
      <c r="D1862" s="24" t="s">
        <v>21824</v>
      </c>
      <c r="E1862" s="40">
        <v>111</v>
      </c>
      <c r="F1862" s="41">
        <v>4830</v>
      </c>
      <c r="G1862" s="40">
        <v>114</v>
      </c>
      <c r="H1862" s="41">
        <v>2874</v>
      </c>
      <c r="I1862" s="41">
        <v>43.513513513513516</v>
      </c>
      <c r="J1862" s="41">
        <v>25.210526315789473</v>
      </c>
      <c r="K1862" s="42">
        <v>-0.42062765609676372</v>
      </c>
    </row>
    <row r="1863" spans="1:11" x14ac:dyDescent="0.25">
      <c r="A1863" s="24" t="s">
        <v>7</v>
      </c>
      <c r="B1863" s="24" t="s">
        <v>9380</v>
      </c>
      <c r="C1863" s="25" t="s">
        <v>9381</v>
      </c>
      <c r="D1863" s="24" t="s">
        <v>21824</v>
      </c>
      <c r="E1863" s="40">
        <v>6</v>
      </c>
      <c r="F1863" s="41">
        <v>216</v>
      </c>
      <c r="G1863" s="40">
        <v>28</v>
      </c>
      <c r="H1863" s="41">
        <v>645</v>
      </c>
      <c r="I1863" s="41">
        <v>36</v>
      </c>
      <c r="J1863" s="41">
        <v>23.035714285714285</v>
      </c>
      <c r="K1863" s="42">
        <v>-0.36011904761904767</v>
      </c>
    </row>
    <row r="1864" spans="1:11" x14ac:dyDescent="0.25">
      <c r="A1864" s="24" t="s">
        <v>7</v>
      </c>
      <c r="B1864" s="24" t="s">
        <v>9386</v>
      </c>
      <c r="C1864" s="25" t="s">
        <v>9387</v>
      </c>
      <c r="D1864" s="24" t="s">
        <v>21824</v>
      </c>
      <c r="E1864" s="40">
        <v>263</v>
      </c>
      <c r="F1864" s="41">
        <v>4585</v>
      </c>
      <c r="G1864" s="40">
        <v>272</v>
      </c>
      <c r="H1864" s="41">
        <v>3876</v>
      </c>
      <c r="I1864" s="41">
        <v>17.433460076045627</v>
      </c>
      <c r="J1864" s="41">
        <v>14.25</v>
      </c>
      <c r="K1864" s="42">
        <v>-0.18260632497273716</v>
      </c>
    </row>
    <row r="1865" spans="1:11" x14ac:dyDescent="0.25">
      <c r="A1865" s="24" t="s">
        <v>7</v>
      </c>
      <c r="B1865" s="24" t="s">
        <v>9389</v>
      </c>
      <c r="C1865" s="25" t="s">
        <v>9390</v>
      </c>
      <c r="D1865" s="24" t="s">
        <v>21824</v>
      </c>
      <c r="E1865" s="40">
        <v>906</v>
      </c>
      <c r="F1865" s="41">
        <v>15220</v>
      </c>
      <c r="G1865" s="40">
        <v>549</v>
      </c>
      <c r="H1865" s="41">
        <v>7557</v>
      </c>
      <c r="I1865" s="41">
        <v>16.799116997792495</v>
      </c>
      <c r="J1865" s="41">
        <v>13.765027322404372</v>
      </c>
      <c r="K1865" s="42">
        <v>-0.18061006871889881</v>
      </c>
    </row>
    <row r="1866" spans="1:11" x14ac:dyDescent="0.25">
      <c r="A1866" s="24" t="s">
        <v>7</v>
      </c>
      <c r="B1866" s="24" t="s">
        <v>9398</v>
      </c>
      <c r="C1866" s="25" t="s">
        <v>9399</v>
      </c>
      <c r="D1866" s="24" t="s">
        <v>21823</v>
      </c>
      <c r="E1866" s="40">
        <v>791</v>
      </c>
      <c r="F1866" s="41">
        <v>7749</v>
      </c>
      <c r="G1866" s="40">
        <v>1312</v>
      </c>
      <c r="H1866" s="41">
        <v>12912</v>
      </c>
      <c r="I1866" s="41">
        <v>9.7964601769911503</v>
      </c>
      <c r="J1866" s="41">
        <v>9.8414634146341466</v>
      </c>
      <c r="K1866" s="42">
        <v>4.5938264260691796E-3</v>
      </c>
    </row>
    <row r="1867" spans="1:11" x14ac:dyDescent="0.25">
      <c r="A1867" s="24" t="s">
        <v>7</v>
      </c>
      <c r="B1867" s="24" t="s">
        <v>9404</v>
      </c>
      <c r="C1867" s="25" t="s">
        <v>9405</v>
      </c>
      <c r="D1867" s="24" t="s">
        <v>21824</v>
      </c>
      <c r="E1867" s="40">
        <v>12</v>
      </c>
      <c r="F1867" s="41">
        <v>94.9</v>
      </c>
      <c r="G1867" s="40">
        <v>0</v>
      </c>
      <c r="H1867" s="41">
        <v>0</v>
      </c>
      <c r="I1867" s="41">
        <v>7.9083333333333341</v>
      </c>
    </row>
    <row r="1868" spans="1:11" x14ac:dyDescent="0.25">
      <c r="A1868" s="24" t="s">
        <v>7</v>
      </c>
      <c r="B1868" s="24" t="s">
        <v>9407</v>
      </c>
      <c r="C1868" s="25" t="s">
        <v>9408</v>
      </c>
      <c r="D1868" s="24" t="s">
        <v>21824</v>
      </c>
      <c r="E1868" s="40">
        <v>2</v>
      </c>
      <c r="F1868" s="41">
        <v>84</v>
      </c>
      <c r="G1868" s="40">
        <v>0</v>
      </c>
      <c r="H1868" s="41">
        <v>0</v>
      </c>
      <c r="I1868" s="41">
        <v>42</v>
      </c>
    </row>
    <row r="1869" spans="1:11" x14ac:dyDescent="0.25">
      <c r="A1869" s="24" t="s">
        <v>7</v>
      </c>
      <c r="B1869" s="24" t="s">
        <v>9410</v>
      </c>
      <c r="C1869" s="25" t="s">
        <v>9411</v>
      </c>
      <c r="D1869" s="24" t="s">
        <v>21823</v>
      </c>
      <c r="E1869" s="40">
        <v>239</v>
      </c>
      <c r="F1869" s="41">
        <v>717</v>
      </c>
      <c r="G1869" s="40">
        <v>287</v>
      </c>
      <c r="H1869" s="41">
        <v>861</v>
      </c>
      <c r="I1869" s="41">
        <v>3</v>
      </c>
      <c r="J1869" s="41">
        <v>3</v>
      </c>
      <c r="K1869" s="42">
        <v>0</v>
      </c>
    </row>
    <row r="1870" spans="1:11" x14ac:dyDescent="0.25">
      <c r="A1870" s="24" t="s">
        <v>7</v>
      </c>
      <c r="B1870" s="24" t="s">
        <v>9413</v>
      </c>
      <c r="C1870" s="25" t="s">
        <v>9414</v>
      </c>
      <c r="D1870" s="24" t="s">
        <v>21824</v>
      </c>
      <c r="E1870" s="40">
        <v>1664</v>
      </c>
      <c r="F1870" s="41">
        <v>97900</v>
      </c>
      <c r="G1870" s="40">
        <v>2161</v>
      </c>
      <c r="H1870" s="41">
        <v>132796</v>
      </c>
      <c r="I1870" s="41">
        <v>58.834134615384613</v>
      </c>
      <c r="J1870" s="41">
        <v>61.451180009254976</v>
      </c>
      <c r="K1870" s="42">
        <v>4.4481752149134669E-2</v>
      </c>
    </row>
    <row r="1871" spans="1:11" x14ac:dyDescent="0.25">
      <c r="A1871" s="24" t="s">
        <v>7</v>
      </c>
      <c r="B1871" s="24" t="s">
        <v>9416</v>
      </c>
      <c r="C1871" s="25" t="s">
        <v>9417</v>
      </c>
      <c r="D1871" s="24" t="s">
        <v>21824</v>
      </c>
      <c r="E1871" s="40">
        <v>373</v>
      </c>
      <c r="F1871" s="41">
        <v>25395</v>
      </c>
      <c r="G1871" s="40">
        <v>353</v>
      </c>
      <c r="H1871" s="41">
        <v>30122</v>
      </c>
      <c r="I1871" s="41">
        <v>68.083109919571044</v>
      </c>
      <c r="J1871" s="41">
        <v>85.331444759206803</v>
      </c>
      <c r="K1871" s="42">
        <v>0.2533423467290466</v>
      </c>
    </row>
    <row r="1872" spans="1:11" x14ac:dyDescent="0.25">
      <c r="A1872" s="24" t="s">
        <v>7</v>
      </c>
      <c r="B1872" s="24" t="s">
        <v>9418</v>
      </c>
      <c r="C1872" s="25" t="s">
        <v>9419</v>
      </c>
      <c r="D1872" s="24" t="s">
        <v>21824</v>
      </c>
      <c r="E1872" s="40">
        <v>161</v>
      </c>
      <c r="F1872" s="41">
        <v>10895</v>
      </c>
      <c r="G1872" s="40">
        <v>68</v>
      </c>
      <c r="H1872" s="41">
        <v>6235</v>
      </c>
      <c r="I1872" s="41">
        <v>67.670807453416145</v>
      </c>
      <c r="J1872" s="41">
        <v>91.691176470588232</v>
      </c>
      <c r="K1872" s="42">
        <v>0.35495910158464489</v>
      </c>
    </row>
    <row r="1873" spans="1:11" x14ac:dyDescent="0.25">
      <c r="A1873" s="24" t="s">
        <v>7</v>
      </c>
      <c r="B1873" s="24" t="s">
        <v>9420</v>
      </c>
      <c r="C1873" s="25" t="s">
        <v>9421</v>
      </c>
      <c r="D1873" s="24" t="s">
        <v>21824</v>
      </c>
      <c r="G1873" s="40">
        <v>25</v>
      </c>
      <c r="H1873" s="41">
        <v>1950</v>
      </c>
      <c r="J1873" s="41">
        <v>78</v>
      </c>
    </row>
    <row r="1874" spans="1:11" x14ac:dyDescent="0.25">
      <c r="A1874" s="24" t="s">
        <v>7</v>
      </c>
      <c r="B1874" s="24" t="s">
        <v>9423</v>
      </c>
      <c r="C1874" s="25" t="s">
        <v>9424</v>
      </c>
      <c r="D1874" s="24" t="s">
        <v>21823</v>
      </c>
      <c r="E1874" s="40">
        <v>7525</v>
      </c>
      <c r="F1874" s="41">
        <v>176252</v>
      </c>
      <c r="G1874" s="40">
        <v>7867</v>
      </c>
      <c r="H1874" s="41">
        <v>161001</v>
      </c>
      <c r="I1874" s="41">
        <v>23.422192691029899</v>
      </c>
      <c r="J1874" s="41">
        <v>20.465361637218763</v>
      </c>
      <c r="K1874" s="42">
        <v>-0.12624057417747772</v>
      </c>
    </row>
    <row r="1875" spans="1:11" x14ac:dyDescent="0.25">
      <c r="A1875" s="24" t="s">
        <v>7</v>
      </c>
      <c r="B1875" s="24" t="s">
        <v>9426</v>
      </c>
      <c r="C1875" s="25" t="s">
        <v>9427</v>
      </c>
      <c r="D1875" s="24" t="s">
        <v>21823</v>
      </c>
      <c r="E1875" s="40">
        <v>3278</v>
      </c>
      <c r="F1875" s="41">
        <v>175394</v>
      </c>
      <c r="G1875" s="40">
        <v>2982</v>
      </c>
      <c r="H1875" s="41">
        <v>140790</v>
      </c>
      <c r="I1875" s="41">
        <v>53.506406345332522</v>
      </c>
      <c r="J1875" s="41">
        <v>47.21327967806841</v>
      </c>
      <c r="K1875" s="42">
        <v>-0.11761445212089214</v>
      </c>
    </row>
    <row r="1876" spans="1:11" x14ac:dyDescent="0.25">
      <c r="A1876" s="24" t="s">
        <v>7</v>
      </c>
      <c r="B1876" s="24" t="s">
        <v>9429</v>
      </c>
      <c r="C1876" s="25" t="s">
        <v>9430</v>
      </c>
      <c r="D1876" s="24" t="s">
        <v>21824</v>
      </c>
      <c r="E1876" s="40">
        <v>385</v>
      </c>
      <c r="F1876" s="41">
        <v>18653</v>
      </c>
      <c r="G1876" s="40">
        <v>530</v>
      </c>
      <c r="H1876" s="41">
        <v>21416</v>
      </c>
      <c r="I1876" s="41">
        <v>48.449350649350649</v>
      </c>
      <c r="J1876" s="41">
        <v>40.407547169811323</v>
      </c>
      <c r="K1876" s="42">
        <v>-0.16598372056090926</v>
      </c>
    </row>
    <row r="1877" spans="1:11" x14ac:dyDescent="0.25">
      <c r="A1877" s="24" t="s">
        <v>7</v>
      </c>
      <c r="B1877" s="24" t="s">
        <v>9432</v>
      </c>
      <c r="C1877" s="25" t="s">
        <v>9433</v>
      </c>
      <c r="D1877" s="24" t="s">
        <v>21824</v>
      </c>
      <c r="E1877" s="40">
        <v>866</v>
      </c>
      <c r="F1877" s="41">
        <v>53579</v>
      </c>
      <c r="G1877" s="40">
        <v>910</v>
      </c>
      <c r="H1877" s="41">
        <v>50056</v>
      </c>
      <c r="I1877" s="41">
        <v>61.869515011547342</v>
      </c>
      <c r="J1877" s="41">
        <v>55.00659340659341</v>
      </c>
      <c r="K1877" s="42">
        <v>-0.11092573788032822</v>
      </c>
    </row>
    <row r="1878" spans="1:11" x14ac:dyDescent="0.25">
      <c r="A1878" s="24" t="s">
        <v>7</v>
      </c>
      <c r="B1878" s="24" t="s">
        <v>9435</v>
      </c>
      <c r="C1878" s="25" t="s">
        <v>9436</v>
      </c>
      <c r="D1878" s="24" t="s">
        <v>21824</v>
      </c>
      <c r="E1878" s="40">
        <v>736</v>
      </c>
      <c r="F1878" s="41">
        <v>51026</v>
      </c>
      <c r="G1878" s="40">
        <v>677</v>
      </c>
      <c r="H1878" s="41">
        <v>41907</v>
      </c>
      <c r="I1878" s="41">
        <v>69.328804347826093</v>
      </c>
      <c r="J1878" s="41">
        <v>61.901033973412112</v>
      </c>
      <c r="K1878" s="42">
        <v>-0.10713830195525202</v>
      </c>
    </row>
    <row r="1879" spans="1:11" x14ac:dyDescent="0.25">
      <c r="A1879" s="24" t="s">
        <v>7</v>
      </c>
      <c r="B1879" s="24" t="s">
        <v>9438</v>
      </c>
      <c r="C1879" s="25" t="s">
        <v>9439</v>
      </c>
      <c r="D1879" s="24" t="s">
        <v>21824</v>
      </c>
      <c r="E1879" s="40">
        <v>8251</v>
      </c>
      <c r="F1879" s="41">
        <v>412165</v>
      </c>
      <c r="G1879" s="40">
        <v>8577</v>
      </c>
      <c r="H1879" s="41">
        <v>362691</v>
      </c>
      <c r="I1879" s="41">
        <v>49.953338989213428</v>
      </c>
      <c r="J1879" s="41">
        <v>42.286463798530953</v>
      </c>
      <c r="K1879" s="42">
        <v>-0.15348073513840599</v>
      </c>
    </row>
    <row r="1880" spans="1:11" x14ac:dyDescent="0.25">
      <c r="A1880" s="24" t="s">
        <v>7</v>
      </c>
      <c r="B1880" s="24" t="s">
        <v>9441</v>
      </c>
      <c r="C1880" s="25" t="s">
        <v>9442</v>
      </c>
      <c r="D1880" s="24" t="s">
        <v>21824</v>
      </c>
      <c r="E1880" s="40">
        <v>16</v>
      </c>
      <c r="F1880" s="41">
        <v>432</v>
      </c>
      <c r="G1880" s="40">
        <v>3</v>
      </c>
      <c r="H1880" s="41">
        <v>81</v>
      </c>
      <c r="I1880" s="41">
        <v>27</v>
      </c>
      <c r="J1880" s="41">
        <v>27</v>
      </c>
      <c r="K1880" s="42">
        <v>0</v>
      </c>
    </row>
    <row r="1881" spans="1:11" x14ac:dyDescent="0.25">
      <c r="A1881" s="24" t="s">
        <v>7</v>
      </c>
      <c r="B1881" s="24" t="s">
        <v>9447</v>
      </c>
      <c r="C1881" s="25" t="s">
        <v>9448</v>
      </c>
      <c r="D1881" s="24" t="s">
        <v>21824</v>
      </c>
      <c r="E1881" s="40">
        <v>422</v>
      </c>
      <c r="F1881" s="41">
        <v>80366</v>
      </c>
      <c r="G1881" s="40">
        <v>513</v>
      </c>
      <c r="H1881" s="41">
        <v>94886</v>
      </c>
      <c r="I1881" s="41">
        <v>190.44075829383885</v>
      </c>
      <c r="J1881" s="41">
        <v>184.96296296296296</v>
      </c>
      <c r="K1881" s="42">
        <v>-2.8763776094736914E-2</v>
      </c>
    </row>
    <row r="1882" spans="1:11" x14ac:dyDescent="0.25">
      <c r="A1882" s="24" t="s">
        <v>7</v>
      </c>
      <c r="B1882" s="24" t="s">
        <v>9450</v>
      </c>
      <c r="C1882" s="25" t="s">
        <v>9451</v>
      </c>
      <c r="D1882" s="24" t="s">
        <v>21824</v>
      </c>
      <c r="G1882" s="40">
        <v>18</v>
      </c>
      <c r="H1882" s="41">
        <v>1314</v>
      </c>
      <c r="J1882" s="41">
        <v>73</v>
      </c>
    </row>
    <row r="1883" spans="1:11" x14ac:dyDescent="0.25">
      <c r="A1883" s="24" t="s">
        <v>7</v>
      </c>
      <c r="B1883" s="24" t="s">
        <v>9453</v>
      </c>
      <c r="C1883" s="25" t="s">
        <v>9454</v>
      </c>
      <c r="D1883" s="24" t="s">
        <v>21823</v>
      </c>
      <c r="E1883" s="40">
        <v>2405</v>
      </c>
      <c r="F1883" s="41">
        <v>42478</v>
      </c>
      <c r="G1883" s="40">
        <v>2989</v>
      </c>
      <c r="H1883" s="41">
        <v>44486</v>
      </c>
      <c r="I1883" s="41">
        <v>17.662370062370062</v>
      </c>
      <c r="J1883" s="41">
        <v>14.883238541318166</v>
      </c>
      <c r="K1883" s="42">
        <v>-0.15734759894839237</v>
      </c>
    </row>
    <row r="1884" spans="1:11" x14ac:dyDescent="0.25">
      <c r="A1884" s="24" t="s">
        <v>7</v>
      </c>
      <c r="B1884" s="24" t="s">
        <v>9468</v>
      </c>
      <c r="C1884" s="25" t="s">
        <v>9469</v>
      </c>
      <c r="D1884" s="24" t="s">
        <v>21824</v>
      </c>
      <c r="E1884" s="40">
        <v>293</v>
      </c>
      <c r="F1884" s="41">
        <v>33084</v>
      </c>
      <c r="G1884" s="40">
        <v>52</v>
      </c>
      <c r="H1884" s="41">
        <v>6089</v>
      </c>
      <c r="I1884" s="41">
        <v>112.91467576791808</v>
      </c>
      <c r="J1884" s="41">
        <v>117.09615384615384</v>
      </c>
      <c r="K1884" s="42">
        <v>3.703219311217134E-2</v>
      </c>
    </row>
    <row r="1885" spans="1:11" x14ac:dyDescent="0.25">
      <c r="A1885" s="24" t="s">
        <v>7</v>
      </c>
      <c r="B1885" s="24" t="s">
        <v>9471</v>
      </c>
      <c r="C1885" s="25" t="s">
        <v>9472</v>
      </c>
      <c r="D1885" s="24" t="s">
        <v>21824</v>
      </c>
      <c r="E1885" s="40">
        <v>243</v>
      </c>
      <c r="F1885" s="41">
        <v>18123</v>
      </c>
      <c r="G1885" s="40">
        <v>165</v>
      </c>
      <c r="H1885" s="41">
        <v>12237</v>
      </c>
      <c r="I1885" s="41">
        <v>74.580246913580254</v>
      </c>
      <c r="J1885" s="41">
        <v>74.163636363636357</v>
      </c>
      <c r="K1885" s="42">
        <v>-5.586070939489431E-3</v>
      </c>
    </row>
    <row r="1886" spans="1:11" x14ac:dyDescent="0.25">
      <c r="A1886" s="24" t="s">
        <v>7</v>
      </c>
      <c r="B1886" s="24" t="s">
        <v>9477</v>
      </c>
      <c r="C1886" s="25" t="s">
        <v>9478</v>
      </c>
      <c r="D1886" s="24" t="s">
        <v>21823</v>
      </c>
      <c r="E1886" s="40">
        <v>1020</v>
      </c>
      <c r="F1886" s="41">
        <v>18066</v>
      </c>
      <c r="G1886" s="40">
        <v>1044</v>
      </c>
      <c r="H1886" s="41">
        <v>17194</v>
      </c>
      <c r="I1886" s="41">
        <v>17.711764705882352</v>
      </c>
      <c r="J1886" s="41">
        <v>16.469348659003831</v>
      </c>
      <c r="K1886" s="42">
        <v>-7.0146372623496711E-2</v>
      </c>
    </row>
    <row r="1887" spans="1:11" x14ac:dyDescent="0.25">
      <c r="A1887" s="24" t="s">
        <v>7</v>
      </c>
      <c r="B1887" s="24" t="s">
        <v>9480</v>
      </c>
      <c r="C1887" s="25" t="s">
        <v>9481</v>
      </c>
      <c r="D1887" s="24" t="s">
        <v>21823</v>
      </c>
      <c r="E1887" s="40">
        <v>2815</v>
      </c>
      <c r="F1887" s="41">
        <v>47142</v>
      </c>
      <c r="G1887" s="40">
        <v>4221</v>
      </c>
      <c r="H1887" s="41">
        <v>61917</v>
      </c>
      <c r="I1887" s="41">
        <v>16.746714031971582</v>
      </c>
      <c r="J1887" s="41">
        <v>14.668798862828714</v>
      </c>
      <c r="K1887" s="42">
        <v>-0.12407897842979025</v>
      </c>
    </row>
    <row r="1888" spans="1:11" x14ac:dyDescent="0.25">
      <c r="A1888" s="24" t="s">
        <v>7</v>
      </c>
      <c r="B1888" s="24" t="s">
        <v>9483</v>
      </c>
      <c r="C1888" s="25" t="s">
        <v>9484</v>
      </c>
      <c r="D1888" s="24" t="s">
        <v>21823</v>
      </c>
      <c r="E1888" s="40">
        <v>5697</v>
      </c>
      <c r="F1888" s="41">
        <v>95137</v>
      </c>
      <c r="G1888" s="40">
        <v>9981</v>
      </c>
      <c r="H1888" s="41">
        <v>140669</v>
      </c>
      <c r="I1888" s="41">
        <v>16.699490960154467</v>
      </c>
      <c r="J1888" s="41">
        <v>14.093677988177538</v>
      </c>
      <c r="K1888" s="42">
        <v>-0.15604146127534574</v>
      </c>
    </row>
    <row r="1889" spans="1:11" x14ac:dyDescent="0.25">
      <c r="A1889" s="24" t="s">
        <v>7</v>
      </c>
      <c r="B1889" s="24" t="s">
        <v>9492</v>
      </c>
      <c r="C1889" s="25" t="s">
        <v>9493</v>
      </c>
      <c r="D1889" s="24" t="s">
        <v>21824</v>
      </c>
      <c r="E1889" s="40">
        <v>214</v>
      </c>
      <c r="F1889" s="41">
        <v>11966</v>
      </c>
      <c r="G1889" s="40">
        <v>291</v>
      </c>
      <c r="H1889" s="41">
        <v>9923</v>
      </c>
      <c r="I1889" s="41">
        <v>55.915887850467293</v>
      </c>
      <c r="J1889" s="41">
        <v>34.099656357388319</v>
      </c>
      <c r="K1889" s="42">
        <v>-0.39016158612058333</v>
      </c>
    </row>
    <row r="1890" spans="1:11" x14ac:dyDescent="0.25">
      <c r="A1890" s="24" t="s">
        <v>7</v>
      </c>
      <c r="B1890" s="24" t="s">
        <v>9494</v>
      </c>
      <c r="C1890" s="25" t="s">
        <v>9495</v>
      </c>
      <c r="D1890" s="24" t="s">
        <v>21824</v>
      </c>
      <c r="E1890" s="40">
        <v>122</v>
      </c>
      <c r="F1890" s="41">
        <v>2053</v>
      </c>
      <c r="G1890" s="40">
        <v>264</v>
      </c>
      <c r="H1890" s="41">
        <v>4120</v>
      </c>
      <c r="I1890" s="41">
        <v>16.827868852459016</v>
      </c>
      <c r="J1890" s="41">
        <v>15.606060606060606</v>
      </c>
      <c r="K1890" s="42">
        <v>-7.2606237730446208E-2</v>
      </c>
    </row>
    <row r="1891" spans="1:11" x14ac:dyDescent="0.25">
      <c r="A1891" s="24" t="s">
        <v>7</v>
      </c>
      <c r="B1891" s="24" t="s">
        <v>9497</v>
      </c>
      <c r="C1891" s="25" t="s">
        <v>9498</v>
      </c>
      <c r="D1891" s="24" t="s">
        <v>21824</v>
      </c>
      <c r="E1891" s="40">
        <v>1471</v>
      </c>
      <c r="F1891" s="41">
        <v>34020</v>
      </c>
      <c r="G1891" s="40">
        <v>2034</v>
      </c>
      <c r="H1891" s="41">
        <v>39840</v>
      </c>
      <c r="I1891" s="41">
        <v>23.127124405166555</v>
      </c>
      <c r="J1891" s="41">
        <v>19.587020648967552</v>
      </c>
      <c r="K1891" s="42">
        <v>-0.15307150574276107</v>
      </c>
    </row>
    <row r="1892" spans="1:11" x14ac:dyDescent="0.25">
      <c r="A1892" s="24" t="s">
        <v>7</v>
      </c>
      <c r="B1892" s="24" t="s">
        <v>9500</v>
      </c>
      <c r="C1892" s="25" t="s">
        <v>9501</v>
      </c>
      <c r="D1892" s="24" t="s">
        <v>21824</v>
      </c>
      <c r="E1892" s="40">
        <v>235</v>
      </c>
      <c r="F1892" s="41">
        <v>5078</v>
      </c>
      <c r="G1892" s="40">
        <v>126</v>
      </c>
      <c r="H1892" s="41">
        <v>2398</v>
      </c>
      <c r="I1892" s="41">
        <v>21.608510638297872</v>
      </c>
      <c r="J1892" s="41">
        <v>19.031746031746032</v>
      </c>
      <c r="K1892" s="42">
        <v>-0.11924767281206824</v>
      </c>
    </row>
    <row r="1893" spans="1:11" x14ac:dyDescent="0.25">
      <c r="A1893" s="24" t="s">
        <v>7</v>
      </c>
      <c r="B1893" s="24" t="s">
        <v>9509</v>
      </c>
      <c r="C1893" s="25" t="s">
        <v>9510</v>
      </c>
      <c r="D1893" s="24" t="s">
        <v>21823</v>
      </c>
      <c r="E1893" s="40">
        <v>176</v>
      </c>
      <c r="F1893" s="41">
        <v>2069</v>
      </c>
      <c r="G1893" s="40">
        <v>175</v>
      </c>
      <c r="H1893" s="41">
        <v>2100</v>
      </c>
      <c r="I1893" s="41">
        <v>11.755681818181818</v>
      </c>
      <c r="J1893" s="41">
        <v>12</v>
      </c>
      <c r="K1893" s="42">
        <v>2.0782986950217481E-2</v>
      </c>
    </row>
    <row r="1894" spans="1:11" x14ac:dyDescent="0.25">
      <c r="A1894" s="24" t="s">
        <v>7</v>
      </c>
      <c r="B1894" s="24" t="s">
        <v>9512</v>
      </c>
      <c r="C1894" s="25" t="s">
        <v>9513</v>
      </c>
      <c r="D1894" s="24" t="s">
        <v>21824</v>
      </c>
      <c r="E1894" s="40">
        <v>8654</v>
      </c>
      <c r="F1894" s="41">
        <v>185966</v>
      </c>
      <c r="G1894" s="40">
        <v>9712</v>
      </c>
      <c r="H1894" s="41">
        <v>196127</v>
      </c>
      <c r="I1894" s="41">
        <v>21.489022417379246</v>
      </c>
      <c r="J1894" s="41">
        <v>20.194295716639211</v>
      </c>
      <c r="K1894" s="42">
        <v>-6.0250609617910095E-2</v>
      </c>
    </row>
    <row r="1895" spans="1:11" x14ac:dyDescent="0.25">
      <c r="A1895" s="24" t="s">
        <v>7</v>
      </c>
      <c r="B1895" s="24" t="s">
        <v>9518</v>
      </c>
      <c r="C1895" s="25" t="s">
        <v>9519</v>
      </c>
      <c r="D1895" s="24" t="s">
        <v>21824</v>
      </c>
      <c r="E1895" s="40">
        <v>95</v>
      </c>
      <c r="F1895" s="41">
        <v>1381</v>
      </c>
      <c r="G1895" s="40">
        <v>57</v>
      </c>
      <c r="H1895" s="41">
        <v>827</v>
      </c>
      <c r="I1895" s="41">
        <v>14.536842105263158</v>
      </c>
      <c r="J1895" s="41">
        <v>14.508771929824562</v>
      </c>
      <c r="K1895" s="42">
        <v>-1.9309678976587074E-3</v>
      </c>
    </row>
    <row r="1896" spans="1:11" x14ac:dyDescent="0.25">
      <c r="A1896" s="24" t="s">
        <v>7</v>
      </c>
      <c r="B1896" s="24" t="s">
        <v>9521</v>
      </c>
      <c r="C1896" s="25" t="s">
        <v>9522</v>
      </c>
      <c r="D1896" s="24" t="s">
        <v>21824</v>
      </c>
      <c r="E1896" s="40">
        <v>672</v>
      </c>
      <c r="F1896" s="41">
        <v>15580</v>
      </c>
      <c r="G1896" s="40">
        <v>812</v>
      </c>
      <c r="H1896" s="41">
        <v>16061</v>
      </c>
      <c r="I1896" s="41">
        <v>23.18452380952381</v>
      </c>
      <c r="J1896" s="41">
        <v>19.779556650246306</v>
      </c>
      <c r="K1896" s="42">
        <v>-0.14686379531671903</v>
      </c>
    </row>
    <row r="1897" spans="1:11" x14ac:dyDescent="0.25">
      <c r="A1897" s="24" t="s">
        <v>7</v>
      </c>
      <c r="B1897" s="24" t="s">
        <v>9524</v>
      </c>
      <c r="C1897" s="25" t="s">
        <v>9525</v>
      </c>
      <c r="D1897" s="24" t="s">
        <v>21824</v>
      </c>
      <c r="E1897" s="40">
        <v>105</v>
      </c>
      <c r="F1897" s="41">
        <v>1211</v>
      </c>
      <c r="G1897" s="40">
        <v>61</v>
      </c>
      <c r="H1897" s="41">
        <v>442</v>
      </c>
      <c r="I1897" s="41">
        <v>11.533333333333333</v>
      </c>
      <c r="J1897" s="41">
        <v>7.2459016393442619</v>
      </c>
      <c r="K1897" s="42">
        <v>-0.37174263242679811</v>
      </c>
    </row>
    <row r="1898" spans="1:11" x14ac:dyDescent="0.25">
      <c r="A1898" s="24" t="s">
        <v>7</v>
      </c>
      <c r="B1898" s="24" t="s">
        <v>9530</v>
      </c>
      <c r="C1898" s="25" t="s">
        <v>9531</v>
      </c>
      <c r="D1898" s="24" t="s">
        <v>21824</v>
      </c>
      <c r="E1898" s="40">
        <v>35</v>
      </c>
      <c r="F1898" s="41">
        <v>12273</v>
      </c>
      <c r="G1898" s="40">
        <v>34</v>
      </c>
      <c r="H1898" s="41">
        <v>8393</v>
      </c>
      <c r="I1898" s="41">
        <v>350.65714285714284</v>
      </c>
      <c r="J1898" s="41">
        <v>246.85294117647058</v>
      </c>
      <c r="K1898" s="42">
        <v>-0.29602762640133051</v>
      </c>
    </row>
    <row r="1899" spans="1:11" x14ac:dyDescent="0.25">
      <c r="A1899" s="24" t="s">
        <v>7</v>
      </c>
      <c r="B1899" s="24" t="s">
        <v>9533</v>
      </c>
      <c r="C1899" s="25" t="s">
        <v>9534</v>
      </c>
      <c r="D1899" s="24" t="s">
        <v>21824</v>
      </c>
      <c r="E1899" s="40">
        <v>53</v>
      </c>
      <c r="F1899" s="41">
        <v>13690</v>
      </c>
      <c r="G1899" s="40">
        <v>123</v>
      </c>
      <c r="H1899" s="41">
        <v>32415</v>
      </c>
      <c r="I1899" s="41">
        <v>258.30188679245282</v>
      </c>
      <c r="J1899" s="41">
        <v>263.53658536585368</v>
      </c>
      <c r="K1899" s="42">
        <v>2.0265816244722113E-2</v>
      </c>
    </row>
    <row r="1900" spans="1:11" x14ac:dyDescent="0.25">
      <c r="A1900" s="24" t="s">
        <v>7</v>
      </c>
      <c r="B1900" s="24" t="s">
        <v>9536</v>
      </c>
      <c r="C1900" s="25" t="s">
        <v>9537</v>
      </c>
      <c r="D1900" s="24" t="s">
        <v>21838</v>
      </c>
      <c r="E1900" s="40">
        <v>692</v>
      </c>
      <c r="F1900" s="41">
        <v>46156</v>
      </c>
      <c r="G1900" s="40">
        <v>1461</v>
      </c>
      <c r="H1900" s="41">
        <v>76554</v>
      </c>
      <c r="I1900" s="41">
        <v>66.699421965317924</v>
      </c>
      <c r="J1900" s="41">
        <v>52.398357289527723</v>
      </c>
      <c r="K1900" s="42">
        <v>-0.21441062387656681</v>
      </c>
    </row>
    <row r="1901" spans="1:11" x14ac:dyDescent="0.25">
      <c r="A1901" s="24" t="s">
        <v>7</v>
      </c>
      <c r="B1901" s="24" t="s">
        <v>9539</v>
      </c>
      <c r="C1901" s="25" t="s">
        <v>9540</v>
      </c>
      <c r="D1901" s="24" t="s">
        <v>21838</v>
      </c>
      <c r="E1901" s="40">
        <v>79</v>
      </c>
      <c r="F1901" s="41">
        <v>2286</v>
      </c>
      <c r="G1901" s="40">
        <v>221</v>
      </c>
      <c r="H1901" s="41">
        <v>5135</v>
      </c>
      <c r="I1901" s="41">
        <v>28.936708860759495</v>
      </c>
      <c r="J1901" s="41">
        <v>23.235294117647058</v>
      </c>
      <c r="K1901" s="42">
        <v>-0.19703051824404308</v>
      </c>
    </row>
    <row r="1902" spans="1:11" x14ac:dyDescent="0.25">
      <c r="A1902" s="24" t="s">
        <v>7</v>
      </c>
      <c r="B1902" s="24" t="s">
        <v>9542</v>
      </c>
      <c r="C1902" s="25" t="s">
        <v>9543</v>
      </c>
      <c r="D1902" s="24" t="s">
        <v>21833</v>
      </c>
      <c r="E1902" s="40">
        <v>85</v>
      </c>
      <c r="F1902" s="41">
        <v>2241</v>
      </c>
      <c r="G1902" s="40">
        <v>29</v>
      </c>
      <c r="H1902" s="41">
        <v>683</v>
      </c>
      <c r="I1902" s="41">
        <v>26.36470588235294</v>
      </c>
      <c r="J1902" s="41">
        <v>23.551724137931036</v>
      </c>
      <c r="K1902" s="42">
        <v>-0.10669497915031766</v>
      </c>
    </row>
    <row r="1903" spans="1:11" x14ac:dyDescent="0.25">
      <c r="A1903" s="24" t="s">
        <v>7</v>
      </c>
      <c r="B1903" s="24" t="s">
        <v>9545</v>
      </c>
      <c r="C1903" s="25" t="s">
        <v>9546</v>
      </c>
      <c r="D1903" s="24" t="s">
        <v>21824</v>
      </c>
      <c r="E1903" s="40">
        <v>10151</v>
      </c>
      <c r="F1903" s="41">
        <v>277818</v>
      </c>
      <c r="G1903" s="40">
        <v>11038</v>
      </c>
      <c r="H1903" s="41">
        <v>254200</v>
      </c>
      <c r="I1903" s="41">
        <v>27.368535119692641</v>
      </c>
      <c r="J1903" s="41">
        <v>23.029534335930421</v>
      </c>
      <c r="K1903" s="42">
        <v>-0.1585397524853332</v>
      </c>
    </row>
    <row r="1904" spans="1:11" x14ac:dyDescent="0.25">
      <c r="A1904" s="24" t="s">
        <v>7</v>
      </c>
      <c r="B1904" s="24" t="s">
        <v>9548</v>
      </c>
      <c r="C1904" s="25" t="s">
        <v>9549</v>
      </c>
      <c r="D1904" s="24" t="s">
        <v>21824</v>
      </c>
      <c r="E1904" s="40">
        <v>310</v>
      </c>
      <c r="F1904" s="41">
        <v>5172</v>
      </c>
      <c r="G1904" s="40">
        <v>270</v>
      </c>
      <c r="H1904" s="41">
        <v>3198</v>
      </c>
      <c r="I1904" s="41">
        <v>16.683870967741935</v>
      </c>
      <c r="J1904" s="41">
        <v>11.844444444444445</v>
      </c>
      <c r="K1904" s="42">
        <v>-0.29006616825642345</v>
      </c>
    </row>
    <row r="1905" spans="1:11" x14ac:dyDescent="0.25">
      <c r="A1905" s="24" t="s">
        <v>7</v>
      </c>
      <c r="B1905" s="24" t="s">
        <v>9551</v>
      </c>
      <c r="C1905" s="25" t="s">
        <v>9552</v>
      </c>
      <c r="D1905" s="24" t="s">
        <v>21824</v>
      </c>
      <c r="E1905" s="40">
        <v>91</v>
      </c>
      <c r="F1905" s="41">
        <v>5178</v>
      </c>
      <c r="G1905" s="40">
        <v>77</v>
      </c>
      <c r="H1905" s="41">
        <v>3790</v>
      </c>
      <c r="I1905" s="41">
        <v>56.901098901098898</v>
      </c>
      <c r="J1905" s="41">
        <v>49.220779220779221</v>
      </c>
      <c r="K1905" s="42">
        <v>-0.13497664946100629</v>
      </c>
    </row>
    <row r="1906" spans="1:11" x14ac:dyDescent="0.25">
      <c r="A1906" s="24" t="s">
        <v>7</v>
      </c>
      <c r="B1906" s="24" t="s">
        <v>9554</v>
      </c>
      <c r="C1906" s="25" t="s">
        <v>9555</v>
      </c>
      <c r="D1906" s="24" t="s">
        <v>21824</v>
      </c>
      <c r="E1906" s="40">
        <v>178</v>
      </c>
      <c r="F1906" s="41">
        <v>32820</v>
      </c>
      <c r="G1906" s="40">
        <v>125</v>
      </c>
      <c r="H1906" s="41">
        <v>18613</v>
      </c>
      <c r="I1906" s="41">
        <v>184.38202247191012</v>
      </c>
      <c r="J1906" s="41">
        <v>148.904</v>
      </c>
      <c r="K1906" s="42">
        <v>-0.19241584399756251</v>
      </c>
    </row>
    <row r="1907" spans="1:11" x14ac:dyDescent="0.25">
      <c r="A1907" s="24" t="s">
        <v>7</v>
      </c>
      <c r="B1907" s="24" t="s">
        <v>9557</v>
      </c>
      <c r="C1907" s="25" t="s">
        <v>9558</v>
      </c>
      <c r="D1907" s="24" t="s">
        <v>21824</v>
      </c>
      <c r="G1907" s="40">
        <v>55</v>
      </c>
      <c r="H1907" s="41">
        <v>1640</v>
      </c>
      <c r="J1907" s="41">
        <v>29.818181818181817</v>
      </c>
    </row>
    <row r="1908" spans="1:11" x14ac:dyDescent="0.25">
      <c r="A1908" s="24" t="s">
        <v>7</v>
      </c>
      <c r="B1908" s="24" t="s">
        <v>9560</v>
      </c>
      <c r="C1908" s="25" t="s">
        <v>9561</v>
      </c>
      <c r="D1908" s="24" t="s">
        <v>21824</v>
      </c>
      <c r="E1908" s="40">
        <v>101</v>
      </c>
      <c r="F1908" s="41">
        <v>4001</v>
      </c>
      <c r="G1908" s="40">
        <v>134</v>
      </c>
      <c r="H1908" s="41">
        <v>3118</v>
      </c>
      <c r="I1908" s="41">
        <v>39.613861386138616</v>
      </c>
      <c r="J1908" s="41">
        <v>23.268656716417912</v>
      </c>
      <c r="K1908" s="42">
        <v>-0.4126132645942992</v>
      </c>
    </row>
    <row r="1909" spans="1:11" x14ac:dyDescent="0.25">
      <c r="A1909" s="24" t="s">
        <v>7</v>
      </c>
      <c r="B1909" s="24" t="s">
        <v>9563</v>
      </c>
      <c r="C1909" s="25" t="s">
        <v>9564</v>
      </c>
      <c r="D1909" s="24" t="s">
        <v>21824</v>
      </c>
      <c r="E1909" s="40">
        <v>125</v>
      </c>
      <c r="F1909" s="41">
        <v>4404</v>
      </c>
      <c r="G1909" s="40">
        <v>106</v>
      </c>
      <c r="H1909" s="41">
        <v>3340</v>
      </c>
      <c r="I1909" s="41">
        <v>35.231999999999999</v>
      </c>
      <c r="J1909" s="41">
        <v>31.509433962264151</v>
      </c>
      <c r="K1909" s="42">
        <v>-0.10565866365054066</v>
      </c>
    </row>
    <row r="1910" spans="1:11" x14ac:dyDescent="0.25">
      <c r="A1910" s="24" t="s">
        <v>7</v>
      </c>
      <c r="B1910" s="24" t="s">
        <v>9579</v>
      </c>
      <c r="C1910" s="25" t="s">
        <v>9580</v>
      </c>
      <c r="D1910" s="24" t="s">
        <v>21824</v>
      </c>
      <c r="G1910" s="40">
        <v>28</v>
      </c>
      <c r="H1910" s="41">
        <v>532</v>
      </c>
      <c r="J1910" s="41">
        <v>19</v>
      </c>
    </row>
    <row r="1911" spans="1:11" x14ac:dyDescent="0.25">
      <c r="A1911" s="24" t="s">
        <v>7</v>
      </c>
      <c r="B1911" s="24" t="s">
        <v>9585</v>
      </c>
      <c r="C1911" s="25" t="s">
        <v>9586</v>
      </c>
      <c r="D1911" s="24" t="s">
        <v>21824</v>
      </c>
      <c r="G1911" s="40">
        <v>1</v>
      </c>
      <c r="H1911" s="41">
        <v>33</v>
      </c>
      <c r="J1911" s="41">
        <v>33</v>
      </c>
    </row>
    <row r="1912" spans="1:11" x14ac:dyDescent="0.25">
      <c r="A1912" s="24" t="s">
        <v>7</v>
      </c>
      <c r="B1912" s="24" t="s">
        <v>9588</v>
      </c>
      <c r="C1912" s="25" t="s">
        <v>9589</v>
      </c>
      <c r="D1912" s="24" t="s">
        <v>21824</v>
      </c>
      <c r="E1912" s="40">
        <v>257</v>
      </c>
      <c r="F1912" s="41">
        <v>2549</v>
      </c>
      <c r="G1912" s="40">
        <v>73</v>
      </c>
      <c r="H1912" s="41">
        <v>1009</v>
      </c>
      <c r="I1912" s="41">
        <v>9.918287937743191</v>
      </c>
      <c r="J1912" s="41">
        <v>13.821917808219178</v>
      </c>
      <c r="K1912" s="42">
        <v>0.39357900224100767</v>
      </c>
    </row>
    <row r="1913" spans="1:11" x14ac:dyDescent="0.25">
      <c r="A1913" s="24" t="s">
        <v>7</v>
      </c>
      <c r="B1913" s="24" t="s">
        <v>9591</v>
      </c>
      <c r="C1913" s="25" t="s">
        <v>9592</v>
      </c>
      <c r="D1913" s="24" t="s">
        <v>21824</v>
      </c>
      <c r="G1913" s="40">
        <v>79</v>
      </c>
      <c r="H1913" s="41">
        <v>790</v>
      </c>
      <c r="J1913" s="41">
        <v>10</v>
      </c>
    </row>
    <row r="1914" spans="1:11" x14ac:dyDescent="0.25">
      <c r="A1914" s="24" t="s">
        <v>7</v>
      </c>
      <c r="B1914" s="24" t="s">
        <v>9594</v>
      </c>
      <c r="C1914" s="25" t="s">
        <v>9595</v>
      </c>
      <c r="D1914" s="24" t="s">
        <v>21823</v>
      </c>
      <c r="E1914" s="40">
        <v>103</v>
      </c>
      <c r="F1914" s="41">
        <v>1723</v>
      </c>
      <c r="G1914" s="40">
        <v>54</v>
      </c>
      <c r="H1914" s="41">
        <v>742</v>
      </c>
      <c r="I1914" s="41">
        <v>16.728155339805824</v>
      </c>
      <c r="J1914" s="41">
        <v>13.74074074074074</v>
      </c>
      <c r="K1914" s="42">
        <v>-0.17858601491799395</v>
      </c>
    </row>
    <row r="1915" spans="1:11" x14ac:dyDescent="0.25">
      <c r="A1915" s="24" t="s">
        <v>7</v>
      </c>
      <c r="B1915" s="24" t="s">
        <v>9597</v>
      </c>
      <c r="C1915" s="25" t="s">
        <v>9598</v>
      </c>
      <c r="D1915" s="24" t="s">
        <v>21823</v>
      </c>
      <c r="E1915" s="40">
        <v>2703</v>
      </c>
      <c r="F1915" s="41">
        <v>58096</v>
      </c>
      <c r="G1915" s="40">
        <v>2051</v>
      </c>
      <c r="H1915" s="41">
        <v>37982</v>
      </c>
      <c r="I1915" s="41">
        <v>21.493155752867185</v>
      </c>
      <c r="J1915" s="41">
        <v>18.518771331058019</v>
      </c>
      <c r="K1915" s="42">
        <v>-0.13838751535648194</v>
      </c>
    </row>
    <row r="1916" spans="1:11" x14ac:dyDescent="0.25">
      <c r="A1916" s="24" t="s">
        <v>7</v>
      </c>
      <c r="B1916" s="24" t="s">
        <v>9606</v>
      </c>
      <c r="C1916" s="25" t="s">
        <v>9607</v>
      </c>
      <c r="D1916" s="24" t="s">
        <v>21824</v>
      </c>
      <c r="E1916" s="40">
        <v>3</v>
      </c>
      <c r="F1916" s="41">
        <v>57</v>
      </c>
      <c r="G1916" s="40">
        <v>0</v>
      </c>
      <c r="H1916" s="41">
        <v>0</v>
      </c>
      <c r="I1916" s="41">
        <v>19</v>
      </c>
    </row>
    <row r="1917" spans="1:11" x14ac:dyDescent="0.25">
      <c r="A1917" s="24" t="s">
        <v>7</v>
      </c>
      <c r="B1917" s="24" t="s">
        <v>9627</v>
      </c>
      <c r="C1917" s="25" t="s">
        <v>9628</v>
      </c>
      <c r="D1917" s="24" t="s">
        <v>21824</v>
      </c>
      <c r="E1917" s="40">
        <v>100</v>
      </c>
      <c r="F1917" s="41">
        <v>1639</v>
      </c>
      <c r="G1917" s="40">
        <v>151</v>
      </c>
      <c r="H1917" s="41">
        <v>2567</v>
      </c>
      <c r="I1917" s="41">
        <v>16.39</v>
      </c>
      <c r="J1917" s="41">
        <v>17</v>
      </c>
      <c r="K1917" s="42">
        <v>3.7217815741305636E-2</v>
      </c>
    </row>
    <row r="1918" spans="1:11" x14ac:dyDescent="0.25">
      <c r="A1918" s="24" t="s">
        <v>7</v>
      </c>
      <c r="B1918" s="24" t="s">
        <v>9630</v>
      </c>
      <c r="C1918" s="25" t="s">
        <v>9631</v>
      </c>
      <c r="D1918" s="24" t="s">
        <v>21824</v>
      </c>
      <c r="G1918" s="40">
        <v>1</v>
      </c>
      <c r="H1918" s="41">
        <v>11</v>
      </c>
      <c r="J1918" s="41">
        <v>11</v>
      </c>
    </row>
    <row r="1919" spans="1:11" x14ac:dyDescent="0.25">
      <c r="A1919" s="24" t="s">
        <v>7</v>
      </c>
      <c r="B1919" s="24" t="s">
        <v>9636</v>
      </c>
      <c r="C1919" s="25" t="s">
        <v>9637</v>
      </c>
      <c r="D1919" s="24" t="s">
        <v>21824</v>
      </c>
      <c r="E1919" s="40">
        <v>183</v>
      </c>
      <c r="F1919" s="41">
        <v>9860</v>
      </c>
      <c r="G1919" s="40">
        <v>261</v>
      </c>
      <c r="H1919" s="41">
        <v>14922</v>
      </c>
      <c r="I1919" s="41">
        <v>53.879781420765028</v>
      </c>
      <c r="J1919" s="41">
        <v>57.172413793103445</v>
      </c>
      <c r="K1919" s="42">
        <v>6.1110722529201862E-2</v>
      </c>
    </row>
    <row r="1920" spans="1:11" x14ac:dyDescent="0.25">
      <c r="A1920" s="24" t="s">
        <v>7</v>
      </c>
      <c r="B1920" s="24" t="s">
        <v>9642</v>
      </c>
      <c r="C1920" s="25" t="s">
        <v>9643</v>
      </c>
      <c r="D1920" s="24" t="s">
        <v>21824</v>
      </c>
      <c r="E1920" s="40">
        <v>2019</v>
      </c>
      <c r="F1920" s="41">
        <v>113970</v>
      </c>
      <c r="G1920" s="40">
        <v>2468</v>
      </c>
      <c r="H1920" s="41">
        <v>153896</v>
      </c>
      <c r="I1920" s="41">
        <v>56.448736998514114</v>
      </c>
      <c r="J1920" s="41">
        <v>62.356564019448946</v>
      </c>
      <c r="K1920" s="42">
        <v>0.10465826757275973</v>
      </c>
    </row>
    <row r="1921" spans="1:11" x14ac:dyDescent="0.25">
      <c r="A1921" s="24" t="s">
        <v>7</v>
      </c>
      <c r="B1921" s="24" t="s">
        <v>9648</v>
      </c>
      <c r="C1921" s="25" t="s">
        <v>9649</v>
      </c>
      <c r="D1921" s="24" t="s">
        <v>21824</v>
      </c>
      <c r="E1921" s="40">
        <v>168</v>
      </c>
      <c r="F1921" s="41">
        <v>3888</v>
      </c>
      <c r="G1921" s="40">
        <v>266</v>
      </c>
      <c r="H1921" s="41">
        <v>5188</v>
      </c>
      <c r="I1921" s="41">
        <v>23.142857142857142</v>
      </c>
      <c r="J1921" s="41">
        <v>19.503759398496239</v>
      </c>
      <c r="K1921" s="42">
        <v>-0.15724496426250817</v>
      </c>
    </row>
    <row r="1922" spans="1:11" x14ac:dyDescent="0.25">
      <c r="A1922" s="24" t="s">
        <v>7</v>
      </c>
      <c r="B1922" s="24" t="s">
        <v>9651</v>
      </c>
      <c r="C1922" s="25" t="s">
        <v>9652</v>
      </c>
      <c r="D1922" s="24" t="s">
        <v>21824</v>
      </c>
      <c r="E1922" s="40">
        <v>128</v>
      </c>
      <c r="F1922" s="41">
        <v>2108</v>
      </c>
      <c r="G1922" s="40">
        <v>173</v>
      </c>
      <c r="H1922" s="41">
        <v>1517</v>
      </c>
      <c r="I1922" s="41">
        <v>16.46875</v>
      </c>
      <c r="J1922" s="41">
        <v>8.7687861271676297</v>
      </c>
      <c r="K1922" s="42">
        <v>-0.46754998848317997</v>
      </c>
    </row>
    <row r="1923" spans="1:11" x14ac:dyDescent="0.25">
      <c r="A1923" s="24" t="s">
        <v>7</v>
      </c>
      <c r="B1923" s="24" t="s">
        <v>9654</v>
      </c>
      <c r="C1923" s="25" t="s">
        <v>9655</v>
      </c>
      <c r="D1923" s="24" t="s">
        <v>21824</v>
      </c>
      <c r="E1923" s="40">
        <v>109</v>
      </c>
      <c r="F1923" s="41">
        <v>366439</v>
      </c>
      <c r="G1923" s="40">
        <v>119</v>
      </c>
      <c r="H1923" s="41">
        <v>367109</v>
      </c>
      <c r="I1923" s="41">
        <v>3361.8256880733943</v>
      </c>
      <c r="J1923" s="41">
        <v>3084.9495798319326</v>
      </c>
      <c r="K1923" s="42">
        <v>-8.2358853174250901E-2</v>
      </c>
    </row>
    <row r="1924" spans="1:11" x14ac:dyDescent="0.25">
      <c r="A1924" s="24" t="s">
        <v>7</v>
      </c>
      <c r="B1924" s="24" t="s">
        <v>9657</v>
      </c>
      <c r="C1924" s="25" t="s">
        <v>9658</v>
      </c>
      <c r="D1924" s="24" t="s">
        <v>21824</v>
      </c>
      <c r="E1924" s="40">
        <v>30</v>
      </c>
      <c r="F1924" s="41">
        <v>106815</v>
      </c>
      <c r="G1924" s="40">
        <v>85</v>
      </c>
      <c r="H1924" s="41">
        <v>259833</v>
      </c>
      <c r="I1924" s="41">
        <v>3560.5</v>
      </c>
      <c r="J1924" s="41">
        <v>3056.8588235294119</v>
      </c>
      <c r="K1924" s="42">
        <v>-0.14145237367521082</v>
      </c>
    </row>
    <row r="1925" spans="1:11" x14ac:dyDescent="0.25">
      <c r="A1925" s="24" t="s">
        <v>7</v>
      </c>
      <c r="B1925" s="24" t="s">
        <v>9660</v>
      </c>
      <c r="C1925" s="25" t="s">
        <v>9661</v>
      </c>
      <c r="D1925" s="24" t="s">
        <v>21824</v>
      </c>
      <c r="E1925" s="40">
        <v>255</v>
      </c>
      <c r="F1925" s="41">
        <v>10104</v>
      </c>
      <c r="G1925" s="40">
        <v>351</v>
      </c>
      <c r="H1925" s="41">
        <v>12879</v>
      </c>
      <c r="I1925" s="41">
        <v>39.623529411764707</v>
      </c>
      <c r="J1925" s="41">
        <v>36.692307692307693</v>
      </c>
      <c r="K1925" s="42">
        <v>-7.3976795176320123E-2</v>
      </c>
    </row>
    <row r="1926" spans="1:11" x14ac:dyDescent="0.25">
      <c r="A1926" s="24" t="s">
        <v>7</v>
      </c>
      <c r="B1926" s="24" t="s">
        <v>9666</v>
      </c>
      <c r="C1926" s="25" t="s">
        <v>9667</v>
      </c>
      <c r="D1926" s="24" t="s">
        <v>21824</v>
      </c>
      <c r="G1926" s="40">
        <v>21</v>
      </c>
      <c r="H1926" s="41">
        <v>378</v>
      </c>
      <c r="J1926" s="41">
        <v>18</v>
      </c>
    </row>
    <row r="1927" spans="1:11" x14ac:dyDescent="0.25">
      <c r="A1927" s="24" t="s">
        <v>7</v>
      </c>
      <c r="B1927" s="24" t="s">
        <v>9669</v>
      </c>
      <c r="C1927" s="25" t="s">
        <v>9670</v>
      </c>
      <c r="D1927" s="24" t="s">
        <v>21824</v>
      </c>
      <c r="E1927" s="40">
        <v>294</v>
      </c>
      <c r="F1927" s="41">
        <v>6898</v>
      </c>
      <c r="G1927" s="40">
        <v>752</v>
      </c>
      <c r="H1927" s="41">
        <v>16662</v>
      </c>
      <c r="I1927" s="41">
        <v>23.462585034013607</v>
      </c>
      <c r="J1927" s="41">
        <v>22.156914893617021</v>
      </c>
      <c r="K1927" s="42">
        <v>-5.5649031788430892E-2</v>
      </c>
    </row>
    <row r="1928" spans="1:11" x14ac:dyDescent="0.25">
      <c r="A1928" s="24" t="s">
        <v>7</v>
      </c>
      <c r="B1928" s="24" t="s">
        <v>9672</v>
      </c>
      <c r="C1928" s="25" t="s">
        <v>9673</v>
      </c>
      <c r="D1928" s="24" t="s">
        <v>21824</v>
      </c>
      <c r="E1928" s="40">
        <v>341</v>
      </c>
      <c r="F1928" s="41">
        <v>17998</v>
      </c>
      <c r="G1928" s="40">
        <v>213</v>
      </c>
      <c r="H1928" s="41">
        <v>9552</v>
      </c>
      <c r="I1928" s="41">
        <v>52.780058651026394</v>
      </c>
      <c r="J1928" s="41">
        <v>44.845070422535208</v>
      </c>
      <c r="K1928" s="42">
        <v>-0.15034064817843618</v>
      </c>
    </row>
    <row r="1929" spans="1:11" x14ac:dyDescent="0.25">
      <c r="A1929" s="24" t="s">
        <v>7</v>
      </c>
      <c r="B1929" s="24" t="s">
        <v>9675</v>
      </c>
      <c r="C1929" s="25" t="s">
        <v>9676</v>
      </c>
      <c r="D1929" s="24" t="s">
        <v>21824</v>
      </c>
      <c r="G1929" s="40">
        <v>7</v>
      </c>
      <c r="H1929" s="41">
        <v>385</v>
      </c>
      <c r="J1929" s="41">
        <v>55</v>
      </c>
    </row>
    <row r="1930" spans="1:11" x14ac:dyDescent="0.25">
      <c r="A1930" s="24" t="s">
        <v>7</v>
      </c>
      <c r="B1930" s="24" t="s">
        <v>9681</v>
      </c>
      <c r="C1930" s="25" t="s">
        <v>9682</v>
      </c>
      <c r="D1930" s="24" t="s">
        <v>21824</v>
      </c>
      <c r="G1930" s="40">
        <v>43</v>
      </c>
      <c r="H1930" s="41">
        <v>639</v>
      </c>
      <c r="J1930" s="41">
        <v>14.86046511627907</v>
      </c>
    </row>
    <row r="1931" spans="1:11" x14ac:dyDescent="0.25">
      <c r="A1931" s="24" t="s">
        <v>7</v>
      </c>
      <c r="B1931" s="24" t="s">
        <v>9684</v>
      </c>
      <c r="C1931" s="25" t="s">
        <v>9685</v>
      </c>
      <c r="D1931" s="24" t="s">
        <v>21824</v>
      </c>
      <c r="E1931" s="40">
        <v>4</v>
      </c>
      <c r="F1931" s="41">
        <v>88</v>
      </c>
      <c r="G1931" s="40">
        <v>9</v>
      </c>
      <c r="H1931" s="41">
        <v>126</v>
      </c>
      <c r="I1931" s="41">
        <v>22</v>
      </c>
      <c r="J1931" s="41">
        <v>14</v>
      </c>
      <c r="K1931" s="42">
        <v>-0.36363636363636365</v>
      </c>
    </row>
    <row r="1932" spans="1:11" x14ac:dyDescent="0.25">
      <c r="A1932" s="24" t="s">
        <v>7</v>
      </c>
      <c r="B1932" s="24" t="s">
        <v>9687</v>
      </c>
      <c r="C1932" s="25" t="s">
        <v>9688</v>
      </c>
      <c r="D1932" s="24" t="s">
        <v>21824</v>
      </c>
      <c r="E1932" s="40">
        <v>1</v>
      </c>
      <c r="F1932" s="41">
        <v>87</v>
      </c>
      <c r="G1932" s="40">
        <v>8</v>
      </c>
      <c r="H1932" s="41">
        <v>530</v>
      </c>
      <c r="I1932" s="41">
        <v>87</v>
      </c>
      <c r="J1932" s="41">
        <v>66.25</v>
      </c>
      <c r="K1932" s="42">
        <v>-0.23850574712643677</v>
      </c>
    </row>
    <row r="1933" spans="1:11" x14ac:dyDescent="0.25">
      <c r="A1933" s="24" t="s">
        <v>7</v>
      </c>
      <c r="B1933" s="24" t="s">
        <v>9690</v>
      </c>
      <c r="C1933" s="25" t="s">
        <v>9691</v>
      </c>
      <c r="D1933" s="24" t="s">
        <v>21824</v>
      </c>
      <c r="E1933" s="40">
        <v>2607</v>
      </c>
      <c r="F1933" s="41">
        <v>76502</v>
      </c>
      <c r="G1933" s="40">
        <v>3557</v>
      </c>
      <c r="H1933" s="41">
        <v>90006</v>
      </c>
      <c r="I1933" s="41">
        <v>29.344840813195244</v>
      </c>
      <c r="J1933" s="41">
        <v>25.303907787461345</v>
      </c>
      <c r="K1933" s="42">
        <v>-0.13770505866628682</v>
      </c>
    </row>
    <row r="1934" spans="1:11" x14ac:dyDescent="0.25">
      <c r="A1934" s="24" t="s">
        <v>7</v>
      </c>
      <c r="B1934" s="24" t="s">
        <v>9693</v>
      </c>
      <c r="C1934" s="25" t="s">
        <v>9694</v>
      </c>
      <c r="D1934" s="24" t="s">
        <v>21824</v>
      </c>
      <c r="E1934" s="40">
        <v>263</v>
      </c>
      <c r="F1934" s="41">
        <v>3582</v>
      </c>
      <c r="G1934" s="40">
        <v>318</v>
      </c>
      <c r="H1934" s="41">
        <v>5838</v>
      </c>
      <c r="I1934" s="41">
        <v>13.619771863117871</v>
      </c>
      <c r="J1934" s="41">
        <v>18.358490566037737</v>
      </c>
      <c r="K1934" s="42">
        <v>0.34792937433498744</v>
      </c>
    </row>
    <row r="1935" spans="1:11" x14ac:dyDescent="0.25">
      <c r="A1935" s="24" t="s">
        <v>7</v>
      </c>
      <c r="B1935" s="24" t="s">
        <v>9696</v>
      </c>
      <c r="C1935" s="25" t="s">
        <v>9697</v>
      </c>
      <c r="D1935" s="24" t="s">
        <v>21824</v>
      </c>
      <c r="E1935" s="40">
        <v>426</v>
      </c>
      <c r="F1935" s="41">
        <v>7971</v>
      </c>
      <c r="G1935" s="40">
        <v>228</v>
      </c>
      <c r="H1935" s="41">
        <v>4332</v>
      </c>
      <c r="I1935" s="41">
        <v>18.711267605633804</v>
      </c>
      <c r="J1935" s="41">
        <v>19</v>
      </c>
      <c r="K1935" s="42">
        <v>1.5430937147158392E-2</v>
      </c>
    </row>
    <row r="1936" spans="1:11" x14ac:dyDescent="0.25">
      <c r="A1936" s="24" t="s">
        <v>7</v>
      </c>
      <c r="B1936" s="24" t="s">
        <v>9699</v>
      </c>
      <c r="C1936" s="25" t="s">
        <v>9700</v>
      </c>
      <c r="D1936" s="24" t="s">
        <v>21824</v>
      </c>
      <c r="E1936" s="40">
        <v>3332</v>
      </c>
      <c r="F1936" s="41">
        <v>78222</v>
      </c>
      <c r="G1936" s="40">
        <v>3855</v>
      </c>
      <c r="H1936" s="41">
        <v>78076</v>
      </c>
      <c r="I1936" s="41">
        <v>23.475990396158462</v>
      </c>
      <c r="J1936" s="41">
        <v>20.253177691309986</v>
      </c>
      <c r="K1936" s="42">
        <v>-0.1372812243685296</v>
      </c>
    </row>
    <row r="1937" spans="1:11" x14ac:dyDescent="0.25">
      <c r="A1937" s="24" t="s">
        <v>7</v>
      </c>
      <c r="B1937" s="24" t="s">
        <v>9702</v>
      </c>
      <c r="C1937" s="25" t="s">
        <v>9703</v>
      </c>
      <c r="D1937" s="24" t="s">
        <v>21824</v>
      </c>
      <c r="E1937" s="40">
        <v>3</v>
      </c>
      <c r="F1937" s="41">
        <v>1062</v>
      </c>
      <c r="G1937" s="40">
        <v>0</v>
      </c>
      <c r="H1937" s="41">
        <v>0</v>
      </c>
      <c r="I1937" s="41">
        <v>354</v>
      </c>
    </row>
    <row r="1938" spans="1:11" x14ac:dyDescent="0.25">
      <c r="A1938" s="24" t="s">
        <v>7</v>
      </c>
      <c r="B1938" s="24" t="s">
        <v>9705</v>
      </c>
      <c r="C1938" s="25" t="s">
        <v>9706</v>
      </c>
      <c r="D1938" s="24" t="s">
        <v>21824</v>
      </c>
      <c r="E1938" s="40">
        <v>21</v>
      </c>
      <c r="F1938" s="41">
        <v>1144</v>
      </c>
      <c r="G1938" s="40">
        <v>169</v>
      </c>
      <c r="H1938" s="41">
        <v>5954</v>
      </c>
      <c r="I1938" s="41">
        <v>54.476190476190474</v>
      </c>
      <c r="J1938" s="41">
        <v>35.230769230769234</v>
      </c>
      <c r="K1938" s="42">
        <v>-0.35328133405056478</v>
      </c>
    </row>
    <row r="1939" spans="1:11" x14ac:dyDescent="0.25">
      <c r="A1939" s="24" t="s">
        <v>7</v>
      </c>
      <c r="B1939" s="24" t="s">
        <v>9714</v>
      </c>
      <c r="C1939" s="25" t="s">
        <v>9715</v>
      </c>
      <c r="D1939" s="24" t="s">
        <v>21824</v>
      </c>
      <c r="E1939" s="40">
        <v>52</v>
      </c>
      <c r="F1939" s="41">
        <v>861</v>
      </c>
      <c r="G1939" s="40">
        <v>18</v>
      </c>
      <c r="H1939" s="41">
        <v>246</v>
      </c>
      <c r="I1939" s="41">
        <v>16.557692307692307</v>
      </c>
      <c r="J1939" s="41">
        <v>13.666666666666666</v>
      </c>
      <c r="K1939" s="42">
        <v>-0.17460317460317459</v>
      </c>
    </row>
    <row r="1940" spans="1:11" x14ac:dyDescent="0.25">
      <c r="A1940" s="24" t="s">
        <v>7</v>
      </c>
      <c r="B1940" s="24" t="s">
        <v>9717</v>
      </c>
      <c r="C1940" s="25" t="s">
        <v>9718</v>
      </c>
      <c r="D1940" s="24" t="s">
        <v>21824</v>
      </c>
      <c r="E1940" s="40">
        <v>8</v>
      </c>
      <c r="F1940" s="41">
        <v>143</v>
      </c>
      <c r="G1940" s="40">
        <v>8</v>
      </c>
      <c r="H1940" s="41">
        <v>144</v>
      </c>
      <c r="I1940" s="41">
        <v>17.875</v>
      </c>
      <c r="J1940" s="41">
        <v>18</v>
      </c>
      <c r="K1940" s="42">
        <v>6.993006993006993E-3</v>
      </c>
    </row>
    <row r="1941" spans="1:11" x14ac:dyDescent="0.25">
      <c r="A1941" s="24" t="s">
        <v>7</v>
      </c>
      <c r="B1941" s="24" t="s">
        <v>9729</v>
      </c>
      <c r="C1941" s="25" t="s">
        <v>9730</v>
      </c>
      <c r="D1941" s="24" t="s">
        <v>21824</v>
      </c>
      <c r="E1941" s="40">
        <v>109</v>
      </c>
      <c r="F1941" s="41">
        <v>1784</v>
      </c>
      <c r="G1941" s="40">
        <v>28</v>
      </c>
      <c r="H1941" s="41">
        <v>476</v>
      </c>
      <c r="I1941" s="41">
        <v>16.36697247706422</v>
      </c>
      <c r="J1941" s="41">
        <v>17</v>
      </c>
      <c r="K1941" s="42">
        <v>3.8677130044843078E-2</v>
      </c>
    </row>
    <row r="1942" spans="1:11" x14ac:dyDescent="0.25">
      <c r="A1942" s="24" t="s">
        <v>7</v>
      </c>
      <c r="B1942" s="24" t="s">
        <v>9732</v>
      </c>
      <c r="C1942" s="25" t="s">
        <v>9733</v>
      </c>
      <c r="D1942" s="24" t="s">
        <v>21824</v>
      </c>
      <c r="G1942" s="40">
        <v>43</v>
      </c>
      <c r="H1942" s="41">
        <v>774</v>
      </c>
      <c r="J1942" s="41">
        <v>18</v>
      </c>
    </row>
    <row r="1943" spans="1:11" x14ac:dyDescent="0.25">
      <c r="A1943" s="24" t="s">
        <v>7</v>
      </c>
      <c r="B1943" s="24" t="s">
        <v>9750</v>
      </c>
      <c r="C1943" s="25" t="s">
        <v>9751</v>
      </c>
      <c r="D1943" s="24" t="s">
        <v>21824</v>
      </c>
      <c r="E1943" s="40">
        <v>35</v>
      </c>
      <c r="F1943" s="41">
        <v>533</v>
      </c>
      <c r="G1943" s="40">
        <v>42</v>
      </c>
      <c r="H1943" s="41">
        <v>672</v>
      </c>
      <c r="I1943" s="41">
        <v>15.228571428571428</v>
      </c>
      <c r="J1943" s="41">
        <v>16</v>
      </c>
      <c r="K1943" s="42">
        <v>5.0656660412758028E-2</v>
      </c>
    </row>
    <row r="1944" spans="1:11" x14ac:dyDescent="0.25">
      <c r="A1944" s="24" t="s">
        <v>7</v>
      </c>
      <c r="B1944" s="24" t="s">
        <v>9753</v>
      </c>
      <c r="C1944" s="25" t="s">
        <v>9754</v>
      </c>
      <c r="D1944" s="24" t="s">
        <v>21824</v>
      </c>
      <c r="E1944" s="40">
        <v>96</v>
      </c>
      <c r="F1944" s="41">
        <v>1056</v>
      </c>
      <c r="G1944" s="40">
        <v>80</v>
      </c>
      <c r="H1944" s="41">
        <v>880</v>
      </c>
      <c r="I1944" s="41">
        <v>11</v>
      </c>
      <c r="J1944" s="41">
        <v>11</v>
      </c>
      <c r="K1944" s="42">
        <v>0</v>
      </c>
    </row>
    <row r="1945" spans="1:11" x14ac:dyDescent="0.25">
      <c r="A1945" s="24" t="s">
        <v>7</v>
      </c>
      <c r="B1945" s="24" t="s">
        <v>9756</v>
      </c>
      <c r="C1945" s="25" t="s">
        <v>9757</v>
      </c>
      <c r="D1945" s="24" t="s">
        <v>21824</v>
      </c>
      <c r="E1945" s="40">
        <v>100</v>
      </c>
      <c r="F1945" s="41">
        <v>2654</v>
      </c>
      <c r="G1945" s="40">
        <v>48</v>
      </c>
      <c r="H1945" s="41">
        <v>1246</v>
      </c>
      <c r="I1945" s="41">
        <v>26.54</v>
      </c>
      <c r="J1945" s="41">
        <v>25.958333333333332</v>
      </c>
      <c r="K1945" s="42">
        <v>-2.1916603868374792E-2</v>
      </c>
    </row>
    <row r="1946" spans="1:11" x14ac:dyDescent="0.25">
      <c r="A1946" s="24" t="s">
        <v>7</v>
      </c>
      <c r="B1946" s="24" t="s">
        <v>9759</v>
      </c>
      <c r="C1946" s="25" t="s">
        <v>9760</v>
      </c>
      <c r="D1946" s="24" t="s">
        <v>21824</v>
      </c>
      <c r="E1946" s="40">
        <v>937</v>
      </c>
      <c r="F1946" s="41">
        <v>66169</v>
      </c>
      <c r="G1946" s="40">
        <v>835</v>
      </c>
      <c r="H1946" s="41">
        <v>58950</v>
      </c>
      <c r="I1946" s="41">
        <v>70.617929562433304</v>
      </c>
      <c r="J1946" s="41">
        <v>70.598802395209574</v>
      </c>
      <c r="K1946" s="42">
        <v>-2.7085426239831738E-4</v>
      </c>
    </row>
    <row r="1947" spans="1:11" x14ac:dyDescent="0.25">
      <c r="A1947" s="24" t="s">
        <v>7</v>
      </c>
      <c r="B1947" s="24" t="s">
        <v>9762</v>
      </c>
      <c r="C1947" s="25" t="s">
        <v>9763</v>
      </c>
      <c r="D1947" s="24" t="s">
        <v>21824</v>
      </c>
      <c r="E1947" s="40">
        <v>408</v>
      </c>
      <c r="F1947" s="41">
        <v>18030</v>
      </c>
      <c r="G1947" s="40">
        <v>678</v>
      </c>
      <c r="H1947" s="41">
        <v>24546</v>
      </c>
      <c r="I1947" s="41">
        <v>44.191176470588232</v>
      </c>
      <c r="J1947" s="41">
        <v>36.203539823008846</v>
      </c>
      <c r="K1947" s="42">
        <v>-0.18075184427134719</v>
      </c>
    </row>
    <row r="1948" spans="1:11" x14ac:dyDescent="0.25">
      <c r="A1948" s="24" t="s">
        <v>7</v>
      </c>
      <c r="B1948" s="24" t="s">
        <v>9765</v>
      </c>
      <c r="C1948" s="25" t="s">
        <v>9766</v>
      </c>
      <c r="D1948" s="24" t="s">
        <v>21824</v>
      </c>
      <c r="E1948" s="40">
        <v>512</v>
      </c>
      <c r="F1948" s="41">
        <v>11874</v>
      </c>
      <c r="G1948" s="40">
        <v>1019</v>
      </c>
      <c r="H1948" s="41">
        <v>20756</v>
      </c>
      <c r="I1948" s="41">
        <v>23.19140625</v>
      </c>
      <c r="J1948" s="41">
        <v>20.368989205103041</v>
      </c>
      <c r="K1948" s="42">
        <v>-0.12170098761893573</v>
      </c>
    </row>
    <row r="1949" spans="1:11" x14ac:dyDescent="0.25">
      <c r="A1949" s="24" t="s">
        <v>7</v>
      </c>
      <c r="B1949" s="24" t="s">
        <v>9768</v>
      </c>
      <c r="C1949" s="25" t="s">
        <v>9769</v>
      </c>
      <c r="D1949" s="24" t="s">
        <v>21824</v>
      </c>
      <c r="G1949" s="40">
        <v>221</v>
      </c>
      <c r="H1949" s="41">
        <v>3487</v>
      </c>
      <c r="J1949" s="41">
        <v>15.778280542986426</v>
      </c>
    </row>
    <row r="1950" spans="1:11" x14ac:dyDescent="0.25">
      <c r="A1950" s="24" t="s">
        <v>7</v>
      </c>
      <c r="B1950" s="24" t="s">
        <v>9771</v>
      </c>
      <c r="C1950" s="25" t="s">
        <v>9772</v>
      </c>
      <c r="D1950" s="24" t="s">
        <v>21824</v>
      </c>
      <c r="E1950" s="40">
        <v>104</v>
      </c>
      <c r="F1950" s="41">
        <v>1863</v>
      </c>
      <c r="G1950" s="40">
        <v>54</v>
      </c>
      <c r="H1950" s="41">
        <v>908</v>
      </c>
      <c r="I1950" s="41">
        <v>17.91346153846154</v>
      </c>
      <c r="J1950" s="41">
        <v>16.814814814814813</v>
      </c>
      <c r="K1950" s="42">
        <v>-6.1330788652313256E-2</v>
      </c>
    </row>
    <row r="1951" spans="1:11" x14ac:dyDescent="0.25">
      <c r="A1951" s="24" t="s">
        <v>7</v>
      </c>
      <c r="B1951" s="24" t="s">
        <v>9774</v>
      </c>
      <c r="C1951" s="25" t="s">
        <v>9775</v>
      </c>
      <c r="D1951" s="24" t="s">
        <v>21824</v>
      </c>
      <c r="G1951" s="40">
        <v>42</v>
      </c>
      <c r="H1951" s="41">
        <v>12572</v>
      </c>
      <c r="J1951" s="41">
        <v>299.33333333333331</v>
      </c>
    </row>
    <row r="1952" spans="1:11" x14ac:dyDescent="0.25">
      <c r="A1952" s="24" t="s">
        <v>7</v>
      </c>
      <c r="B1952" s="24" t="s">
        <v>9777</v>
      </c>
      <c r="C1952" s="25" t="s">
        <v>9778</v>
      </c>
      <c r="D1952" s="24" t="s">
        <v>21824</v>
      </c>
      <c r="E1952" s="40">
        <v>98</v>
      </c>
      <c r="F1952" s="41">
        <v>2300</v>
      </c>
      <c r="G1952" s="40">
        <v>149</v>
      </c>
      <c r="H1952" s="41">
        <v>3162</v>
      </c>
      <c r="I1952" s="41">
        <v>23.469387755102041</v>
      </c>
      <c r="J1952" s="41">
        <v>21.221476510067113</v>
      </c>
      <c r="K1952" s="42">
        <v>-9.5780566092792577E-2</v>
      </c>
    </row>
    <row r="1953" spans="1:11" x14ac:dyDescent="0.25">
      <c r="A1953" s="24" t="s">
        <v>7</v>
      </c>
      <c r="B1953" s="24" t="s">
        <v>9780</v>
      </c>
      <c r="C1953" s="25" t="s">
        <v>9781</v>
      </c>
      <c r="D1953" s="24" t="s">
        <v>21824</v>
      </c>
      <c r="E1953" s="40">
        <v>763</v>
      </c>
      <c r="F1953" s="41">
        <v>36990</v>
      </c>
      <c r="G1953" s="40">
        <v>797</v>
      </c>
      <c r="H1953" s="41">
        <v>34290</v>
      </c>
      <c r="I1953" s="41">
        <v>48.479685452162514</v>
      </c>
      <c r="J1953" s="41">
        <v>43.023839397741533</v>
      </c>
      <c r="K1953" s="42">
        <v>-0.11253880885437169</v>
      </c>
    </row>
    <row r="1954" spans="1:11" x14ac:dyDescent="0.25">
      <c r="A1954" s="24" t="s">
        <v>7</v>
      </c>
      <c r="B1954" s="24" t="s">
        <v>9783</v>
      </c>
      <c r="C1954" s="25" t="s">
        <v>9784</v>
      </c>
      <c r="D1954" s="24" t="s">
        <v>21824</v>
      </c>
      <c r="E1954" s="40">
        <v>53</v>
      </c>
      <c r="F1954" s="41">
        <v>2190</v>
      </c>
      <c r="G1954" s="40">
        <v>173</v>
      </c>
      <c r="H1954" s="41">
        <v>5934</v>
      </c>
      <c r="I1954" s="41">
        <v>41.320754716981135</v>
      </c>
      <c r="J1954" s="41">
        <v>34.300578034682083</v>
      </c>
      <c r="K1954" s="42">
        <v>-0.16989468683189485</v>
      </c>
    </row>
    <row r="1955" spans="1:11" x14ac:dyDescent="0.25">
      <c r="A1955" s="24" t="s">
        <v>7</v>
      </c>
      <c r="B1955" s="24" t="s">
        <v>9786</v>
      </c>
      <c r="C1955" s="25" t="s">
        <v>9787</v>
      </c>
      <c r="D1955" s="24" t="s">
        <v>21824</v>
      </c>
      <c r="E1955" s="40">
        <v>618</v>
      </c>
      <c r="F1955" s="41">
        <v>32974</v>
      </c>
      <c r="G1955" s="40">
        <v>852</v>
      </c>
      <c r="H1955" s="41">
        <v>36472</v>
      </c>
      <c r="I1955" s="41">
        <v>53.355987055016179</v>
      </c>
      <c r="J1955" s="41">
        <v>42.8075117370892</v>
      </c>
      <c r="K1955" s="42">
        <v>-0.19769993772302036</v>
      </c>
    </row>
    <row r="1956" spans="1:11" x14ac:dyDescent="0.25">
      <c r="A1956" s="24" t="s">
        <v>7</v>
      </c>
      <c r="B1956" s="24" t="s">
        <v>9789</v>
      </c>
      <c r="C1956" s="25" t="s">
        <v>9790</v>
      </c>
      <c r="D1956" s="24" t="s">
        <v>21824</v>
      </c>
      <c r="E1956" s="40">
        <v>224</v>
      </c>
      <c r="F1956" s="41">
        <v>5924</v>
      </c>
      <c r="G1956" s="40">
        <v>116</v>
      </c>
      <c r="H1956" s="41">
        <v>3132</v>
      </c>
      <c r="I1956" s="41">
        <v>26.446428571428573</v>
      </c>
      <c r="J1956" s="41">
        <v>27</v>
      </c>
      <c r="K1956" s="42">
        <v>2.0931802835921616E-2</v>
      </c>
    </row>
    <row r="1957" spans="1:11" x14ac:dyDescent="0.25">
      <c r="A1957" s="24" t="s">
        <v>7</v>
      </c>
      <c r="B1957" s="24" t="s">
        <v>9792</v>
      </c>
      <c r="C1957" s="25" t="s">
        <v>9793</v>
      </c>
      <c r="D1957" s="24" t="s">
        <v>21824</v>
      </c>
      <c r="E1957" s="40">
        <v>390</v>
      </c>
      <c r="F1957" s="41">
        <v>13641</v>
      </c>
      <c r="G1957" s="40">
        <v>379</v>
      </c>
      <c r="H1957" s="41">
        <v>13520</v>
      </c>
      <c r="I1957" s="41">
        <v>34.976923076923079</v>
      </c>
      <c r="J1957" s="41">
        <v>35.672823218997358</v>
      </c>
      <c r="K1957" s="42">
        <v>1.9895979430318081E-2</v>
      </c>
    </row>
    <row r="1958" spans="1:11" x14ac:dyDescent="0.25">
      <c r="A1958" s="24" t="s">
        <v>7</v>
      </c>
      <c r="B1958" s="24" t="s">
        <v>9795</v>
      </c>
      <c r="C1958" s="25" t="s">
        <v>9796</v>
      </c>
      <c r="D1958" s="24" t="s">
        <v>21824</v>
      </c>
      <c r="E1958" s="40">
        <v>32</v>
      </c>
      <c r="F1958" s="41">
        <v>576</v>
      </c>
      <c r="G1958" s="40">
        <v>9</v>
      </c>
      <c r="H1958" s="41">
        <v>162</v>
      </c>
      <c r="I1958" s="41">
        <v>18</v>
      </c>
      <c r="J1958" s="41">
        <v>18</v>
      </c>
      <c r="K1958" s="42">
        <v>0</v>
      </c>
    </row>
    <row r="1959" spans="1:11" x14ac:dyDescent="0.25">
      <c r="A1959" s="24" t="s">
        <v>7</v>
      </c>
      <c r="B1959" s="24" t="s">
        <v>9798</v>
      </c>
      <c r="C1959" s="25" t="s">
        <v>9799</v>
      </c>
      <c r="D1959" s="24" t="s">
        <v>21824</v>
      </c>
      <c r="E1959" s="40">
        <v>1</v>
      </c>
      <c r="F1959" s="41">
        <v>18</v>
      </c>
      <c r="G1959" s="40">
        <v>48</v>
      </c>
      <c r="H1959" s="41">
        <v>864</v>
      </c>
      <c r="I1959" s="41">
        <v>18</v>
      </c>
      <c r="J1959" s="41">
        <v>18</v>
      </c>
      <c r="K1959" s="42">
        <v>0</v>
      </c>
    </row>
    <row r="1960" spans="1:11" x14ac:dyDescent="0.25">
      <c r="A1960" s="24" t="s">
        <v>7</v>
      </c>
      <c r="B1960" s="24" t="s">
        <v>9801</v>
      </c>
      <c r="C1960" s="25" t="s">
        <v>9802</v>
      </c>
      <c r="D1960" s="24" t="s">
        <v>21824</v>
      </c>
      <c r="E1960" s="40">
        <v>100</v>
      </c>
      <c r="F1960" s="41">
        <v>4860</v>
      </c>
      <c r="G1960" s="40">
        <v>2</v>
      </c>
      <c r="H1960" s="41">
        <v>102</v>
      </c>
      <c r="I1960" s="41">
        <v>48.6</v>
      </c>
      <c r="J1960" s="41">
        <v>51</v>
      </c>
      <c r="K1960" s="42">
        <v>4.9382716049382686E-2</v>
      </c>
    </row>
    <row r="1961" spans="1:11" x14ac:dyDescent="0.25">
      <c r="A1961" s="24" t="s">
        <v>7</v>
      </c>
      <c r="B1961" s="24" t="s">
        <v>9804</v>
      </c>
      <c r="C1961" s="25" t="s">
        <v>9805</v>
      </c>
      <c r="D1961" s="24" t="s">
        <v>21824</v>
      </c>
      <c r="G1961" s="40">
        <v>10</v>
      </c>
      <c r="H1961" s="41">
        <v>170</v>
      </c>
      <c r="J1961" s="41">
        <v>17</v>
      </c>
    </row>
    <row r="1962" spans="1:11" x14ac:dyDescent="0.25">
      <c r="A1962" s="24" t="s">
        <v>7</v>
      </c>
      <c r="B1962" s="24" t="s">
        <v>9807</v>
      </c>
      <c r="C1962" s="25" t="s">
        <v>9808</v>
      </c>
      <c r="D1962" s="24" t="s">
        <v>21824</v>
      </c>
      <c r="G1962" s="40">
        <v>1</v>
      </c>
      <c r="H1962" s="41">
        <v>22</v>
      </c>
      <c r="J1962" s="41">
        <v>22</v>
      </c>
    </row>
    <row r="1963" spans="1:11" x14ac:dyDescent="0.25">
      <c r="A1963" s="24" t="s">
        <v>7</v>
      </c>
      <c r="B1963" s="24" t="s">
        <v>9810</v>
      </c>
      <c r="C1963" s="25" t="s">
        <v>9811</v>
      </c>
      <c r="D1963" s="24" t="s">
        <v>21824</v>
      </c>
      <c r="G1963" s="40">
        <v>8</v>
      </c>
      <c r="H1963" s="41">
        <v>288</v>
      </c>
      <c r="J1963" s="41">
        <v>36</v>
      </c>
    </row>
    <row r="1964" spans="1:11" x14ac:dyDescent="0.25">
      <c r="A1964" s="24" t="s">
        <v>7</v>
      </c>
      <c r="B1964" s="24" t="s">
        <v>9813</v>
      </c>
      <c r="C1964" s="25" t="s">
        <v>9814</v>
      </c>
      <c r="D1964" s="24" t="s">
        <v>21824</v>
      </c>
      <c r="E1964" s="40">
        <v>23</v>
      </c>
      <c r="F1964" s="41">
        <v>894</v>
      </c>
      <c r="G1964" s="40">
        <v>22</v>
      </c>
      <c r="H1964" s="41">
        <v>642</v>
      </c>
      <c r="I1964" s="41">
        <v>38.869565217391305</v>
      </c>
      <c r="J1964" s="41">
        <v>29.181818181818183</v>
      </c>
      <c r="K1964" s="42">
        <v>-0.24923733984136665</v>
      </c>
    </row>
    <row r="1965" spans="1:11" x14ac:dyDescent="0.25">
      <c r="A1965" s="24" t="s">
        <v>7</v>
      </c>
      <c r="B1965" s="24" t="s">
        <v>9816</v>
      </c>
      <c r="C1965" s="25" t="s">
        <v>9817</v>
      </c>
      <c r="D1965" s="24" t="s">
        <v>21824</v>
      </c>
      <c r="G1965" s="40">
        <v>8</v>
      </c>
      <c r="H1965" s="41">
        <v>288</v>
      </c>
      <c r="J1965" s="41">
        <v>36</v>
      </c>
    </row>
    <row r="1966" spans="1:11" x14ac:dyDescent="0.25">
      <c r="A1966" s="24" t="s">
        <v>7</v>
      </c>
      <c r="B1966" s="24" t="s">
        <v>9819</v>
      </c>
      <c r="C1966" s="25" t="s">
        <v>9820</v>
      </c>
      <c r="D1966" s="24" t="s">
        <v>21823</v>
      </c>
      <c r="E1966" s="40">
        <v>106</v>
      </c>
      <c r="F1966" s="41">
        <v>1898</v>
      </c>
      <c r="G1966" s="40">
        <v>94</v>
      </c>
      <c r="H1966" s="41">
        <v>1692</v>
      </c>
      <c r="I1966" s="41">
        <v>17.90566037735849</v>
      </c>
      <c r="J1966" s="41">
        <v>18</v>
      </c>
      <c r="K1966" s="42">
        <v>5.2687038988408963E-3</v>
      </c>
    </row>
    <row r="1967" spans="1:11" x14ac:dyDescent="0.25">
      <c r="A1967" s="24" t="s">
        <v>7</v>
      </c>
      <c r="B1967" s="24" t="s">
        <v>9822</v>
      </c>
      <c r="C1967" s="25" t="s">
        <v>9823</v>
      </c>
      <c r="D1967" s="24" t="s">
        <v>21823</v>
      </c>
      <c r="E1967" s="40">
        <v>452</v>
      </c>
      <c r="F1967" s="41">
        <v>9638</v>
      </c>
      <c r="G1967" s="40">
        <v>323</v>
      </c>
      <c r="H1967" s="41">
        <v>5132</v>
      </c>
      <c r="I1967" s="41">
        <v>21.323008849557521</v>
      </c>
      <c r="J1967" s="41">
        <v>15.888544891640867</v>
      </c>
      <c r="K1967" s="42">
        <v>-0.25486384197741518</v>
      </c>
    </row>
    <row r="1968" spans="1:11" x14ac:dyDescent="0.25">
      <c r="A1968" s="24" t="s">
        <v>7</v>
      </c>
      <c r="B1968" s="24" t="s">
        <v>9825</v>
      </c>
      <c r="C1968" s="25" t="s">
        <v>9826</v>
      </c>
      <c r="D1968" s="24" t="s">
        <v>21823</v>
      </c>
      <c r="E1968" s="40">
        <v>104</v>
      </c>
      <c r="F1968" s="41">
        <v>987</v>
      </c>
      <c r="G1968" s="40">
        <v>147</v>
      </c>
      <c r="H1968" s="41">
        <v>1318</v>
      </c>
      <c r="I1968" s="41">
        <v>9.490384615384615</v>
      </c>
      <c r="J1968" s="41">
        <v>8.9659863945578238</v>
      </c>
      <c r="K1968" s="42">
        <v>-5.5255739580533224E-2</v>
      </c>
    </row>
    <row r="1969" spans="1:11" x14ac:dyDescent="0.25">
      <c r="A1969" s="24" t="s">
        <v>7</v>
      </c>
      <c r="B1969" s="24" t="s">
        <v>9828</v>
      </c>
      <c r="C1969" s="25" t="s">
        <v>9829</v>
      </c>
      <c r="D1969" s="24" t="s">
        <v>21823</v>
      </c>
      <c r="E1969" s="40">
        <v>2164</v>
      </c>
      <c r="F1969" s="41">
        <v>20992</v>
      </c>
      <c r="G1969" s="40">
        <v>2580</v>
      </c>
      <c r="H1969" s="41">
        <v>22600</v>
      </c>
      <c r="I1969" s="41">
        <v>9.7005545286506472</v>
      </c>
      <c r="J1969" s="41">
        <v>8.7596899224806197</v>
      </c>
      <c r="K1969" s="42">
        <v>-9.6990806390622103E-2</v>
      </c>
    </row>
    <row r="1970" spans="1:11" x14ac:dyDescent="0.25">
      <c r="A1970" s="24" t="s">
        <v>7</v>
      </c>
      <c r="B1970" s="24" t="s">
        <v>9831</v>
      </c>
      <c r="C1970" s="25" t="s">
        <v>9832</v>
      </c>
      <c r="D1970" s="24" t="s">
        <v>21823</v>
      </c>
      <c r="E1970" s="40">
        <v>1541</v>
      </c>
      <c r="F1970" s="41">
        <v>14999</v>
      </c>
      <c r="G1970" s="40">
        <v>1999</v>
      </c>
      <c r="H1970" s="41">
        <v>17286</v>
      </c>
      <c r="I1970" s="41">
        <v>9.7332900713822195</v>
      </c>
      <c r="J1970" s="41">
        <v>8.6473236618309155</v>
      </c>
      <c r="K1970" s="42">
        <v>-0.11157238730039065</v>
      </c>
    </row>
    <row r="1971" spans="1:11" x14ac:dyDescent="0.25">
      <c r="A1971" s="24" t="s">
        <v>7</v>
      </c>
      <c r="B1971" s="24" t="s">
        <v>9834</v>
      </c>
      <c r="C1971" s="25" t="s">
        <v>9835</v>
      </c>
      <c r="D1971" s="24" t="s">
        <v>21823</v>
      </c>
      <c r="E1971" s="40">
        <v>12844</v>
      </c>
      <c r="F1971" s="41">
        <v>150645</v>
      </c>
      <c r="G1971" s="40">
        <v>14837</v>
      </c>
      <c r="H1971" s="41">
        <v>148388</v>
      </c>
      <c r="I1971" s="41">
        <v>11.728822796636562</v>
      </c>
      <c r="J1971" s="41">
        <v>10.001213183258072</v>
      </c>
      <c r="K1971" s="42">
        <v>-0.14729607935366809</v>
      </c>
    </row>
    <row r="1972" spans="1:11" x14ac:dyDescent="0.25">
      <c r="A1972" s="24" t="s">
        <v>7</v>
      </c>
      <c r="B1972" s="24" t="s">
        <v>9837</v>
      </c>
      <c r="C1972" s="25" t="s">
        <v>9838</v>
      </c>
      <c r="D1972" s="24" t="s">
        <v>21823</v>
      </c>
      <c r="E1972" s="40">
        <v>6143</v>
      </c>
      <c r="F1972" s="41">
        <v>84145</v>
      </c>
      <c r="G1972" s="40">
        <v>6852</v>
      </c>
      <c r="H1972" s="41">
        <v>83006</v>
      </c>
      <c r="I1972" s="41">
        <v>13.697704704541755</v>
      </c>
      <c r="J1972" s="41">
        <v>12.114127262113252</v>
      </c>
      <c r="K1972" s="42">
        <v>-0.11560896344213313</v>
      </c>
    </row>
    <row r="1973" spans="1:11" x14ac:dyDescent="0.25">
      <c r="A1973" s="24" t="s">
        <v>7</v>
      </c>
      <c r="B1973" s="24" t="s">
        <v>9840</v>
      </c>
      <c r="C1973" s="25" t="s">
        <v>9841</v>
      </c>
      <c r="D1973" s="24" t="s">
        <v>21823</v>
      </c>
      <c r="E1973" s="40">
        <v>220</v>
      </c>
      <c r="F1973" s="41">
        <v>2596</v>
      </c>
      <c r="G1973" s="40">
        <v>115</v>
      </c>
      <c r="H1973" s="41">
        <v>1200</v>
      </c>
      <c r="I1973" s="41">
        <v>11.8</v>
      </c>
      <c r="J1973" s="41">
        <v>10.434782608695652</v>
      </c>
      <c r="K1973" s="42">
        <v>-0.11569638909358884</v>
      </c>
    </row>
    <row r="1974" spans="1:11" x14ac:dyDescent="0.25">
      <c r="A1974" s="24" t="s">
        <v>7</v>
      </c>
      <c r="B1974" s="24" t="s">
        <v>9843</v>
      </c>
      <c r="C1974" s="25" t="s">
        <v>9844</v>
      </c>
      <c r="D1974" s="24" t="s">
        <v>21823</v>
      </c>
      <c r="G1974" s="40">
        <v>41</v>
      </c>
      <c r="H1974" s="41">
        <v>779</v>
      </c>
      <c r="J1974" s="41">
        <v>19</v>
      </c>
    </row>
    <row r="1975" spans="1:11" x14ac:dyDescent="0.25">
      <c r="A1975" s="24" t="s">
        <v>7</v>
      </c>
      <c r="B1975" s="24" t="s">
        <v>9846</v>
      </c>
      <c r="C1975" s="25" t="s">
        <v>9847</v>
      </c>
      <c r="D1975" s="24" t="s">
        <v>21823</v>
      </c>
      <c r="E1975" s="40">
        <v>135</v>
      </c>
      <c r="F1975" s="41">
        <v>2225</v>
      </c>
      <c r="G1975" s="40">
        <v>73</v>
      </c>
      <c r="H1975" s="41">
        <v>1151</v>
      </c>
      <c r="I1975" s="41">
        <v>16.481481481481481</v>
      </c>
      <c r="J1975" s="41">
        <v>15.767123287671232</v>
      </c>
      <c r="K1975" s="42">
        <v>-4.3343081422194861E-2</v>
      </c>
    </row>
    <row r="1976" spans="1:11" x14ac:dyDescent="0.25">
      <c r="A1976" s="24" t="s">
        <v>7</v>
      </c>
      <c r="B1976" s="24" t="s">
        <v>9849</v>
      </c>
      <c r="C1976" s="25" t="s">
        <v>9850</v>
      </c>
      <c r="D1976" s="24" t="s">
        <v>21824</v>
      </c>
      <c r="E1976" s="40">
        <v>3127</v>
      </c>
      <c r="F1976" s="41">
        <v>55448</v>
      </c>
      <c r="G1976" s="40">
        <v>3270</v>
      </c>
      <c r="H1976" s="41">
        <v>48660</v>
      </c>
      <c r="I1976" s="41">
        <v>17.732011512631917</v>
      </c>
      <c r="J1976" s="41">
        <v>14.880733944954128</v>
      </c>
      <c r="K1976" s="42">
        <v>-0.16079831471159364</v>
      </c>
    </row>
    <row r="1977" spans="1:11" x14ac:dyDescent="0.25">
      <c r="A1977" s="24" t="s">
        <v>7</v>
      </c>
      <c r="B1977" s="24" t="s">
        <v>9852</v>
      </c>
      <c r="C1977" s="25" t="s">
        <v>9853</v>
      </c>
      <c r="D1977" s="24" t="s">
        <v>21824</v>
      </c>
      <c r="G1977" s="40">
        <v>26</v>
      </c>
      <c r="H1977" s="41">
        <v>2756</v>
      </c>
      <c r="J1977" s="41">
        <v>106</v>
      </c>
    </row>
    <row r="1978" spans="1:11" x14ac:dyDescent="0.25">
      <c r="A1978" s="24" t="s">
        <v>7</v>
      </c>
      <c r="B1978" s="24" t="s">
        <v>9855</v>
      </c>
      <c r="C1978" s="25" t="s">
        <v>9856</v>
      </c>
      <c r="D1978" s="24" t="s">
        <v>21824</v>
      </c>
      <c r="E1978" s="40">
        <v>59</v>
      </c>
      <c r="F1978" s="41">
        <v>27081</v>
      </c>
      <c r="G1978" s="40">
        <v>129</v>
      </c>
      <c r="H1978" s="41">
        <v>50345</v>
      </c>
      <c r="I1978" s="41">
        <v>459</v>
      </c>
      <c r="J1978" s="41">
        <v>390.27131782945736</v>
      </c>
      <c r="K1978" s="42">
        <v>-0.14973569100336087</v>
      </c>
    </row>
    <row r="1979" spans="1:11" x14ac:dyDescent="0.25">
      <c r="A1979" s="24" t="s">
        <v>7</v>
      </c>
      <c r="B1979" s="24" t="s">
        <v>9858</v>
      </c>
      <c r="C1979" s="25" t="s">
        <v>9859</v>
      </c>
      <c r="D1979" s="24" t="s">
        <v>21824</v>
      </c>
      <c r="E1979" s="40">
        <v>33</v>
      </c>
      <c r="F1979" s="41">
        <v>393</v>
      </c>
      <c r="G1979" s="40">
        <v>5</v>
      </c>
      <c r="H1979" s="41">
        <v>60</v>
      </c>
      <c r="I1979" s="41">
        <v>11.909090909090908</v>
      </c>
      <c r="J1979" s="41">
        <v>12</v>
      </c>
      <c r="K1979" s="42">
        <v>7.6335877862596102E-3</v>
      </c>
    </row>
    <row r="1980" spans="1:11" x14ac:dyDescent="0.25">
      <c r="A1980" s="24" t="s">
        <v>7</v>
      </c>
      <c r="B1980" s="24" t="s">
        <v>9861</v>
      </c>
      <c r="C1980" s="25" t="s">
        <v>9862</v>
      </c>
      <c r="D1980" s="24" t="s">
        <v>21824</v>
      </c>
      <c r="E1980" s="40">
        <v>38</v>
      </c>
      <c r="F1980" s="41">
        <v>679</v>
      </c>
      <c r="G1980" s="40">
        <v>51</v>
      </c>
      <c r="H1980" s="41">
        <v>723</v>
      </c>
      <c r="I1980" s="41">
        <v>17.868421052631579</v>
      </c>
      <c r="J1980" s="41">
        <v>14.176470588235293</v>
      </c>
      <c r="K1980" s="42">
        <v>-0.2066187299662133</v>
      </c>
    </row>
    <row r="1981" spans="1:11" x14ac:dyDescent="0.25">
      <c r="A1981" s="24" t="s">
        <v>7</v>
      </c>
      <c r="B1981" s="24" t="s">
        <v>9864</v>
      </c>
      <c r="C1981" s="25" t="s">
        <v>9865</v>
      </c>
      <c r="D1981" s="24" t="s">
        <v>21824</v>
      </c>
      <c r="E1981" s="40">
        <v>46</v>
      </c>
      <c r="F1981" s="41">
        <v>778</v>
      </c>
      <c r="G1981" s="40">
        <v>35</v>
      </c>
      <c r="H1981" s="41">
        <v>475</v>
      </c>
      <c r="I1981" s="41">
        <v>16.913043478260871</v>
      </c>
      <c r="J1981" s="41">
        <v>13.571428571428571</v>
      </c>
      <c r="K1981" s="42">
        <v>-0.19757620271759097</v>
      </c>
    </row>
    <row r="1982" spans="1:11" x14ac:dyDescent="0.25">
      <c r="A1982" s="24" t="s">
        <v>7</v>
      </c>
      <c r="B1982" s="24" t="s">
        <v>9867</v>
      </c>
      <c r="C1982" s="25" t="s">
        <v>9868</v>
      </c>
      <c r="D1982" s="24" t="s">
        <v>21824</v>
      </c>
      <c r="E1982" s="40">
        <v>121</v>
      </c>
      <c r="F1982" s="41">
        <v>2147</v>
      </c>
      <c r="G1982" s="40">
        <v>90</v>
      </c>
      <c r="H1982" s="41">
        <v>1364</v>
      </c>
      <c r="I1982" s="41">
        <v>17.743801652892561</v>
      </c>
      <c r="J1982" s="41">
        <v>15.155555555555555</v>
      </c>
      <c r="K1982" s="42">
        <v>-0.14586761889975675</v>
      </c>
    </row>
    <row r="1983" spans="1:11" x14ac:dyDescent="0.25">
      <c r="A1983" s="24" t="s">
        <v>7</v>
      </c>
      <c r="B1983" s="24" t="s">
        <v>9870</v>
      </c>
      <c r="C1983" s="25" t="s">
        <v>9871</v>
      </c>
      <c r="D1983" s="24" t="s">
        <v>21824</v>
      </c>
      <c r="E1983" s="40">
        <v>149</v>
      </c>
      <c r="F1983" s="41">
        <v>2510</v>
      </c>
      <c r="G1983" s="40">
        <v>158</v>
      </c>
      <c r="H1983" s="41">
        <v>2281</v>
      </c>
      <c r="I1983" s="41">
        <v>16.845637583892618</v>
      </c>
      <c r="J1983" s="41">
        <v>14.436708860759493</v>
      </c>
      <c r="K1983" s="42">
        <v>-0.14300015129355997</v>
      </c>
    </row>
    <row r="1984" spans="1:11" x14ac:dyDescent="0.25">
      <c r="A1984" s="24" t="s">
        <v>7</v>
      </c>
      <c r="B1984" s="24" t="s">
        <v>9876</v>
      </c>
      <c r="C1984" s="25" t="s">
        <v>9877</v>
      </c>
      <c r="D1984" s="24" t="s">
        <v>21824</v>
      </c>
      <c r="E1984" s="40">
        <v>83</v>
      </c>
      <c r="F1984" s="41">
        <v>1475</v>
      </c>
      <c r="G1984" s="40">
        <v>86</v>
      </c>
      <c r="H1984" s="41">
        <v>1308</v>
      </c>
      <c r="I1984" s="41">
        <v>17.771084337349397</v>
      </c>
      <c r="J1984" s="41">
        <v>15.209302325581396</v>
      </c>
      <c r="K1984" s="42">
        <v>-0.14415451320457226</v>
      </c>
    </row>
    <row r="1985" spans="1:11" x14ac:dyDescent="0.25">
      <c r="A1985" s="24" t="s">
        <v>7</v>
      </c>
      <c r="B1985" s="24" t="s">
        <v>9882</v>
      </c>
      <c r="C1985" s="25" t="s">
        <v>9883</v>
      </c>
      <c r="D1985" s="24" t="s">
        <v>21824</v>
      </c>
      <c r="E1985" s="40">
        <v>29</v>
      </c>
      <c r="F1985" s="41">
        <v>736</v>
      </c>
      <c r="G1985" s="40">
        <v>35</v>
      </c>
      <c r="H1985" s="41">
        <v>646</v>
      </c>
      <c r="I1985" s="41">
        <v>25.379310344827587</v>
      </c>
      <c r="J1985" s="41">
        <v>18.457142857142856</v>
      </c>
      <c r="K1985" s="42">
        <v>-0.27274844720496905</v>
      </c>
    </row>
    <row r="1986" spans="1:11" x14ac:dyDescent="0.25">
      <c r="A1986" s="24" t="s">
        <v>7</v>
      </c>
      <c r="B1986" s="24" t="s">
        <v>9885</v>
      </c>
      <c r="C1986" s="25" t="s">
        <v>9886</v>
      </c>
      <c r="D1986" s="24" t="s">
        <v>21824</v>
      </c>
      <c r="E1986" s="40">
        <v>10</v>
      </c>
      <c r="F1986" s="41">
        <v>258</v>
      </c>
      <c r="G1986" s="40">
        <v>2</v>
      </c>
      <c r="H1986" s="41">
        <v>54</v>
      </c>
      <c r="I1986" s="41">
        <v>25.8</v>
      </c>
      <c r="J1986" s="41">
        <v>27</v>
      </c>
      <c r="K1986" s="42">
        <v>4.6511627906976716E-2</v>
      </c>
    </row>
    <row r="1987" spans="1:11" x14ac:dyDescent="0.25">
      <c r="A1987" s="24" t="s">
        <v>7</v>
      </c>
      <c r="B1987" s="24" t="s">
        <v>9894</v>
      </c>
      <c r="C1987" s="25" t="s">
        <v>9895</v>
      </c>
      <c r="D1987" s="24" t="s">
        <v>21823</v>
      </c>
      <c r="E1987" s="40">
        <v>1953</v>
      </c>
      <c r="F1987" s="41">
        <v>26934</v>
      </c>
      <c r="G1987" s="40">
        <v>1483</v>
      </c>
      <c r="H1987" s="41">
        <v>18338</v>
      </c>
      <c r="I1987" s="41">
        <v>13.791090629800307</v>
      </c>
      <c r="J1987" s="41">
        <v>12.36547538772758</v>
      </c>
      <c r="K1987" s="42">
        <v>-0.10337219008569228</v>
      </c>
    </row>
    <row r="1988" spans="1:11" x14ac:dyDescent="0.25">
      <c r="A1988" s="24" t="s">
        <v>7</v>
      </c>
      <c r="B1988" s="24" t="s">
        <v>9897</v>
      </c>
      <c r="C1988" s="25" t="s">
        <v>9898</v>
      </c>
      <c r="D1988" s="24" t="s">
        <v>21824</v>
      </c>
      <c r="G1988" s="40">
        <v>27</v>
      </c>
      <c r="H1988" s="41">
        <v>1134</v>
      </c>
      <c r="J1988" s="41">
        <v>42</v>
      </c>
    </row>
    <row r="1989" spans="1:11" x14ac:dyDescent="0.25">
      <c r="A1989" s="24" t="s">
        <v>7</v>
      </c>
      <c r="B1989" s="24" t="s">
        <v>9900</v>
      </c>
      <c r="C1989" s="25" t="s">
        <v>9901</v>
      </c>
      <c r="D1989" s="24" t="s">
        <v>21824</v>
      </c>
      <c r="E1989" s="40">
        <v>2906</v>
      </c>
      <c r="F1989" s="41">
        <v>141376</v>
      </c>
      <c r="G1989" s="40">
        <v>3121</v>
      </c>
      <c r="H1989" s="41">
        <v>130227</v>
      </c>
      <c r="I1989" s="41">
        <v>48.649690295939436</v>
      </c>
      <c r="J1989" s="41">
        <v>41.726049343159247</v>
      </c>
      <c r="K1989" s="42">
        <v>-0.14231623902769375</v>
      </c>
    </row>
    <row r="1990" spans="1:11" x14ac:dyDescent="0.25">
      <c r="A1990" s="24" t="s">
        <v>7</v>
      </c>
      <c r="B1990" s="24" t="s">
        <v>9903</v>
      </c>
      <c r="C1990" s="25" t="s">
        <v>9904</v>
      </c>
      <c r="D1990" s="24" t="s">
        <v>21824</v>
      </c>
      <c r="E1990" s="40">
        <v>286</v>
      </c>
      <c r="F1990" s="41">
        <v>18998</v>
      </c>
      <c r="G1990" s="40">
        <v>440</v>
      </c>
      <c r="H1990" s="41">
        <v>29310</v>
      </c>
      <c r="I1990" s="41">
        <v>66.426573426573427</v>
      </c>
      <c r="J1990" s="41">
        <v>66.61363636363636</v>
      </c>
      <c r="K1990" s="42">
        <v>2.8160859037792852E-3</v>
      </c>
    </row>
    <row r="1991" spans="1:11" x14ac:dyDescent="0.25">
      <c r="A1991" s="24" t="s">
        <v>7</v>
      </c>
      <c r="B1991" s="24" t="s">
        <v>9906</v>
      </c>
      <c r="C1991" s="25" t="s">
        <v>9907</v>
      </c>
      <c r="D1991" s="24" t="s">
        <v>21824</v>
      </c>
      <c r="E1991" s="40">
        <v>181</v>
      </c>
      <c r="F1991" s="41">
        <v>6438</v>
      </c>
      <c r="G1991" s="40">
        <v>62</v>
      </c>
      <c r="H1991" s="41">
        <v>736</v>
      </c>
      <c r="I1991" s="41">
        <v>35.569060773480665</v>
      </c>
      <c r="J1991" s="41">
        <v>11.870967741935484</v>
      </c>
      <c r="K1991" s="42">
        <v>-0.66625579973744598</v>
      </c>
    </row>
    <row r="1992" spans="1:11" x14ac:dyDescent="0.25">
      <c r="A1992" s="24" t="s">
        <v>7</v>
      </c>
      <c r="B1992" s="24" t="s">
        <v>9909</v>
      </c>
      <c r="C1992" s="25" t="s">
        <v>9910</v>
      </c>
      <c r="D1992" s="24" t="s">
        <v>21824</v>
      </c>
      <c r="G1992" s="40">
        <v>16</v>
      </c>
      <c r="H1992" s="41">
        <v>240</v>
      </c>
      <c r="J1992" s="41">
        <v>15</v>
      </c>
    </row>
    <row r="1993" spans="1:11" x14ac:dyDescent="0.25">
      <c r="A1993" s="24" t="s">
        <v>7</v>
      </c>
      <c r="B1993" s="24" t="s">
        <v>9912</v>
      </c>
      <c r="C1993" s="25" t="s">
        <v>9913</v>
      </c>
      <c r="D1993" s="24" t="s">
        <v>21823</v>
      </c>
      <c r="E1993" s="40">
        <v>5</v>
      </c>
      <c r="F1993" s="41">
        <v>85</v>
      </c>
      <c r="G1993" s="40">
        <v>10</v>
      </c>
      <c r="H1993" s="41">
        <v>134</v>
      </c>
      <c r="I1993" s="41">
        <v>17</v>
      </c>
      <c r="J1993" s="41">
        <v>13.4</v>
      </c>
      <c r="K1993" s="42">
        <v>-0.21176470588235291</v>
      </c>
    </row>
    <row r="1994" spans="1:11" x14ac:dyDescent="0.25">
      <c r="A1994" s="24" t="s">
        <v>7</v>
      </c>
      <c r="B1994" s="24" t="s">
        <v>9915</v>
      </c>
      <c r="C1994" s="25" t="s">
        <v>9916</v>
      </c>
      <c r="D1994" s="24" t="s">
        <v>21823</v>
      </c>
      <c r="E1994" s="40">
        <v>1293</v>
      </c>
      <c r="F1994" s="41">
        <v>20339</v>
      </c>
      <c r="G1994" s="40">
        <v>1712</v>
      </c>
      <c r="H1994" s="41">
        <v>27037</v>
      </c>
      <c r="I1994" s="41">
        <v>15.730085073472544</v>
      </c>
      <c r="J1994" s="41">
        <v>15.792640186915888</v>
      </c>
      <c r="K1994" s="42">
        <v>3.9767816353922462E-3</v>
      </c>
    </row>
    <row r="1995" spans="1:11" x14ac:dyDescent="0.25">
      <c r="A1995" s="24" t="s">
        <v>7</v>
      </c>
      <c r="B1995" s="24" t="s">
        <v>9918</v>
      </c>
      <c r="C1995" s="25" t="s">
        <v>9919</v>
      </c>
      <c r="D1995" s="24" t="s">
        <v>21823</v>
      </c>
      <c r="E1995" s="40">
        <v>271</v>
      </c>
      <c r="F1995" s="41">
        <v>2952</v>
      </c>
      <c r="G1995" s="40">
        <v>149</v>
      </c>
      <c r="H1995" s="41">
        <v>1774</v>
      </c>
      <c r="I1995" s="41">
        <v>10.892988929889299</v>
      </c>
      <c r="J1995" s="41">
        <v>11.906040268456376</v>
      </c>
      <c r="K1995" s="42">
        <v>9.3000309197722897E-2</v>
      </c>
    </row>
    <row r="1996" spans="1:11" x14ac:dyDescent="0.25">
      <c r="A1996" s="24" t="s">
        <v>7</v>
      </c>
      <c r="B1996" s="24" t="s">
        <v>9924</v>
      </c>
      <c r="C1996" s="25" t="s">
        <v>9925</v>
      </c>
      <c r="D1996" s="24" t="s">
        <v>21823</v>
      </c>
      <c r="G1996" s="40">
        <v>2</v>
      </c>
      <c r="H1996" s="41">
        <v>158</v>
      </c>
      <c r="J1996" s="41">
        <v>79</v>
      </c>
    </row>
    <row r="1997" spans="1:11" x14ac:dyDescent="0.25">
      <c r="A1997" s="24" t="s">
        <v>7</v>
      </c>
      <c r="B1997" s="24" t="s">
        <v>9927</v>
      </c>
      <c r="C1997" s="25" t="s">
        <v>9928</v>
      </c>
      <c r="D1997" s="24" t="s">
        <v>21824</v>
      </c>
      <c r="E1997" s="40">
        <v>12</v>
      </c>
      <c r="F1997" s="41">
        <v>204</v>
      </c>
      <c r="G1997" s="40">
        <v>25</v>
      </c>
      <c r="H1997" s="41">
        <v>425</v>
      </c>
      <c r="I1997" s="41">
        <v>17</v>
      </c>
      <c r="J1997" s="41">
        <v>17</v>
      </c>
      <c r="K1997" s="42">
        <v>0</v>
      </c>
    </row>
    <row r="1998" spans="1:11" x14ac:dyDescent="0.25">
      <c r="A1998" s="24" t="s">
        <v>7</v>
      </c>
      <c r="B1998" s="24" t="s">
        <v>9930</v>
      </c>
      <c r="C1998" s="25" t="s">
        <v>9931</v>
      </c>
      <c r="D1998" s="24" t="s">
        <v>21823</v>
      </c>
      <c r="E1998" s="40">
        <v>17</v>
      </c>
      <c r="F1998" s="41">
        <v>1526</v>
      </c>
      <c r="G1998" s="40">
        <v>15</v>
      </c>
      <c r="H1998" s="41">
        <v>1439</v>
      </c>
      <c r="I1998" s="41">
        <v>89.764705882352942</v>
      </c>
      <c r="J1998" s="41">
        <v>95.933333333333337</v>
      </c>
      <c r="K1998" s="42">
        <v>6.8719965050240306E-2</v>
      </c>
    </row>
    <row r="1999" spans="1:11" x14ac:dyDescent="0.25">
      <c r="A1999" s="24" t="s">
        <v>7</v>
      </c>
      <c r="B1999" s="24" t="s">
        <v>9936</v>
      </c>
      <c r="C1999" s="25" t="s">
        <v>9937</v>
      </c>
      <c r="D1999" s="24" t="s">
        <v>21823</v>
      </c>
      <c r="E1999" s="40">
        <v>1582</v>
      </c>
      <c r="F1999" s="41">
        <v>33760</v>
      </c>
      <c r="G1999" s="40">
        <v>1801</v>
      </c>
      <c r="H1999" s="41">
        <v>41162</v>
      </c>
      <c r="I1999" s="41">
        <v>21.340075853350189</v>
      </c>
      <c r="J1999" s="41">
        <v>22.855080510827317</v>
      </c>
      <c r="K1999" s="42">
        <v>7.0993405454052624E-2</v>
      </c>
    </row>
    <row r="2000" spans="1:11" x14ac:dyDescent="0.25">
      <c r="A2000" s="24" t="s">
        <v>7</v>
      </c>
      <c r="B2000" s="24" t="s">
        <v>9939</v>
      </c>
      <c r="C2000" s="25" t="s">
        <v>9940</v>
      </c>
      <c r="D2000" s="24" t="s">
        <v>21824</v>
      </c>
      <c r="G2000" s="40">
        <v>22</v>
      </c>
      <c r="H2000" s="41">
        <v>151.80000000000001</v>
      </c>
      <c r="J2000" s="41">
        <v>6.9</v>
      </c>
    </row>
    <row r="2001" spans="1:11" x14ac:dyDescent="0.25">
      <c r="A2001" s="24" t="s">
        <v>7</v>
      </c>
      <c r="B2001" s="24" t="s">
        <v>9945</v>
      </c>
      <c r="C2001" s="25" t="s">
        <v>9946</v>
      </c>
      <c r="D2001" s="24" t="s">
        <v>21824</v>
      </c>
      <c r="E2001" s="40">
        <v>4</v>
      </c>
      <c r="F2001" s="41">
        <v>104</v>
      </c>
      <c r="G2001" s="40">
        <v>0</v>
      </c>
      <c r="H2001" s="41">
        <v>0</v>
      </c>
      <c r="I2001" s="41">
        <v>26</v>
      </c>
    </row>
    <row r="2002" spans="1:11" x14ac:dyDescent="0.25">
      <c r="A2002" s="24" t="s">
        <v>7</v>
      </c>
      <c r="B2002" s="24" t="s">
        <v>9948</v>
      </c>
      <c r="C2002" s="25" t="s">
        <v>9949</v>
      </c>
      <c r="D2002" s="24" t="s">
        <v>21824</v>
      </c>
      <c r="E2002" s="40">
        <v>51</v>
      </c>
      <c r="F2002" s="41">
        <v>561</v>
      </c>
      <c r="G2002" s="40">
        <v>5</v>
      </c>
      <c r="H2002" s="41">
        <v>55</v>
      </c>
      <c r="I2002" s="41">
        <v>11</v>
      </c>
      <c r="J2002" s="41">
        <v>11</v>
      </c>
      <c r="K2002" s="42">
        <v>0</v>
      </c>
    </row>
    <row r="2003" spans="1:11" x14ac:dyDescent="0.25">
      <c r="A2003" s="24" t="s">
        <v>7</v>
      </c>
      <c r="B2003" s="24" t="s">
        <v>9966</v>
      </c>
      <c r="C2003" s="25" t="s">
        <v>9967</v>
      </c>
      <c r="D2003" s="24" t="s">
        <v>21824</v>
      </c>
      <c r="G2003" s="40">
        <v>32</v>
      </c>
      <c r="H2003" s="41">
        <v>896</v>
      </c>
      <c r="J2003" s="41">
        <v>28</v>
      </c>
    </row>
    <row r="2004" spans="1:11" x14ac:dyDescent="0.25">
      <c r="A2004" s="24" t="s">
        <v>7</v>
      </c>
      <c r="B2004" s="24" t="s">
        <v>9969</v>
      </c>
      <c r="C2004" s="25" t="s">
        <v>9970</v>
      </c>
      <c r="D2004" s="24" t="s">
        <v>21824</v>
      </c>
      <c r="G2004" s="40">
        <v>34</v>
      </c>
      <c r="H2004" s="41">
        <v>646</v>
      </c>
      <c r="J2004" s="41">
        <v>19</v>
      </c>
    </row>
    <row r="2005" spans="1:11" x14ac:dyDescent="0.25">
      <c r="A2005" s="24" t="s">
        <v>7</v>
      </c>
      <c r="B2005" s="24" t="s">
        <v>9972</v>
      </c>
      <c r="C2005" s="25" t="s">
        <v>9973</v>
      </c>
      <c r="D2005" s="24" t="s">
        <v>21824</v>
      </c>
      <c r="E2005" s="40">
        <v>148</v>
      </c>
      <c r="F2005" s="41">
        <v>3968</v>
      </c>
      <c r="G2005" s="40">
        <v>17</v>
      </c>
      <c r="H2005" s="41">
        <v>459</v>
      </c>
      <c r="I2005" s="41">
        <v>26.810810810810811</v>
      </c>
      <c r="J2005" s="41">
        <v>27</v>
      </c>
      <c r="K2005" s="42">
        <v>7.0564516129032369E-3</v>
      </c>
    </row>
    <row r="2006" spans="1:11" x14ac:dyDescent="0.25">
      <c r="A2006" s="24" t="s">
        <v>7</v>
      </c>
      <c r="B2006" s="24" t="s">
        <v>9975</v>
      </c>
      <c r="C2006" s="25" t="s">
        <v>9976</v>
      </c>
      <c r="D2006" s="24" t="s">
        <v>21824</v>
      </c>
      <c r="G2006" s="40">
        <v>27</v>
      </c>
      <c r="H2006" s="41">
        <v>351</v>
      </c>
      <c r="J2006" s="41">
        <v>13</v>
      </c>
    </row>
    <row r="2007" spans="1:11" x14ac:dyDescent="0.25">
      <c r="A2007" s="24" t="s">
        <v>7</v>
      </c>
      <c r="B2007" s="24" t="s">
        <v>9981</v>
      </c>
      <c r="C2007" s="25" t="s">
        <v>9982</v>
      </c>
      <c r="D2007" s="24" t="s">
        <v>21824</v>
      </c>
      <c r="G2007" s="40">
        <v>93</v>
      </c>
      <c r="H2007" s="41">
        <v>8685</v>
      </c>
      <c r="J2007" s="41">
        <v>93.387096774193552</v>
      </c>
    </row>
    <row r="2008" spans="1:11" x14ac:dyDescent="0.25">
      <c r="A2008" s="24" t="s">
        <v>7</v>
      </c>
      <c r="B2008" s="24" t="s">
        <v>9993</v>
      </c>
      <c r="C2008" s="25" t="s">
        <v>9994</v>
      </c>
      <c r="D2008" s="24" t="s">
        <v>21824</v>
      </c>
      <c r="E2008" s="40">
        <v>51</v>
      </c>
      <c r="F2008" s="41">
        <v>6622</v>
      </c>
      <c r="G2008" s="40">
        <v>54</v>
      </c>
      <c r="H2008" s="41">
        <v>7128</v>
      </c>
      <c r="I2008" s="41">
        <v>129.84313725490196</v>
      </c>
      <c r="J2008" s="41">
        <v>132</v>
      </c>
      <c r="K2008" s="42">
        <v>1.6611295681063117E-2</v>
      </c>
    </row>
    <row r="2009" spans="1:11" x14ac:dyDescent="0.25">
      <c r="A2009" s="24" t="s">
        <v>7</v>
      </c>
      <c r="B2009" s="24" t="s">
        <v>9996</v>
      </c>
      <c r="C2009" s="25" t="s">
        <v>9997</v>
      </c>
      <c r="D2009" s="24" t="s">
        <v>21824</v>
      </c>
      <c r="E2009" s="40">
        <v>20</v>
      </c>
      <c r="F2009" s="41">
        <v>1000</v>
      </c>
      <c r="G2009" s="40">
        <v>35</v>
      </c>
      <c r="H2009" s="41">
        <v>1750</v>
      </c>
      <c r="I2009" s="41">
        <v>50</v>
      </c>
      <c r="J2009" s="41">
        <v>50</v>
      </c>
      <c r="K2009" s="42">
        <v>0</v>
      </c>
    </row>
    <row r="2010" spans="1:11" x14ac:dyDescent="0.25">
      <c r="A2010" s="24" t="s">
        <v>7</v>
      </c>
      <c r="B2010" s="24" t="s">
        <v>9999</v>
      </c>
      <c r="C2010" s="25" t="s">
        <v>10000</v>
      </c>
      <c r="D2010" s="24" t="s">
        <v>21824</v>
      </c>
      <c r="G2010" s="40">
        <v>339</v>
      </c>
      <c r="H2010" s="41">
        <v>3729</v>
      </c>
      <c r="J2010" s="41">
        <v>11</v>
      </c>
    </row>
    <row r="2011" spans="1:11" x14ac:dyDescent="0.25">
      <c r="A2011" s="24" t="s">
        <v>7</v>
      </c>
      <c r="B2011" s="24" t="s">
        <v>10002</v>
      </c>
      <c r="C2011" s="25" t="s">
        <v>10003</v>
      </c>
      <c r="D2011" s="24" t="s">
        <v>21824</v>
      </c>
      <c r="E2011" s="40">
        <v>6</v>
      </c>
      <c r="F2011" s="41">
        <v>172</v>
      </c>
      <c r="G2011" s="40">
        <v>2</v>
      </c>
      <c r="H2011" s="41">
        <v>60</v>
      </c>
      <c r="I2011" s="41">
        <v>28.666666666666668</v>
      </c>
      <c r="J2011" s="41">
        <v>30</v>
      </c>
      <c r="K2011" s="42">
        <v>4.6511627906976702E-2</v>
      </c>
    </row>
    <row r="2012" spans="1:11" x14ac:dyDescent="0.25">
      <c r="A2012" s="24" t="s">
        <v>7</v>
      </c>
      <c r="B2012" s="24" t="s">
        <v>10005</v>
      </c>
      <c r="C2012" s="25" t="s">
        <v>10006</v>
      </c>
      <c r="D2012" s="24" t="s">
        <v>21823</v>
      </c>
      <c r="E2012" s="40">
        <v>47</v>
      </c>
      <c r="F2012" s="41">
        <v>1382</v>
      </c>
      <c r="G2012" s="40">
        <v>63</v>
      </c>
      <c r="H2012" s="41">
        <v>1960</v>
      </c>
      <c r="I2012" s="41">
        <v>29.404255319148938</v>
      </c>
      <c r="J2012" s="41">
        <v>31.111111111111111</v>
      </c>
      <c r="K2012" s="42">
        <v>5.8047917671651329E-2</v>
      </c>
    </row>
    <row r="2013" spans="1:11" x14ac:dyDescent="0.25">
      <c r="A2013" s="24" t="s">
        <v>7</v>
      </c>
      <c r="B2013" s="24" t="s">
        <v>10008</v>
      </c>
      <c r="C2013" s="25" t="s">
        <v>10009</v>
      </c>
      <c r="D2013" s="24" t="s">
        <v>21824</v>
      </c>
      <c r="E2013" s="40">
        <v>671</v>
      </c>
      <c r="F2013" s="41">
        <v>274349</v>
      </c>
      <c r="G2013" s="40">
        <v>706</v>
      </c>
      <c r="H2013" s="41">
        <v>270924</v>
      </c>
      <c r="I2013" s="41">
        <v>408.86587183308495</v>
      </c>
      <c r="J2013" s="41">
        <v>383.74504249291783</v>
      </c>
      <c r="K2013" s="42">
        <v>-6.1440269464266818E-2</v>
      </c>
    </row>
    <row r="2014" spans="1:11" x14ac:dyDescent="0.25">
      <c r="A2014" s="24" t="s">
        <v>7</v>
      </c>
      <c r="B2014" s="24" t="s">
        <v>10014</v>
      </c>
      <c r="C2014" s="25" t="s">
        <v>10015</v>
      </c>
      <c r="D2014" s="24" t="s">
        <v>21824</v>
      </c>
      <c r="E2014" s="40">
        <v>86</v>
      </c>
      <c r="F2014" s="41">
        <v>32963</v>
      </c>
      <c r="G2014" s="40">
        <v>229</v>
      </c>
      <c r="H2014" s="41">
        <v>88623</v>
      </c>
      <c r="I2014" s="41">
        <v>383.2906976744186</v>
      </c>
      <c r="J2014" s="41">
        <v>387</v>
      </c>
      <c r="K2014" s="42">
        <v>9.6775172162728157E-3</v>
      </c>
    </row>
    <row r="2015" spans="1:11" x14ac:dyDescent="0.25">
      <c r="A2015" s="24" t="s">
        <v>7</v>
      </c>
      <c r="B2015" s="24" t="s">
        <v>10017</v>
      </c>
      <c r="C2015" s="25" t="s">
        <v>10018</v>
      </c>
      <c r="D2015" s="24" t="s">
        <v>21823</v>
      </c>
      <c r="G2015" s="40">
        <v>37</v>
      </c>
      <c r="H2015" s="41">
        <v>74</v>
      </c>
      <c r="J2015" s="41">
        <v>2</v>
      </c>
    </row>
    <row r="2016" spans="1:11" x14ac:dyDescent="0.25">
      <c r="A2016" s="24" t="s">
        <v>7</v>
      </c>
      <c r="B2016" s="24" t="s">
        <v>10020</v>
      </c>
      <c r="C2016" s="25" t="s">
        <v>10021</v>
      </c>
      <c r="D2016" s="24" t="s">
        <v>21823</v>
      </c>
      <c r="G2016" s="40">
        <v>19</v>
      </c>
      <c r="H2016" s="41">
        <v>285</v>
      </c>
      <c r="J2016" s="41">
        <v>15</v>
      </c>
    </row>
    <row r="2017" spans="1:11" x14ac:dyDescent="0.25">
      <c r="A2017" s="24" t="s">
        <v>7</v>
      </c>
      <c r="B2017" s="24" t="s">
        <v>10023</v>
      </c>
      <c r="C2017" s="25" t="s">
        <v>10024</v>
      </c>
      <c r="D2017" s="24" t="s">
        <v>21824</v>
      </c>
      <c r="G2017" s="40">
        <v>97</v>
      </c>
      <c r="H2017" s="41">
        <v>1455</v>
      </c>
      <c r="J2017" s="41">
        <v>15</v>
      </c>
    </row>
    <row r="2018" spans="1:11" x14ac:dyDescent="0.25">
      <c r="A2018" s="24" t="s">
        <v>7</v>
      </c>
      <c r="B2018" s="24" t="s">
        <v>10026</v>
      </c>
      <c r="C2018" s="25" t="s">
        <v>10027</v>
      </c>
      <c r="D2018" s="24" t="s">
        <v>21824</v>
      </c>
      <c r="G2018" s="40">
        <v>16</v>
      </c>
      <c r="H2018" s="41">
        <v>1024</v>
      </c>
      <c r="J2018" s="41">
        <v>64</v>
      </c>
    </row>
    <row r="2019" spans="1:11" x14ac:dyDescent="0.25">
      <c r="A2019" s="24" t="s">
        <v>7</v>
      </c>
      <c r="B2019" s="24" t="s">
        <v>10032</v>
      </c>
      <c r="C2019" s="25" t="s">
        <v>10033</v>
      </c>
      <c r="D2019" s="24" t="s">
        <v>21824</v>
      </c>
      <c r="E2019" s="40">
        <v>21</v>
      </c>
      <c r="F2019" s="41">
        <v>378</v>
      </c>
      <c r="G2019" s="40">
        <v>201</v>
      </c>
      <c r="H2019" s="41">
        <v>3618</v>
      </c>
      <c r="I2019" s="41">
        <v>18</v>
      </c>
      <c r="J2019" s="41">
        <v>18</v>
      </c>
      <c r="K2019" s="42">
        <v>0</v>
      </c>
    </row>
    <row r="2020" spans="1:11" x14ac:dyDescent="0.25">
      <c r="A2020" s="24" t="s">
        <v>7</v>
      </c>
      <c r="B2020" s="24" t="s">
        <v>10047</v>
      </c>
      <c r="C2020" s="25" t="s">
        <v>10048</v>
      </c>
      <c r="D2020" s="24" t="s">
        <v>21824</v>
      </c>
      <c r="E2020" s="40">
        <v>24</v>
      </c>
      <c r="F2020" s="41">
        <v>710</v>
      </c>
      <c r="G2020" s="40">
        <v>123</v>
      </c>
      <c r="H2020" s="41">
        <v>3984</v>
      </c>
      <c r="I2020" s="41">
        <v>29.583333333333332</v>
      </c>
      <c r="J2020" s="41">
        <v>32.390243902439025</v>
      </c>
      <c r="K2020" s="42">
        <v>9.4881484026107923E-2</v>
      </c>
    </row>
    <row r="2021" spans="1:11" x14ac:dyDescent="0.25">
      <c r="A2021" s="24" t="s">
        <v>7</v>
      </c>
      <c r="B2021" s="24" t="s">
        <v>10053</v>
      </c>
      <c r="C2021" s="25" t="s">
        <v>10054</v>
      </c>
      <c r="D2021" s="24" t="s">
        <v>21824</v>
      </c>
      <c r="E2021" s="40">
        <v>4</v>
      </c>
      <c r="F2021" s="41">
        <v>168</v>
      </c>
      <c r="G2021" s="40">
        <v>2</v>
      </c>
      <c r="H2021" s="41">
        <v>84</v>
      </c>
      <c r="I2021" s="41">
        <v>42</v>
      </c>
      <c r="J2021" s="41">
        <v>42</v>
      </c>
      <c r="K2021" s="42">
        <v>0</v>
      </c>
    </row>
    <row r="2022" spans="1:11" x14ac:dyDescent="0.25">
      <c r="A2022" s="24" t="s">
        <v>7</v>
      </c>
      <c r="B2022" s="24" t="s">
        <v>10062</v>
      </c>
      <c r="C2022" s="25" t="s">
        <v>10063</v>
      </c>
      <c r="D2022" s="24" t="s">
        <v>21823</v>
      </c>
      <c r="E2022" s="40">
        <v>20</v>
      </c>
      <c r="F2022" s="41">
        <v>350</v>
      </c>
      <c r="G2022" s="40">
        <v>8</v>
      </c>
      <c r="H2022" s="41">
        <v>144</v>
      </c>
      <c r="I2022" s="41">
        <v>17.5</v>
      </c>
      <c r="J2022" s="41">
        <v>18</v>
      </c>
      <c r="K2022" s="42">
        <v>2.8571428571428571E-2</v>
      </c>
    </row>
    <row r="2023" spans="1:11" x14ac:dyDescent="0.25">
      <c r="A2023" s="24" t="s">
        <v>7</v>
      </c>
      <c r="B2023" s="24" t="s">
        <v>10065</v>
      </c>
      <c r="C2023" s="25" t="s">
        <v>10066</v>
      </c>
      <c r="D2023" s="24" t="s">
        <v>21824</v>
      </c>
      <c r="E2023" s="40">
        <v>2361</v>
      </c>
      <c r="F2023" s="41">
        <v>9444</v>
      </c>
      <c r="G2023" s="40">
        <v>1842</v>
      </c>
      <c r="H2023" s="41">
        <v>8526</v>
      </c>
      <c r="I2023" s="41">
        <v>4</v>
      </c>
      <c r="J2023" s="41">
        <v>4.6286644951140063</v>
      </c>
      <c r="K2023" s="42">
        <v>0.15716612377850159</v>
      </c>
    </row>
    <row r="2024" spans="1:11" x14ac:dyDescent="0.25">
      <c r="A2024" s="24" t="s">
        <v>7</v>
      </c>
      <c r="B2024" s="24" t="s">
        <v>10071</v>
      </c>
      <c r="C2024" s="25" t="s">
        <v>10072</v>
      </c>
      <c r="D2024" s="24" t="s">
        <v>21824</v>
      </c>
      <c r="E2024" s="40">
        <v>331</v>
      </c>
      <c r="F2024" s="41">
        <v>8743</v>
      </c>
      <c r="G2024" s="40">
        <v>428</v>
      </c>
      <c r="H2024" s="41">
        <v>9635</v>
      </c>
      <c r="I2024" s="41">
        <v>26.413897280966768</v>
      </c>
      <c r="J2024" s="41">
        <v>22.511682242990656</v>
      </c>
      <c r="K2024" s="42">
        <v>-0.14773340701934043</v>
      </c>
    </row>
    <row r="2025" spans="1:11" x14ac:dyDescent="0.25">
      <c r="A2025" s="24" t="s">
        <v>7</v>
      </c>
      <c r="B2025" s="24" t="s">
        <v>10077</v>
      </c>
      <c r="C2025" s="25" t="s">
        <v>10078</v>
      </c>
      <c r="D2025" s="24" t="s">
        <v>21823</v>
      </c>
      <c r="E2025" s="40">
        <v>136</v>
      </c>
      <c r="F2025" s="41">
        <v>13936</v>
      </c>
      <c r="G2025" s="40">
        <v>248</v>
      </c>
      <c r="H2025" s="41">
        <v>22477</v>
      </c>
      <c r="I2025" s="41">
        <v>102.47058823529412</v>
      </c>
      <c r="J2025" s="41">
        <v>90.633064516129039</v>
      </c>
      <c r="K2025" s="42">
        <v>-0.11552118440057768</v>
      </c>
    </row>
    <row r="2026" spans="1:11" x14ac:dyDescent="0.25">
      <c r="A2026" s="24" t="s">
        <v>7</v>
      </c>
      <c r="B2026" s="24" t="s">
        <v>10086</v>
      </c>
      <c r="C2026" s="25" t="s">
        <v>10087</v>
      </c>
      <c r="D2026" s="24" t="s">
        <v>21824</v>
      </c>
      <c r="E2026" s="40">
        <v>52</v>
      </c>
      <c r="F2026" s="41">
        <v>1540</v>
      </c>
      <c r="G2026" s="40">
        <v>9</v>
      </c>
      <c r="H2026" s="41">
        <v>279</v>
      </c>
      <c r="I2026" s="41">
        <v>29.615384615384617</v>
      </c>
      <c r="J2026" s="41">
        <v>31</v>
      </c>
      <c r="K2026" s="42">
        <v>4.6753246753246706E-2</v>
      </c>
    </row>
    <row r="2027" spans="1:11" x14ac:dyDescent="0.25">
      <c r="A2027" s="24" t="s">
        <v>7</v>
      </c>
      <c r="B2027" s="24" t="s">
        <v>10089</v>
      </c>
      <c r="C2027" s="25" t="s">
        <v>10090</v>
      </c>
      <c r="D2027" s="24" t="s">
        <v>21824</v>
      </c>
      <c r="G2027" s="40">
        <v>486</v>
      </c>
      <c r="H2027" s="41">
        <v>2658.42</v>
      </c>
      <c r="J2027" s="41">
        <v>5.47</v>
      </c>
    </row>
    <row r="2028" spans="1:11" x14ac:dyDescent="0.25">
      <c r="A2028" s="24" t="s">
        <v>7</v>
      </c>
      <c r="B2028" s="24" t="s">
        <v>10095</v>
      </c>
      <c r="C2028" s="25" t="s">
        <v>10096</v>
      </c>
      <c r="D2028" s="24" t="s">
        <v>21824</v>
      </c>
      <c r="E2028" s="40">
        <v>16</v>
      </c>
      <c r="F2028" s="41">
        <v>820</v>
      </c>
      <c r="G2028" s="40">
        <v>0</v>
      </c>
      <c r="H2028" s="41">
        <v>0</v>
      </c>
      <c r="I2028" s="41">
        <v>51.25</v>
      </c>
    </row>
    <row r="2029" spans="1:11" x14ac:dyDescent="0.25">
      <c r="A2029" s="24" t="s">
        <v>7</v>
      </c>
      <c r="B2029" s="24" t="s">
        <v>10098</v>
      </c>
      <c r="C2029" s="25" t="s">
        <v>10099</v>
      </c>
      <c r="D2029" s="24" t="s">
        <v>21824</v>
      </c>
      <c r="E2029" s="40">
        <v>10</v>
      </c>
      <c r="F2029" s="41">
        <v>164</v>
      </c>
      <c r="G2029" s="40">
        <v>28</v>
      </c>
      <c r="H2029" s="41">
        <v>476</v>
      </c>
      <c r="I2029" s="41">
        <v>16.399999999999999</v>
      </c>
      <c r="J2029" s="41">
        <v>17</v>
      </c>
      <c r="K2029" s="42">
        <v>3.6585365853658625E-2</v>
      </c>
    </row>
    <row r="2030" spans="1:11" x14ac:dyDescent="0.25">
      <c r="A2030" s="24" t="s">
        <v>7</v>
      </c>
      <c r="B2030" s="24" t="s">
        <v>10101</v>
      </c>
      <c r="C2030" s="25" t="s">
        <v>10102</v>
      </c>
      <c r="D2030" s="24" t="s">
        <v>21824</v>
      </c>
      <c r="G2030" s="40">
        <v>17</v>
      </c>
      <c r="H2030" s="41">
        <v>2202</v>
      </c>
      <c r="J2030" s="41">
        <v>129.52941176470588</v>
      </c>
    </row>
    <row r="2031" spans="1:11" x14ac:dyDescent="0.25">
      <c r="A2031" s="24" t="s">
        <v>7</v>
      </c>
      <c r="B2031" s="24" t="s">
        <v>10104</v>
      </c>
      <c r="C2031" s="25" t="s">
        <v>10105</v>
      </c>
      <c r="D2031" s="24" t="s">
        <v>21832</v>
      </c>
      <c r="G2031" s="40">
        <v>3</v>
      </c>
      <c r="H2031" s="41">
        <v>138</v>
      </c>
      <c r="J2031" s="41">
        <v>46</v>
      </c>
    </row>
    <row r="2032" spans="1:11" x14ac:dyDescent="0.25">
      <c r="A2032" s="24" t="s">
        <v>7</v>
      </c>
      <c r="B2032" s="24" t="s">
        <v>10107</v>
      </c>
      <c r="C2032" s="25" t="s">
        <v>10108</v>
      </c>
      <c r="D2032" s="24" t="s">
        <v>21824</v>
      </c>
      <c r="G2032" s="40">
        <v>39</v>
      </c>
      <c r="H2032" s="41">
        <v>936</v>
      </c>
      <c r="J2032" s="41">
        <v>24</v>
      </c>
    </row>
    <row r="2033" spans="1:11" x14ac:dyDescent="0.25">
      <c r="A2033" s="24" t="s">
        <v>7</v>
      </c>
      <c r="B2033" s="24" t="s">
        <v>10113</v>
      </c>
      <c r="C2033" s="25" t="s">
        <v>10114</v>
      </c>
      <c r="D2033" s="24" t="s">
        <v>21823</v>
      </c>
      <c r="E2033" s="40">
        <v>5</v>
      </c>
      <c r="F2033" s="41">
        <v>20</v>
      </c>
      <c r="G2033" s="40">
        <v>14</v>
      </c>
      <c r="H2033" s="41">
        <v>56</v>
      </c>
      <c r="I2033" s="41">
        <v>4</v>
      </c>
      <c r="J2033" s="41">
        <v>4</v>
      </c>
      <c r="K2033" s="42">
        <v>0</v>
      </c>
    </row>
    <row r="2034" spans="1:11" x14ac:dyDescent="0.25">
      <c r="A2034" s="24" t="s">
        <v>7</v>
      </c>
      <c r="B2034" s="24" t="s">
        <v>10119</v>
      </c>
      <c r="C2034" s="25" t="s">
        <v>10120</v>
      </c>
      <c r="D2034" s="24" t="s">
        <v>21824</v>
      </c>
      <c r="G2034" s="40">
        <v>44</v>
      </c>
      <c r="H2034" s="41">
        <v>792</v>
      </c>
      <c r="J2034" s="41">
        <v>18</v>
      </c>
    </row>
    <row r="2035" spans="1:11" x14ac:dyDescent="0.25">
      <c r="A2035" s="24" t="s">
        <v>7</v>
      </c>
      <c r="B2035" s="24" t="s">
        <v>10122</v>
      </c>
      <c r="C2035" s="25" t="s">
        <v>10123</v>
      </c>
      <c r="D2035" s="24" t="s">
        <v>21824</v>
      </c>
      <c r="E2035" s="40">
        <v>378</v>
      </c>
      <c r="F2035" s="41">
        <v>1512</v>
      </c>
      <c r="G2035" s="40">
        <v>190</v>
      </c>
      <c r="H2035" s="41">
        <v>5644</v>
      </c>
      <c r="I2035" s="41">
        <v>4</v>
      </c>
      <c r="J2035" s="41">
        <v>29.705263157894738</v>
      </c>
      <c r="K2035" s="42">
        <v>6.4263157894736844</v>
      </c>
    </row>
    <row r="2036" spans="1:11" x14ac:dyDescent="0.25">
      <c r="A2036" s="24" t="s">
        <v>7</v>
      </c>
      <c r="B2036" s="24" t="s">
        <v>10128</v>
      </c>
      <c r="C2036" s="25" t="s">
        <v>10129</v>
      </c>
      <c r="D2036" s="24" t="s">
        <v>21824</v>
      </c>
      <c r="E2036" s="40">
        <v>2</v>
      </c>
      <c r="F2036" s="41">
        <v>72</v>
      </c>
      <c r="G2036" s="40">
        <v>0</v>
      </c>
      <c r="H2036" s="41">
        <v>0</v>
      </c>
      <c r="I2036" s="41">
        <v>36</v>
      </c>
    </row>
    <row r="2037" spans="1:11" x14ac:dyDescent="0.25">
      <c r="A2037" s="24" t="s">
        <v>7</v>
      </c>
      <c r="B2037" s="24" t="s">
        <v>10131</v>
      </c>
      <c r="C2037" s="25" t="s">
        <v>10132</v>
      </c>
      <c r="D2037" s="24" t="s">
        <v>21824</v>
      </c>
      <c r="G2037" s="40">
        <v>9</v>
      </c>
      <c r="H2037" s="41">
        <v>705</v>
      </c>
      <c r="J2037" s="41">
        <v>78.333333333333329</v>
      </c>
    </row>
    <row r="2038" spans="1:11" x14ac:dyDescent="0.25">
      <c r="A2038" s="24" t="s">
        <v>7</v>
      </c>
      <c r="B2038" s="24" t="s">
        <v>10134</v>
      </c>
      <c r="C2038" s="25" t="s">
        <v>10135</v>
      </c>
      <c r="D2038" s="24" t="s">
        <v>21824</v>
      </c>
      <c r="G2038" s="40">
        <v>7</v>
      </c>
      <c r="H2038" s="41">
        <v>105</v>
      </c>
      <c r="J2038" s="41">
        <v>15</v>
      </c>
    </row>
    <row r="2039" spans="1:11" x14ac:dyDescent="0.25">
      <c r="A2039" s="24" t="s">
        <v>7</v>
      </c>
      <c r="B2039" s="24" t="s">
        <v>10140</v>
      </c>
      <c r="C2039" s="25" t="s">
        <v>10141</v>
      </c>
      <c r="D2039" s="24" t="s">
        <v>21823</v>
      </c>
      <c r="G2039" s="40">
        <v>25</v>
      </c>
      <c r="H2039" s="41">
        <v>450</v>
      </c>
      <c r="J2039" s="41">
        <v>18</v>
      </c>
    </row>
    <row r="2040" spans="1:11" x14ac:dyDescent="0.25">
      <c r="A2040" s="24" t="s">
        <v>7</v>
      </c>
      <c r="B2040" s="24" t="s">
        <v>10143</v>
      </c>
      <c r="C2040" s="25" t="s">
        <v>10144</v>
      </c>
      <c r="D2040" s="24" t="s">
        <v>21824</v>
      </c>
      <c r="E2040" s="40">
        <v>833</v>
      </c>
      <c r="F2040" s="41">
        <v>25235</v>
      </c>
      <c r="G2040" s="40">
        <v>753</v>
      </c>
      <c r="H2040" s="41">
        <v>22047</v>
      </c>
      <c r="I2040" s="41">
        <v>30.294117647058822</v>
      </c>
      <c r="J2040" s="41">
        <v>29.278884462151396</v>
      </c>
      <c r="K2040" s="42">
        <v>-3.3512551734808257E-2</v>
      </c>
    </row>
    <row r="2041" spans="1:11" x14ac:dyDescent="0.25">
      <c r="A2041" s="24" t="s">
        <v>7</v>
      </c>
      <c r="B2041" s="24" t="s">
        <v>10149</v>
      </c>
      <c r="C2041" s="25" t="s">
        <v>10150</v>
      </c>
      <c r="D2041" s="24" t="s">
        <v>21823</v>
      </c>
      <c r="E2041" s="40">
        <v>3074</v>
      </c>
      <c r="F2041" s="41">
        <v>42409</v>
      </c>
      <c r="G2041" s="40">
        <v>3043</v>
      </c>
      <c r="H2041" s="41">
        <v>41117</v>
      </c>
      <c r="I2041" s="41">
        <v>13.796031229668184</v>
      </c>
      <c r="J2041" s="41">
        <v>13.51199474203089</v>
      </c>
      <c r="K2041" s="42">
        <v>-2.0588275200948934E-2</v>
      </c>
    </row>
    <row r="2042" spans="1:11" x14ac:dyDescent="0.25">
      <c r="A2042" s="24" t="s">
        <v>7</v>
      </c>
      <c r="B2042" s="24" t="s">
        <v>10152</v>
      </c>
      <c r="C2042" s="25" t="s">
        <v>10153</v>
      </c>
      <c r="D2042" s="24" t="s">
        <v>21823</v>
      </c>
      <c r="E2042" s="40">
        <v>5</v>
      </c>
      <c r="F2042" s="41">
        <v>104</v>
      </c>
      <c r="G2042" s="40">
        <v>10</v>
      </c>
      <c r="H2042" s="41">
        <v>220</v>
      </c>
      <c r="I2042" s="41">
        <v>20.8</v>
      </c>
      <c r="J2042" s="41">
        <v>22</v>
      </c>
      <c r="K2042" s="42">
        <v>5.7692307692307654E-2</v>
      </c>
    </row>
    <row r="2043" spans="1:11" x14ac:dyDescent="0.25">
      <c r="A2043" s="24" t="s">
        <v>7</v>
      </c>
      <c r="B2043" s="24" t="s">
        <v>10155</v>
      </c>
      <c r="C2043" s="25" t="s">
        <v>10156</v>
      </c>
      <c r="D2043" s="24" t="s">
        <v>21824</v>
      </c>
      <c r="E2043" s="40">
        <v>173</v>
      </c>
      <c r="F2043" s="41">
        <v>3087</v>
      </c>
      <c r="G2043" s="40">
        <v>36</v>
      </c>
      <c r="H2043" s="41">
        <v>648</v>
      </c>
      <c r="I2043" s="41">
        <v>17.843930635838149</v>
      </c>
      <c r="J2043" s="41">
        <v>18</v>
      </c>
      <c r="K2043" s="42">
        <v>8.7463556851312876E-3</v>
      </c>
    </row>
    <row r="2044" spans="1:11" x14ac:dyDescent="0.25">
      <c r="A2044" s="24" t="s">
        <v>7</v>
      </c>
      <c r="B2044" s="24" t="s">
        <v>10158</v>
      </c>
      <c r="C2044" s="25" t="s">
        <v>10159</v>
      </c>
      <c r="D2044" s="24" t="s">
        <v>21824</v>
      </c>
      <c r="G2044" s="40">
        <v>1</v>
      </c>
      <c r="H2044" s="41">
        <v>26</v>
      </c>
      <c r="J2044" s="41">
        <v>26</v>
      </c>
    </row>
    <row r="2045" spans="1:11" x14ac:dyDescent="0.25">
      <c r="A2045" s="24" t="s">
        <v>7</v>
      </c>
      <c r="B2045" s="24" t="s">
        <v>10161</v>
      </c>
      <c r="C2045" s="25" t="s">
        <v>10162</v>
      </c>
      <c r="D2045" s="24" t="s">
        <v>21824</v>
      </c>
      <c r="E2045" s="40">
        <v>70</v>
      </c>
      <c r="F2045" s="41">
        <v>795</v>
      </c>
      <c r="G2045" s="40">
        <v>44</v>
      </c>
      <c r="H2045" s="41">
        <v>528</v>
      </c>
      <c r="I2045" s="41">
        <v>11.357142857142858</v>
      </c>
      <c r="J2045" s="41">
        <v>12</v>
      </c>
      <c r="K2045" s="42">
        <v>5.6603773584905613E-2</v>
      </c>
    </row>
    <row r="2046" spans="1:11" x14ac:dyDescent="0.25">
      <c r="A2046" s="24" t="s">
        <v>7</v>
      </c>
      <c r="B2046" s="24" t="s">
        <v>10164</v>
      </c>
      <c r="C2046" s="25" t="s">
        <v>10165</v>
      </c>
      <c r="D2046" s="24" t="s">
        <v>21824</v>
      </c>
      <c r="G2046" s="40">
        <v>18</v>
      </c>
      <c r="H2046" s="41">
        <v>2727</v>
      </c>
      <c r="J2046" s="41">
        <v>151.5</v>
      </c>
    </row>
    <row r="2047" spans="1:11" x14ac:dyDescent="0.25">
      <c r="A2047" s="24" t="s">
        <v>7</v>
      </c>
      <c r="B2047" s="24" t="s">
        <v>10167</v>
      </c>
      <c r="C2047" s="25" t="s">
        <v>10168</v>
      </c>
      <c r="D2047" s="24" t="s">
        <v>21824</v>
      </c>
      <c r="G2047" s="40">
        <v>8</v>
      </c>
      <c r="H2047" s="41">
        <v>520</v>
      </c>
      <c r="J2047" s="41">
        <v>65</v>
      </c>
    </row>
    <row r="2048" spans="1:11" x14ac:dyDescent="0.25">
      <c r="A2048" s="24" t="s">
        <v>7</v>
      </c>
      <c r="B2048" s="24" t="s">
        <v>10170</v>
      </c>
      <c r="C2048" s="25" t="s">
        <v>10171</v>
      </c>
      <c r="D2048" s="24" t="s">
        <v>21823</v>
      </c>
      <c r="E2048" s="40">
        <v>39</v>
      </c>
      <c r="F2048" s="41">
        <v>923</v>
      </c>
      <c r="G2048" s="40">
        <v>47</v>
      </c>
      <c r="H2048" s="41">
        <v>1175</v>
      </c>
      <c r="I2048" s="41">
        <v>23.666666666666668</v>
      </c>
      <c r="J2048" s="41">
        <v>25</v>
      </c>
      <c r="K2048" s="42">
        <v>5.633802816901403E-2</v>
      </c>
    </row>
    <row r="2049" spans="1:11" x14ac:dyDescent="0.25">
      <c r="A2049" s="24" t="s">
        <v>7</v>
      </c>
      <c r="B2049" s="24" t="s">
        <v>10173</v>
      </c>
      <c r="C2049" s="25" t="s">
        <v>10174</v>
      </c>
      <c r="D2049" s="24" t="s">
        <v>21823</v>
      </c>
      <c r="E2049" s="40">
        <v>1129</v>
      </c>
      <c r="F2049" s="41">
        <v>16630</v>
      </c>
      <c r="G2049" s="40">
        <v>755</v>
      </c>
      <c r="H2049" s="41">
        <v>11325</v>
      </c>
      <c r="I2049" s="41">
        <v>14.729849424269265</v>
      </c>
      <c r="J2049" s="41">
        <v>15</v>
      </c>
      <c r="K2049" s="42">
        <v>1.8340348767288035E-2</v>
      </c>
    </row>
    <row r="2050" spans="1:11" x14ac:dyDescent="0.25">
      <c r="A2050" s="24" t="s">
        <v>7</v>
      </c>
      <c r="B2050" s="24" t="s">
        <v>10176</v>
      </c>
      <c r="C2050" s="25" t="s">
        <v>10177</v>
      </c>
      <c r="D2050" s="24" t="s">
        <v>21824</v>
      </c>
      <c r="G2050" s="40">
        <v>12</v>
      </c>
      <c r="H2050" s="41">
        <v>216</v>
      </c>
      <c r="J2050" s="41">
        <v>18</v>
      </c>
    </row>
    <row r="2051" spans="1:11" x14ac:dyDescent="0.25">
      <c r="A2051" s="24" t="s">
        <v>7</v>
      </c>
      <c r="B2051" s="24" t="s">
        <v>10179</v>
      </c>
      <c r="C2051" s="25" t="s">
        <v>10180</v>
      </c>
      <c r="D2051" s="24" t="s">
        <v>21823</v>
      </c>
      <c r="E2051" s="40">
        <v>553</v>
      </c>
      <c r="F2051" s="41">
        <v>10247</v>
      </c>
      <c r="G2051" s="40">
        <v>496</v>
      </c>
      <c r="H2051" s="41">
        <v>10750</v>
      </c>
      <c r="I2051" s="41">
        <v>18.529837251356238</v>
      </c>
      <c r="J2051" s="41">
        <v>21.673387096774192</v>
      </c>
      <c r="K2051" s="42">
        <v>0.16964800083108508</v>
      </c>
    </row>
    <row r="2052" spans="1:11" x14ac:dyDescent="0.25">
      <c r="A2052" s="24" t="s">
        <v>7</v>
      </c>
      <c r="B2052" s="24" t="s">
        <v>10185</v>
      </c>
      <c r="C2052" s="25" t="s">
        <v>10186</v>
      </c>
      <c r="D2052" s="24" t="s">
        <v>21824</v>
      </c>
      <c r="G2052" s="40">
        <v>1</v>
      </c>
      <c r="H2052" s="41">
        <v>91</v>
      </c>
      <c r="J2052" s="41">
        <v>91</v>
      </c>
    </row>
    <row r="2053" spans="1:11" x14ac:dyDescent="0.25">
      <c r="A2053" s="24" t="s">
        <v>7</v>
      </c>
      <c r="B2053" s="24" t="s">
        <v>10191</v>
      </c>
      <c r="C2053" s="25" t="s">
        <v>10192</v>
      </c>
      <c r="D2053" s="24" t="s">
        <v>21824</v>
      </c>
      <c r="E2053" s="40">
        <v>3</v>
      </c>
      <c r="F2053" s="41">
        <v>99</v>
      </c>
      <c r="G2053" s="40">
        <v>0</v>
      </c>
      <c r="H2053" s="41">
        <v>0</v>
      </c>
      <c r="I2053" s="41">
        <v>33</v>
      </c>
    </row>
    <row r="2054" spans="1:11" x14ac:dyDescent="0.25">
      <c r="A2054" s="24" t="s">
        <v>7</v>
      </c>
      <c r="B2054" s="24" t="s">
        <v>10197</v>
      </c>
      <c r="C2054" s="25" t="s">
        <v>10198</v>
      </c>
      <c r="D2054" s="24" t="s">
        <v>21824</v>
      </c>
      <c r="E2054" s="40">
        <v>14</v>
      </c>
      <c r="F2054" s="41">
        <v>450</v>
      </c>
      <c r="G2054" s="40">
        <v>44</v>
      </c>
      <c r="H2054" s="41">
        <v>1452</v>
      </c>
      <c r="I2054" s="41">
        <v>32.142857142857146</v>
      </c>
      <c r="J2054" s="41">
        <v>33</v>
      </c>
      <c r="K2054" s="42">
        <v>2.6666666666666568E-2</v>
      </c>
    </row>
    <row r="2055" spans="1:11" x14ac:dyDescent="0.25">
      <c r="A2055" s="24" t="s">
        <v>7</v>
      </c>
      <c r="B2055" s="24" t="s">
        <v>10200</v>
      </c>
      <c r="C2055" s="25" t="s">
        <v>10201</v>
      </c>
      <c r="D2055" s="24" t="s">
        <v>21824</v>
      </c>
      <c r="G2055" s="40">
        <v>448</v>
      </c>
      <c r="H2055" s="41">
        <v>26866</v>
      </c>
      <c r="J2055" s="41">
        <v>59.96875</v>
      </c>
    </row>
    <row r="2056" spans="1:11" x14ac:dyDescent="0.25">
      <c r="A2056" s="24" t="s">
        <v>7</v>
      </c>
      <c r="B2056" s="24" t="s">
        <v>10203</v>
      </c>
      <c r="C2056" s="25" t="s">
        <v>10204</v>
      </c>
      <c r="D2056" s="24" t="s">
        <v>21824</v>
      </c>
      <c r="E2056" s="40">
        <v>24</v>
      </c>
      <c r="F2056" s="41">
        <v>9230</v>
      </c>
      <c r="G2056" s="40">
        <v>58</v>
      </c>
      <c r="H2056" s="41">
        <v>22446</v>
      </c>
      <c r="I2056" s="41">
        <v>384.58333333333331</v>
      </c>
      <c r="J2056" s="41">
        <v>387</v>
      </c>
      <c r="K2056" s="42">
        <v>6.2838569880823902E-3</v>
      </c>
    </row>
    <row r="2057" spans="1:11" x14ac:dyDescent="0.25">
      <c r="A2057" s="24" t="s">
        <v>7</v>
      </c>
      <c r="B2057" s="24" t="s">
        <v>10209</v>
      </c>
      <c r="C2057" s="25" t="s">
        <v>10210</v>
      </c>
      <c r="D2057" s="24" t="s">
        <v>21823</v>
      </c>
      <c r="E2057" s="40">
        <v>1383</v>
      </c>
      <c r="F2057" s="41">
        <v>37572</v>
      </c>
      <c r="G2057" s="40">
        <v>1691</v>
      </c>
      <c r="H2057" s="41">
        <v>45596</v>
      </c>
      <c r="I2057" s="41">
        <v>27.167028199566161</v>
      </c>
      <c r="J2057" s="41">
        <v>26.963926670609109</v>
      </c>
      <c r="K2057" s="42">
        <v>-7.4760304095497637E-3</v>
      </c>
    </row>
    <row r="2058" spans="1:11" x14ac:dyDescent="0.25">
      <c r="A2058" s="24" t="s">
        <v>7</v>
      </c>
      <c r="B2058" s="24" t="s">
        <v>10212</v>
      </c>
      <c r="C2058" s="25" t="s">
        <v>10213</v>
      </c>
      <c r="D2058" s="24" t="s">
        <v>21824</v>
      </c>
      <c r="E2058" s="40">
        <v>719</v>
      </c>
      <c r="F2058" s="41">
        <v>2157</v>
      </c>
      <c r="G2058" s="40">
        <v>691</v>
      </c>
      <c r="H2058" s="41">
        <v>5223</v>
      </c>
      <c r="I2058" s="41">
        <v>3</v>
      </c>
      <c r="J2058" s="41">
        <v>7.5586107091172217</v>
      </c>
      <c r="K2058" s="42">
        <v>1.519536903039074</v>
      </c>
    </row>
    <row r="2059" spans="1:11" x14ac:dyDescent="0.25">
      <c r="A2059" s="24" t="s">
        <v>7</v>
      </c>
      <c r="B2059" s="24" t="s">
        <v>10215</v>
      </c>
      <c r="C2059" s="25" t="s">
        <v>10216</v>
      </c>
      <c r="D2059" s="24" t="s">
        <v>21823</v>
      </c>
      <c r="E2059" s="40">
        <v>3453</v>
      </c>
      <c r="F2059" s="41">
        <v>64871</v>
      </c>
      <c r="G2059" s="40">
        <v>4609</v>
      </c>
      <c r="H2059" s="41">
        <v>88157</v>
      </c>
      <c r="I2059" s="41">
        <v>18.786852012742543</v>
      </c>
      <c r="J2059" s="41">
        <v>19.127142547190282</v>
      </c>
      <c r="K2059" s="42">
        <v>1.8113228028672945E-2</v>
      </c>
    </row>
    <row r="2060" spans="1:11" x14ac:dyDescent="0.25">
      <c r="A2060" s="24" t="s">
        <v>7</v>
      </c>
      <c r="B2060" s="24" t="s">
        <v>10221</v>
      </c>
      <c r="C2060" s="25" t="s">
        <v>10222</v>
      </c>
      <c r="D2060" s="24" t="s">
        <v>21824</v>
      </c>
      <c r="G2060" s="40">
        <v>2</v>
      </c>
      <c r="H2060" s="41">
        <v>328</v>
      </c>
      <c r="J2060" s="41">
        <v>164</v>
      </c>
    </row>
    <row r="2061" spans="1:11" x14ac:dyDescent="0.25">
      <c r="A2061" s="24" t="s">
        <v>7</v>
      </c>
      <c r="B2061" s="24" t="s">
        <v>10224</v>
      </c>
      <c r="C2061" s="25" t="s">
        <v>10225</v>
      </c>
      <c r="D2061" s="24" t="s">
        <v>21824</v>
      </c>
      <c r="G2061" s="40">
        <v>1</v>
      </c>
      <c r="H2061" s="41">
        <v>220</v>
      </c>
      <c r="J2061" s="41">
        <v>220</v>
      </c>
    </row>
    <row r="2062" spans="1:11" x14ac:dyDescent="0.25">
      <c r="A2062" s="24" t="s">
        <v>7</v>
      </c>
      <c r="B2062" s="24" t="s">
        <v>10227</v>
      </c>
      <c r="C2062" s="25" t="s">
        <v>10228</v>
      </c>
      <c r="D2062" s="24" t="s">
        <v>21823</v>
      </c>
      <c r="E2062" s="40">
        <v>2264</v>
      </c>
      <c r="F2062" s="41">
        <v>11320</v>
      </c>
      <c r="G2062" s="40">
        <v>2513</v>
      </c>
      <c r="H2062" s="41">
        <v>12565</v>
      </c>
      <c r="I2062" s="41">
        <v>5</v>
      </c>
      <c r="J2062" s="41">
        <v>5</v>
      </c>
      <c r="K2062" s="42">
        <v>0</v>
      </c>
    </row>
    <row r="2063" spans="1:11" x14ac:dyDescent="0.25">
      <c r="A2063" s="24" t="s">
        <v>7</v>
      </c>
      <c r="B2063" s="24" t="s">
        <v>10236</v>
      </c>
      <c r="C2063" s="25" t="s">
        <v>10237</v>
      </c>
      <c r="D2063" s="24" t="s">
        <v>21824</v>
      </c>
      <c r="G2063" s="40">
        <v>1</v>
      </c>
      <c r="H2063" s="41">
        <v>125</v>
      </c>
      <c r="J2063" s="41">
        <v>125</v>
      </c>
    </row>
    <row r="2064" spans="1:11" x14ac:dyDescent="0.25">
      <c r="A2064" s="24" t="s">
        <v>7</v>
      </c>
      <c r="B2064" s="24" t="s">
        <v>10239</v>
      </c>
      <c r="C2064" s="25" t="s">
        <v>10240</v>
      </c>
      <c r="D2064" s="24" t="s">
        <v>21824</v>
      </c>
      <c r="E2064" s="40">
        <v>27</v>
      </c>
      <c r="F2064" s="41">
        <v>2226</v>
      </c>
      <c r="G2064" s="40">
        <v>37</v>
      </c>
      <c r="H2064" s="41">
        <v>6006</v>
      </c>
      <c r="I2064" s="41">
        <v>82.444444444444443</v>
      </c>
      <c r="J2064" s="41">
        <v>162.32432432432432</v>
      </c>
      <c r="K2064" s="42">
        <v>0.96889342172361037</v>
      </c>
    </row>
    <row r="2065" spans="1:11" x14ac:dyDescent="0.25">
      <c r="A2065" s="24" t="s">
        <v>7</v>
      </c>
      <c r="B2065" s="24" t="s">
        <v>10242</v>
      </c>
      <c r="C2065" s="25" t="s">
        <v>10243</v>
      </c>
      <c r="D2065" s="24" t="s">
        <v>21824</v>
      </c>
      <c r="G2065" s="40">
        <v>127</v>
      </c>
      <c r="H2065" s="41">
        <v>381</v>
      </c>
      <c r="J2065" s="41">
        <v>3</v>
      </c>
    </row>
    <row r="2066" spans="1:11" x14ac:dyDescent="0.25">
      <c r="A2066" s="24" t="s">
        <v>7</v>
      </c>
      <c r="B2066" s="24" t="s">
        <v>10254</v>
      </c>
      <c r="C2066" s="25" t="s">
        <v>10255</v>
      </c>
      <c r="D2066" s="24" t="s">
        <v>21824</v>
      </c>
      <c r="G2066" s="40">
        <v>2</v>
      </c>
      <c r="H2066" s="41">
        <v>6</v>
      </c>
      <c r="J2066" s="41">
        <v>3</v>
      </c>
    </row>
    <row r="2067" spans="1:11" x14ac:dyDescent="0.25">
      <c r="A2067" s="24" t="s">
        <v>7</v>
      </c>
      <c r="B2067" s="24" t="s">
        <v>10257</v>
      </c>
      <c r="C2067" s="25" t="s">
        <v>10258</v>
      </c>
      <c r="D2067" s="24" t="s">
        <v>21824</v>
      </c>
      <c r="E2067" s="40">
        <v>1542</v>
      </c>
      <c r="F2067" s="41">
        <v>35992</v>
      </c>
      <c r="G2067" s="40">
        <v>2062</v>
      </c>
      <c r="H2067" s="41">
        <v>45022</v>
      </c>
      <c r="I2067" s="41">
        <v>23.341115434500647</v>
      </c>
      <c r="J2067" s="41">
        <v>21.834141610087293</v>
      </c>
      <c r="K2067" s="42">
        <v>-6.456305949225917E-2</v>
      </c>
    </row>
    <row r="2068" spans="1:11" x14ac:dyDescent="0.25">
      <c r="A2068" s="24" t="s">
        <v>7</v>
      </c>
      <c r="B2068" s="24" t="s">
        <v>10260</v>
      </c>
      <c r="C2068" s="25" t="s">
        <v>10261</v>
      </c>
      <c r="D2068" s="24" t="s">
        <v>21824</v>
      </c>
      <c r="E2068" s="40">
        <v>8664</v>
      </c>
      <c r="F2068" s="41">
        <v>499228</v>
      </c>
      <c r="G2068" s="40">
        <v>8172</v>
      </c>
      <c r="H2068" s="41">
        <v>408795</v>
      </c>
      <c r="I2068" s="41">
        <v>57.620960295475534</v>
      </c>
      <c r="J2068" s="41">
        <v>50.023861967694565</v>
      </c>
      <c r="K2068" s="42">
        <v>-0.13184609018703741</v>
      </c>
    </row>
    <row r="2069" spans="1:11" x14ac:dyDescent="0.25">
      <c r="A2069" s="24" t="s">
        <v>7</v>
      </c>
      <c r="B2069" s="24" t="s">
        <v>10266</v>
      </c>
      <c r="C2069" s="25" t="s">
        <v>10267</v>
      </c>
      <c r="D2069" s="24" t="s">
        <v>21824</v>
      </c>
      <c r="G2069" s="40">
        <v>72</v>
      </c>
      <c r="H2069" s="41">
        <v>288</v>
      </c>
      <c r="J2069" s="41">
        <v>4</v>
      </c>
    </row>
    <row r="2070" spans="1:11" x14ac:dyDescent="0.25">
      <c r="A2070" s="24" t="s">
        <v>7</v>
      </c>
      <c r="B2070" s="24" t="s">
        <v>10269</v>
      </c>
      <c r="C2070" s="25" t="s">
        <v>10270</v>
      </c>
      <c r="D2070" s="24" t="s">
        <v>21824</v>
      </c>
      <c r="G2070" s="40">
        <v>216</v>
      </c>
      <c r="H2070" s="41">
        <v>3888</v>
      </c>
      <c r="J2070" s="41">
        <v>18</v>
      </c>
    </row>
    <row r="2071" spans="1:11" x14ac:dyDescent="0.25">
      <c r="A2071" s="24" t="s">
        <v>7</v>
      </c>
      <c r="B2071" s="24" t="s">
        <v>10275</v>
      </c>
      <c r="C2071" s="25" t="s">
        <v>10276</v>
      </c>
      <c r="D2071" s="24" t="s">
        <v>21824</v>
      </c>
      <c r="E2071" s="40">
        <v>2147</v>
      </c>
      <c r="F2071" s="41">
        <v>135735</v>
      </c>
      <c r="G2071" s="40">
        <v>2313</v>
      </c>
      <c r="H2071" s="41">
        <v>132285</v>
      </c>
      <c r="I2071" s="41">
        <v>63.220773171867719</v>
      </c>
      <c r="J2071" s="41">
        <v>57.19195849546044</v>
      </c>
      <c r="K2071" s="42">
        <v>-9.5361293036036604E-2</v>
      </c>
    </row>
    <row r="2072" spans="1:11" x14ac:dyDescent="0.25">
      <c r="A2072" s="24" t="s">
        <v>7</v>
      </c>
      <c r="B2072" s="24" t="s">
        <v>10278</v>
      </c>
      <c r="C2072" s="25" t="s">
        <v>10279</v>
      </c>
      <c r="D2072" s="24" t="s">
        <v>21824</v>
      </c>
      <c r="E2072" s="40">
        <v>8</v>
      </c>
      <c r="F2072" s="41">
        <v>440</v>
      </c>
      <c r="G2072" s="40">
        <v>18</v>
      </c>
      <c r="H2072" s="41">
        <v>7396</v>
      </c>
      <c r="I2072" s="41">
        <v>55</v>
      </c>
      <c r="J2072" s="41">
        <v>410.88888888888891</v>
      </c>
      <c r="K2072" s="42">
        <v>6.4707070707070713</v>
      </c>
    </row>
    <row r="2073" spans="1:11" x14ac:dyDescent="0.25">
      <c r="A2073" s="24" t="s">
        <v>7</v>
      </c>
      <c r="B2073" s="24" t="s">
        <v>10281</v>
      </c>
      <c r="C2073" s="25" t="s">
        <v>10282</v>
      </c>
      <c r="D2073" s="24" t="s">
        <v>21824</v>
      </c>
      <c r="E2073" s="40">
        <v>0</v>
      </c>
      <c r="F2073" s="41">
        <v>0</v>
      </c>
      <c r="G2073" s="40">
        <v>8</v>
      </c>
      <c r="H2073" s="41">
        <v>120</v>
      </c>
      <c r="J2073" s="41">
        <v>15</v>
      </c>
    </row>
    <row r="2074" spans="1:11" x14ac:dyDescent="0.25">
      <c r="A2074" s="24" t="s">
        <v>7</v>
      </c>
      <c r="B2074" s="24" t="s">
        <v>10299</v>
      </c>
      <c r="C2074" s="25" t="s">
        <v>10300</v>
      </c>
      <c r="D2074" s="24" t="s">
        <v>21824</v>
      </c>
      <c r="E2074" s="40">
        <v>899</v>
      </c>
      <c r="F2074" s="41">
        <v>10547</v>
      </c>
      <c r="G2074" s="40">
        <v>1003</v>
      </c>
      <c r="H2074" s="41">
        <v>18146</v>
      </c>
      <c r="I2074" s="41">
        <v>11.731924360400445</v>
      </c>
      <c r="J2074" s="41">
        <v>18.091724825523428</v>
      </c>
      <c r="K2074" s="42">
        <v>0.54209354490808404</v>
      </c>
    </row>
    <row r="2075" spans="1:11" x14ac:dyDescent="0.25">
      <c r="A2075" s="24" t="s">
        <v>7</v>
      </c>
      <c r="B2075" s="24" t="s">
        <v>10302</v>
      </c>
      <c r="C2075" s="25" t="s">
        <v>10303</v>
      </c>
      <c r="D2075" s="24" t="s">
        <v>21824</v>
      </c>
      <c r="E2075" s="40">
        <v>8</v>
      </c>
      <c r="F2075" s="41">
        <v>134</v>
      </c>
      <c r="G2075" s="40">
        <v>25</v>
      </c>
      <c r="H2075" s="41">
        <v>443</v>
      </c>
      <c r="I2075" s="41">
        <v>16.75</v>
      </c>
      <c r="J2075" s="41">
        <v>17.72</v>
      </c>
      <c r="K2075" s="42">
        <v>5.7910447761193959E-2</v>
      </c>
    </row>
    <row r="2076" spans="1:11" x14ac:dyDescent="0.25">
      <c r="A2076" s="24" t="s">
        <v>7</v>
      </c>
      <c r="B2076" s="24" t="s">
        <v>10308</v>
      </c>
      <c r="C2076" s="25" t="s">
        <v>10309</v>
      </c>
      <c r="D2076" s="24" t="s">
        <v>21824</v>
      </c>
      <c r="G2076" s="40">
        <v>7</v>
      </c>
      <c r="H2076" s="41">
        <v>1071</v>
      </c>
      <c r="J2076" s="41">
        <v>153</v>
      </c>
    </row>
    <row r="2077" spans="1:11" x14ac:dyDescent="0.25">
      <c r="A2077" s="24" t="s">
        <v>7</v>
      </c>
      <c r="B2077" s="24" t="s">
        <v>10320</v>
      </c>
      <c r="C2077" s="25" t="s">
        <v>10321</v>
      </c>
      <c r="D2077" s="24" t="s">
        <v>21824</v>
      </c>
      <c r="G2077" s="40">
        <v>2</v>
      </c>
      <c r="H2077" s="41">
        <v>34</v>
      </c>
      <c r="J2077" s="41">
        <v>17</v>
      </c>
    </row>
    <row r="2078" spans="1:11" x14ac:dyDescent="0.25">
      <c r="A2078" s="24" t="s">
        <v>7</v>
      </c>
      <c r="B2078" s="24" t="s">
        <v>10326</v>
      </c>
      <c r="C2078" s="25" t="s">
        <v>10327</v>
      </c>
      <c r="D2078" s="24" t="s">
        <v>21824</v>
      </c>
      <c r="G2078" s="40">
        <v>17</v>
      </c>
      <c r="H2078" s="41">
        <v>423</v>
      </c>
      <c r="J2078" s="41">
        <v>24.882352941176471</v>
      </c>
    </row>
    <row r="2079" spans="1:11" x14ac:dyDescent="0.25">
      <c r="A2079" s="24" t="s">
        <v>7</v>
      </c>
      <c r="B2079" s="24" t="s">
        <v>10329</v>
      </c>
      <c r="C2079" s="25" t="s">
        <v>10330</v>
      </c>
      <c r="D2079" s="24" t="s">
        <v>21824</v>
      </c>
      <c r="E2079" s="40">
        <v>13770</v>
      </c>
      <c r="F2079" s="41">
        <v>27540</v>
      </c>
      <c r="G2079" s="40">
        <v>14400</v>
      </c>
      <c r="H2079" s="41">
        <v>28800</v>
      </c>
      <c r="I2079" s="41">
        <v>2</v>
      </c>
      <c r="J2079" s="41">
        <v>2</v>
      </c>
      <c r="K2079" s="42">
        <v>0</v>
      </c>
    </row>
    <row r="2080" spans="1:11" x14ac:dyDescent="0.25">
      <c r="A2080" s="24" t="s">
        <v>7</v>
      </c>
      <c r="B2080" s="24" t="s">
        <v>10332</v>
      </c>
      <c r="C2080" s="25" t="s">
        <v>10333</v>
      </c>
      <c r="D2080" s="24" t="s">
        <v>21833</v>
      </c>
      <c r="E2080" s="40">
        <v>1480</v>
      </c>
      <c r="F2080" s="41">
        <v>138755</v>
      </c>
      <c r="G2080" s="40">
        <v>1323</v>
      </c>
      <c r="H2080" s="41">
        <v>110842</v>
      </c>
      <c r="I2080" s="41">
        <v>93.753378378378372</v>
      </c>
      <c r="J2080" s="41">
        <v>83.78080120937264</v>
      </c>
      <c r="K2080" s="42">
        <v>-0.1063703233045907</v>
      </c>
    </row>
    <row r="2081" spans="1:11" x14ac:dyDescent="0.25">
      <c r="A2081" s="24" t="s">
        <v>7</v>
      </c>
      <c r="B2081" s="24" t="s">
        <v>10335</v>
      </c>
      <c r="C2081" s="25" t="s">
        <v>10336</v>
      </c>
      <c r="D2081" s="24" t="s">
        <v>21824</v>
      </c>
      <c r="E2081" s="40">
        <v>89</v>
      </c>
      <c r="F2081" s="41">
        <v>1928</v>
      </c>
      <c r="G2081" s="40">
        <v>27</v>
      </c>
      <c r="H2081" s="41">
        <v>645</v>
      </c>
      <c r="I2081" s="41">
        <v>21.662921348314608</v>
      </c>
      <c r="J2081" s="41">
        <v>23.888888888888889</v>
      </c>
      <c r="K2081" s="42">
        <v>0.10275472568003682</v>
      </c>
    </row>
    <row r="2082" spans="1:11" x14ac:dyDescent="0.25">
      <c r="A2082" s="24" t="s">
        <v>7</v>
      </c>
      <c r="B2082" s="24" t="s">
        <v>10341</v>
      </c>
      <c r="C2082" s="25" t="s">
        <v>10342</v>
      </c>
      <c r="D2082" s="24" t="s">
        <v>21824</v>
      </c>
      <c r="G2082" s="40">
        <v>230</v>
      </c>
      <c r="H2082" s="41">
        <v>460</v>
      </c>
      <c r="J2082" s="41">
        <v>2</v>
      </c>
    </row>
    <row r="2083" spans="1:11" x14ac:dyDescent="0.25">
      <c r="A2083" s="24" t="s">
        <v>7</v>
      </c>
      <c r="B2083" s="24" t="s">
        <v>10344</v>
      </c>
      <c r="C2083" s="25" t="s">
        <v>10345</v>
      </c>
      <c r="D2083" s="24" t="s">
        <v>21824</v>
      </c>
      <c r="G2083" s="40">
        <v>176</v>
      </c>
      <c r="H2083" s="41">
        <v>1068</v>
      </c>
      <c r="J2083" s="41">
        <v>6.0681818181818183</v>
      </c>
    </row>
    <row r="2084" spans="1:11" x14ac:dyDescent="0.25">
      <c r="A2084" s="24" t="s">
        <v>7</v>
      </c>
      <c r="B2084" s="24" t="s">
        <v>10350</v>
      </c>
      <c r="C2084" s="25" t="s">
        <v>10351</v>
      </c>
      <c r="D2084" s="24" t="s">
        <v>21823</v>
      </c>
      <c r="G2084" s="40">
        <v>6</v>
      </c>
      <c r="H2084" s="41">
        <v>102</v>
      </c>
      <c r="J2084" s="41">
        <v>17</v>
      </c>
    </row>
    <row r="2085" spans="1:11" x14ac:dyDescent="0.25">
      <c r="A2085" s="24" t="s">
        <v>7</v>
      </c>
      <c r="B2085" s="24" t="s">
        <v>10353</v>
      </c>
      <c r="C2085" s="25" t="s">
        <v>10354</v>
      </c>
      <c r="D2085" s="24" t="s">
        <v>21823</v>
      </c>
      <c r="E2085" s="40">
        <v>1071</v>
      </c>
      <c r="F2085" s="41">
        <v>22812</v>
      </c>
      <c r="G2085" s="40">
        <v>1106</v>
      </c>
      <c r="H2085" s="41">
        <v>22462</v>
      </c>
      <c r="I2085" s="41">
        <v>21.299719887955181</v>
      </c>
      <c r="J2085" s="41">
        <v>20.309222423146473</v>
      </c>
      <c r="K2085" s="42">
        <v>-4.6502839944333102E-2</v>
      </c>
    </row>
    <row r="2086" spans="1:11" x14ac:dyDescent="0.25">
      <c r="A2086" s="24" t="s">
        <v>7</v>
      </c>
      <c r="B2086" s="24" t="s">
        <v>10356</v>
      </c>
      <c r="C2086" s="25" t="s">
        <v>10357</v>
      </c>
      <c r="D2086" s="24" t="s">
        <v>21824</v>
      </c>
      <c r="E2086" s="40">
        <v>716</v>
      </c>
      <c r="F2086" s="41">
        <v>121202</v>
      </c>
      <c r="G2086" s="40">
        <v>650</v>
      </c>
      <c r="H2086" s="41">
        <v>139165</v>
      </c>
      <c r="I2086" s="41">
        <v>169.27653631284917</v>
      </c>
      <c r="J2086" s="41">
        <v>214.1</v>
      </c>
      <c r="K2086" s="42">
        <v>0.26479431032491202</v>
      </c>
    </row>
    <row r="2087" spans="1:11" x14ac:dyDescent="0.25">
      <c r="A2087" s="24" t="s">
        <v>7</v>
      </c>
      <c r="B2087" s="24" t="s">
        <v>10359</v>
      </c>
      <c r="C2087" s="25" t="s">
        <v>10360</v>
      </c>
      <c r="D2087" s="24" t="s">
        <v>21823</v>
      </c>
      <c r="E2087" s="40">
        <v>160</v>
      </c>
      <c r="F2087" s="41">
        <v>2819</v>
      </c>
      <c r="G2087" s="40">
        <v>228</v>
      </c>
      <c r="H2087" s="41">
        <v>4104</v>
      </c>
      <c r="I2087" s="41">
        <v>17.618749999999999</v>
      </c>
      <c r="J2087" s="41">
        <v>18</v>
      </c>
      <c r="K2087" s="42">
        <v>2.1638879035118918E-2</v>
      </c>
    </row>
    <row r="2088" spans="1:11" x14ac:dyDescent="0.25">
      <c r="A2088" s="24" t="s">
        <v>7</v>
      </c>
      <c r="B2088" s="24" t="s">
        <v>10362</v>
      </c>
      <c r="C2088" s="25" t="s">
        <v>10363</v>
      </c>
      <c r="D2088" s="24" t="s">
        <v>21823</v>
      </c>
      <c r="E2088" s="40">
        <v>679</v>
      </c>
      <c r="F2088" s="41">
        <v>20557</v>
      </c>
      <c r="G2088" s="40">
        <v>1377</v>
      </c>
      <c r="H2088" s="41">
        <v>42687</v>
      </c>
      <c r="I2088" s="41">
        <v>30.275405007363769</v>
      </c>
      <c r="J2088" s="41">
        <v>31</v>
      </c>
      <c r="K2088" s="42">
        <v>2.3933453324901526E-2</v>
      </c>
    </row>
    <row r="2089" spans="1:11" x14ac:dyDescent="0.25">
      <c r="A2089" s="24" t="s">
        <v>7</v>
      </c>
      <c r="B2089" s="24" t="s">
        <v>10365</v>
      </c>
      <c r="C2089" s="25" t="s">
        <v>10366</v>
      </c>
      <c r="D2089" s="24" t="s">
        <v>21824</v>
      </c>
      <c r="G2089" s="40">
        <v>11</v>
      </c>
      <c r="H2089" s="41">
        <v>330</v>
      </c>
      <c r="J2089" s="41">
        <v>30</v>
      </c>
    </row>
    <row r="2090" spans="1:11" x14ac:dyDescent="0.25">
      <c r="A2090" s="24" t="s">
        <v>7</v>
      </c>
      <c r="B2090" s="24" t="s">
        <v>10389</v>
      </c>
      <c r="C2090" s="25" t="s">
        <v>10390</v>
      </c>
      <c r="D2090" s="24" t="s">
        <v>21824</v>
      </c>
      <c r="E2090" s="40">
        <v>2162</v>
      </c>
      <c r="F2090" s="41">
        <v>23225</v>
      </c>
      <c r="G2090" s="40">
        <v>2479</v>
      </c>
      <c r="H2090" s="41">
        <v>27769</v>
      </c>
      <c r="I2090" s="41">
        <v>10.74236817761332</v>
      </c>
      <c r="J2090" s="41">
        <v>11.201694231544979</v>
      </c>
      <c r="K2090" s="42">
        <v>4.275836075781464E-2</v>
      </c>
    </row>
    <row r="2091" spans="1:11" x14ac:dyDescent="0.25">
      <c r="A2091" s="24" t="s">
        <v>7</v>
      </c>
      <c r="B2091" s="24" t="s">
        <v>10391</v>
      </c>
      <c r="C2091" s="25" t="s">
        <v>10392</v>
      </c>
      <c r="D2091" s="24" t="s">
        <v>21824</v>
      </c>
      <c r="G2091" s="40">
        <v>43</v>
      </c>
      <c r="H2091" s="41">
        <v>774</v>
      </c>
      <c r="J2091" s="41">
        <v>18</v>
      </c>
    </row>
    <row r="2092" spans="1:11" x14ac:dyDescent="0.25">
      <c r="A2092" s="24" t="s">
        <v>7</v>
      </c>
      <c r="B2092" s="24" t="s">
        <v>10405</v>
      </c>
      <c r="C2092" s="25" t="s">
        <v>10406</v>
      </c>
      <c r="D2092" s="24" t="s">
        <v>21824</v>
      </c>
      <c r="E2092" s="40">
        <v>29</v>
      </c>
      <c r="F2092" s="41">
        <v>715</v>
      </c>
      <c r="G2092" s="40">
        <v>168</v>
      </c>
      <c r="H2092" s="41">
        <v>4200</v>
      </c>
      <c r="I2092" s="41">
        <v>24.655172413793103</v>
      </c>
      <c r="J2092" s="41">
        <v>25</v>
      </c>
      <c r="K2092" s="42">
        <v>1.3986013986013996E-2</v>
      </c>
    </row>
    <row r="2093" spans="1:11" x14ac:dyDescent="0.25">
      <c r="A2093" s="24" t="s">
        <v>7</v>
      </c>
      <c r="B2093" s="24" t="s">
        <v>10408</v>
      </c>
      <c r="C2093" s="25" t="s">
        <v>10409</v>
      </c>
      <c r="D2093" s="24" t="s">
        <v>21824</v>
      </c>
      <c r="E2093" s="40">
        <v>237</v>
      </c>
      <c r="F2093" s="41">
        <v>16278</v>
      </c>
      <c r="G2093" s="40">
        <v>229</v>
      </c>
      <c r="H2093" s="41">
        <v>15801</v>
      </c>
      <c r="I2093" s="41">
        <v>68.683544303797461</v>
      </c>
      <c r="J2093" s="41">
        <v>69</v>
      </c>
      <c r="K2093" s="42">
        <v>4.6074456321416437E-3</v>
      </c>
    </row>
    <row r="2094" spans="1:11" x14ac:dyDescent="0.25">
      <c r="A2094" s="24" t="s">
        <v>7</v>
      </c>
      <c r="B2094" s="24" t="s">
        <v>10411</v>
      </c>
      <c r="C2094" s="25" t="s">
        <v>10412</v>
      </c>
      <c r="D2094" s="24" t="s">
        <v>21824</v>
      </c>
      <c r="E2094" s="40">
        <v>560</v>
      </c>
      <c r="F2094" s="41">
        <v>1120</v>
      </c>
      <c r="G2094" s="40">
        <v>565</v>
      </c>
      <c r="H2094" s="41">
        <v>1130</v>
      </c>
      <c r="I2094" s="41">
        <v>2</v>
      </c>
      <c r="J2094" s="41">
        <v>2</v>
      </c>
      <c r="K2094" s="42">
        <v>0</v>
      </c>
    </row>
    <row r="2095" spans="1:11" x14ac:dyDescent="0.25">
      <c r="A2095" s="24" t="s">
        <v>7</v>
      </c>
      <c r="B2095" s="24" t="s">
        <v>10432</v>
      </c>
      <c r="C2095" s="25" t="s">
        <v>10433</v>
      </c>
      <c r="D2095" s="24" t="s">
        <v>21824</v>
      </c>
      <c r="E2095" s="40">
        <v>180</v>
      </c>
      <c r="F2095" s="41">
        <v>2942</v>
      </c>
      <c r="G2095" s="40">
        <v>86</v>
      </c>
      <c r="H2095" s="41">
        <v>3052</v>
      </c>
      <c r="I2095" s="41">
        <v>16.344444444444445</v>
      </c>
      <c r="J2095" s="41">
        <v>35.488372093023258</v>
      </c>
      <c r="K2095" s="42">
        <v>1.1712804135772217</v>
      </c>
    </row>
    <row r="2096" spans="1:11" x14ac:dyDescent="0.25">
      <c r="A2096" s="24" t="s">
        <v>7</v>
      </c>
      <c r="B2096" s="24" t="s">
        <v>10435</v>
      </c>
      <c r="C2096" s="25" t="s">
        <v>10436</v>
      </c>
      <c r="D2096" s="24" t="s">
        <v>21824</v>
      </c>
      <c r="E2096" s="40">
        <v>144</v>
      </c>
      <c r="F2096" s="41">
        <v>15272</v>
      </c>
      <c r="G2096" s="40">
        <v>214</v>
      </c>
      <c r="H2096" s="41">
        <v>23326</v>
      </c>
      <c r="I2096" s="41">
        <v>106.05555555555556</v>
      </c>
      <c r="J2096" s="41">
        <v>109</v>
      </c>
      <c r="K2096" s="42">
        <v>2.7763226820324761E-2</v>
      </c>
    </row>
    <row r="2097" spans="1:11" x14ac:dyDescent="0.25">
      <c r="A2097" s="24" t="s">
        <v>7</v>
      </c>
      <c r="B2097" s="24" t="s">
        <v>10441</v>
      </c>
      <c r="C2097" s="25" t="s">
        <v>10442</v>
      </c>
      <c r="D2097" s="24" t="s">
        <v>21824</v>
      </c>
      <c r="E2097" s="40">
        <v>4224</v>
      </c>
      <c r="F2097" s="41">
        <v>107162</v>
      </c>
      <c r="G2097" s="40">
        <v>4665</v>
      </c>
      <c r="H2097" s="41">
        <v>107078</v>
      </c>
      <c r="I2097" s="41">
        <v>25.369791666666668</v>
      </c>
      <c r="J2097" s="41">
        <v>22.953483386923903</v>
      </c>
      <c r="K2097" s="42">
        <v>-9.5243520778199725E-2</v>
      </c>
    </row>
    <row r="2098" spans="1:11" x14ac:dyDescent="0.25">
      <c r="A2098" s="24" t="s">
        <v>7</v>
      </c>
      <c r="B2098" s="24" t="s">
        <v>10444</v>
      </c>
      <c r="C2098" s="25" t="s">
        <v>10445</v>
      </c>
      <c r="D2098" s="24" t="s">
        <v>21824</v>
      </c>
      <c r="E2098" s="40">
        <v>1876</v>
      </c>
      <c r="F2098" s="41">
        <v>148674</v>
      </c>
      <c r="G2098" s="40">
        <v>1770</v>
      </c>
      <c r="H2098" s="41">
        <v>187330</v>
      </c>
      <c r="I2098" s="41">
        <v>79.250533049040513</v>
      </c>
      <c r="J2098" s="41">
        <v>105.83615819209039</v>
      </c>
      <c r="K2098" s="42">
        <v>0.33546304510783043</v>
      </c>
    </row>
    <row r="2099" spans="1:11" x14ac:dyDescent="0.25">
      <c r="A2099" s="24" t="s">
        <v>7</v>
      </c>
      <c r="B2099" s="24" t="s">
        <v>10447</v>
      </c>
      <c r="C2099" s="25" t="s">
        <v>10448</v>
      </c>
      <c r="D2099" s="24" t="s">
        <v>21824</v>
      </c>
      <c r="G2099" s="40">
        <v>8</v>
      </c>
      <c r="H2099" s="41">
        <v>1560</v>
      </c>
      <c r="J2099" s="41">
        <v>195</v>
      </c>
    </row>
    <row r="2100" spans="1:11" x14ac:dyDescent="0.25">
      <c r="A2100" s="24" t="s">
        <v>7</v>
      </c>
      <c r="B2100" s="24" t="s">
        <v>10460</v>
      </c>
      <c r="C2100" s="25" t="s">
        <v>10461</v>
      </c>
      <c r="D2100" s="24" t="s">
        <v>21824</v>
      </c>
      <c r="G2100" s="40">
        <v>4</v>
      </c>
      <c r="H2100" s="41">
        <v>560</v>
      </c>
      <c r="J2100" s="41">
        <v>140</v>
      </c>
    </row>
    <row r="2101" spans="1:11" x14ac:dyDescent="0.25">
      <c r="A2101" s="24" t="s">
        <v>7</v>
      </c>
      <c r="B2101" s="24" t="s">
        <v>10463</v>
      </c>
      <c r="C2101" s="25" t="s">
        <v>10464</v>
      </c>
      <c r="D2101" s="24" t="s">
        <v>21824</v>
      </c>
      <c r="G2101" s="40">
        <v>156</v>
      </c>
      <c r="H2101" s="41">
        <v>312</v>
      </c>
      <c r="J2101" s="41">
        <v>2</v>
      </c>
    </row>
    <row r="2102" spans="1:11" x14ac:dyDescent="0.25">
      <c r="A2102" s="24" t="s">
        <v>7</v>
      </c>
      <c r="B2102" s="24" t="s">
        <v>10466</v>
      </c>
      <c r="C2102" s="25" t="s">
        <v>10467</v>
      </c>
      <c r="D2102" s="24" t="s">
        <v>21824</v>
      </c>
      <c r="E2102" s="40">
        <v>8</v>
      </c>
      <c r="F2102" s="41">
        <v>144</v>
      </c>
      <c r="G2102" s="40">
        <v>27</v>
      </c>
      <c r="H2102" s="41">
        <v>486</v>
      </c>
      <c r="I2102" s="41">
        <v>18</v>
      </c>
      <c r="J2102" s="41">
        <v>18</v>
      </c>
      <c r="K2102" s="42">
        <v>0</v>
      </c>
    </row>
    <row r="2103" spans="1:11" x14ac:dyDescent="0.25">
      <c r="A2103" s="24" t="s">
        <v>7</v>
      </c>
      <c r="B2103" s="24" t="s">
        <v>10472</v>
      </c>
      <c r="C2103" s="25" t="s">
        <v>10473</v>
      </c>
      <c r="D2103" s="24" t="s">
        <v>21824</v>
      </c>
      <c r="E2103" s="40">
        <v>347</v>
      </c>
      <c r="F2103" s="41">
        <v>15145</v>
      </c>
      <c r="G2103" s="40">
        <v>480</v>
      </c>
      <c r="H2103" s="41">
        <v>62205</v>
      </c>
      <c r="I2103" s="41">
        <v>43.645533141210372</v>
      </c>
      <c r="J2103" s="41">
        <v>129.59375</v>
      </c>
      <c r="K2103" s="42">
        <v>1.9692328326180262</v>
      </c>
    </row>
    <row r="2104" spans="1:11" x14ac:dyDescent="0.25">
      <c r="A2104" s="24" t="s">
        <v>7</v>
      </c>
      <c r="B2104" s="24" t="s">
        <v>10474</v>
      </c>
      <c r="C2104" s="25" t="s">
        <v>10475</v>
      </c>
      <c r="D2104" s="24" t="s">
        <v>21824</v>
      </c>
      <c r="E2104" s="40">
        <v>2582</v>
      </c>
      <c r="F2104" s="41">
        <v>30395</v>
      </c>
      <c r="G2104" s="40">
        <v>4968</v>
      </c>
      <c r="H2104" s="41">
        <v>54228</v>
      </c>
      <c r="I2104" s="41">
        <v>11.771882261812548</v>
      </c>
      <c r="J2104" s="41">
        <v>10.915458937198068</v>
      </c>
      <c r="K2104" s="42">
        <v>-7.2751604676907014E-2</v>
      </c>
    </row>
    <row r="2105" spans="1:11" x14ac:dyDescent="0.25">
      <c r="A2105" s="24" t="s">
        <v>7</v>
      </c>
      <c r="B2105" s="24" t="s">
        <v>10477</v>
      </c>
      <c r="C2105" s="25" t="s">
        <v>10478</v>
      </c>
      <c r="D2105" s="24" t="s">
        <v>21824</v>
      </c>
      <c r="E2105" s="40">
        <v>341</v>
      </c>
      <c r="F2105" s="41">
        <v>3366</v>
      </c>
      <c r="G2105" s="40">
        <v>143</v>
      </c>
      <c r="H2105" s="41">
        <v>1350</v>
      </c>
      <c r="I2105" s="41">
        <v>9.870967741935484</v>
      </c>
      <c r="J2105" s="41">
        <v>9.44055944055944</v>
      </c>
      <c r="K2105" s="42">
        <v>-4.360345536816132E-2</v>
      </c>
    </row>
    <row r="2106" spans="1:11" x14ac:dyDescent="0.25">
      <c r="A2106" s="24" t="s">
        <v>7</v>
      </c>
      <c r="B2106" s="24" t="s">
        <v>10480</v>
      </c>
      <c r="C2106" s="25" t="s">
        <v>10481</v>
      </c>
      <c r="D2106" s="24" t="s">
        <v>21824</v>
      </c>
      <c r="E2106" s="40">
        <v>333</v>
      </c>
      <c r="F2106" s="41">
        <v>7884</v>
      </c>
      <c r="G2106" s="40">
        <v>353</v>
      </c>
      <c r="H2106" s="41">
        <v>12300</v>
      </c>
      <c r="I2106" s="41">
        <v>23.675675675675677</v>
      </c>
      <c r="J2106" s="41">
        <v>34.844192634560905</v>
      </c>
      <c r="K2106" s="42">
        <v>0.47172959757848559</v>
      </c>
    </row>
    <row r="2107" spans="1:11" x14ac:dyDescent="0.25">
      <c r="A2107" s="24" t="s">
        <v>7</v>
      </c>
      <c r="B2107" s="24" t="s">
        <v>10483</v>
      </c>
      <c r="C2107" s="25" t="s">
        <v>10484</v>
      </c>
      <c r="D2107" s="24" t="s">
        <v>21824</v>
      </c>
      <c r="E2107" s="40">
        <v>121</v>
      </c>
      <c r="F2107" s="41">
        <v>121</v>
      </c>
      <c r="G2107" s="40">
        <v>347</v>
      </c>
      <c r="H2107" s="41">
        <v>10490</v>
      </c>
      <c r="I2107" s="41">
        <v>1</v>
      </c>
      <c r="J2107" s="41">
        <v>30.230547550432277</v>
      </c>
      <c r="K2107" s="42">
        <v>29.230547550432277</v>
      </c>
    </row>
    <row r="2108" spans="1:11" x14ac:dyDescent="0.25">
      <c r="A2108" s="24" t="s">
        <v>7</v>
      </c>
      <c r="B2108" s="24" t="s">
        <v>10486</v>
      </c>
      <c r="C2108" s="25" t="s">
        <v>10487</v>
      </c>
      <c r="D2108" s="24" t="s">
        <v>21824</v>
      </c>
      <c r="E2108" s="40">
        <v>33</v>
      </c>
      <c r="F2108" s="41">
        <v>3074</v>
      </c>
      <c r="G2108" s="40">
        <v>30</v>
      </c>
      <c r="H2108" s="41">
        <v>2958</v>
      </c>
      <c r="I2108" s="41">
        <v>93.151515151515156</v>
      </c>
      <c r="J2108" s="41">
        <v>98.6</v>
      </c>
      <c r="K2108" s="42">
        <v>5.8490566037735739E-2</v>
      </c>
    </row>
    <row r="2109" spans="1:11" x14ac:dyDescent="0.25">
      <c r="A2109" s="24" t="s">
        <v>7</v>
      </c>
      <c r="B2109" s="24" t="s">
        <v>10489</v>
      </c>
      <c r="C2109" s="25" t="s">
        <v>10490</v>
      </c>
      <c r="D2109" s="24" t="s">
        <v>21824</v>
      </c>
      <c r="E2109" s="40">
        <v>3</v>
      </c>
      <c r="F2109" s="41">
        <v>9</v>
      </c>
      <c r="G2109" s="40">
        <v>87</v>
      </c>
      <c r="H2109" s="41">
        <v>2561</v>
      </c>
      <c r="I2109" s="41">
        <v>3</v>
      </c>
      <c r="J2109" s="41">
        <v>29.436781609195403</v>
      </c>
      <c r="K2109" s="42">
        <v>8.8122605363984672</v>
      </c>
    </row>
    <row r="2110" spans="1:11" x14ac:dyDescent="0.25">
      <c r="A2110" s="24" t="s">
        <v>7</v>
      </c>
      <c r="B2110" s="24" t="s">
        <v>10492</v>
      </c>
      <c r="C2110" s="25" t="s">
        <v>10493</v>
      </c>
      <c r="D2110" s="24" t="s">
        <v>21823</v>
      </c>
      <c r="E2110" s="40">
        <v>185</v>
      </c>
      <c r="F2110" s="41">
        <v>3316</v>
      </c>
      <c r="G2110" s="40">
        <v>177</v>
      </c>
      <c r="H2110" s="41">
        <v>3102</v>
      </c>
      <c r="I2110" s="41">
        <v>17.924324324324324</v>
      </c>
      <c r="J2110" s="41">
        <v>17.525423728813561</v>
      </c>
      <c r="K2110" s="42">
        <v>-2.2254707530003397E-2</v>
      </c>
    </row>
    <row r="2111" spans="1:11" x14ac:dyDescent="0.25">
      <c r="A2111" s="24" t="s">
        <v>7</v>
      </c>
      <c r="B2111" s="24" t="s">
        <v>10519</v>
      </c>
      <c r="C2111" s="25" t="s">
        <v>10520</v>
      </c>
      <c r="D2111" s="24" t="s">
        <v>21823</v>
      </c>
      <c r="E2111" s="40">
        <v>30</v>
      </c>
      <c r="F2111" s="41">
        <v>437</v>
      </c>
      <c r="G2111" s="40">
        <v>26</v>
      </c>
      <c r="H2111" s="41">
        <v>390</v>
      </c>
      <c r="I2111" s="41">
        <v>14.566666666666666</v>
      </c>
      <c r="J2111" s="41">
        <v>15</v>
      </c>
      <c r="K2111" s="42">
        <v>2.9748283752860427E-2</v>
      </c>
    </row>
    <row r="2112" spans="1:11" x14ac:dyDescent="0.25">
      <c r="A2112" s="24" t="s">
        <v>7</v>
      </c>
      <c r="B2112" s="24" t="s">
        <v>10522</v>
      </c>
      <c r="C2112" s="25" t="s">
        <v>10523</v>
      </c>
      <c r="D2112" s="24" t="s">
        <v>21823</v>
      </c>
      <c r="G2112" s="40">
        <v>1</v>
      </c>
      <c r="H2112" s="41">
        <v>26</v>
      </c>
      <c r="J2112" s="41">
        <v>26</v>
      </c>
    </row>
    <row r="2113" spans="1:11" x14ac:dyDescent="0.25">
      <c r="A2113" s="24" t="s">
        <v>7</v>
      </c>
      <c r="B2113" s="24" t="s">
        <v>10525</v>
      </c>
      <c r="C2113" s="25" t="s">
        <v>10526</v>
      </c>
      <c r="D2113" s="24" t="s">
        <v>21823</v>
      </c>
      <c r="E2113" s="40">
        <v>75</v>
      </c>
      <c r="F2113" s="41">
        <v>1260</v>
      </c>
      <c r="G2113" s="40">
        <v>119</v>
      </c>
      <c r="H2113" s="41">
        <v>2023</v>
      </c>
      <c r="I2113" s="41">
        <v>16.8</v>
      </c>
      <c r="J2113" s="41">
        <v>17</v>
      </c>
      <c r="K2113" s="42">
        <v>1.1904761904761862E-2</v>
      </c>
    </row>
    <row r="2114" spans="1:11" x14ac:dyDescent="0.25">
      <c r="A2114" s="24" t="s">
        <v>7</v>
      </c>
      <c r="B2114" s="24" t="s">
        <v>10528</v>
      </c>
      <c r="C2114" s="25" t="s">
        <v>10529</v>
      </c>
      <c r="D2114" s="24" t="s">
        <v>21824</v>
      </c>
      <c r="E2114" s="40">
        <v>1410</v>
      </c>
      <c r="F2114" s="41">
        <v>110148</v>
      </c>
      <c r="G2114" s="40">
        <v>348</v>
      </c>
      <c r="H2114" s="41">
        <v>20532</v>
      </c>
      <c r="I2114" s="41">
        <v>78.11914893617022</v>
      </c>
      <c r="J2114" s="41">
        <v>59</v>
      </c>
      <c r="K2114" s="42">
        <v>-0.24474343610415084</v>
      </c>
    </row>
    <row r="2115" spans="1:11" x14ac:dyDescent="0.25">
      <c r="A2115" s="24" t="s">
        <v>7</v>
      </c>
      <c r="B2115" s="24" t="s">
        <v>10531</v>
      </c>
      <c r="C2115" s="25" t="s">
        <v>10532</v>
      </c>
      <c r="D2115" s="24" t="s">
        <v>21823</v>
      </c>
      <c r="E2115" s="40">
        <v>140</v>
      </c>
      <c r="F2115" s="41">
        <v>2646</v>
      </c>
      <c r="G2115" s="40">
        <v>184</v>
      </c>
      <c r="H2115" s="41">
        <v>3496</v>
      </c>
      <c r="I2115" s="41">
        <v>18.899999999999999</v>
      </c>
      <c r="J2115" s="41">
        <v>19</v>
      </c>
      <c r="K2115" s="42">
        <v>5.2910052910053662E-3</v>
      </c>
    </row>
    <row r="2116" spans="1:11" x14ac:dyDescent="0.25">
      <c r="A2116" s="24" t="s">
        <v>7</v>
      </c>
      <c r="B2116" s="24" t="s">
        <v>10537</v>
      </c>
      <c r="C2116" s="25" t="s">
        <v>10538</v>
      </c>
      <c r="D2116" s="24" t="s">
        <v>21823</v>
      </c>
      <c r="G2116" s="40">
        <v>2</v>
      </c>
      <c r="H2116" s="41">
        <v>436</v>
      </c>
      <c r="J2116" s="41">
        <v>218</v>
      </c>
    </row>
    <row r="2117" spans="1:11" x14ac:dyDescent="0.25">
      <c r="A2117" s="24" t="s">
        <v>7</v>
      </c>
      <c r="B2117" s="24" t="s">
        <v>10543</v>
      </c>
      <c r="C2117" s="25" t="s">
        <v>10544</v>
      </c>
      <c r="D2117" s="24" t="s">
        <v>21823</v>
      </c>
      <c r="G2117" s="40">
        <v>57</v>
      </c>
      <c r="H2117" s="41">
        <v>969</v>
      </c>
      <c r="J2117" s="41">
        <v>17</v>
      </c>
    </row>
    <row r="2118" spans="1:11" x14ac:dyDescent="0.25">
      <c r="A2118" s="24" t="s">
        <v>7</v>
      </c>
      <c r="B2118" s="24" t="s">
        <v>10546</v>
      </c>
      <c r="C2118" s="25" t="s">
        <v>10547</v>
      </c>
      <c r="D2118" s="24" t="s">
        <v>21824</v>
      </c>
      <c r="E2118" s="40">
        <v>235</v>
      </c>
      <c r="F2118" s="41">
        <v>6283</v>
      </c>
      <c r="G2118" s="40">
        <v>167</v>
      </c>
      <c r="H2118" s="41">
        <v>4533</v>
      </c>
      <c r="I2118" s="41">
        <v>26.736170212765959</v>
      </c>
      <c r="J2118" s="41">
        <v>27.143712574850298</v>
      </c>
      <c r="K2118" s="42">
        <v>1.5243109197806718E-2</v>
      </c>
    </row>
    <row r="2119" spans="1:11" x14ac:dyDescent="0.25">
      <c r="A2119" s="24" t="s">
        <v>7</v>
      </c>
      <c r="B2119" s="24" t="s">
        <v>10555</v>
      </c>
      <c r="C2119" s="25" t="s">
        <v>10556</v>
      </c>
      <c r="D2119" s="24" t="s">
        <v>21824</v>
      </c>
      <c r="E2119" s="40">
        <v>231</v>
      </c>
      <c r="F2119" s="41">
        <v>7111</v>
      </c>
      <c r="G2119" s="40">
        <v>25</v>
      </c>
      <c r="H2119" s="41">
        <v>815</v>
      </c>
      <c r="I2119" s="41">
        <v>30.783549783549784</v>
      </c>
      <c r="J2119" s="41">
        <v>32.6</v>
      </c>
      <c r="K2119" s="42">
        <v>5.9007171987062332E-2</v>
      </c>
    </row>
    <row r="2120" spans="1:11" x14ac:dyDescent="0.25">
      <c r="A2120" s="24" t="s">
        <v>7</v>
      </c>
      <c r="B2120" s="24" t="s">
        <v>10558</v>
      </c>
      <c r="C2120" s="25" t="s">
        <v>10559</v>
      </c>
      <c r="D2120" s="24" t="s">
        <v>21824</v>
      </c>
      <c r="E2120" s="40">
        <v>323</v>
      </c>
      <c r="F2120" s="41">
        <v>21889</v>
      </c>
      <c r="G2120" s="40">
        <v>14</v>
      </c>
      <c r="H2120" s="41">
        <v>1018</v>
      </c>
      <c r="I2120" s="41">
        <v>67.767801857585141</v>
      </c>
      <c r="J2120" s="41">
        <v>72.714285714285708</v>
      </c>
      <c r="K2120" s="42">
        <v>7.2991652689217562E-2</v>
      </c>
    </row>
    <row r="2121" spans="1:11" x14ac:dyDescent="0.25">
      <c r="A2121" s="24" t="s">
        <v>7</v>
      </c>
      <c r="B2121" s="24" t="s">
        <v>10564</v>
      </c>
      <c r="C2121" s="25" t="s">
        <v>10565</v>
      </c>
      <c r="D2121" s="24" t="s">
        <v>21824</v>
      </c>
      <c r="E2121" s="40">
        <v>1102</v>
      </c>
      <c r="F2121" s="41">
        <v>2204</v>
      </c>
      <c r="G2121" s="40">
        <v>304</v>
      </c>
      <c r="H2121" s="41">
        <v>608</v>
      </c>
      <c r="I2121" s="41">
        <v>2</v>
      </c>
      <c r="J2121" s="41">
        <v>2</v>
      </c>
      <c r="K2121" s="42">
        <v>0</v>
      </c>
    </row>
    <row r="2122" spans="1:11" x14ac:dyDescent="0.25">
      <c r="A2122" s="24" t="s">
        <v>7</v>
      </c>
      <c r="B2122" s="24" t="s">
        <v>10570</v>
      </c>
      <c r="C2122" s="25" t="s">
        <v>10571</v>
      </c>
      <c r="D2122" s="24" t="s">
        <v>21824</v>
      </c>
      <c r="E2122" s="40">
        <v>36</v>
      </c>
      <c r="F2122" s="41">
        <v>2844</v>
      </c>
      <c r="G2122" s="40">
        <v>0</v>
      </c>
      <c r="H2122" s="41">
        <v>0</v>
      </c>
      <c r="I2122" s="41">
        <v>79</v>
      </c>
    </row>
    <row r="2123" spans="1:11" x14ac:dyDescent="0.25">
      <c r="A2123" s="24" t="s">
        <v>7</v>
      </c>
      <c r="B2123" s="24" t="s">
        <v>10582</v>
      </c>
      <c r="C2123" s="25" t="s">
        <v>10583</v>
      </c>
      <c r="D2123" s="24" t="s">
        <v>21824</v>
      </c>
      <c r="E2123" s="40">
        <v>1111</v>
      </c>
      <c r="F2123" s="41">
        <v>31813</v>
      </c>
      <c r="G2123" s="40">
        <v>920</v>
      </c>
      <c r="H2123" s="41">
        <v>20424</v>
      </c>
      <c r="I2123" s="41">
        <v>28.634563456345635</v>
      </c>
      <c r="J2123" s="41">
        <v>22.2</v>
      </c>
      <c r="K2123" s="42">
        <v>-0.22471316757300477</v>
      </c>
    </row>
    <row r="2124" spans="1:11" x14ac:dyDescent="0.25">
      <c r="A2124" s="24" t="s">
        <v>7</v>
      </c>
      <c r="B2124" s="24" t="s">
        <v>10585</v>
      </c>
      <c r="C2124" s="25" t="s">
        <v>10586</v>
      </c>
      <c r="D2124" s="24" t="s">
        <v>21824</v>
      </c>
      <c r="E2124" s="40">
        <v>1085</v>
      </c>
      <c r="F2124" s="41">
        <v>81373</v>
      </c>
      <c r="G2124" s="40">
        <v>1155</v>
      </c>
      <c r="H2124" s="41">
        <v>88935</v>
      </c>
      <c r="I2124" s="41">
        <v>74.998156682027656</v>
      </c>
      <c r="J2124" s="41">
        <v>77</v>
      </c>
      <c r="K2124" s="42">
        <v>2.6691900261757506E-2</v>
      </c>
    </row>
    <row r="2125" spans="1:11" x14ac:dyDescent="0.25">
      <c r="A2125" s="24" t="s">
        <v>7</v>
      </c>
      <c r="B2125" s="24" t="s">
        <v>10588</v>
      </c>
      <c r="C2125" s="25" t="s">
        <v>10589</v>
      </c>
      <c r="D2125" s="24" t="s">
        <v>21824</v>
      </c>
      <c r="E2125" s="40">
        <v>2131</v>
      </c>
      <c r="F2125" s="41">
        <v>644457</v>
      </c>
      <c r="G2125" s="40">
        <v>1616</v>
      </c>
      <c r="H2125" s="41">
        <v>497728</v>
      </c>
      <c r="I2125" s="41">
        <v>302.41999061473484</v>
      </c>
      <c r="J2125" s="41">
        <v>308</v>
      </c>
      <c r="K2125" s="42">
        <v>1.8451192244013256E-2</v>
      </c>
    </row>
    <row r="2126" spans="1:11" x14ac:dyDescent="0.25">
      <c r="A2126" s="24" t="s">
        <v>7</v>
      </c>
      <c r="B2126" s="24" t="s">
        <v>10594</v>
      </c>
      <c r="C2126" s="25" t="s">
        <v>10595</v>
      </c>
      <c r="D2126" s="24" t="s">
        <v>21823</v>
      </c>
      <c r="E2126" s="40">
        <v>175</v>
      </c>
      <c r="F2126" s="41">
        <v>2392</v>
      </c>
      <c r="G2126" s="40">
        <v>138</v>
      </c>
      <c r="H2126" s="41">
        <v>2082</v>
      </c>
      <c r="I2126" s="41">
        <v>13.668571428571429</v>
      </c>
      <c r="J2126" s="41">
        <v>15.086956521739131</v>
      </c>
      <c r="K2126" s="42">
        <v>0.1037698124182056</v>
      </c>
    </row>
    <row r="2127" spans="1:11" x14ac:dyDescent="0.25">
      <c r="A2127" s="24" t="s">
        <v>7</v>
      </c>
      <c r="B2127" s="24" t="s">
        <v>10600</v>
      </c>
      <c r="C2127" s="25" t="s">
        <v>10601</v>
      </c>
      <c r="D2127" s="24" t="s">
        <v>21823</v>
      </c>
      <c r="E2127" s="40">
        <v>27</v>
      </c>
      <c r="F2127" s="41">
        <v>745</v>
      </c>
      <c r="G2127" s="40">
        <v>30</v>
      </c>
      <c r="H2127" s="41">
        <v>949</v>
      </c>
      <c r="I2127" s="41">
        <v>27.592592592592592</v>
      </c>
      <c r="J2127" s="41">
        <v>31.633333333333333</v>
      </c>
      <c r="K2127" s="42">
        <v>0.14644295302013424</v>
      </c>
    </row>
    <row r="2128" spans="1:11" x14ac:dyDescent="0.25">
      <c r="A2128" s="24" t="s">
        <v>7</v>
      </c>
      <c r="B2128" s="24" t="s">
        <v>10612</v>
      </c>
      <c r="C2128" s="25" t="s">
        <v>10613</v>
      </c>
      <c r="D2128" s="24" t="s">
        <v>21839</v>
      </c>
      <c r="E2128" s="40">
        <v>366</v>
      </c>
      <c r="F2128" s="41">
        <v>103815</v>
      </c>
      <c r="G2128" s="40">
        <v>512</v>
      </c>
      <c r="H2128" s="41">
        <v>132562</v>
      </c>
      <c r="I2128" s="41">
        <v>283.64754098360658</v>
      </c>
      <c r="J2128" s="41">
        <v>258.91015625</v>
      </c>
      <c r="K2128" s="42">
        <v>-8.7211701704955985E-2</v>
      </c>
    </row>
    <row r="2129" spans="1:11" x14ac:dyDescent="0.25">
      <c r="A2129" s="24" t="s">
        <v>7</v>
      </c>
      <c r="B2129" s="24" t="s">
        <v>10618</v>
      </c>
      <c r="C2129" s="25" t="s">
        <v>10619</v>
      </c>
      <c r="D2129" s="24" t="s">
        <v>21840</v>
      </c>
      <c r="E2129" s="40">
        <v>57472</v>
      </c>
      <c r="F2129" s="41">
        <v>287360</v>
      </c>
      <c r="G2129" s="40">
        <v>60767</v>
      </c>
      <c r="H2129" s="41">
        <v>284715</v>
      </c>
      <c r="I2129" s="41">
        <v>5</v>
      </c>
      <c r="J2129" s="41">
        <v>4.6853555383678644</v>
      </c>
      <c r="K2129" s="42">
        <v>-6.2928892326427108E-2</v>
      </c>
    </row>
    <row r="2130" spans="1:11" x14ac:dyDescent="0.25">
      <c r="A2130" s="24" t="s">
        <v>7</v>
      </c>
      <c r="B2130" s="24" t="s">
        <v>10621</v>
      </c>
      <c r="C2130" s="25" t="s">
        <v>10622</v>
      </c>
      <c r="D2130" s="24" t="s">
        <v>21841</v>
      </c>
      <c r="E2130" s="40">
        <v>3180</v>
      </c>
      <c r="F2130" s="41">
        <v>135840</v>
      </c>
      <c r="G2130" s="40">
        <v>1716</v>
      </c>
      <c r="H2130" s="41">
        <v>15420</v>
      </c>
      <c r="I2130" s="41">
        <v>42.716981132075475</v>
      </c>
      <c r="J2130" s="41">
        <v>8.9860139860139867</v>
      </c>
      <c r="K2130" s="42">
        <v>-0.78963836516840047</v>
      </c>
    </row>
    <row r="2131" spans="1:11" x14ac:dyDescent="0.25">
      <c r="A2131" s="24" t="s">
        <v>7</v>
      </c>
      <c r="B2131" s="24" t="s">
        <v>10624</v>
      </c>
      <c r="C2131" s="25" t="s">
        <v>10625</v>
      </c>
      <c r="D2131" s="24" t="s">
        <v>21842</v>
      </c>
      <c r="E2131" s="40">
        <v>24</v>
      </c>
      <c r="F2131" s="41">
        <v>38973</v>
      </c>
      <c r="G2131" s="40">
        <v>21</v>
      </c>
      <c r="H2131" s="41">
        <v>30366</v>
      </c>
      <c r="I2131" s="41">
        <v>1623.875</v>
      </c>
      <c r="J2131" s="41">
        <v>1446</v>
      </c>
      <c r="K2131" s="42">
        <v>-0.10953737202678777</v>
      </c>
    </row>
    <row r="2132" spans="1:11" x14ac:dyDescent="0.25">
      <c r="A2132" s="24" t="s">
        <v>7</v>
      </c>
      <c r="B2132" s="24" t="s">
        <v>10627</v>
      </c>
      <c r="C2132" s="25" t="s">
        <v>10628</v>
      </c>
      <c r="D2132" s="24" t="s">
        <v>21843</v>
      </c>
      <c r="E2132" s="40">
        <v>2496</v>
      </c>
      <c r="F2132" s="41">
        <v>7304130</v>
      </c>
      <c r="G2132" s="40">
        <v>2354</v>
      </c>
      <c r="H2132" s="41">
        <v>6113118</v>
      </c>
      <c r="I2132" s="41">
        <v>2926.3341346153848</v>
      </c>
      <c r="J2132" s="41">
        <v>2596.9065420560746</v>
      </c>
      <c r="K2132" s="42">
        <v>-0.11257347158772339</v>
      </c>
    </row>
    <row r="2133" spans="1:11" x14ac:dyDescent="0.25">
      <c r="A2133" s="24" t="s">
        <v>7</v>
      </c>
      <c r="B2133" s="24" t="s">
        <v>10630</v>
      </c>
      <c r="C2133" s="25" t="s">
        <v>10631</v>
      </c>
      <c r="D2133" s="24" t="s">
        <v>21844</v>
      </c>
      <c r="E2133" s="40">
        <v>12062</v>
      </c>
      <c r="F2133" s="41">
        <v>424341</v>
      </c>
      <c r="G2133" s="40">
        <v>10353</v>
      </c>
      <c r="H2133" s="41">
        <v>563022</v>
      </c>
      <c r="I2133" s="41">
        <v>35.17998673520146</v>
      </c>
      <c r="J2133" s="41">
        <v>54.382497826716893</v>
      </c>
      <c r="K2133" s="42">
        <v>0.54583622319280756</v>
      </c>
    </row>
    <row r="2134" spans="1:11" x14ac:dyDescent="0.25">
      <c r="A2134" s="24" t="s">
        <v>7</v>
      </c>
      <c r="B2134" s="24" t="s">
        <v>10633</v>
      </c>
      <c r="C2134" s="25" t="s">
        <v>10634</v>
      </c>
      <c r="D2134" s="24" t="s">
        <v>21845</v>
      </c>
      <c r="E2134" s="40">
        <v>11448</v>
      </c>
      <c r="F2134" s="41">
        <v>34122688</v>
      </c>
      <c r="G2134" s="40">
        <v>12769</v>
      </c>
      <c r="H2134" s="41">
        <v>32985568</v>
      </c>
      <c r="I2134" s="41">
        <v>2980.6680642907058</v>
      </c>
      <c r="J2134" s="41">
        <v>2583.2538178400814</v>
      </c>
      <c r="K2134" s="42">
        <v>-0.13333059498028843</v>
      </c>
    </row>
    <row r="2135" spans="1:11" x14ac:dyDescent="0.25">
      <c r="A2135" s="24" t="s">
        <v>7</v>
      </c>
      <c r="B2135" s="24" t="s">
        <v>10639</v>
      </c>
      <c r="C2135" s="25" t="s">
        <v>10640</v>
      </c>
      <c r="D2135" s="24" t="s">
        <v>21846</v>
      </c>
      <c r="E2135" s="40">
        <v>15</v>
      </c>
      <c r="F2135" s="41">
        <v>5040</v>
      </c>
      <c r="G2135" s="40">
        <v>21</v>
      </c>
      <c r="H2135" s="41">
        <v>25236</v>
      </c>
      <c r="I2135" s="41">
        <v>336</v>
      </c>
      <c r="J2135" s="41">
        <v>1201.7142857142858</v>
      </c>
      <c r="K2135" s="42">
        <v>2.5765306122448983</v>
      </c>
    </row>
    <row r="2136" spans="1:11" x14ac:dyDescent="0.25">
      <c r="A2136" s="24" t="s">
        <v>7</v>
      </c>
      <c r="B2136" s="24" t="s">
        <v>10642</v>
      </c>
      <c r="C2136" s="25" t="s">
        <v>10643</v>
      </c>
      <c r="D2136" s="24" t="s">
        <v>21847</v>
      </c>
      <c r="G2136" s="40">
        <v>5</v>
      </c>
      <c r="H2136" s="41">
        <v>290</v>
      </c>
      <c r="J2136" s="41">
        <v>58</v>
      </c>
    </row>
    <row r="2137" spans="1:11" x14ac:dyDescent="0.25">
      <c r="A2137" s="24" t="s">
        <v>7</v>
      </c>
      <c r="B2137" s="24" t="s">
        <v>10645</v>
      </c>
      <c r="C2137" s="25" t="s">
        <v>10646</v>
      </c>
      <c r="D2137" s="24" t="s">
        <v>21848</v>
      </c>
      <c r="E2137" s="40">
        <v>1102</v>
      </c>
      <c r="F2137" s="41">
        <v>503018</v>
      </c>
      <c r="G2137" s="40">
        <v>920</v>
      </c>
      <c r="H2137" s="41">
        <v>411176</v>
      </c>
      <c r="I2137" s="41">
        <v>456.45916515426495</v>
      </c>
      <c r="J2137" s="41">
        <v>446.9304347826087</v>
      </c>
      <c r="K2137" s="42">
        <v>-2.0875318317764353E-2</v>
      </c>
    </row>
    <row r="2138" spans="1:11" x14ac:dyDescent="0.25">
      <c r="A2138" s="24" t="s">
        <v>7</v>
      </c>
      <c r="B2138" s="24" t="s">
        <v>10651</v>
      </c>
      <c r="C2138" s="25" t="s">
        <v>10652</v>
      </c>
      <c r="D2138" s="24" t="s">
        <v>21849</v>
      </c>
      <c r="E2138" s="40">
        <v>245</v>
      </c>
      <c r="F2138" s="41">
        <v>7575</v>
      </c>
      <c r="G2138" s="40">
        <v>185</v>
      </c>
      <c r="H2138" s="41">
        <v>5545</v>
      </c>
      <c r="I2138" s="41">
        <v>30.918367346938776</v>
      </c>
      <c r="J2138" s="41">
        <v>29.972972972972972</v>
      </c>
      <c r="K2138" s="42">
        <v>-3.0577111765230636E-2</v>
      </c>
    </row>
    <row r="2139" spans="1:11" x14ac:dyDescent="0.25">
      <c r="A2139" s="24" t="s">
        <v>7</v>
      </c>
      <c r="B2139" s="24" t="s">
        <v>21850</v>
      </c>
      <c r="C2139" s="25" t="s">
        <v>21851</v>
      </c>
      <c r="D2139" s="24" t="s">
        <v>21852</v>
      </c>
      <c r="E2139" s="40">
        <v>894</v>
      </c>
      <c r="F2139" s="41">
        <v>251667</v>
      </c>
      <c r="G2139" s="40">
        <v>869</v>
      </c>
      <c r="H2139" s="41">
        <v>251141</v>
      </c>
      <c r="I2139" s="41">
        <v>281.50671140939596</v>
      </c>
      <c r="J2139" s="41">
        <v>289</v>
      </c>
      <c r="K2139" s="42">
        <v>2.6618507790055947E-2</v>
      </c>
    </row>
    <row r="2140" spans="1:11" x14ac:dyDescent="0.25">
      <c r="A2140" s="24" t="s">
        <v>7</v>
      </c>
      <c r="B2140" s="24" t="s">
        <v>10657</v>
      </c>
      <c r="C2140" s="25" t="s">
        <v>10658</v>
      </c>
      <c r="D2140" s="24" t="s">
        <v>21853</v>
      </c>
      <c r="E2140" s="40">
        <v>63</v>
      </c>
      <c r="F2140" s="41">
        <v>13542</v>
      </c>
      <c r="G2140" s="40">
        <v>41</v>
      </c>
      <c r="H2140" s="41">
        <v>7242</v>
      </c>
      <c r="I2140" s="41">
        <v>214.95238095238096</v>
      </c>
      <c r="J2140" s="41">
        <v>176.63414634146341</v>
      </c>
      <c r="K2140" s="42">
        <v>-0.1782638296032939</v>
      </c>
    </row>
    <row r="2141" spans="1:11" x14ac:dyDescent="0.25">
      <c r="A2141" s="24" t="s">
        <v>7</v>
      </c>
      <c r="B2141" s="24" t="s">
        <v>10663</v>
      </c>
      <c r="C2141" s="25" t="s">
        <v>10664</v>
      </c>
      <c r="D2141" s="24" t="s">
        <v>21846</v>
      </c>
      <c r="E2141" s="40">
        <v>250</v>
      </c>
      <c r="F2141" s="41">
        <v>250</v>
      </c>
      <c r="G2141" s="40">
        <v>1000</v>
      </c>
      <c r="H2141" s="41">
        <v>1000</v>
      </c>
      <c r="I2141" s="41">
        <v>1</v>
      </c>
      <c r="J2141" s="41">
        <v>1</v>
      </c>
      <c r="K2141" s="42">
        <v>0</v>
      </c>
    </row>
    <row r="2142" spans="1:11" x14ac:dyDescent="0.25">
      <c r="A2142" s="24" t="s">
        <v>7</v>
      </c>
      <c r="B2142" s="24" t="s">
        <v>10666</v>
      </c>
      <c r="C2142" s="25" t="s">
        <v>10667</v>
      </c>
      <c r="D2142" s="24" t="s">
        <v>21854</v>
      </c>
      <c r="E2142" s="40">
        <v>36282</v>
      </c>
      <c r="F2142" s="41">
        <v>1950270</v>
      </c>
      <c r="G2142" s="40">
        <v>37804</v>
      </c>
      <c r="H2142" s="41">
        <v>2025250</v>
      </c>
      <c r="I2142" s="41">
        <v>53.753100711096408</v>
      </c>
      <c r="J2142" s="41">
        <v>53.57237329383134</v>
      </c>
      <c r="K2142" s="42">
        <v>-3.3621765977075967E-3</v>
      </c>
    </row>
    <row r="2143" spans="1:11" x14ac:dyDescent="0.25">
      <c r="A2143" s="24" t="s">
        <v>7</v>
      </c>
      <c r="B2143" s="24" t="s">
        <v>10669</v>
      </c>
      <c r="C2143" s="25" t="s">
        <v>10670</v>
      </c>
      <c r="D2143" s="24" t="s">
        <v>21854</v>
      </c>
      <c r="E2143" s="40">
        <v>640</v>
      </c>
      <c r="F2143" s="41">
        <v>11310</v>
      </c>
      <c r="G2143" s="40">
        <v>830</v>
      </c>
      <c r="H2143" s="41">
        <v>12940</v>
      </c>
      <c r="I2143" s="41">
        <v>17.671875</v>
      </c>
      <c r="J2143" s="41">
        <v>15.590361445783133</v>
      </c>
      <c r="K2143" s="42">
        <v>-0.11778679705559637</v>
      </c>
    </row>
    <row r="2144" spans="1:11" x14ac:dyDescent="0.25">
      <c r="A2144" s="24" t="s">
        <v>7</v>
      </c>
      <c r="B2144" s="24" t="s">
        <v>10675</v>
      </c>
      <c r="C2144" s="25" t="s">
        <v>10676</v>
      </c>
      <c r="D2144" s="24" t="s">
        <v>21855</v>
      </c>
      <c r="E2144" s="40">
        <v>2</v>
      </c>
      <c r="F2144" s="41">
        <v>826</v>
      </c>
      <c r="G2144" s="40">
        <v>10</v>
      </c>
      <c r="H2144" s="41">
        <v>1250</v>
      </c>
      <c r="I2144" s="41">
        <v>413</v>
      </c>
      <c r="J2144" s="41">
        <v>125</v>
      </c>
      <c r="K2144" s="42">
        <v>-0.69733656174334135</v>
      </c>
    </row>
    <row r="2145" spans="1:11" x14ac:dyDescent="0.25">
      <c r="A2145" s="24" t="s">
        <v>7</v>
      </c>
      <c r="B2145" s="24" t="s">
        <v>10678</v>
      </c>
      <c r="C2145" s="25" t="s">
        <v>10679</v>
      </c>
      <c r="D2145" s="24" t="s">
        <v>21856</v>
      </c>
      <c r="E2145" s="40">
        <v>820</v>
      </c>
      <c r="F2145" s="41">
        <v>167500</v>
      </c>
      <c r="G2145" s="40">
        <v>1345</v>
      </c>
      <c r="H2145" s="41">
        <v>266795</v>
      </c>
      <c r="I2145" s="41">
        <v>204.26829268292684</v>
      </c>
      <c r="J2145" s="41">
        <v>198.36059479553904</v>
      </c>
      <c r="K2145" s="42">
        <v>-2.8921267269599964E-2</v>
      </c>
    </row>
    <row r="2146" spans="1:11" x14ac:dyDescent="0.25">
      <c r="A2146" s="24" t="s">
        <v>7</v>
      </c>
      <c r="B2146" s="24" t="s">
        <v>10684</v>
      </c>
      <c r="C2146" s="25" t="s">
        <v>10685</v>
      </c>
      <c r="D2146" s="24" t="s">
        <v>21857</v>
      </c>
      <c r="E2146" s="40">
        <v>236</v>
      </c>
      <c r="F2146" s="41">
        <v>56668</v>
      </c>
      <c r="G2146" s="40">
        <v>501</v>
      </c>
      <c r="H2146" s="41">
        <v>113110</v>
      </c>
      <c r="I2146" s="41">
        <v>240.11864406779662</v>
      </c>
      <c r="J2146" s="41">
        <v>225.7684630738523</v>
      </c>
      <c r="K2146" s="42">
        <v>-5.9762877012967806E-2</v>
      </c>
    </row>
    <row r="2147" spans="1:11" x14ac:dyDescent="0.25">
      <c r="A2147" s="24" t="s">
        <v>7</v>
      </c>
      <c r="B2147" s="24" t="s">
        <v>10687</v>
      </c>
      <c r="C2147" s="25" t="s">
        <v>10688</v>
      </c>
      <c r="D2147" s="24" t="s">
        <v>21857</v>
      </c>
      <c r="E2147" s="40">
        <v>7050</v>
      </c>
      <c r="F2147" s="41">
        <v>1496116</v>
      </c>
      <c r="G2147" s="40">
        <v>7531</v>
      </c>
      <c r="H2147" s="41">
        <v>1452188</v>
      </c>
      <c r="I2147" s="41">
        <v>212.21503546099291</v>
      </c>
      <c r="J2147" s="41">
        <v>192.82804408445094</v>
      </c>
      <c r="K2147" s="42">
        <v>-9.135540907564714E-2</v>
      </c>
    </row>
    <row r="2148" spans="1:11" x14ac:dyDescent="0.25">
      <c r="A2148" s="24" t="s">
        <v>7</v>
      </c>
      <c r="B2148" s="24" t="s">
        <v>10690</v>
      </c>
      <c r="C2148" s="25" t="s">
        <v>10691</v>
      </c>
      <c r="D2148" s="24" t="s">
        <v>21846</v>
      </c>
      <c r="G2148" s="40">
        <v>2864</v>
      </c>
      <c r="H2148" s="41">
        <v>5728</v>
      </c>
      <c r="J2148" s="41">
        <v>2</v>
      </c>
    </row>
    <row r="2149" spans="1:11" x14ac:dyDescent="0.25">
      <c r="A2149" s="24" t="s">
        <v>7</v>
      </c>
      <c r="B2149" s="24" t="s">
        <v>10693</v>
      </c>
      <c r="C2149" s="25" t="s">
        <v>10694</v>
      </c>
      <c r="D2149" s="24" t="s">
        <v>21858</v>
      </c>
      <c r="E2149" s="40">
        <v>3644</v>
      </c>
      <c r="F2149" s="41">
        <v>690598</v>
      </c>
      <c r="G2149" s="40">
        <v>3251</v>
      </c>
      <c r="H2149" s="41">
        <v>476527</v>
      </c>
      <c r="I2149" s="41">
        <v>189.51646542261253</v>
      </c>
      <c r="J2149" s="41">
        <v>146.57859120270686</v>
      </c>
      <c r="K2149" s="42">
        <v>-0.22656540224173288</v>
      </c>
    </row>
    <row r="2150" spans="1:11" x14ac:dyDescent="0.25">
      <c r="A2150" s="24" t="s">
        <v>7</v>
      </c>
      <c r="B2150" s="24" t="s">
        <v>10708</v>
      </c>
      <c r="C2150" s="25" t="s">
        <v>10709</v>
      </c>
      <c r="D2150" s="24" t="s">
        <v>21846</v>
      </c>
      <c r="E2150" s="40">
        <v>118</v>
      </c>
      <c r="F2150" s="41">
        <v>5728</v>
      </c>
      <c r="G2150" s="40">
        <v>210</v>
      </c>
      <c r="H2150" s="41">
        <v>10500</v>
      </c>
      <c r="I2150" s="41">
        <v>48.542372881355931</v>
      </c>
      <c r="J2150" s="41">
        <v>50</v>
      </c>
      <c r="K2150" s="42">
        <v>3.0027932960893886E-2</v>
      </c>
    </row>
    <row r="2151" spans="1:11" x14ac:dyDescent="0.25">
      <c r="A2151" s="24" t="s">
        <v>7</v>
      </c>
      <c r="B2151" s="24" t="s">
        <v>10711</v>
      </c>
      <c r="C2151" s="25" t="s">
        <v>10712</v>
      </c>
      <c r="D2151" s="24" t="s">
        <v>21859</v>
      </c>
      <c r="G2151" s="40">
        <v>400</v>
      </c>
      <c r="H2151" s="41">
        <v>4800</v>
      </c>
      <c r="J2151" s="41">
        <v>12</v>
      </c>
    </row>
    <row r="2152" spans="1:11" x14ac:dyDescent="0.25">
      <c r="A2152" s="24" t="s">
        <v>7</v>
      </c>
      <c r="B2152" s="24" t="s">
        <v>10717</v>
      </c>
      <c r="C2152" s="25" t="s">
        <v>10718</v>
      </c>
      <c r="D2152" s="24" t="s">
        <v>21846</v>
      </c>
      <c r="E2152" s="40">
        <v>200</v>
      </c>
      <c r="F2152" s="41">
        <v>1000</v>
      </c>
      <c r="G2152" s="40">
        <v>0</v>
      </c>
      <c r="H2152" s="41">
        <v>0</v>
      </c>
      <c r="I2152" s="41">
        <v>5</v>
      </c>
    </row>
    <row r="2153" spans="1:11" x14ac:dyDescent="0.25">
      <c r="A2153" s="24" t="s">
        <v>7</v>
      </c>
      <c r="B2153" s="24" t="s">
        <v>10720</v>
      </c>
      <c r="C2153" s="25" t="s">
        <v>10721</v>
      </c>
      <c r="D2153" s="24" t="s">
        <v>21860</v>
      </c>
      <c r="E2153" s="40">
        <v>817100</v>
      </c>
      <c r="F2153" s="41">
        <v>2451300</v>
      </c>
      <c r="G2153" s="40">
        <v>955800</v>
      </c>
      <c r="H2153" s="41">
        <v>9810600</v>
      </c>
      <c r="I2153" s="41">
        <v>3</v>
      </c>
      <c r="J2153" s="41">
        <v>10.264281230382926</v>
      </c>
      <c r="K2153" s="42">
        <v>2.4214270767943087</v>
      </c>
    </row>
    <row r="2154" spans="1:11" x14ac:dyDescent="0.25">
      <c r="A2154" s="24" t="s">
        <v>7</v>
      </c>
      <c r="B2154" s="24" t="s">
        <v>10726</v>
      </c>
      <c r="C2154" s="25" t="s">
        <v>10727</v>
      </c>
      <c r="D2154" s="24" t="s">
        <v>21846</v>
      </c>
      <c r="G2154" s="40">
        <v>4</v>
      </c>
      <c r="H2154" s="41">
        <v>288</v>
      </c>
      <c r="J2154" s="41">
        <v>72</v>
      </c>
    </row>
    <row r="2155" spans="1:11" x14ac:dyDescent="0.25">
      <c r="A2155" s="24" t="s">
        <v>7</v>
      </c>
      <c r="B2155" s="24" t="s">
        <v>10729</v>
      </c>
      <c r="C2155" s="25" t="s">
        <v>10730</v>
      </c>
      <c r="D2155" s="24" t="s">
        <v>21861</v>
      </c>
      <c r="E2155" s="40">
        <v>4050</v>
      </c>
      <c r="F2155" s="41">
        <v>72050</v>
      </c>
      <c r="G2155" s="40">
        <v>7750</v>
      </c>
      <c r="H2155" s="41">
        <v>139500</v>
      </c>
      <c r="I2155" s="41">
        <v>17.790123456790123</v>
      </c>
      <c r="J2155" s="41">
        <v>18</v>
      </c>
      <c r="K2155" s="42">
        <v>1.1797362942401112E-2</v>
      </c>
    </row>
    <row r="2156" spans="1:11" x14ac:dyDescent="0.25">
      <c r="A2156" s="24" t="s">
        <v>7</v>
      </c>
      <c r="B2156" s="24" t="s">
        <v>10734</v>
      </c>
      <c r="C2156" s="25" t="s">
        <v>10735</v>
      </c>
      <c r="D2156" s="24" t="s">
        <v>21862</v>
      </c>
      <c r="E2156" s="40">
        <v>2280</v>
      </c>
      <c r="F2156" s="41">
        <v>2280</v>
      </c>
      <c r="G2156" s="40">
        <v>1440</v>
      </c>
      <c r="H2156" s="41">
        <v>1440</v>
      </c>
      <c r="I2156" s="41">
        <v>1</v>
      </c>
      <c r="J2156" s="41">
        <v>1</v>
      </c>
      <c r="K2156" s="42">
        <v>0</v>
      </c>
    </row>
    <row r="2157" spans="1:11" x14ac:dyDescent="0.25">
      <c r="A2157" s="24" t="s">
        <v>7</v>
      </c>
      <c r="B2157" s="24" t="s">
        <v>10737</v>
      </c>
      <c r="C2157" s="25" t="s">
        <v>10738</v>
      </c>
      <c r="D2157" s="24" t="s">
        <v>21862</v>
      </c>
      <c r="E2157" s="40">
        <v>17050</v>
      </c>
      <c r="F2157" s="41">
        <v>34100</v>
      </c>
      <c r="G2157" s="40">
        <v>23800</v>
      </c>
      <c r="H2157" s="41">
        <v>43400</v>
      </c>
      <c r="I2157" s="41">
        <v>2</v>
      </c>
      <c r="J2157" s="41">
        <v>1.8235294117647058</v>
      </c>
      <c r="K2157" s="42">
        <v>-8.8235294117647078E-2</v>
      </c>
    </row>
    <row r="2158" spans="1:11" x14ac:dyDescent="0.25">
      <c r="A2158" s="24" t="s">
        <v>7</v>
      </c>
      <c r="B2158" s="24" t="s">
        <v>10743</v>
      </c>
      <c r="C2158" s="25" t="s">
        <v>10744</v>
      </c>
      <c r="D2158" s="24" t="s">
        <v>21863</v>
      </c>
      <c r="E2158" s="40">
        <v>4784</v>
      </c>
      <c r="F2158" s="41">
        <v>2175756</v>
      </c>
      <c r="G2158" s="40">
        <v>5100</v>
      </c>
      <c r="H2158" s="41">
        <v>2064948</v>
      </c>
      <c r="I2158" s="41">
        <v>454.79849498327758</v>
      </c>
      <c r="J2158" s="41">
        <v>404.89176470588234</v>
      </c>
      <c r="K2158" s="42">
        <v>-0.10973371905997678</v>
      </c>
    </row>
    <row r="2159" spans="1:11" x14ac:dyDescent="0.25">
      <c r="A2159" s="24" t="s">
        <v>7</v>
      </c>
      <c r="B2159" s="24" t="s">
        <v>10749</v>
      </c>
      <c r="C2159" s="25" t="s">
        <v>10750</v>
      </c>
      <c r="D2159" s="24" t="s">
        <v>21863</v>
      </c>
      <c r="E2159" s="40">
        <v>29</v>
      </c>
      <c r="F2159" s="41">
        <v>13325</v>
      </c>
      <c r="G2159" s="40">
        <v>40</v>
      </c>
      <c r="H2159" s="41">
        <v>18520</v>
      </c>
      <c r="I2159" s="41">
        <v>459.48275862068965</v>
      </c>
      <c r="J2159" s="41">
        <v>463</v>
      </c>
      <c r="K2159" s="42">
        <v>7.6547842401501025E-3</v>
      </c>
    </row>
    <row r="2160" spans="1:11" x14ac:dyDescent="0.25">
      <c r="A2160" s="24" t="s">
        <v>7</v>
      </c>
      <c r="B2160" s="24" t="s">
        <v>10752</v>
      </c>
      <c r="C2160" s="25" t="s">
        <v>10753</v>
      </c>
      <c r="D2160" s="24" t="s">
        <v>21846</v>
      </c>
      <c r="E2160" s="40">
        <v>3529</v>
      </c>
      <c r="F2160" s="41">
        <v>3529</v>
      </c>
      <c r="G2160" s="40">
        <v>16348</v>
      </c>
      <c r="H2160" s="41">
        <v>16348</v>
      </c>
      <c r="I2160" s="41">
        <v>1</v>
      </c>
      <c r="J2160" s="41">
        <v>1</v>
      </c>
      <c r="K2160" s="42">
        <v>0</v>
      </c>
    </row>
    <row r="2161" spans="1:11" x14ac:dyDescent="0.25">
      <c r="A2161" s="24" t="s">
        <v>7</v>
      </c>
      <c r="B2161" s="24" t="s">
        <v>10755</v>
      </c>
      <c r="C2161" s="25" t="s">
        <v>10756</v>
      </c>
      <c r="D2161" s="24" t="s">
        <v>21864</v>
      </c>
      <c r="E2161" s="40">
        <v>5149</v>
      </c>
      <c r="F2161" s="41">
        <v>67297.429999999993</v>
      </c>
      <c r="G2161" s="40">
        <v>14434</v>
      </c>
      <c r="H2161" s="41">
        <v>209408.08</v>
      </c>
      <c r="I2161" s="41">
        <v>13.069999999999999</v>
      </c>
      <c r="J2161" s="41">
        <v>14.507972841901067</v>
      </c>
      <c r="K2161" s="42">
        <v>0.11002087543236942</v>
      </c>
    </row>
    <row r="2162" spans="1:11" x14ac:dyDescent="0.25">
      <c r="A2162" s="24" t="s">
        <v>7</v>
      </c>
      <c r="B2162" s="24" t="s">
        <v>10761</v>
      </c>
      <c r="C2162" s="25" t="s">
        <v>10762</v>
      </c>
      <c r="D2162" s="24" t="s">
        <v>21865</v>
      </c>
      <c r="E2162" s="40">
        <v>282</v>
      </c>
      <c r="F2162" s="41">
        <v>29328</v>
      </c>
      <c r="G2162" s="40">
        <v>340</v>
      </c>
      <c r="H2162" s="41">
        <v>35360</v>
      </c>
      <c r="I2162" s="41">
        <v>104</v>
      </c>
      <c r="J2162" s="41">
        <v>104</v>
      </c>
      <c r="K2162" s="42">
        <v>0</v>
      </c>
    </row>
    <row r="2163" spans="1:11" x14ac:dyDescent="0.25">
      <c r="A2163" s="24" t="s">
        <v>7</v>
      </c>
      <c r="B2163" s="24" t="s">
        <v>10764</v>
      </c>
      <c r="C2163" s="25" t="s">
        <v>10765</v>
      </c>
      <c r="D2163" s="24" t="s">
        <v>21866</v>
      </c>
      <c r="G2163" s="40">
        <v>36</v>
      </c>
      <c r="H2163" s="41">
        <v>11592</v>
      </c>
      <c r="J2163" s="41">
        <v>322</v>
      </c>
    </row>
    <row r="2164" spans="1:11" x14ac:dyDescent="0.25">
      <c r="A2164" s="24" t="s">
        <v>7</v>
      </c>
      <c r="B2164" s="24" t="s">
        <v>10767</v>
      </c>
      <c r="C2164" s="25" t="s">
        <v>10768</v>
      </c>
      <c r="D2164" s="24" t="s">
        <v>21867</v>
      </c>
      <c r="E2164" s="40">
        <v>325</v>
      </c>
      <c r="F2164" s="41">
        <v>117118</v>
      </c>
      <c r="G2164" s="40">
        <v>402</v>
      </c>
      <c r="H2164" s="41">
        <v>134854</v>
      </c>
      <c r="I2164" s="41">
        <v>360.3630769230769</v>
      </c>
      <c r="J2164" s="41">
        <v>335.45771144278609</v>
      </c>
      <c r="K2164" s="42">
        <v>-6.9111868210646646E-2</v>
      </c>
    </row>
    <row r="2165" spans="1:11" x14ac:dyDescent="0.25">
      <c r="A2165" s="24" t="s">
        <v>7</v>
      </c>
      <c r="B2165" s="24" t="s">
        <v>10770</v>
      </c>
      <c r="C2165" s="25" t="s">
        <v>10771</v>
      </c>
      <c r="D2165" s="24" t="s">
        <v>21868</v>
      </c>
      <c r="G2165" s="40">
        <v>67</v>
      </c>
      <c r="H2165" s="41">
        <v>23383</v>
      </c>
      <c r="J2165" s="41">
        <v>349</v>
      </c>
    </row>
    <row r="2166" spans="1:11" x14ac:dyDescent="0.25">
      <c r="A2166" s="24" t="s">
        <v>7</v>
      </c>
      <c r="B2166" s="24" t="s">
        <v>10773</v>
      </c>
      <c r="C2166" s="25" t="s">
        <v>10774</v>
      </c>
      <c r="D2166" s="24" t="s">
        <v>21869</v>
      </c>
      <c r="E2166" s="40">
        <v>23500</v>
      </c>
      <c r="F2166" s="41">
        <v>622000</v>
      </c>
      <c r="G2166" s="40">
        <v>36500</v>
      </c>
      <c r="H2166" s="41">
        <v>785500</v>
      </c>
      <c r="I2166" s="41">
        <v>26.468085106382979</v>
      </c>
      <c r="J2166" s="41">
        <v>21.520547945205479</v>
      </c>
      <c r="K2166" s="42">
        <v>-0.1869246355107255</v>
      </c>
    </row>
    <row r="2167" spans="1:11" x14ac:dyDescent="0.25">
      <c r="A2167" s="24" t="s">
        <v>7</v>
      </c>
      <c r="B2167" s="24" t="s">
        <v>10776</v>
      </c>
      <c r="C2167" s="25" t="s">
        <v>10777</v>
      </c>
      <c r="D2167" s="24" t="s">
        <v>21870</v>
      </c>
      <c r="G2167" s="40">
        <v>3</v>
      </c>
      <c r="H2167" s="41">
        <v>12249</v>
      </c>
      <c r="J2167" s="41">
        <v>4083</v>
      </c>
    </row>
    <row r="2168" spans="1:11" x14ac:dyDescent="0.25">
      <c r="A2168" s="24" t="s">
        <v>7</v>
      </c>
      <c r="B2168" s="24" t="s">
        <v>10779</v>
      </c>
      <c r="C2168" s="25" t="s">
        <v>10780</v>
      </c>
      <c r="D2168" s="24" t="s">
        <v>21871</v>
      </c>
      <c r="G2168" s="40">
        <v>252</v>
      </c>
      <c r="H2168" s="41">
        <v>48384</v>
      </c>
      <c r="J2168" s="41">
        <v>192</v>
      </c>
    </row>
    <row r="2169" spans="1:11" x14ac:dyDescent="0.25">
      <c r="A2169" s="24" t="s">
        <v>7</v>
      </c>
      <c r="B2169" s="24" t="s">
        <v>10782</v>
      </c>
      <c r="C2169" s="25" t="s">
        <v>10783</v>
      </c>
      <c r="D2169" s="24" t="s">
        <v>21872</v>
      </c>
      <c r="E2169" s="40">
        <v>1100</v>
      </c>
      <c r="F2169" s="41">
        <v>32800</v>
      </c>
      <c r="G2169" s="40">
        <v>1500</v>
      </c>
      <c r="H2169" s="41">
        <v>39000</v>
      </c>
      <c r="I2169" s="41">
        <v>29.818181818181817</v>
      </c>
      <c r="J2169" s="41">
        <v>26</v>
      </c>
      <c r="K2169" s="42">
        <v>-0.12804878048780483</v>
      </c>
    </row>
    <row r="2170" spans="1:11" x14ac:dyDescent="0.25">
      <c r="A2170" s="24" t="s">
        <v>7</v>
      </c>
      <c r="B2170" s="24" t="s">
        <v>10785</v>
      </c>
      <c r="C2170" s="25" t="s">
        <v>10786</v>
      </c>
      <c r="D2170" s="24" t="s">
        <v>21873</v>
      </c>
      <c r="G2170" s="40">
        <v>1</v>
      </c>
      <c r="H2170" s="41">
        <v>57300</v>
      </c>
      <c r="J2170" s="41">
        <v>57300</v>
      </c>
    </row>
    <row r="2171" spans="1:11" x14ac:dyDescent="0.25">
      <c r="A2171" s="24" t="s">
        <v>7</v>
      </c>
      <c r="B2171" s="24" t="s">
        <v>10788</v>
      </c>
      <c r="C2171" s="25" t="s">
        <v>10789</v>
      </c>
      <c r="D2171" s="24" t="s">
        <v>21874</v>
      </c>
      <c r="E2171" s="40">
        <v>6193</v>
      </c>
      <c r="F2171" s="41">
        <v>68123</v>
      </c>
      <c r="G2171" s="40">
        <v>18955</v>
      </c>
      <c r="H2171" s="41">
        <v>198773</v>
      </c>
      <c r="I2171" s="41">
        <v>11</v>
      </c>
      <c r="J2171" s="41">
        <v>10.486573463466105</v>
      </c>
      <c r="K2171" s="42">
        <v>-4.6675139684899586E-2</v>
      </c>
    </row>
    <row r="2172" spans="1:11" x14ac:dyDescent="0.25">
      <c r="A2172" s="24" t="s">
        <v>7</v>
      </c>
      <c r="B2172" s="24" t="s">
        <v>10791</v>
      </c>
      <c r="C2172" s="25" t="s">
        <v>10792</v>
      </c>
      <c r="D2172" s="24" t="s">
        <v>21875</v>
      </c>
      <c r="E2172" s="40">
        <v>6650</v>
      </c>
      <c r="F2172" s="41">
        <v>26600</v>
      </c>
      <c r="G2172" s="40">
        <v>13566</v>
      </c>
      <c r="H2172" s="41">
        <v>96159</v>
      </c>
      <c r="I2172" s="41">
        <v>4</v>
      </c>
      <c r="J2172" s="41">
        <v>7.0882352941176467</v>
      </c>
      <c r="K2172" s="42">
        <v>0.77205882352941169</v>
      </c>
    </row>
    <row r="2173" spans="1:11" x14ac:dyDescent="0.25">
      <c r="A2173" s="24" t="s">
        <v>7</v>
      </c>
      <c r="B2173" s="24" t="s">
        <v>10794</v>
      </c>
      <c r="C2173" s="25" t="s">
        <v>10795</v>
      </c>
      <c r="D2173" s="24" t="s">
        <v>21876</v>
      </c>
      <c r="E2173" s="40">
        <v>516</v>
      </c>
      <c r="F2173" s="41">
        <v>147576</v>
      </c>
      <c r="G2173" s="40">
        <v>714</v>
      </c>
      <c r="H2173" s="41">
        <v>178824</v>
      </c>
      <c r="I2173" s="41">
        <v>286</v>
      </c>
      <c r="J2173" s="41">
        <v>250.45378151260505</v>
      </c>
      <c r="K2173" s="42">
        <v>-0.12428747722865369</v>
      </c>
    </row>
    <row r="2174" spans="1:11" x14ac:dyDescent="0.25">
      <c r="A2174" s="24" t="s">
        <v>7</v>
      </c>
      <c r="B2174" s="24" t="s">
        <v>10797</v>
      </c>
      <c r="C2174" s="25" t="s">
        <v>10798</v>
      </c>
      <c r="D2174" s="24" t="s">
        <v>21877</v>
      </c>
      <c r="E2174" s="40">
        <v>432</v>
      </c>
      <c r="F2174" s="41">
        <v>10176</v>
      </c>
      <c r="G2174" s="40">
        <v>1728</v>
      </c>
      <c r="H2174" s="41">
        <v>38832</v>
      </c>
      <c r="I2174" s="41">
        <v>23.555555555555557</v>
      </c>
      <c r="J2174" s="41">
        <v>22.472222222222221</v>
      </c>
      <c r="K2174" s="42">
        <v>-4.599056603773595E-2</v>
      </c>
    </row>
    <row r="2175" spans="1:11" x14ac:dyDescent="0.25">
      <c r="A2175" s="24" t="s">
        <v>7</v>
      </c>
      <c r="B2175" s="24" t="s">
        <v>10800</v>
      </c>
      <c r="C2175" s="25" t="s">
        <v>10801</v>
      </c>
      <c r="D2175" s="24" t="s">
        <v>21878</v>
      </c>
      <c r="E2175" s="40">
        <v>187256</v>
      </c>
      <c r="F2175" s="41">
        <v>59921.919999999998</v>
      </c>
      <c r="G2175" s="40">
        <v>258276</v>
      </c>
      <c r="H2175" s="41">
        <v>138844.32</v>
      </c>
      <c r="I2175" s="41">
        <v>0.32</v>
      </c>
      <c r="J2175" s="41">
        <v>0.53758119221298151</v>
      </c>
      <c r="K2175" s="42">
        <v>0.67994122566556714</v>
      </c>
    </row>
    <row r="2176" spans="1:11" x14ac:dyDescent="0.25">
      <c r="A2176" s="24" t="s">
        <v>7</v>
      </c>
      <c r="B2176" s="24" t="s">
        <v>10803</v>
      </c>
      <c r="C2176" s="25" t="s">
        <v>10804</v>
      </c>
      <c r="D2176" s="24" t="s">
        <v>21878</v>
      </c>
      <c r="E2176" s="40">
        <v>5875</v>
      </c>
      <c r="F2176" s="41">
        <v>3642.5</v>
      </c>
      <c r="G2176" s="40">
        <v>89251</v>
      </c>
      <c r="H2176" s="41">
        <v>78312.62</v>
      </c>
      <c r="I2176" s="41">
        <v>0.62</v>
      </c>
      <c r="J2176" s="41">
        <v>0.87744249364152782</v>
      </c>
      <c r="K2176" s="42">
        <v>0.41522982845407713</v>
      </c>
    </row>
    <row r="2177" spans="1:11" x14ac:dyDescent="0.25">
      <c r="A2177" s="24" t="s">
        <v>7</v>
      </c>
      <c r="B2177" s="24" t="s">
        <v>10809</v>
      </c>
      <c r="C2177" s="25" t="s">
        <v>10810</v>
      </c>
      <c r="D2177" s="24" t="s">
        <v>21878</v>
      </c>
      <c r="E2177" s="40">
        <v>260952</v>
      </c>
      <c r="F2177" s="41">
        <v>90052.2</v>
      </c>
      <c r="G2177" s="40">
        <v>288761</v>
      </c>
      <c r="H2177" s="41">
        <v>168303.85</v>
      </c>
      <c r="I2177" s="41">
        <v>0.34509105122781197</v>
      </c>
      <c r="J2177" s="41">
        <v>0.58284827244676396</v>
      </c>
      <c r="K2177" s="42">
        <v>0.68896953535313921</v>
      </c>
    </row>
    <row r="2178" spans="1:11" x14ac:dyDescent="0.25">
      <c r="A2178" s="24" t="s">
        <v>7</v>
      </c>
      <c r="B2178" s="24" t="s">
        <v>10812</v>
      </c>
      <c r="C2178" s="25" t="s">
        <v>10813</v>
      </c>
      <c r="D2178" s="24" t="s">
        <v>21878</v>
      </c>
      <c r="E2178" s="40">
        <v>510</v>
      </c>
      <c r="F2178" s="41">
        <v>372.3</v>
      </c>
      <c r="G2178" s="40">
        <v>2611</v>
      </c>
      <c r="H2178" s="41">
        <v>2325.13</v>
      </c>
      <c r="I2178" s="41">
        <v>0.73</v>
      </c>
      <c r="J2178" s="41">
        <v>0.89051321332822675</v>
      </c>
      <c r="K2178" s="42">
        <v>0.21988111414825584</v>
      </c>
    </row>
    <row r="2179" spans="1:11" x14ac:dyDescent="0.25">
      <c r="A2179" s="24" t="s">
        <v>7</v>
      </c>
      <c r="B2179" s="24" t="s">
        <v>10815</v>
      </c>
      <c r="C2179" s="25" t="s">
        <v>10816</v>
      </c>
      <c r="D2179" s="24" t="s">
        <v>21879</v>
      </c>
      <c r="E2179" s="40">
        <v>139</v>
      </c>
      <c r="F2179" s="41">
        <v>1087388</v>
      </c>
      <c r="G2179" s="40">
        <v>158</v>
      </c>
      <c r="H2179" s="41">
        <v>1266285</v>
      </c>
      <c r="I2179" s="41">
        <v>7822.9352517985608</v>
      </c>
      <c r="J2179" s="41">
        <v>8014.4620253164558</v>
      </c>
      <c r="K2179" s="42">
        <v>2.4482725134898863E-2</v>
      </c>
    </row>
    <row r="2180" spans="1:11" x14ac:dyDescent="0.25">
      <c r="A2180" s="24" t="s">
        <v>7</v>
      </c>
      <c r="B2180" s="24" t="s">
        <v>10821</v>
      </c>
      <c r="C2180" s="25" t="s">
        <v>10822</v>
      </c>
      <c r="D2180" s="24" t="s">
        <v>21846</v>
      </c>
      <c r="E2180" s="40">
        <v>379</v>
      </c>
      <c r="F2180" s="41">
        <v>97316</v>
      </c>
      <c r="G2180" s="40">
        <v>317</v>
      </c>
      <c r="H2180" s="41">
        <v>75750</v>
      </c>
      <c r="I2180" s="41">
        <v>256.77044854881268</v>
      </c>
      <c r="J2180" s="41">
        <v>238.95899053627761</v>
      </c>
      <c r="K2180" s="42">
        <v>-6.9367242660516165E-2</v>
      </c>
    </row>
    <row r="2181" spans="1:11" x14ac:dyDescent="0.25">
      <c r="A2181" s="24" t="s">
        <v>7</v>
      </c>
      <c r="B2181" s="24" t="s">
        <v>10824</v>
      </c>
      <c r="C2181" s="25" t="s">
        <v>10825</v>
      </c>
      <c r="D2181" s="24" t="s">
        <v>21846</v>
      </c>
      <c r="E2181" s="40">
        <v>243</v>
      </c>
      <c r="F2181" s="41">
        <v>18837</v>
      </c>
      <c r="G2181" s="40">
        <v>230</v>
      </c>
      <c r="H2181" s="41">
        <v>18224</v>
      </c>
      <c r="I2181" s="41">
        <v>77.518518518518519</v>
      </c>
      <c r="J2181" s="41">
        <v>79.234782608695653</v>
      </c>
      <c r="K2181" s="42">
        <v>2.2140052763871293E-2</v>
      </c>
    </row>
    <row r="2182" spans="1:11" x14ac:dyDescent="0.25">
      <c r="A2182" s="24" t="s">
        <v>7</v>
      </c>
      <c r="B2182" s="24" t="s">
        <v>10827</v>
      </c>
      <c r="C2182" s="25" t="s">
        <v>10828</v>
      </c>
      <c r="D2182" s="24" t="s">
        <v>21880</v>
      </c>
      <c r="E2182" s="40">
        <v>100600</v>
      </c>
      <c r="F2182" s="41">
        <v>62078</v>
      </c>
      <c r="G2182" s="40">
        <v>133700</v>
      </c>
      <c r="H2182" s="41">
        <v>226655</v>
      </c>
      <c r="I2182" s="41">
        <v>0.61707753479125249</v>
      </c>
      <c r="J2182" s="41">
        <v>1.6952505609573671</v>
      </c>
      <c r="K2182" s="42">
        <v>1.747224563167485</v>
      </c>
    </row>
    <row r="2183" spans="1:11" x14ac:dyDescent="0.25">
      <c r="A2183" s="24" t="s">
        <v>7</v>
      </c>
      <c r="B2183" s="24" t="s">
        <v>10830</v>
      </c>
      <c r="C2183" s="25" t="s">
        <v>10831</v>
      </c>
      <c r="D2183" s="24" t="s">
        <v>21881</v>
      </c>
      <c r="E2183" s="40">
        <v>60550</v>
      </c>
      <c r="F2183" s="41">
        <v>57893.5</v>
      </c>
      <c r="G2183" s="40">
        <v>68555</v>
      </c>
      <c r="H2183" s="41">
        <v>66795.350000000006</v>
      </c>
      <c r="I2183" s="41">
        <v>0.95612716763005778</v>
      </c>
      <c r="J2183" s="41">
        <v>0.97433228794398663</v>
      </c>
      <c r="K2183" s="42">
        <v>1.9040480105856298E-2</v>
      </c>
    </row>
    <row r="2184" spans="1:11" x14ac:dyDescent="0.25">
      <c r="A2184" s="24" t="s">
        <v>7</v>
      </c>
      <c r="B2184" s="24" t="s">
        <v>10833</v>
      </c>
      <c r="C2184" s="25" t="s">
        <v>10834</v>
      </c>
      <c r="D2184" s="24" t="s">
        <v>21846</v>
      </c>
      <c r="G2184" s="40">
        <v>1</v>
      </c>
      <c r="H2184" s="41">
        <v>106</v>
      </c>
      <c r="J2184" s="41">
        <v>106</v>
      </c>
    </row>
    <row r="2185" spans="1:11" x14ac:dyDescent="0.25">
      <c r="A2185" s="24" t="s">
        <v>7</v>
      </c>
      <c r="B2185" s="24" t="s">
        <v>10836</v>
      </c>
      <c r="C2185" s="25" t="s">
        <v>10837</v>
      </c>
      <c r="D2185" s="24" t="s">
        <v>21846</v>
      </c>
      <c r="E2185" s="40">
        <v>348</v>
      </c>
      <c r="F2185" s="41">
        <v>56484</v>
      </c>
      <c r="G2185" s="40">
        <v>275</v>
      </c>
      <c r="H2185" s="41">
        <v>46600</v>
      </c>
      <c r="I2185" s="41">
        <v>162.31034482758622</v>
      </c>
      <c r="J2185" s="41">
        <v>169.45454545454547</v>
      </c>
      <c r="K2185" s="42">
        <v>4.4015682639009589E-2</v>
      </c>
    </row>
    <row r="2186" spans="1:11" x14ac:dyDescent="0.25">
      <c r="A2186" s="24" t="s">
        <v>7</v>
      </c>
      <c r="B2186" s="24" t="s">
        <v>10839</v>
      </c>
      <c r="C2186" s="25" t="s">
        <v>10840</v>
      </c>
      <c r="D2186" s="24" t="s">
        <v>21846</v>
      </c>
      <c r="G2186" s="40">
        <v>3</v>
      </c>
      <c r="H2186" s="41">
        <v>42</v>
      </c>
      <c r="J2186" s="41">
        <v>14</v>
      </c>
    </row>
    <row r="2187" spans="1:11" x14ac:dyDescent="0.25">
      <c r="A2187" s="24" t="s">
        <v>7</v>
      </c>
      <c r="B2187" s="24" t="s">
        <v>10842</v>
      </c>
      <c r="C2187" s="25" t="s">
        <v>10843</v>
      </c>
      <c r="D2187" s="24" t="s">
        <v>21846</v>
      </c>
      <c r="E2187" s="40">
        <v>48</v>
      </c>
      <c r="F2187" s="41">
        <v>25088</v>
      </c>
      <c r="G2187" s="40">
        <v>52</v>
      </c>
      <c r="H2187" s="41">
        <v>25285</v>
      </c>
      <c r="I2187" s="41">
        <v>522.66666666666663</v>
      </c>
      <c r="J2187" s="41">
        <v>486.25</v>
      </c>
      <c r="K2187" s="42">
        <v>-6.9674744897959121E-2</v>
      </c>
    </row>
    <row r="2188" spans="1:11" x14ac:dyDescent="0.25">
      <c r="A2188" s="24" t="s">
        <v>7</v>
      </c>
      <c r="B2188" s="24" t="s">
        <v>10845</v>
      </c>
      <c r="C2188" s="25" t="s">
        <v>10846</v>
      </c>
      <c r="D2188" s="24" t="s">
        <v>21882</v>
      </c>
      <c r="G2188" s="40">
        <v>180</v>
      </c>
      <c r="H2188" s="41">
        <v>195480</v>
      </c>
      <c r="J2188" s="41">
        <v>1086</v>
      </c>
    </row>
    <row r="2189" spans="1:11" x14ac:dyDescent="0.25">
      <c r="A2189" s="24" t="s">
        <v>7</v>
      </c>
      <c r="B2189" s="24" t="s">
        <v>10851</v>
      </c>
      <c r="C2189" s="25" t="s">
        <v>10852</v>
      </c>
      <c r="D2189" s="24" t="s">
        <v>21883</v>
      </c>
      <c r="E2189" s="40">
        <v>22650</v>
      </c>
      <c r="F2189" s="41">
        <v>4105268</v>
      </c>
      <c r="G2189" s="40">
        <v>21586</v>
      </c>
      <c r="H2189" s="41">
        <v>3611436</v>
      </c>
      <c r="I2189" s="41">
        <v>181.24803532008829</v>
      </c>
      <c r="J2189" s="41">
        <v>167.30454924488095</v>
      </c>
      <c r="K2189" s="42">
        <v>-7.6930412241891732E-2</v>
      </c>
    </row>
    <row r="2190" spans="1:11" x14ac:dyDescent="0.25">
      <c r="A2190" s="24" t="s">
        <v>7</v>
      </c>
      <c r="B2190" s="24" t="s">
        <v>10854</v>
      </c>
      <c r="C2190" s="25" t="s">
        <v>10855</v>
      </c>
      <c r="D2190" s="24" t="s">
        <v>21883</v>
      </c>
      <c r="G2190" s="40">
        <v>5626</v>
      </c>
      <c r="H2190" s="41">
        <v>1672338</v>
      </c>
      <c r="J2190" s="41">
        <v>297.25168858869534</v>
      </c>
    </row>
    <row r="2191" spans="1:11" x14ac:dyDescent="0.25">
      <c r="A2191" s="24" t="s">
        <v>7</v>
      </c>
      <c r="B2191" s="24" t="s">
        <v>10857</v>
      </c>
      <c r="C2191" s="25" t="s">
        <v>10858</v>
      </c>
      <c r="D2191" s="24" t="s">
        <v>21846</v>
      </c>
      <c r="E2191" s="40">
        <v>111</v>
      </c>
      <c r="F2191" s="41">
        <v>2526</v>
      </c>
      <c r="G2191" s="40">
        <v>311</v>
      </c>
      <c r="H2191" s="41">
        <v>7464</v>
      </c>
      <c r="I2191" s="41">
        <v>22.756756756756758</v>
      </c>
      <c r="J2191" s="41">
        <v>24</v>
      </c>
      <c r="K2191" s="42">
        <v>5.4631828978622274E-2</v>
      </c>
    </row>
    <row r="2192" spans="1:11" x14ac:dyDescent="0.25">
      <c r="A2192" s="24" t="s">
        <v>7</v>
      </c>
      <c r="B2192" s="24" t="s">
        <v>10860</v>
      </c>
      <c r="C2192" s="25" t="s">
        <v>10861</v>
      </c>
      <c r="D2192" s="24" t="s">
        <v>21884</v>
      </c>
      <c r="E2192" s="40">
        <v>22293</v>
      </c>
      <c r="F2192" s="41">
        <v>3264255</v>
      </c>
      <c r="G2192" s="40">
        <v>18592</v>
      </c>
      <c r="H2192" s="41">
        <v>2412896</v>
      </c>
      <c r="I2192" s="41">
        <v>146.42511102139684</v>
      </c>
      <c r="J2192" s="41">
        <v>129.78141135972461</v>
      </c>
      <c r="K2192" s="42">
        <v>-0.11366697655595505</v>
      </c>
    </row>
    <row r="2193" spans="1:11" x14ac:dyDescent="0.25">
      <c r="A2193" s="24" t="s">
        <v>7</v>
      </c>
      <c r="B2193" s="24" t="s">
        <v>10863</v>
      </c>
      <c r="C2193" s="25" t="s">
        <v>10864</v>
      </c>
      <c r="D2193" s="24" t="s">
        <v>21884</v>
      </c>
      <c r="G2193" s="40">
        <v>4012</v>
      </c>
      <c r="H2193" s="41">
        <v>180058.56</v>
      </c>
      <c r="J2193" s="41">
        <v>44.88</v>
      </c>
    </row>
    <row r="2194" spans="1:11" x14ac:dyDescent="0.25">
      <c r="A2194" s="24" t="s">
        <v>7</v>
      </c>
      <c r="B2194" s="24" t="s">
        <v>10866</v>
      </c>
      <c r="C2194" s="25" t="s">
        <v>10867</v>
      </c>
      <c r="D2194" s="24" t="s">
        <v>21846</v>
      </c>
      <c r="E2194" s="40">
        <v>1075</v>
      </c>
      <c r="F2194" s="41">
        <v>28501</v>
      </c>
      <c r="G2194" s="40">
        <v>404</v>
      </c>
      <c r="H2194" s="41">
        <v>10908</v>
      </c>
      <c r="I2194" s="41">
        <v>26.512558139534885</v>
      </c>
      <c r="J2194" s="41">
        <v>27</v>
      </c>
      <c r="K2194" s="42">
        <v>1.8385319813339823E-2</v>
      </c>
    </row>
    <row r="2195" spans="1:11" x14ac:dyDescent="0.25">
      <c r="A2195" s="24" t="s">
        <v>7</v>
      </c>
      <c r="B2195" s="24" t="s">
        <v>10875</v>
      </c>
      <c r="C2195" s="25" t="s">
        <v>10876</v>
      </c>
      <c r="D2195" s="24" t="s">
        <v>21885</v>
      </c>
      <c r="G2195" s="40">
        <v>2</v>
      </c>
      <c r="H2195" s="41">
        <v>380</v>
      </c>
      <c r="J2195" s="41">
        <v>190</v>
      </c>
    </row>
    <row r="2196" spans="1:11" x14ac:dyDescent="0.25">
      <c r="A2196" s="24" t="s">
        <v>7</v>
      </c>
      <c r="B2196" s="24" t="s">
        <v>10881</v>
      </c>
      <c r="C2196" s="25" t="s">
        <v>10882</v>
      </c>
      <c r="D2196" s="24" t="s">
        <v>21846</v>
      </c>
      <c r="E2196" s="40">
        <v>163</v>
      </c>
      <c r="F2196" s="41">
        <v>43059</v>
      </c>
      <c r="G2196" s="40">
        <v>181</v>
      </c>
      <c r="H2196" s="41">
        <v>47268</v>
      </c>
      <c r="I2196" s="41">
        <v>264.16564417177915</v>
      </c>
      <c r="J2196" s="41">
        <v>261.14917127071823</v>
      </c>
      <c r="K2196" s="42">
        <v>-1.1418869060427096E-2</v>
      </c>
    </row>
    <row r="2197" spans="1:11" x14ac:dyDescent="0.25">
      <c r="A2197" s="24" t="s">
        <v>7</v>
      </c>
      <c r="B2197" s="24" t="s">
        <v>10884</v>
      </c>
      <c r="C2197" s="25" t="s">
        <v>10885</v>
      </c>
      <c r="D2197" s="24" t="s">
        <v>21846</v>
      </c>
      <c r="E2197" s="40">
        <v>480</v>
      </c>
      <c r="F2197" s="41">
        <v>164890</v>
      </c>
      <c r="G2197" s="40">
        <v>700</v>
      </c>
      <c r="H2197" s="41">
        <v>226365</v>
      </c>
      <c r="I2197" s="41">
        <v>343.52083333333331</v>
      </c>
      <c r="J2197" s="41">
        <v>323.37857142857143</v>
      </c>
      <c r="K2197" s="42">
        <v>-5.8634760836228414E-2</v>
      </c>
    </row>
    <row r="2198" spans="1:11" x14ac:dyDescent="0.25">
      <c r="A2198" s="24" t="s">
        <v>7</v>
      </c>
      <c r="B2198" s="24" t="s">
        <v>10896</v>
      </c>
      <c r="C2198" s="25" t="s">
        <v>10897</v>
      </c>
      <c r="D2198" s="24" t="s">
        <v>21886</v>
      </c>
      <c r="E2198" s="40">
        <v>22654</v>
      </c>
      <c r="F2198" s="41">
        <v>398125</v>
      </c>
      <c r="G2198" s="40">
        <v>21060</v>
      </c>
      <c r="H2198" s="41">
        <v>401620</v>
      </c>
      <c r="I2198" s="41">
        <v>17.574159088902622</v>
      </c>
      <c r="J2198" s="41">
        <v>19.070275403608736</v>
      </c>
      <c r="K2198" s="42">
        <v>8.5131601867132964E-2</v>
      </c>
    </row>
    <row r="2199" spans="1:11" x14ac:dyDescent="0.25">
      <c r="A2199" s="24" t="s">
        <v>7</v>
      </c>
      <c r="B2199" s="24" t="s">
        <v>10899</v>
      </c>
      <c r="C2199" s="25" t="s">
        <v>10900</v>
      </c>
      <c r="D2199" s="24" t="s">
        <v>21887</v>
      </c>
      <c r="G2199" s="40">
        <v>60</v>
      </c>
      <c r="H2199" s="41">
        <v>8880</v>
      </c>
      <c r="J2199" s="41">
        <v>148</v>
      </c>
    </row>
    <row r="2200" spans="1:11" x14ac:dyDescent="0.25">
      <c r="A2200" s="24" t="s">
        <v>7</v>
      </c>
      <c r="B2200" s="24" t="s">
        <v>10902</v>
      </c>
      <c r="C2200" s="25" t="s">
        <v>10903</v>
      </c>
      <c r="D2200" s="24" t="s">
        <v>21888</v>
      </c>
      <c r="E2200" s="40">
        <v>202</v>
      </c>
      <c r="F2200" s="41">
        <v>8566</v>
      </c>
      <c r="G2200" s="40">
        <v>107</v>
      </c>
      <c r="H2200" s="41">
        <v>4601</v>
      </c>
      <c r="I2200" s="41">
        <v>42.405940594059409</v>
      </c>
      <c r="J2200" s="41">
        <v>43</v>
      </c>
      <c r="K2200" s="42">
        <v>1.4008872285780922E-2</v>
      </c>
    </row>
    <row r="2201" spans="1:11" x14ac:dyDescent="0.25">
      <c r="A2201" s="24" t="s">
        <v>7</v>
      </c>
      <c r="B2201" s="24" t="s">
        <v>10905</v>
      </c>
      <c r="C2201" s="25" t="s">
        <v>10906</v>
      </c>
      <c r="D2201" s="24" t="s">
        <v>21889</v>
      </c>
      <c r="G2201" s="40">
        <v>363</v>
      </c>
      <c r="H2201" s="41">
        <v>129159</v>
      </c>
      <c r="J2201" s="41">
        <v>355.80991735537191</v>
      </c>
    </row>
    <row r="2202" spans="1:11" x14ac:dyDescent="0.25">
      <c r="A2202" s="24" t="s">
        <v>7</v>
      </c>
      <c r="B2202" s="24" t="s">
        <v>10911</v>
      </c>
      <c r="C2202" s="25" t="s">
        <v>10912</v>
      </c>
      <c r="D2202" s="24" t="s">
        <v>21890</v>
      </c>
      <c r="E2202" s="40">
        <v>71138</v>
      </c>
      <c r="F2202" s="41">
        <v>15163620</v>
      </c>
      <c r="G2202" s="40">
        <v>67919</v>
      </c>
      <c r="H2202" s="41">
        <v>13366486</v>
      </c>
      <c r="I2202" s="41">
        <v>213.1578059546234</v>
      </c>
      <c r="J2202" s="41">
        <v>196.80039458767061</v>
      </c>
      <c r="K2202" s="42">
        <v>-7.673850504182296E-2</v>
      </c>
    </row>
    <row r="2203" spans="1:11" x14ac:dyDescent="0.25">
      <c r="A2203" s="24" t="s">
        <v>7</v>
      </c>
      <c r="B2203" s="24" t="s">
        <v>10914</v>
      </c>
      <c r="C2203" s="25" t="s">
        <v>10915</v>
      </c>
      <c r="D2203" s="24" t="s">
        <v>21890</v>
      </c>
      <c r="E2203" s="40">
        <v>4176</v>
      </c>
      <c r="F2203" s="41">
        <v>171588</v>
      </c>
      <c r="G2203" s="40">
        <v>5301</v>
      </c>
      <c r="H2203" s="41">
        <v>218898</v>
      </c>
      <c r="I2203" s="41">
        <v>41.089080459770116</v>
      </c>
      <c r="J2203" s="41">
        <v>41.293718166383698</v>
      </c>
      <c r="K2203" s="42">
        <v>4.9803428142895642E-3</v>
      </c>
    </row>
    <row r="2204" spans="1:11" x14ac:dyDescent="0.25">
      <c r="A2204" s="24" t="s">
        <v>7</v>
      </c>
      <c r="B2204" s="24" t="s">
        <v>10917</v>
      </c>
      <c r="C2204" s="25" t="s">
        <v>10918</v>
      </c>
      <c r="D2204" s="24" t="s">
        <v>21890</v>
      </c>
      <c r="G2204" s="40">
        <v>10548</v>
      </c>
      <c r="H2204" s="41">
        <v>137018.51999999999</v>
      </c>
      <c r="J2204" s="41">
        <v>12.989999999999998</v>
      </c>
    </row>
    <row r="2205" spans="1:11" x14ac:dyDescent="0.25">
      <c r="A2205" s="24" t="s">
        <v>7</v>
      </c>
      <c r="B2205" s="24" t="s">
        <v>10926</v>
      </c>
      <c r="C2205" s="25" t="s">
        <v>10927</v>
      </c>
      <c r="D2205" s="24" t="s">
        <v>21891</v>
      </c>
      <c r="E2205" s="40">
        <v>336</v>
      </c>
      <c r="F2205" s="41">
        <v>78336</v>
      </c>
      <c r="G2205" s="40">
        <v>311</v>
      </c>
      <c r="H2205" s="41">
        <v>76598</v>
      </c>
      <c r="I2205" s="41">
        <v>233.14285714285714</v>
      </c>
      <c r="J2205" s="41">
        <v>246.29581993569133</v>
      </c>
      <c r="K2205" s="42">
        <v>5.6415894332009386E-2</v>
      </c>
    </row>
    <row r="2206" spans="1:11" x14ac:dyDescent="0.25">
      <c r="A2206" s="24" t="s">
        <v>7</v>
      </c>
      <c r="B2206" s="24" t="s">
        <v>10929</v>
      </c>
      <c r="C2206" s="25" t="s">
        <v>10930</v>
      </c>
      <c r="D2206" s="24" t="s">
        <v>21892</v>
      </c>
      <c r="E2206" s="40">
        <v>20</v>
      </c>
      <c r="F2206" s="41">
        <v>2950</v>
      </c>
      <c r="G2206" s="40">
        <v>21</v>
      </c>
      <c r="H2206" s="41">
        <v>3298</v>
      </c>
      <c r="I2206" s="41">
        <v>147.5</v>
      </c>
      <c r="J2206" s="41">
        <v>157.04761904761904</v>
      </c>
      <c r="K2206" s="42">
        <v>6.4729620661823972E-2</v>
      </c>
    </row>
    <row r="2207" spans="1:11" x14ac:dyDescent="0.25">
      <c r="A2207" s="24" t="s">
        <v>7</v>
      </c>
      <c r="B2207" s="24" t="s">
        <v>10932</v>
      </c>
      <c r="C2207" s="25" t="s">
        <v>10933</v>
      </c>
      <c r="D2207" s="24" t="s">
        <v>21846</v>
      </c>
      <c r="G2207" s="40">
        <v>6</v>
      </c>
      <c r="H2207" s="41">
        <v>306</v>
      </c>
      <c r="J2207" s="41">
        <v>51</v>
      </c>
    </row>
    <row r="2208" spans="1:11" x14ac:dyDescent="0.25">
      <c r="A2208" s="24" t="s">
        <v>7</v>
      </c>
      <c r="B2208" s="24" t="s">
        <v>10938</v>
      </c>
      <c r="C2208" s="25" t="s">
        <v>10939</v>
      </c>
      <c r="D2208" s="24" t="s">
        <v>21846</v>
      </c>
      <c r="E2208" s="40">
        <v>398</v>
      </c>
      <c r="F2208" s="41">
        <v>62772</v>
      </c>
      <c r="G2208" s="40">
        <v>302</v>
      </c>
      <c r="H2208" s="41">
        <v>42720</v>
      </c>
      <c r="I2208" s="41">
        <v>157.71859296482413</v>
      </c>
      <c r="J2208" s="41">
        <v>141.45695364238409</v>
      </c>
      <c r="K2208" s="42">
        <v>-0.1031054044849795</v>
      </c>
    </row>
    <row r="2209" spans="1:11" x14ac:dyDescent="0.25">
      <c r="A2209" s="24" t="s">
        <v>7</v>
      </c>
      <c r="B2209" s="24" t="s">
        <v>10941</v>
      </c>
      <c r="C2209" s="25" t="s">
        <v>10942</v>
      </c>
      <c r="D2209" s="24" t="s">
        <v>21846</v>
      </c>
      <c r="G2209" s="40">
        <v>3</v>
      </c>
      <c r="H2209" s="41">
        <v>408</v>
      </c>
      <c r="J2209" s="41">
        <v>136</v>
      </c>
    </row>
    <row r="2210" spans="1:11" x14ac:dyDescent="0.25">
      <c r="A2210" s="24" t="s">
        <v>7</v>
      </c>
      <c r="B2210" s="24" t="s">
        <v>10944</v>
      </c>
      <c r="C2210" s="25" t="s">
        <v>10945</v>
      </c>
      <c r="D2210" s="24" t="s">
        <v>21893</v>
      </c>
      <c r="E2210" s="40">
        <v>104</v>
      </c>
      <c r="F2210" s="41">
        <v>61294</v>
      </c>
      <c r="G2210" s="40">
        <v>31</v>
      </c>
      <c r="H2210" s="41">
        <v>16066</v>
      </c>
      <c r="I2210" s="41">
        <v>589.36538461538464</v>
      </c>
      <c r="J2210" s="41">
        <v>518.25806451612902</v>
      </c>
      <c r="K2210" s="42">
        <v>-0.1206506556975003</v>
      </c>
    </row>
    <row r="2211" spans="1:11" x14ac:dyDescent="0.25">
      <c r="A2211" s="24" t="s">
        <v>7</v>
      </c>
      <c r="B2211" s="24" t="s">
        <v>10947</v>
      </c>
      <c r="C2211" s="25" t="s">
        <v>10948</v>
      </c>
      <c r="D2211" s="24" t="s">
        <v>21894</v>
      </c>
      <c r="E2211" s="40">
        <v>700</v>
      </c>
      <c r="F2211" s="41">
        <v>11050</v>
      </c>
      <c r="G2211" s="40">
        <v>600</v>
      </c>
      <c r="H2211" s="41">
        <v>9600</v>
      </c>
      <c r="I2211" s="41">
        <v>15.785714285714286</v>
      </c>
      <c r="J2211" s="41">
        <v>16</v>
      </c>
      <c r="K2211" s="42">
        <v>1.3574660633484115E-2</v>
      </c>
    </row>
    <row r="2212" spans="1:11" x14ac:dyDescent="0.25">
      <c r="A2212" s="24" t="s">
        <v>7</v>
      </c>
      <c r="B2212" s="24" t="s">
        <v>10950</v>
      </c>
      <c r="C2212" s="25" t="s">
        <v>10951</v>
      </c>
      <c r="D2212" s="24" t="s">
        <v>21846</v>
      </c>
      <c r="E2212" s="40">
        <v>45</v>
      </c>
      <c r="F2212" s="41">
        <v>6110</v>
      </c>
      <c r="G2212" s="40">
        <v>13</v>
      </c>
      <c r="H2212" s="41">
        <v>1794</v>
      </c>
      <c r="I2212" s="41">
        <v>135.77777777777777</v>
      </c>
      <c r="J2212" s="41">
        <v>138</v>
      </c>
      <c r="K2212" s="42">
        <v>1.6366612111293009E-2</v>
      </c>
    </row>
    <row r="2213" spans="1:11" x14ac:dyDescent="0.25">
      <c r="A2213" s="24" t="s">
        <v>7</v>
      </c>
      <c r="B2213" s="24" t="s">
        <v>10956</v>
      </c>
      <c r="C2213" s="25" t="s">
        <v>10957</v>
      </c>
      <c r="D2213" s="24" t="s">
        <v>21895</v>
      </c>
      <c r="E2213" s="40">
        <v>983</v>
      </c>
      <c r="F2213" s="41">
        <v>172650</v>
      </c>
      <c r="G2213" s="40">
        <v>33</v>
      </c>
      <c r="H2213" s="41">
        <v>5412</v>
      </c>
      <c r="I2213" s="41">
        <v>175.63580874872838</v>
      </c>
      <c r="J2213" s="41">
        <v>164</v>
      </c>
      <c r="K2213" s="42">
        <v>-6.6249637995945534E-2</v>
      </c>
    </row>
    <row r="2214" spans="1:11" x14ac:dyDescent="0.25">
      <c r="A2214" s="24" t="s">
        <v>7</v>
      </c>
      <c r="B2214" s="24" t="s">
        <v>10959</v>
      </c>
      <c r="C2214" s="25" t="s">
        <v>10960</v>
      </c>
      <c r="D2214" s="24" t="s">
        <v>21895</v>
      </c>
      <c r="E2214" s="40">
        <v>3013</v>
      </c>
      <c r="F2214" s="41">
        <v>1581388</v>
      </c>
      <c r="G2214" s="40">
        <v>3881</v>
      </c>
      <c r="H2214" s="41">
        <v>1750532</v>
      </c>
      <c r="I2214" s="41">
        <v>524.85496183206112</v>
      </c>
      <c r="J2214" s="41">
        <v>451.05179077557329</v>
      </c>
      <c r="K2214" s="42">
        <v>-0.14061631578916611</v>
      </c>
    </row>
    <row r="2215" spans="1:11" x14ac:dyDescent="0.25">
      <c r="A2215" s="24" t="s">
        <v>7</v>
      </c>
      <c r="B2215" s="24" t="s">
        <v>10962</v>
      </c>
      <c r="C2215" s="25" t="s">
        <v>10963</v>
      </c>
      <c r="D2215" s="24" t="s">
        <v>21846</v>
      </c>
      <c r="E2215" s="40">
        <v>4623</v>
      </c>
      <c r="F2215" s="41">
        <v>23115</v>
      </c>
      <c r="G2215" s="40">
        <v>3734</v>
      </c>
      <c r="H2215" s="41">
        <v>18670</v>
      </c>
      <c r="I2215" s="41">
        <v>5</v>
      </c>
      <c r="J2215" s="41">
        <v>5</v>
      </c>
      <c r="K2215" s="42">
        <v>0</v>
      </c>
    </row>
    <row r="2216" spans="1:11" x14ac:dyDescent="0.25">
      <c r="A2216" s="24" t="s">
        <v>7</v>
      </c>
      <c r="B2216" s="24" t="s">
        <v>10971</v>
      </c>
      <c r="C2216" s="25" t="s">
        <v>10972</v>
      </c>
      <c r="D2216" s="24" t="s">
        <v>21896</v>
      </c>
      <c r="E2216" s="40">
        <v>20</v>
      </c>
      <c r="F2216" s="41">
        <v>10108</v>
      </c>
      <c r="G2216" s="40">
        <v>41</v>
      </c>
      <c r="H2216" s="41">
        <v>24506</v>
      </c>
      <c r="I2216" s="41">
        <v>505.4</v>
      </c>
      <c r="J2216" s="41">
        <v>597.70731707317077</v>
      </c>
      <c r="K2216" s="42">
        <v>0.18264209947204352</v>
      </c>
    </row>
    <row r="2217" spans="1:11" x14ac:dyDescent="0.25">
      <c r="A2217" s="24" t="s">
        <v>7</v>
      </c>
      <c r="B2217" s="24" t="s">
        <v>10974</v>
      </c>
      <c r="C2217" s="25" t="s">
        <v>10975</v>
      </c>
      <c r="D2217" s="24" t="s">
        <v>21897</v>
      </c>
      <c r="E2217" s="40">
        <v>526</v>
      </c>
      <c r="F2217" s="41">
        <v>6154.2</v>
      </c>
      <c r="G2217" s="40">
        <v>3355</v>
      </c>
      <c r="H2217" s="41">
        <v>38181.9</v>
      </c>
      <c r="I2217" s="41">
        <v>11.7</v>
      </c>
      <c r="J2217" s="41">
        <v>11.38059612518629</v>
      </c>
      <c r="K2217" s="42">
        <v>-2.7299476479804182E-2</v>
      </c>
    </row>
    <row r="2218" spans="1:11" x14ac:dyDescent="0.25">
      <c r="A2218" s="24" t="s">
        <v>7</v>
      </c>
      <c r="B2218" s="24" t="s">
        <v>21898</v>
      </c>
      <c r="C2218" s="25" t="s">
        <v>21899</v>
      </c>
      <c r="D2218" s="24" t="s">
        <v>21846</v>
      </c>
      <c r="G2218" s="40">
        <v>33</v>
      </c>
      <c r="H2218" s="41">
        <v>1386</v>
      </c>
      <c r="J2218" s="41">
        <v>42</v>
      </c>
    </row>
    <row r="2219" spans="1:11" x14ac:dyDescent="0.25">
      <c r="A2219" s="24" t="s">
        <v>7</v>
      </c>
      <c r="B2219" s="24" t="s">
        <v>21900</v>
      </c>
      <c r="C2219" s="25" t="s">
        <v>21901</v>
      </c>
      <c r="D2219" s="24" t="s">
        <v>21902</v>
      </c>
      <c r="E2219" s="40">
        <v>510</v>
      </c>
      <c r="F2219" s="41">
        <v>34895</v>
      </c>
      <c r="G2219" s="40">
        <v>117</v>
      </c>
      <c r="H2219" s="41">
        <v>8190</v>
      </c>
      <c r="I2219" s="41">
        <v>68.421568627450981</v>
      </c>
      <c r="J2219" s="41">
        <v>70</v>
      </c>
      <c r="K2219" s="42">
        <v>2.3069207622868602E-2</v>
      </c>
    </row>
    <row r="2220" spans="1:11" x14ac:dyDescent="0.25">
      <c r="A2220" s="24" t="s">
        <v>7</v>
      </c>
      <c r="B2220" s="24" t="s">
        <v>10983</v>
      </c>
      <c r="C2220" s="25" t="s">
        <v>10984</v>
      </c>
      <c r="D2220" s="24" t="s">
        <v>21903</v>
      </c>
      <c r="E2220" s="40">
        <v>582</v>
      </c>
      <c r="F2220" s="41">
        <v>64670</v>
      </c>
      <c r="G2220" s="40">
        <v>664</v>
      </c>
      <c r="H2220" s="41">
        <v>54544</v>
      </c>
      <c r="I2220" s="41">
        <v>111.11683848797252</v>
      </c>
      <c r="J2220" s="41">
        <v>82.144578313253007</v>
      </c>
      <c r="K2220" s="42">
        <v>-0.26073690152600515</v>
      </c>
    </row>
    <row r="2221" spans="1:11" x14ac:dyDescent="0.25">
      <c r="A2221" s="24" t="s">
        <v>7</v>
      </c>
      <c r="B2221" s="24" t="s">
        <v>10986</v>
      </c>
      <c r="C2221" s="25" t="s">
        <v>10987</v>
      </c>
      <c r="D2221" s="24" t="s">
        <v>21904</v>
      </c>
      <c r="G2221" s="40">
        <v>1134</v>
      </c>
      <c r="H2221" s="41">
        <v>590052</v>
      </c>
      <c r="J2221" s="41">
        <v>520.32804232804233</v>
      </c>
    </row>
    <row r="2222" spans="1:11" x14ac:dyDescent="0.25">
      <c r="A2222" s="24" t="s">
        <v>7</v>
      </c>
      <c r="B2222" s="24" t="s">
        <v>10992</v>
      </c>
      <c r="C2222" s="25" t="s">
        <v>10993</v>
      </c>
      <c r="D2222" s="24" t="s">
        <v>21846</v>
      </c>
      <c r="E2222" s="40">
        <v>78</v>
      </c>
      <c r="F2222" s="41">
        <v>6859</v>
      </c>
      <c r="G2222" s="40">
        <v>144</v>
      </c>
      <c r="H2222" s="41">
        <v>12960</v>
      </c>
      <c r="I2222" s="41">
        <v>87.935897435897431</v>
      </c>
      <c r="J2222" s="41">
        <v>90</v>
      </c>
      <c r="K2222" s="42">
        <v>2.3472809447441376E-2</v>
      </c>
    </row>
    <row r="2223" spans="1:11" x14ac:dyDescent="0.25">
      <c r="A2223" s="24" t="s">
        <v>7</v>
      </c>
      <c r="B2223" s="24" t="s">
        <v>10998</v>
      </c>
      <c r="C2223" s="25" t="s">
        <v>10999</v>
      </c>
      <c r="D2223" s="24" t="s">
        <v>21905</v>
      </c>
      <c r="G2223" s="40">
        <v>8</v>
      </c>
      <c r="H2223" s="41">
        <v>5000</v>
      </c>
      <c r="J2223" s="41">
        <v>625</v>
      </c>
    </row>
    <row r="2224" spans="1:11" x14ac:dyDescent="0.25">
      <c r="A2224" s="24" t="s">
        <v>7</v>
      </c>
      <c r="B2224" s="24" t="s">
        <v>11007</v>
      </c>
      <c r="C2224" s="25" t="s">
        <v>11008</v>
      </c>
      <c r="D2224" s="24" t="s">
        <v>21906</v>
      </c>
      <c r="E2224" s="40">
        <v>569248</v>
      </c>
      <c r="F2224" s="41">
        <v>2846240</v>
      </c>
      <c r="G2224" s="40">
        <v>696124</v>
      </c>
      <c r="H2224" s="41">
        <v>2877940</v>
      </c>
      <c r="I2224" s="41">
        <v>5</v>
      </c>
      <c r="J2224" s="41">
        <v>4.1342347053111226</v>
      </c>
      <c r="K2224" s="42">
        <v>-0.17315305893777549</v>
      </c>
    </row>
    <row r="2225" spans="1:11" x14ac:dyDescent="0.25">
      <c r="A2225" s="24" t="s">
        <v>7</v>
      </c>
      <c r="B2225" s="24" t="s">
        <v>11013</v>
      </c>
      <c r="C2225" s="25" t="s">
        <v>11014</v>
      </c>
      <c r="D2225" s="24" t="s">
        <v>21907</v>
      </c>
      <c r="G2225" s="40">
        <v>27</v>
      </c>
      <c r="H2225" s="41">
        <v>26514</v>
      </c>
      <c r="J2225" s="41">
        <v>982</v>
      </c>
    </row>
    <row r="2226" spans="1:11" x14ac:dyDescent="0.25">
      <c r="A2226" s="24" t="s">
        <v>7</v>
      </c>
      <c r="B2226" s="24" t="s">
        <v>11025</v>
      </c>
      <c r="C2226" s="25" t="s">
        <v>11026</v>
      </c>
      <c r="D2226" s="24" t="s">
        <v>21908</v>
      </c>
      <c r="E2226" s="40">
        <v>8504</v>
      </c>
      <c r="F2226" s="41">
        <v>607847</v>
      </c>
      <c r="G2226" s="40">
        <v>8571</v>
      </c>
      <c r="H2226" s="41">
        <v>566163</v>
      </c>
      <c r="I2226" s="41">
        <v>71.477775164628412</v>
      </c>
      <c r="J2226" s="41">
        <v>66.055652782639129</v>
      </c>
      <c r="K2226" s="42">
        <v>-7.585745876254528E-2</v>
      </c>
    </row>
    <row r="2227" spans="1:11" x14ac:dyDescent="0.25">
      <c r="A2227" s="24" t="s">
        <v>7</v>
      </c>
      <c r="B2227" s="24" t="s">
        <v>11028</v>
      </c>
      <c r="C2227" s="25" t="s">
        <v>11029</v>
      </c>
      <c r="D2227" s="24" t="s">
        <v>21909</v>
      </c>
      <c r="E2227" s="40">
        <v>48207</v>
      </c>
      <c r="F2227" s="41">
        <v>467652</v>
      </c>
      <c r="G2227" s="40">
        <v>50034</v>
      </c>
      <c r="H2227" s="41">
        <v>432708</v>
      </c>
      <c r="I2227" s="41">
        <v>9.7009148049038529</v>
      </c>
      <c r="J2227" s="41">
        <v>8.6482791701642885</v>
      </c>
      <c r="K2227" s="42">
        <v>-0.10850890415071501</v>
      </c>
    </row>
    <row r="2228" spans="1:11" x14ac:dyDescent="0.25">
      <c r="A2228" s="24" t="s">
        <v>7</v>
      </c>
      <c r="B2228" s="24" t="s">
        <v>11034</v>
      </c>
      <c r="C2228" s="25" t="s">
        <v>11035</v>
      </c>
      <c r="D2228" s="24" t="s">
        <v>21846</v>
      </c>
      <c r="E2228" s="40">
        <v>48</v>
      </c>
      <c r="F2228" s="41">
        <v>19038</v>
      </c>
      <c r="G2228" s="40">
        <v>56</v>
      </c>
      <c r="H2228" s="41">
        <v>19360</v>
      </c>
      <c r="I2228" s="41">
        <v>396.625</v>
      </c>
      <c r="J2228" s="41">
        <v>345.71428571428572</v>
      </c>
      <c r="K2228" s="42">
        <v>-0.12835982170996352</v>
      </c>
    </row>
    <row r="2229" spans="1:11" x14ac:dyDescent="0.25">
      <c r="A2229" s="24" t="s">
        <v>7</v>
      </c>
      <c r="B2229" s="24" t="s">
        <v>11037</v>
      </c>
      <c r="C2229" s="25" t="s">
        <v>11038</v>
      </c>
      <c r="D2229" s="24" t="s">
        <v>21846</v>
      </c>
      <c r="E2229" s="40">
        <v>1693</v>
      </c>
      <c r="F2229" s="41">
        <v>1262712</v>
      </c>
      <c r="G2229" s="40">
        <v>1751</v>
      </c>
      <c r="H2229" s="41">
        <v>1170696</v>
      </c>
      <c r="I2229" s="41">
        <v>745.84288245717664</v>
      </c>
      <c r="J2229" s="41">
        <v>668.58709308966309</v>
      </c>
      <c r="K2229" s="42">
        <v>-0.103581855085879</v>
      </c>
    </row>
    <row r="2230" spans="1:11" x14ac:dyDescent="0.25">
      <c r="A2230" s="24" t="s">
        <v>7</v>
      </c>
      <c r="B2230" s="24" t="s">
        <v>11043</v>
      </c>
      <c r="C2230" s="25" t="s">
        <v>11044</v>
      </c>
      <c r="D2230" s="24" t="s">
        <v>21846</v>
      </c>
      <c r="G2230" s="40">
        <v>9</v>
      </c>
      <c r="H2230" s="41">
        <v>1305</v>
      </c>
      <c r="J2230" s="41">
        <v>145</v>
      </c>
    </row>
    <row r="2231" spans="1:11" x14ac:dyDescent="0.25">
      <c r="A2231" s="24" t="s">
        <v>7</v>
      </c>
      <c r="B2231" s="24" t="s">
        <v>11046</v>
      </c>
      <c r="C2231" s="25" t="s">
        <v>11047</v>
      </c>
      <c r="D2231" s="24" t="s">
        <v>21846</v>
      </c>
      <c r="E2231" s="40">
        <v>17</v>
      </c>
      <c r="F2231" s="41">
        <v>1820</v>
      </c>
      <c r="G2231" s="40">
        <v>113</v>
      </c>
      <c r="H2231" s="41">
        <v>12144</v>
      </c>
      <c r="I2231" s="41">
        <v>107.05882352941177</v>
      </c>
      <c r="J2231" s="41">
        <v>107.46902654867256</v>
      </c>
      <c r="K2231" s="42">
        <v>3.8315666634249732E-3</v>
      </c>
    </row>
    <row r="2232" spans="1:11" x14ac:dyDescent="0.25">
      <c r="A2232" s="24" t="s">
        <v>7</v>
      </c>
      <c r="B2232" s="24" t="s">
        <v>11049</v>
      </c>
      <c r="C2232" s="25" t="s">
        <v>11050</v>
      </c>
      <c r="D2232" s="24" t="s">
        <v>21846</v>
      </c>
      <c r="E2232" s="40">
        <v>1389</v>
      </c>
      <c r="F2232" s="41">
        <v>483694</v>
      </c>
      <c r="G2232" s="40">
        <v>1478</v>
      </c>
      <c r="H2232" s="41">
        <v>487591</v>
      </c>
      <c r="I2232" s="41">
        <v>348.23182145428365</v>
      </c>
      <c r="J2232" s="41">
        <v>329.89918809201623</v>
      </c>
      <c r="K2232" s="42">
        <v>-5.26449113286281E-2</v>
      </c>
    </row>
    <row r="2233" spans="1:11" x14ac:dyDescent="0.25">
      <c r="A2233" s="24" t="s">
        <v>7</v>
      </c>
      <c r="B2233" s="24" t="s">
        <v>11052</v>
      </c>
      <c r="C2233" s="25" t="s">
        <v>11053</v>
      </c>
      <c r="D2233" s="24" t="s">
        <v>21910</v>
      </c>
      <c r="E2233" s="40">
        <v>1102</v>
      </c>
      <c r="F2233" s="41">
        <v>80136</v>
      </c>
      <c r="G2233" s="40">
        <v>126</v>
      </c>
      <c r="H2233" s="41">
        <v>9132</v>
      </c>
      <c r="I2233" s="41">
        <v>72.718693284936478</v>
      </c>
      <c r="J2233" s="41">
        <v>72.476190476190482</v>
      </c>
      <c r="K2233" s="42">
        <v>-3.3348070185445747E-3</v>
      </c>
    </row>
    <row r="2234" spans="1:11" x14ac:dyDescent="0.25">
      <c r="A2234" s="24" t="s">
        <v>7</v>
      </c>
      <c r="B2234" s="24" t="s">
        <v>11055</v>
      </c>
      <c r="C2234" s="25" t="s">
        <v>11056</v>
      </c>
      <c r="D2234" s="24" t="s">
        <v>21911</v>
      </c>
      <c r="E2234" s="40">
        <v>10</v>
      </c>
      <c r="F2234" s="41">
        <v>1980</v>
      </c>
      <c r="G2234" s="40">
        <v>12</v>
      </c>
      <c r="H2234" s="41">
        <v>2094</v>
      </c>
      <c r="I2234" s="41">
        <v>198</v>
      </c>
      <c r="J2234" s="41">
        <v>174.5</v>
      </c>
      <c r="K2234" s="42">
        <v>-0.11868686868686869</v>
      </c>
    </row>
    <row r="2235" spans="1:11" x14ac:dyDescent="0.25">
      <c r="A2235" s="24" t="s">
        <v>7</v>
      </c>
      <c r="B2235" s="24" t="s">
        <v>11061</v>
      </c>
      <c r="C2235" s="25" t="s">
        <v>11062</v>
      </c>
      <c r="D2235" s="24" t="s">
        <v>21912</v>
      </c>
      <c r="E2235" s="40">
        <v>547</v>
      </c>
      <c r="F2235" s="41">
        <v>60459</v>
      </c>
      <c r="G2235" s="40">
        <v>541</v>
      </c>
      <c r="H2235" s="41">
        <v>53580</v>
      </c>
      <c r="I2235" s="41">
        <v>110.52833638025594</v>
      </c>
      <c r="J2235" s="41">
        <v>99.038817005545283</v>
      </c>
      <c r="K2235" s="42">
        <v>-0.10395089396064651</v>
      </c>
    </row>
    <row r="2236" spans="1:11" x14ac:dyDescent="0.25">
      <c r="A2236" s="24" t="s">
        <v>7</v>
      </c>
      <c r="B2236" s="24" t="s">
        <v>11064</v>
      </c>
      <c r="C2236" s="25" t="s">
        <v>11065</v>
      </c>
      <c r="D2236" s="24" t="s">
        <v>21913</v>
      </c>
      <c r="G2236" s="40">
        <v>3</v>
      </c>
      <c r="H2236" s="41">
        <v>31929</v>
      </c>
      <c r="J2236" s="41">
        <v>10643</v>
      </c>
    </row>
    <row r="2237" spans="1:11" x14ac:dyDescent="0.25">
      <c r="A2237" s="24" t="s">
        <v>7</v>
      </c>
      <c r="B2237" s="24" t="s">
        <v>11070</v>
      </c>
      <c r="C2237" s="25" t="s">
        <v>11071</v>
      </c>
      <c r="D2237" s="24" t="s">
        <v>21846</v>
      </c>
      <c r="E2237" s="40">
        <v>953</v>
      </c>
      <c r="F2237" s="41">
        <v>92387</v>
      </c>
      <c r="G2237" s="40">
        <v>1017</v>
      </c>
      <c r="H2237" s="41">
        <v>91323</v>
      </c>
      <c r="I2237" s="41">
        <v>96.94333683105981</v>
      </c>
      <c r="J2237" s="41">
        <v>89.796460176991147</v>
      </c>
      <c r="K2237" s="42">
        <v>-7.3722206060673423E-2</v>
      </c>
    </row>
    <row r="2238" spans="1:11" x14ac:dyDescent="0.25">
      <c r="A2238" s="24" t="s">
        <v>7</v>
      </c>
      <c r="B2238" s="24" t="s">
        <v>11073</v>
      </c>
      <c r="C2238" s="25" t="s">
        <v>11074</v>
      </c>
      <c r="D2238" s="24" t="s">
        <v>21846</v>
      </c>
      <c r="E2238" s="40">
        <v>1</v>
      </c>
      <c r="F2238" s="41">
        <v>598</v>
      </c>
      <c r="G2238" s="40">
        <v>1</v>
      </c>
      <c r="H2238" s="41">
        <v>34</v>
      </c>
      <c r="I2238" s="41">
        <v>598</v>
      </c>
      <c r="J2238" s="41">
        <v>34</v>
      </c>
      <c r="K2238" s="42">
        <v>-0.94314381270903014</v>
      </c>
    </row>
    <row r="2239" spans="1:11" x14ac:dyDescent="0.25">
      <c r="A2239" s="24" t="s">
        <v>7</v>
      </c>
      <c r="B2239" s="24" t="s">
        <v>11076</v>
      </c>
      <c r="C2239" s="25" t="s">
        <v>11077</v>
      </c>
      <c r="D2239" s="24" t="s">
        <v>21846</v>
      </c>
      <c r="G2239" s="40">
        <v>3</v>
      </c>
      <c r="H2239" s="41">
        <v>626</v>
      </c>
      <c r="J2239" s="41">
        <v>208.66666666666666</v>
      </c>
    </row>
    <row r="2240" spans="1:11" x14ac:dyDescent="0.25">
      <c r="A2240" s="24" t="s">
        <v>7</v>
      </c>
      <c r="B2240" s="24" t="s">
        <v>11079</v>
      </c>
      <c r="C2240" s="25" t="s">
        <v>11080</v>
      </c>
      <c r="D2240" s="24" t="s">
        <v>21846</v>
      </c>
      <c r="E2240" s="40">
        <v>1019</v>
      </c>
      <c r="F2240" s="41">
        <v>499624</v>
      </c>
      <c r="G2240" s="40">
        <v>1071</v>
      </c>
      <c r="H2240" s="41">
        <v>537642</v>
      </c>
      <c r="I2240" s="41">
        <v>490.30814524043177</v>
      </c>
      <c r="J2240" s="41">
        <v>502</v>
      </c>
      <c r="K2240" s="42">
        <v>2.3845932140970062E-2</v>
      </c>
    </row>
    <row r="2241" spans="1:11" x14ac:dyDescent="0.25">
      <c r="A2241" s="24" t="s">
        <v>7</v>
      </c>
      <c r="B2241" s="24" t="s">
        <v>11082</v>
      </c>
      <c r="C2241" s="25" t="s">
        <v>11083</v>
      </c>
      <c r="D2241" s="24" t="s">
        <v>21914</v>
      </c>
      <c r="E2241" s="40">
        <v>3880</v>
      </c>
      <c r="F2241" s="41">
        <v>583201</v>
      </c>
      <c r="G2241" s="40">
        <v>3635</v>
      </c>
      <c r="H2241" s="41">
        <v>473211</v>
      </c>
      <c r="I2241" s="41">
        <v>150.30953608247424</v>
      </c>
      <c r="J2241" s="41">
        <v>130.18184319119669</v>
      </c>
      <c r="K2241" s="42">
        <v>-0.13390828962597265</v>
      </c>
    </row>
    <row r="2242" spans="1:11" x14ac:dyDescent="0.25">
      <c r="A2242" s="24" t="s">
        <v>7</v>
      </c>
      <c r="B2242" s="24" t="s">
        <v>11091</v>
      </c>
      <c r="C2242" s="25" t="s">
        <v>11092</v>
      </c>
      <c r="D2242" s="24" t="s">
        <v>21915</v>
      </c>
      <c r="G2242" s="40">
        <v>2</v>
      </c>
      <c r="H2242" s="41">
        <v>362</v>
      </c>
      <c r="J2242" s="41">
        <v>181</v>
      </c>
    </row>
    <row r="2243" spans="1:11" x14ac:dyDescent="0.25">
      <c r="A2243" s="24" t="s">
        <v>7</v>
      </c>
      <c r="B2243" s="24" t="s">
        <v>11094</v>
      </c>
      <c r="C2243" s="25" t="s">
        <v>11095</v>
      </c>
      <c r="D2243" s="24" t="s">
        <v>21916</v>
      </c>
      <c r="E2243" s="40">
        <v>766</v>
      </c>
      <c r="F2243" s="41">
        <v>258506</v>
      </c>
      <c r="G2243" s="40">
        <v>771</v>
      </c>
      <c r="H2243" s="41">
        <v>231657</v>
      </c>
      <c r="I2243" s="41">
        <v>337.47519582245428</v>
      </c>
      <c r="J2243" s="41">
        <v>300.46303501945528</v>
      </c>
      <c r="K2243" s="42">
        <v>-0.10967372198361833</v>
      </c>
    </row>
    <row r="2244" spans="1:11" x14ac:dyDescent="0.25">
      <c r="A2244" s="24" t="s">
        <v>7</v>
      </c>
      <c r="B2244" s="24" t="s">
        <v>11103</v>
      </c>
      <c r="C2244" s="25" t="s">
        <v>11104</v>
      </c>
      <c r="D2244" s="24" t="s">
        <v>21917</v>
      </c>
      <c r="E2244" s="40">
        <v>204</v>
      </c>
      <c r="F2244" s="41">
        <v>165816</v>
      </c>
      <c r="G2244" s="40">
        <v>120</v>
      </c>
      <c r="H2244" s="41">
        <v>94104</v>
      </c>
      <c r="I2244" s="41">
        <v>812.82352941176475</v>
      </c>
      <c r="J2244" s="41">
        <v>784.2</v>
      </c>
      <c r="K2244" s="42">
        <v>-3.5214937038645241E-2</v>
      </c>
    </row>
    <row r="2245" spans="1:11" x14ac:dyDescent="0.25">
      <c r="A2245" s="24" t="s">
        <v>7</v>
      </c>
      <c r="B2245" s="24" t="s">
        <v>11106</v>
      </c>
      <c r="C2245" s="25" t="s">
        <v>11107</v>
      </c>
      <c r="D2245" s="24" t="s">
        <v>21846</v>
      </c>
      <c r="G2245" s="40">
        <v>100</v>
      </c>
      <c r="H2245" s="41">
        <v>200</v>
      </c>
      <c r="J2245" s="41">
        <v>2</v>
      </c>
    </row>
    <row r="2246" spans="1:11" x14ac:dyDescent="0.25">
      <c r="A2246" s="24" t="s">
        <v>7</v>
      </c>
      <c r="B2246" s="24" t="s">
        <v>11108</v>
      </c>
      <c r="C2246" s="25" t="s">
        <v>11109</v>
      </c>
      <c r="D2246" s="24" t="s">
        <v>21918</v>
      </c>
      <c r="E2246" s="40">
        <v>468</v>
      </c>
      <c r="F2246" s="41">
        <v>59436</v>
      </c>
      <c r="G2246" s="40">
        <v>189</v>
      </c>
      <c r="H2246" s="41">
        <v>24003</v>
      </c>
      <c r="I2246" s="41">
        <v>127</v>
      </c>
      <c r="J2246" s="41">
        <v>127</v>
      </c>
      <c r="K2246" s="42">
        <v>0</v>
      </c>
    </row>
    <row r="2247" spans="1:11" x14ac:dyDescent="0.25">
      <c r="A2247" s="24" t="s">
        <v>7</v>
      </c>
      <c r="B2247" s="24" t="s">
        <v>11117</v>
      </c>
      <c r="C2247" s="25" t="s">
        <v>11118</v>
      </c>
      <c r="D2247" s="24" t="s">
        <v>21919</v>
      </c>
      <c r="E2247" s="40">
        <v>22340</v>
      </c>
      <c r="F2247" s="41">
        <v>680260</v>
      </c>
      <c r="G2247" s="40">
        <v>22390</v>
      </c>
      <c r="H2247" s="41">
        <v>642790</v>
      </c>
      <c r="I2247" s="41">
        <v>30.450313339301701</v>
      </c>
      <c r="J2247" s="41">
        <v>28.708798570790531</v>
      </c>
      <c r="K2247" s="42">
        <v>-5.7192014712815001E-2</v>
      </c>
    </row>
    <row r="2248" spans="1:11" x14ac:dyDescent="0.25">
      <c r="A2248" s="24" t="s">
        <v>7</v>
      </c>
      <c r="B2248" s="24" t="s">
        <v>11120</v>
      </c>
      <c r="C2248" s="25" t="s">
        <v>11121</v>
      </c>
      <c r="D2248" s="24" t="s">
        <v>21919</v>
      </c>
      <c r="G2248" s="40">
        <v>30</v>
      </c>
      <c r="H2248" s="41">
        <v>780</v>
      </c>
      <c r="J2248" s="41">
        <v>26</v>
      </c>
    </row>
    <row r="2249" spans="1:11" x14ac:dyDescent="0.25">
      <c r="A2249" s="24" t="s">
        <v>7</v>
      </c>
      <c r="B2249" s="24" t="s">
        <v>11126</v>
      </c>
      <c r="C2249" s="25" t="s">
        <v>11127</v>
      </c>
      <c r="D2249" s="24" t="s">
        <v>21846</v>
      </c>
      <c r="E2249" s="40">
        <v>20</v>
      </c>
      <c r="F2249" s="41">
        <v>6655</v>
      </c>
      <c r="G2249" s="40">
        <v>11</v>
      </c>
      <c r="H2249" s="41">
        <v>4386</v>
      </c>
      <c r="I2249" s="41">
        <v>332.75</v>
      </c>
      <c r="J2249" s="41">
        <v>398.72727272727275</v>
      </c>
      <c r="K2249" s="42">
        <v>0.19827880609248008</v>
      </c>
    </row>
    <row r="2250" spans="1:11" x14ac:dyDescent="0.25">
      <c r="A2250" s="24" t="s">
        <v>7</v>
      </c>
      <c r="B2250" s="24" t="s">
        <v>11135</v>
      </c>
      <c r="C2250" s="25" t="s">
        <v>11136</v>
      </c>
      <c r="D2250" s="24" t="s">
        <v>21920</v>
      </c>
      <c r="E2250" s="40">
        <v>91</v>
      </c>
      <c r="F2250" s="41">
        <v>107562</v>
      </c>
      <c r="G2250" s="40">
        <v>161</v>
      </c>
      <c r="H2250" s="41">
        <v>197547</v>
      </c>
      <c r="I2250" s="41">
        <v>1182</v>
      </c>
      <c r="J2250" s="41">
        <v>1227</v>
      </c>
      <c r="K2250" s="42">
        <v>3.8071065989847719E-2</v>
      </c>
    </row>
    <row r="2251" spans="1:11" x14ac:dyDescent="0.25">
      <c r="A2251" s="24" t="s">
        <v>7</v>
      </c>
      <c r="B2251" s="24" t="s">
        <v>21921</v>
      </c>
      <c r="C2251" s="25" t="s">
        <v>21922</v>
      </c>
      <c r="D2251" s="24" t="s">
        <v>21846</v>
      </c>
      <c r="E2251" s="40">
        <v>1451</v>
      </c>
      <c r="F2251" s="41">
        <v>383370</v>
      </c>
      <c r="G2251" s="40">
        <v>1726</v>
      </c>
      <c r="H2251" s="41">
        <v>466020</v>
      </c>
      <c r="I2251" s="41">
        <v>264.21088904203998</v>
      </c>
      <c r="J2251" s="41">
        <v>270</v>
      </c>
      <c r="K2251" s="42">
        <v>2.1910947648485765E-2</v>
      </c>
    </row>
    <row r="2252" spans="1:11" x14ac:dyDescent="0.25">
      <c r="A2252" s="24" t="s">
        <v>7</v>
      </c>
      <c r="B2252" s="24" t="s">
        <v>11149</v>
      </c>
      <c r="C2252" s="25" t="s">
        <v>11150</v>
      </c>
      <c r="D2252" s="24" t="s">
        <v>21846</v>
      </c>
      <c r="E2252" s="40">
        <v>697</v>
      </c>
      <c r="F2252" s="41">
        <v>92002</v>
      </c>
      <c r="G2252" s="40">
        <v>731</v>
      </c>
      <c r="H2252" s="41">
        <v>96554</v>
      </c>
      <c r="I2252" s="41">
        <v>131.99713055954089</v>
      </c>
      <c r="J2252" s="41">
        <v>132.08481532147744</v>
      </c>
      <c r="K2252" s="42">
        <v>6.6429294004229067E-4</v>
      </c>
    </row>
    <row r="2253" spans="1:11" x14ac:dyDescent="0.25">
      <c r="A2253" s="24" t="s">
        <v>7</v>
      </c>
      <c r="B2253" s="24" t="s">
        <v>11155</v>
      </c>
      <c r="C2253" s="25" t="s">
        <v>11156</v>
      </c>
      <c r="D2253" s="24" t="s">
        <v>21923</v>
      </c>
      <c r="E2253" s="40">
        <v>46001</v>
      </c>
      <c r="F2253" s="41">
        <v>4221649</v>
      </c>
      <c r="G2253" s="40">
        <v>44376</v>
      </c>
      <c r="H2253" s="41">
        <v>3715275</v>
      </c>
      <c r="I2253" s="41">
        <v>91.772983196017478</v>
      </c>
      <c r="J2253" s="41">
        <v>83.722620335316392</v>
      </c>
      <c r="K2253" s="42">
        <v>-8.7720400714296862E-2</v>
      </c>
    </row>
    <row r="2254" spans="1:11" x14ac:dyDescent="0.25">
      <c r="A2254" s="24" t="s">
        <v>7</v>
      </c>
      <c r="B2254" s="24" t="s">
        <v>11158</v>
      </c>
      <c r="C2254" s="25" t="s">
        <v>11159</v>
      </c>
      <c r="D2254" s="24" t="s">
        <v>21846</v>
      </c>
      <c r="E2254" s="40">
        <v>152</v>
      </c>
      <c r="F2254" s="41">
        <v>39349</v>
      </c>
      <c r="G2254" s="40">
        <v>45</v>
      </c>
      <c r="H2254" s="41">
        <v>11133</v>
      </c>
      <c r="I2254" s="41">
        <v>258.875</v>
      </c>
      <c r="J2254" s="41">
        <v>247.4</v>
      </c>
      <c r="K2254" s="42">
        <v>-4.4326412361178152E-2</v>
      </c>
    </row>
    <row r="2255" spans="1:11" x14ac:dyDescent="0.25">
      <c r="A2255" s="24" t="s">
        <v>7</v>
      </c>
      <c r="B2255" s="24" t="s">
        <v>11161</v>
      </c>
      <c r="C2255" s="25" t="s">
        <v>11162</v>
      </c>
      <c r="D2255" s="24" t="s">
        <v>21846</v>
      </c>
      <c r="E2255" s="40">
        <v>28</v>
      </c>
      <c r="F2255" s="41">
        <v>8488</v>
      </c>
      <c r="G2255" s="40">
        <v>28</v>
      </c>
      <c r="H2255" s="41">
        <v>8012</v>
      </c>
      <c r="I2255" s="41">
        <v>303.14285714285717</v>
      </c>
      <c r="J2255" s="41">
        <v>286.14285714285717</v>
      </c>
      <c r="K2255" s="42">
        <v>-5.6079170593779447E-2</v>
      </c>
    </row>
    <row r="2256" spans="1:11" x14ac:dyDescent="0.25">
      <c r="A2256" s="24" t="s">
        <v>7</v>
      </c>
      <c r="B2256" s="24" t="s">
        <v>11164</v>
      </c>
      <c r="C2256" s="25" t="s">
        <v>11165</v>
      </c>
      <c r="D2256" s="24" t="s">
        <v>21846</v>
      </c>
      <c r="E2256" s="40">
        <v>278</v>
      </c>
      <c r="F2256" s="41">
        <v>27004</v>
      </c>
      <c r="G2256" s="40">
        <v>328</v>
      </c>
      <c r="H2256" s="41">
        <v>29392</v>
      </c>
      <c r="I2256" s="41">
        <v>97.136690647482013</v>
      </c>
      <c r="J2256" s="41">
        <v>89.609756097560975</v>
      </c>
      <c r="K2256" s="42">
        <v>-7.7488068614947725E-2</v>
      </c>
    </row>
    <row r="2257" spans="1:11" x14ac:dyDescent="0.25">
      <c r="A2257" s="24" t="s">
        <v>7</v>
      </c>
      <c r="B2257" s="24" t="s">
        <v>11176</v>
      </c>
      <c r="C2257" s="25" t="s">
        <v>11177</v>
      </c>
      <c r="D2257" s="24" t="s">
        <v>21924</v>
      </c>
      <c r="G2257" s="40">
        <v>880</v>
      </c>
      <c r="H2257" s="41">
        <v>234080</v>
      </c>
      <c r="J2257" s="41">
        <v>266</v>
      </c>
    </row>
    <row r="2258" spans="1:11" x14ac:dyDescent="0.25">
      <c r="A2258" s="24" t="s">
        <v>7</v>
      </c>
      <c r="B2258" s="24" t="s">
        <v>11185</v>
      </c>
      <c r="C2258" s="25" t="s">
        <v>11186</v>
      </c>
      <c r="D2258" s="24" t="s">
        <v>21925</v>
      </c>
      <c r="E2258" s="40">
        <v>34191</v>
      </c>
      <c r="F2258" s="41">
        <v>832335</v>
      </c>
      <c r="G2258" s="40">
        <v>38370</v>
      </c>
      <c r="H2258" s="41">
        <v>825330</v>
      </c>
      <c r="I2258" s="41">
        <v>24.343686935158374</v>
      </c>
      <c r="J2258" s="41">
        <v>21.509773260359655</v>
      </c>
      <c r="K2258" s="42">
        <v>-0.1164126733286994</v>
      </c>
    </row>
    <row r="2259" spans="1:11" x14ac:dyDescent="0.25">
      <c r="A2259" s="24" t="s">
        <v>7</v>
      </c>
      <c r="B2259" s="24" t="s">
        <v>11188</v>
      </c>
      <c r="C2259" s="25" t="s">
        <v>11189</v>
      </c>
      <c r="D2259" s="24" t="s">
        <v>21925</v>
      </c>
      <c r="E2259" s="40">
        <v>6</v>
      </c>
      <c r="F2259" s="41">
        <v>81</v>
      </c>
      <c r="G2259" s="40">
        <v>2</v>
      </c>
      <c r="H2259" s="41">
        <v>28</v>
      </c>
      <c r="I2259" s="41">
        <v>13.5</v>
      </c>
      <c r="J2259" s="41">
        <v>14</v>
      </c>
      <c r="K2259" s="42">
        <v>3.7037037037037035E-2</v>
      </c>
    </row>
    <row r="2260" spans="1:11" x14ac:dyDescent="0.25">
      <c r="A2260" s="24" t="s">
        <v>7</v>
      </c>
      <c r="B2260" s="24" t="s">
        <v>11190</v>
      </c>
      <c r="C2260" s="25" t="s">
        <v>11191</v>
      </c>
      <c r="D2260" s="24" t="s">
        <v>21846</v>
      </c>
      <c r="G2260" s="40">
        <v>30</v>
      </c>
      <c r="H2260" s="41">
        <v>3990</v>
      </c>
      <c r="J2260" s="41">
        <v>133</v>
      </c>
    </row>
    <row r="2261" spans="1:11" x14ac:dyDescent="0.25">
      <c r="A2261" s="24" t="s">
        <v>7</v>
      </c>
      <c r="B2261" s="24" t="s">
        <v>11193</v>
      </c>
      <c r="C2261" s="25" t="s">
        <v>11194</v>
      </c>
      <c r="D2261" s="24" t="s">
        <v>21926</v>
      </c>
      <c r="E2261" s="40">
        <v>15379</v>
      </c>
      <c r="F2261" s="41">
        <v>76895</v>
      </c>
      <c r="G2261" s="40">
        <v>45400</v>
      </c>
      <c r="H2261" s="41">
        <v>262100</v>
      </c>
      <c r="I2261" s="41">
        <v>5</v>
      </c>
      <c r="J2261" s="41">
        <v>5.7731277533039647</v>
      </c>
      <c r="K2261" s="42">
        <v>0.15462555066079292</v>
      </c>
    </row>
    <row r="2262" spans="1:11" x14ac:dyDescent="0.25">
      <c r="A2262" s="24" t="s">
        <v>7</v>
      </c>
      <c r="B2262" s="24" t="s">
        <v>11196</v>
      </c>
      <c r="C2262" s="25" t="s">
        <v>11197</v>
      </c>
      <c r="D2262" s="24" t="s">
        <v>21927</v>
      </c>
      <c r="E2262" s="40">
        <v>12357</v>
      </c>
      <c r="F2262" s="41">
        <v>727672</v>
      </c>
      <c r="G2262" s="40">
        <v>10208</v>
      </c>
      <c r="H2262" s="41">
        <v>674258</v>
      </c>
      <c r="I2262" s="41">
        <v>58.887432224649999</v>
      </c>
      <c r="J2262" s="41">
        <v>66.051920062695928</v>
      </c>
      <c r="K2262" s="42">
        <v>0.12166412369135206</v>
      </c>
    </row>
    <row r="2263" spans="1:11" x14ac:dyDescent="0.25">
      <c r="A2263" s="24" t="s">
        <v>7</v>
      </c>
      <c r="B2263" s="24" t="s">
        <v>11199</v>
      </c>
      <c r="C2263" s="25" t="s">
        <v>11200</v>
      </c>
      <c r="D2263" s="24" t="s">
        <v>21928</v>
      </c>
      <c r="E2263" s="40">
        <v>961</v>
      </c>
      <c r="F2263" s="41">
        <v>208334</v>
      </c>
      <c r="G2263" s="40">
        <v>1642</v>
      </c>
      <c r="H2263" s="41">
        <v>401932</v>
      </c>
      <c r="I2263" s="41">
        <v>216.78876170655568</v>
      </c>
      <c r="J2263" s="41">
        <v>244.78197320341047</v>
      </c>
      <c r="K2263" s="42">
        <v>0.12912667278733889</v>
      </c>
    </row>
    <row r="2264" spans="1:11" x14ac:dyDescent="0.25">
      <c r="A2264" s="24" t="s">
        <v>7</v>
      </c>
      <c r="B2264" s="24" t="s">
        <v>11208</v>
      </c>
      <c r="C2264" s="25" t="s">
        <v>11209</v>
      </c>
      <c r="D2264" s="24" t="s">
        <v>21888</v>
      </c>
      <c r="G2264" s="40">
        <v>50</v>
      </c>
      <c r="H2264" s="41">
        <v>150</v>
      </c>
      <c r="J2264" s="41">
        <v>3</v>
      </c>
    </row>
    <row r="2265" spans="1:11" x14ac:dyDescent="0.25">
      <c r="A2265" s="24" t="s">
        <v>7</v>
      </c>
      <c r="B2265" s="24" t="s">
        <v>11211</v>
      </c>
      <c r="C2265" s="25" t="s">
        <v>11212</v>
      </c>
      <c r="D2265" s="24" t="s">
        <v>21929</v>
      </c>
      <c r="E2265" s="40">
        <v>371</v>
      </c>
      <c r="F2265" s="41">
        <v>55515</v>
      </c>
      <c r="G2265" s="40">
        <v>635</v>
      </c>
      <c r="H2265" s="41">
        <v>139124</v>
      </c>
      <c r="I2265" s="41">
        <v>149.63611859838275</v>
      </c>
      <c r="J2265" s="41">
        <v>219.09291338582676</v>
      </c>
      <c r="K2265" s="42">
        <v>0.46417132065462896</v>
      </c>
    </row>
    <row r="2266" spans="1:11" x14ac:dyDescent="0.25">
      <c r="A2266" s="24" t="s">
        <v>7</v>
      </c>
      <c r="B2266" s="24" t="s">
        <v>11223</v>
      </c>
      <c r="C2266" s="25" t="s">
        <v>11224</v>
      </c>
      <c r="D2266" s="24" t="s">
        <v>21930</v>
      </c>
      <c r="E2266" s="40">
        <v>8277</v>
      </c>
      <c r="F2266" s="41">
        <v>38570.82</v>
      </c>
      <c r="G2266" s="40">
        <v>8070</v>
      </c>
      <c r="H2266" s="41">
        <v>37523.199999999997</v>
      </c>
      <c r="I2266" s="41">
        <v>4.66</v>
      </c>
      <c r="J2266" s="41">
        <v>4.6497149938042126</v>
      </c>
      <c r="K2266" s="42">
        <v>-2.2070828746325187E-3</v>
      </c>
    </row>
    <row r="2267" spans="1:11" x14ac:dyDescent="0.25">
      <c r="A2267" s="24" t="s">
        <v>7</v>
      </c>
      <c r="B2267" s="24" t="s">
        <v>11226</v>
      </c>
      <c r="C2267" s="25" t="s">
        <v>11227</v>
      </c>
      <c r="D2267" s="24" t="s">
        <v>21930</v>
      </c>
      <c r="G2267" s="40">
        <v>24500</v>
      </c>
      <c r="H2267" s="41">
        <v>59305</v>
      </c>
      <c r="J2267" s="41">
        <v>2.420612244897959</v>
      </c>
    </row>
    <row r="2268" spans="1:11" x14ac:dyDescent="0.25">
      <c r="A2268" s="24" t="s">
        <v>7</v>
      </c>
      <c r="B2268" s="24" t="s">
        <v>11234</v>
      </c>
      <c r="C2268" s="25" t="s">
        <v>11235</v>
      </c>
      <c r="D2268" s="24" t="s">
        <v>21931</v>
      </c>
      <c r="G2268" s="40">
        <v>3</v>
      </c>
      <c r="H2268" s="41">
        <v>1644</v>
      </c>
      <c r="J2268" s="41">
        <v>548</v>
      </c>
    </row>
    <row r="2269" spans="1:11" x14ac:dyDescent="0.25">
      <c r="A2269" s="24" t="s">
        <v>7</v>
      </c>
      <c r="B2269" s="24" t="s">
        <v>11255</v>
      </c>
      <c r="C2269" s="25" t="s">
        <v>11256</v>
      </c>
      <c r="D2269" s="24" t="s">
        <v>21846</v>
      </c>
      <c r="G2269" s="40">
        <v>100</v>
      </c>
      <c r="H2269" s="41">
        <v>100</v>
      </c>
      <c r="J2269" s="41">
        <v>1</v>
      </c>
    </row>
    <row r="2270" spans="1:11" x14ac:dyDescent="0.25">
      <c r="A2270" s="24" t="s">
        <v>7</v>
      </c>
      <c r="B2270" s="24" t="s">
        <v>11261</v>
      </c>
      <c r="C2270" s="25" t="s">
        <v>11262</v>
      </c>
      <c r="D2270" s="24" t="s">
        <v>21846</v>
      </c>
      <c r="E2270" s="40">
        <v>679</v>
      </c>
      <c r="F2270" s="41">
        <v>157534</v>
      </c>
      <c r="G2270" s="40">
        <v>721</v>
      </c>
      <c r="H2270" s="41">
        <v>146988</v>
      </c>
      <c r="I2270" s="41">
        <v>232.00883652430045</v>
      </c>
      <c r="J2270" s="41">
        <v>203.86685159500692</v>
      </c>
      <c r="K2270" s="42">
        <v>-0.12129703915973888</v>
      </c>
    </row>
    <row r="2271" spans="1:11" x14ac:dyDescent="0.25">
      <c r="A2271" s="24" t="s">
        <v>7</v>
      </c>
      <c r="B2271" s="24" t="s">
        <v>11264</v>
      </c>
      <c r="C2271" s="25" t="s">
        <v>11265</v>
      </c>
      <c r="D2271" s="24" t="s">
        <v>21846</v>
      </c>
      <c r="E2271" s="40">
        <v>21</v>
      </c>
      <c r="F2271" s="41">
        <v>1471</v>
      </c>
      <c r="G2271" s="40">
        <v>21</v>
      </c>
      <c r="H2271" s="41">
        <v>1425</v>
      </c>
      <c r="I2271" s="41">
        <v>70.047619047619051</v>
      </c>
      <c r="J2271" s="41">
        <v>67.857142857142861</v>
      </c>
      <c r="K2271" s="42">
        <v>-3.1271244051665523E-2</v>
      </c>
    </row>
    <row r="2272" spans="1:11" x14ac:dyDescent="0.25">
      <c r="A2272" s="24" t="s">
        <v>7</v>
      </c>
      <c r="B2272" s="24" t="s">
        <v>11267</v>
      </c>
      <c r="C2272" s="25" t="s">
        <v>11268</v>
      </c>
      <c r="D2272" s="24" t="s">
        <v>21932</v>
      </c>
      <c r="E2272" s="40">
        <v>604</v>
      </c>
      <c r="F2272" s="41">
        <v>532611</v>
      </c>
      <c r="G2272" s="40">
        <v>829</v>
      </c>
      <c r="H2272" s="41">
        <v>571526</v>
      </c>
      <c r="I2272" s="41">
        <v>881.80629139072846</v>
      </c>
      <c r="J2272" s="41">
        <v>689.41616405307605</v>
      </c>
      <c r="K2272" s="42">
        <v>-0.21817731310833247</v>
      </c>
    </row>
    <row r="2273" spans="1:11" x14ac:dyDescent="0.25">
      <c r="A2273" s="24" t="s">
        <v>7</v>
      </c>
      <c r="B2273" s="24" t="s">
        <v>11270</v>
      </c>
      <c r="C2273" s="25" t="s">
        <v>11271</v>
      </c>
      <c r="D2273" s="24" t="s">
        <v>21846</v>
      </c>
      <c r="E2273" s="40">
        <v>4111</v>
      </c>
      <c r="F2273" s="41">
        <v>8692289</v>
      </c>
      <c r="G2273" s="40">
        <v>3587</v>
      </c>
      <c r="H2273" s="41">
        <v>7744333</v>
      </c>
      <c r="I2273" s="41">
        <v>2114.3977134517149</v>
      </c>
      <c r="J2273" s="41">
        <v>2159</v>
      </c>
      <c r="K2273" s="42">
        <v>2.1094558636971218E-2</v>
      </c>
    </row>
    <row r="2274" spans="1:11" x14ac:dyDescent="0.25">
      <c r="A2274" s="24" t="s">
        <v>7</v>
      </c>
      <c r="B2274" s="24" t="s">
        <v>11273</v>
      </c>
      <c r="C2274" s="25" t="s">
        <v>11274</v>
      </c>
      <c r="D2274" s="24" t="s">
        <v>21933</v>
      </c>
      <c r="E2274" s="40">
        <v>21000</v>
      </c>
      <c r="F2274" s="41">
        <v>303000</v>
      </c>
      <c r="G2274" s="40">
        <v>145000</v>
      </c>
      <c r="H2274" s="41">
        <v>2175000</v>
      </c>
      <c r="I2274" s="41">
        <v>14.428571428571429</v>
      </c>
      <c r="J2274" s="41">
        <v>15</v>
      </c>
      <c r="K2274" s="42">
        <v>3.9603960396039584E-2</v>
      </c>
    </row>
    <row r="2275" spans="1:11" x14ac:dyDescent="0.25">
      <c r="A2275" s="24" t="s">
        <v>7</v>
      </c>
      <c r="B2275" s="24" t="s">
        <v>21934</v>
      </c>
      <c r="C2275" s="25" t="s">
        <v>21935</v>
      </c>
      <c r="D2275" s="24" t="s">
        <v>21936</v>
      </c>
      <c r="E2275" s="40">
        <v>2025</v>
      </c>
      <c r="F2275" s="41">
        <v>51788</v>
      </c>
      <c r="G2275" s="40">
        <v>1691</v>
      </c>
      <c r="H2275" s="41">
        <v>43966</v>
      </c>
      <c r="I2275" s="41">
        <v>25.574320987654321</v>
      </c>
      <c r="J2275" s="41">
        <v>26</v>
      </c>
      <c r="K2275" s="42">
        <v>1.6644782575113919E-2</v>
      </c>
    </row>
    <row r="2276" spans="1:11" x14ac:dyDescent="0.25">
      <c r="A2276" s="24" t="s">
        <v>7</v>
      </c>
      <c r="B2276" s="24" t="s">
        <v>21937</v>
      </c>
      <c r="C2276" s="25" t="s">
        <v>21938</v>
      </c>
      <c r="D2276" s="24" t="s">
        <v>21936</v>
      </c>
      <c r="E2276" s="40">
        <v>2285</v>
      </c>
      <c r="F2276" s="41">
        <v>100743</v>
      </c>
      <c r="G2276" s="40">
        <v>1946</v>
      </c>
      <c r="H2276" s="41">
        <v>87570</v>
      </c>
      <c r="I2276" s="41">
        <v>44.08884026258206</v>
      </c>
      <c r="J2276" s="41">
        <v>45</v>
      </c>
      <c r="K2276" s="42">
        <v>2.0666448289211083E-2</v>
      </c>
    </row>
    <row r="2277" spans="1:11" x14ac:dyDescent="0.25">
      <c r="A2277" s="24" t="s">
        <v>7</v>
      </c>
      <c r="B2277" s="24" t="s">
        <v>11293</v>
      </c>
      <c r="C2277" s="25" t="s">
        <v>11294</v>
      </c>
      <c r="D2277" s="24" t="s">
        <v>21939</v>
      </c>
      <c r="E2277" s="40">
        <v>917</v>
      </c>
      <c r="F2277" s="41">
        <v>53043</v>
      </c>
      <c r="G2277" s="40">
        <v>927</v>
      </c>
      <c r="H2277" s="41">
        <v>50850</v>
      </c>
      <c r="I2277" s="41">
        <v>57.844056706652125</v>
      </c>
      <c r="J2277" s="41">
        <v>54.854368932038838</v>
      </c>
      <c r="K2277" s="42">
        <v>-5.1685306059619261E-2</v>
      </c>
    </row>
    <row r="2278" spans="1:11" x14ac:dyDescent="0.25">
      <c r="A2278" s="24" t="s">
        <v>7</v>
      </c>
      <c r="B2278" s="24" t="s">
        <v>11299</v>
      </c>
      <c r="C2278" s="25" t="s">
        <v>11300</v>
      </c>
      <c r="D2278" s="24" t="s">
        <v>21846</v>
      </c>
      <c r="E2278" s="40">
        <v>34</v>
      </c>
      <c r="F2278" s="41">
        <v>106998</v>
      </c>
      <c r="G2278" s="40">
        <v>31</v>
      </c>
      <c r="H2278" s="41">
        <v>74110</v>
      </c>
      <c r="I2278" s="41">
        <v>3147</v>
      </c>
      <c r="J2278" s="41">
        <v>2390.6451612903224</v>
      </c>
      <c r="K2278" s="42">
        <v>-0.24034154391791471</v>
      </c>
    </row>
    <row r="2279" spans="1:11" x14ac:dyDescent="0.25">
      <c r="A2279" s="24" t="s">
        <v>7</v>
      </c>
      <c r="B2279" s="24" t="s">
        <v>11305</v>
      </c>
      <c r="C2279" s="25" t="s">
        <v>11306</v>
      </c>
      <c r="D2279" s="24" t="s">
        <v>21940</v>
      </c>
      <c r="G2279" s="40">
        <v>203</v>
      </c>
      <c r="H2279" s="41">
        <v>30539</v>
      </c>
      <c r="J2279" s="41">
        <v>150.4384236453202</v>
      </c>
    </row>
    <row r="2280" spans="1:11" x14ac:dyDescent="0.25">
      <c r="A2280" s="24" t="s">
        <v>7</v>
      </c>
      <c r="B2280" s="24" t="s">
        <v>11308</v>
      </c>
      <c r="C2280" s="25" t="s">
        <v>11309</v>
      </c>
      <c r="D2280" s="24" t="s">
        <v>21846</v>
      </c>
      <c r="E2280" s="40">
        <v>67</v>
      </c>
      <c r="F2280" s="41">
        <v>10626</v>
      </c>
      <c r="G2280" s="40">
        <v>53</v>
      </c>
      <c r="H2280" s="41">
        <v>14423</v>
      </c>
      <c r="I2280" s="41">
        <v>158.59701492537314</v>
      </c>
      <c r="J2280" s="41">
        <v>272.1320754716981</v>
      </c>
      <c r="K2280" s="42">
        <v>0.71587135861130924</v>
      </c>
    </row>
    <row r="2281" spans="1:11" x14ac:dyDescent="0.25">
      <c r="A2281" s="24" t="s">
        <v>7</v>
      </c>
      <c r="B2281" s="24" t="s">
        <v>11320</v>
      </c>
      <c r="C2281" s="25" t="s">
        <v>11321</v>
      </c>
      <c r="D2281" s="24" t="s">
        <v>21939</v>
      </c>
      <c r="E2281" s="40">
        <v>226</v>
      </c>
      <c r="F2281" s="41">
        <v>26689</v>
      </c>
      <c r="G2281" s="40">
        <v>240</v>
      </c>
      <c r="H2281" s="41">
        <v>29040</v>
      </c>
      <c r="I2281" s="41">
        <v>118.09292035398231</v>
      </c>
      <c r="J2281" s="41">
        <v>121</v>
      </c>
      <c r="K2281" s="42">
        <v>2.4616883360185783E-2</v>
      </c>
    </row>
    <row r="2282" spans="1:11" x14ac:dyDescent="0.25">
      <c r="A2282" s="24" t="s">
        <v>7</v>
      </c>
      <c r="B2282" s="24" t="s">
        <v>11326</v>
      </c>
      <c r="C2282" s="25" t="s">
        <v>11327</v>
      </c>
      <c r="D2282" s="24" t="s">
        <v>21941</v>
      </c>
      <c r="E2282" s="40">
        <v>20</v>
      </c>
      <c r="F2282" s="41">
        <v>17220</v>
      </c>
      <c r="G2282" s="40">
        <v>130</v>
      </c>
      <c r="H2282" s="41">
        <v>87483</v>
      </c>
      <c r="I2282" s="41">
        <v>861</v>
      </c>
      <c r="J2282" s="41">
        <v>672.94615384615383</v>
      </c>
      <c r="K2282" s="42">
        <v>-0.21841329402305013</v>
      </c>
    </row>
    <row r="2283" spans="1:11" x14ac:dyDescent="0.25">
      <c r="A2283" s="24" t="s">
        <v>7</v>
      </c>
      <c r="B2283" s="24" t="s">
        <v>11329</v>
      </c>
      <c r="C2283" s="25" t="s">
        <v>11330</v>
      </c>
      <c r="D2283" s="24" t="s">
        <v>21846</v>
      </c>
      <c r="E2283" s="40">
        <v>41</v>
      </c>
      <c r="F2283" s="41">
        <v>2206</v>
      </c>
      <c r="G2283" s="40">
        <v>10</v>
      </c>
      <c r="H2283" s="41">
        <v>540</v>
      </c>
      <c r="I2283" s="41">
        <v>53.804878048780488</v>
      </c>
      <c r="J2283" s="41">
        <v>54</v>
      </c>
      <c r="K2283" s="42">
        <v>3.6264732547597492E-3</v>
      </c>
    </row>
    <row r="2284" spans="1:11" x14ac:dyDescent="0.25">
      <c r="A2284" s="24" t="s">
        <v>7</v>
      </c>
      <c r="B2284" s="24" t="s">
        <v>11331</v>
      </c>
      <c r="C2284" s="25" t="s">
        <v>11332</v>
      </c>
      <c r="D2284" s="24" t="s">
        <v>21846</v>
      </c>
      <c r="G2284" s="40">
        <v>216</v>
      </c>
      <c r="H2284" s="41">
        <v>3888</v>
      </c>
      <c r="J2284" s="41">
        <v>18</v>
      </c>
    </row>
    <row r="2285" spans="1:11" x14ac:dyDescent="0.25">
      <c r="A2285" s="24" t="s">
        <v>7</v>
      </c>
      <c r="B2285" s="24" t="s">
        <v>11337</v>
      </c>
      <c r="C2285" s="25" t="s">
        <v>11338</v>
      </c>
      <c r="D2285" s="24" t="s">
        <v>21942</v>
      </c>
      <c r="G2285" s="40">
        <v>500</v>
      </c>
      <c r="H2285" s="41">
        <v>27500</v>
      </c>
      <c r="J2285" s="41">
        <v>55</v>
      </c>
    </row>
    <row r="2286" spans="1:11" x14ac:dyDescent="0.25">
      <c r="A2286" s="24" t="s">
        <v>7</v>
      </c>
      <c r="B2286" s="24" t="s">
        <v>21943</v>
      </c>
      <c r="C2286" s="25" t="s">
        <v>21944</v>
      </c>
      <c r="D2286" s="24" t="s">
        <v>21846</v>
      </c>
      <c r="E2286" s="40">
        <v>1098</v>
      </c>
      <c r="F2286" s="41">
        <v>106119</v>
      </c>
      <c r="G2286" s="40">
        <v>861</v>
      </c>
      <c r="H2286" s="41">
        <v>85239</v>
      </c>
      <c r="I2286" s="41">
        <v>96.647540983606561</v>
      </c>
      <c r="J2286" s="41">
        <v>99</v>
      </c>
      <c r="K2286" s="42">
        <v>2.4340598761767411E-2</v>
      </c>
    </row>
    <row r="2287" spans="1:11" x14ac:dyDescent="0.25">
      <c r="A2287" s="24" t="s">
        <v>7</v>
      </c>
      <c r="B2287" s="24" t="s">
        <v>11346</v>
      </c>
      <c r="C2287" s="25" t="s">
        <v>11347</v>
      </c>
      <c r="D2287" s="24" t="s">
        <v>21888</v>
      </c>
      <c r="G2287" s="40">
        <v>24</v>
      </c>
      <c r="H2287" s="41">
        <v>624</v>
      </c>
      <c r="J2287" s="41">
        <v>26</v>
      </c>
    </row>
    <row r="2288" spans="1:11" x14ac:dyDescent="0.25">
      <c r="A2288" s="24" t="s">
        <v>7</v>
      </c>
      <c r="B2288" s="24" t="s">
        <v>11349</v>
      </c>
      <c r="C2288" s="25" t="s">
        <v>11350</v>
      </c>
      <c r="D2288" s="24" t="s">
        <v>21945</v>
      </c>
      <c r="G2288" s="40">
        <v>64</v>
      </c>
      <c r="H2288" s="41">
        <v>18046</v>
      </c>
      <c r="J2288" s="41">
        <v>281.96875</v>
      </c>
    </row>
    <row r="2289" spans="1:11" x14ac:dyDescent="0.25">
      <c r="A2289" s="24" t="s">
        <v>7</v>
      </c>
      <c r="B2289" s="24" t="s">
        <v>21946</v>
      </c>
      <c r="C2289" s="25" t="s">
        <v>21947</v>
      </c>
      <c r="D2289" s="24" t="s">
        <v>21948</v>
      </c>
      <c r="E2289" s="40">
        <v>22393</v>
      </c>
      <c r="F2289" s="41">
        <v>5984529</v>
      </c>
      <c r="G2289" s="40">
        <v>19505</v>
      </c>
      <c r="H2289" s="41">
        <v>5324865</v>
      </c>
      <c r="I2289" s="41">
        <v>267.2499888357969</v>
      </c>
      <c r="J2289" s="41">
        <v>273</v>
      </c>
      <c r="K2289" s="42">
        <v>2.1515477659144112E-2</v>
      </c>
    </row>
    <row r="2290" spans="1:11" x14ac:dyDescent="0.25">
      <c r="A2290" s="24" t="s">
        <v>7</v>
      </c>
      <c r="B2290" s="24" t="s">
        <v>11355</v>
      </c>
      <c r="C2290" s="25" t="s">
        <v>11356</v>
      </c>
      <c r="D2290" s="24" t="s">
        <v>21949</v>
      </c>
      <c r="E2290" s="40">
        <v>285</v>
      </c>
      <c r="F2290" s="41">
        <v>15555</v>
      </c>
      <c r="G2290" s="40">
        <v>530</v>
      </c>
      <c r="H2290" s="41">
        <v>16550</v>
      </c>
      <c r="I2290" s="41">
        <v>54.578947368421055</v>
      </c>
      <c r="J2290" s="41">
        <v>31.226415094339622</v>
      </c>
      <c r="K2290" s="42">
        <v>-0.42786703298702722</v>
      </c>
    </row>
    <row r="2291" spans="1:11" x14ac:dyDescent="0.25">
      <c r="A2291" s="24" t="s">
        <v>7</v>
      </c>
      <c r="B2291" s="24" t="s">
        <v>11358</v>
      </c>
      <c r="C2291" s="25" t="s">
        <v>11359</v>
      </c>
      <c r="D2291" s="24" t="s">
        <v>21846</v>
      </c>
      <c r="E2291" s="40">
        <v>10</v>
      </c>
      <c r="F2291" s="41">
        <v>150</v>
      </c>
      <c r="G2291" s="40">
        <v>28</v>
      </c>
      <c r="H2291" s="41">
        <v>420</v>
      </c>
      <c r="I2291" s="41">
        <v>15</v>
      </c>
      <c r="J2291" s="41">
        <v>15</v>
      </c>
      <c r="K2291" s="42">
        <v>0</v>
      </c>
    </row>
    <row r="2292" spans="1:11" x14ac:dyDescent="0.25">
      <c r="A2292" s="24" t="s">
        <v>7</v>
      </c>
      <c r="B2292" s="24" t="s">
        <v>11361</v>
      </c>
      <c r="C2292" s="25" t="s">
        <v>11362</v>
      </c>
      <c r="D2292" s="24" t="s">
        <v>21950</v>
      </c>
      <c r="E2292" s="40">
        <v>600</v>
      </c>
      <c r="F2292" s="41">
        <v>5400</v>
      </c>
      <c r="G2292" s="40">
        <v>300</v>
      </c>
      <c r="H2292" s="41">
        <v>2700</v>
      </c>
      <c r="I2292" s="41">
        <v>9</v>
      </c>
      <c r="J2292" s="41">
        <v>9</v>
      </c>
      <c r="K2292" s="42">
        <v>0</v>
      </c>
    </row>
    <row r="2293" spans="1:11" x14ac:dyDescent="0.25">
      <c r="A2293" s="24" t="s">
        <v>7</v>
      </c>
      <c r="B2293" s="24" t="s">
        <v>11364</v>
      </c>
      <c r="C2293" s="25" t="s">
        <v>11365</v>
      </c>
      <c r="D2293" s="24" t="s">
        <v>21951</v>
      </c>
      <c r="E2293" s="40">
        <v>172</v>
      </c>
      <c r="F2293" s="41">
        <v>26316</v>
      </c>
      <c r="G2293" s="40">
        <v>0</v>
      </c>
      <c r="H2293" s="41">
        <v>0</v>
      </c>
      <c r="I2293" s="41">
        <v>153</v>
      </c>
    </row>
    <row r="2294" spans="1:11" x14ac:dyDescent="0.25">
      <c r="A2294" s="24" t="s">
        <v>7</v>
      </c>
      <c r="B2294" s="24" t="s">
        <v>11366</v>
      </c>
      <c r="C2294" s="25" t="s">
        <v>11367</v>
      </c>
      <c r="D2294" s="24" t="s">
        <v>21952</v>
      </c>
      <c r="G2294" s="40">
        <v>300</v>
      </c>
      <c r="H2294" s="41">
        <v>2700</v>
      </c>
      <c r="J2294" s="41">
        <v>9</v>
      </c>
    </row>
    <row r="2295" spans="1:11" x14ac:dyDescent="0.25">
      <c r="A2295" s="24" t="s">
        <v>7</v>
      </c>
      <c r="B2295" s="24" t="s">
        <v>11369</v>
      </c>
      <c r="C2295" s="25" t="s">
        <v>11370</v>
      </c>
      <c r="D2295" s="24" t="s">
        <v>21953</v>
      </c>
      <c r="G2295" s="40">
        <v>210</v>
      </c>
      <c r="H2295" s="41">
        <v>77700</v>
      </c>
      <c r="J2295" s="41">
        <v>370</v>
      </c>
    </row>
    <row r="2296" spans="1:11" x14ac:dyDescent="0.25">
      <c r="A2296" s="24" t="s">
        <v>7</v>
      </c>
      <c r="B2296" s="24" t="s">
        <v>11380</v>
      </c>
      <c r="C2296" s="25" t="s">
        <v>11381</v>
      </c>
      <c r="D2296" s="24" t="s">
        <v>21954</v>
      </c>
      <c r="E2296" s="40">
        <v>50</v>
      </c>
      <c r="F2296" s="41">
        <v>37800</v>
      </c>
      <c r="G2296" s="40">
        <v>13</v>
      </c>
      <c r="H2296" s="41">
        <v>9828</v>
      </c>
      <c r="I2296" s="41">
        <v>756</v>
      </c>
      <c r="J2296" s="41">
        <v>756</v>
      </c>
      <c r="K2296" s="42">
        <v>0</v>
      </c>
    </row>
    <row r="2297" spans="1:11" x14ac:dyDescent="0.25">
      <c r="A2297" s="24" t="s">
        <v>7</v>
      </c>
      <c r="B2297" s="24" t="s">
        <v>11383</v>
      </c>
      <c r="C2297" s="25" t="s">
        <v>11384</v>
      </c>
      <c r="D2297" s="24" t="s">
        <v>21955</v>
      </c>
      <c r="G2297" s="40">
        <v>30</v>
      </c>
      <c r="H2297" s="41">
        <v>11010</v>
      </c>
      <c r="J2297" s="41">
        <v>367</v>
      </c>
    </row>
    <row r="2298" spans="1:11" x14ac:dyDescent="0.25">
      <c r="A2298" s="24" t="s">
        <v>7</v>
      </c>
      <c r="B2298" s="24" t="s">
        <v>11386</v>
      </c>
      <c r="C2298" s="25" t="s">
        <v>11387</v>
      </c>
      <c r="D2298" s="24" t="s">
        <v>21956</v>
      </c>
      <c r="E2298" s="40">
        <v>261</v>
      </c>
      <c r="F2298" s="41">
        <v>27332</v>
      </c>
      <c r="G2298" s="40">
        <v>287</v>
      </c>
      <c r="H2298" s="41">
        <v>29541</v>
      </c>
      <c r="I2298" s="41">
        <v>104.72030651340997</v>
      </c>
      <c r="J2298" s="41">
        <v>102.93031358885017</v>
      </c>
      <c r="K2298" s="42">
        <v>-1.7093083320287836E-2</v>
      </c>
    </row>
    <row r="2299" spans="1:11" x14ac:dyDescent="0.25">
      <c r="A2299" s="24" t="s">
        <v>7</v>
      </c>
      <c r="B2299" s="24" t="s">
        <v>11389</v>
      </c>
      <c r="C2299" s="25" t="s">
        <v>11390</v>
      </c>
      <c r="D2299" s="24" t="s">
        <v>21888</v>
      </c>
      <c r="E2299" s="40">
        <v>1159</v>
      </c>
      <c r="F2299" s="41">
        <v>144151</v>
      </c>
      <c r="G2299" s="40">
        <v>1215</v>
      </c>
      <c r="H2299" s="41">
        <v>130971</v>
      </c>
      <c r="I2299" s="41">
        <v>124.37532355478861</v>
      </c>
      <c r="J2299" s="41">
        <v>107.79506172839505</v>
      </c>
      <c r="K2299" s="42">
        <v>-0.13330829100589053</v>
      </c>
    </row>
    <row r="2300" spans="1:11" x14ac:dyDescent="0.25">
      <c r="A2300" s="24" t="s">
        <v>7</v>
      </c>
      <c r="B2300" s="24" t="s">
        <v>11392</v>
      </c>
      <c r="C2300" s="25" t="s">
        <v>11393</v>
      </c>
      <c r="D2300" s="24" t="s">
        <v>21956</v>
      </c>
      <c r="E2300" s="40">
        <v>1680</v>
      </c>
      <c r="F2300" s="41">
        <v>632356</v>
      </c>
      <c r="G2300" s="40">
        <v>1221</v>
      </c>
      <c r="H2300" s="41">
        <v>422181</v>
      </c>
      <c r="I2300" s="41">
        <v>376.40238095238095</v>
      </c>
      <c r="J2300" s="41">
        <v>345.76658476658474</v>
      </c>
      <c r="K2300" s="42">
        <v>-8.1391079695832147E-2</v>
      </c>
    </row>
    <row r="2301" spans="1:11" x14ac:dyDescent="0.25">
      <c r="A2301" s="24" t="s">
        <v>7</v>
      </c>
      <c r="B2301" s="24" t="s">
        <v>11398</v>
      </c>
      <c r="C2301" s="25" t="s">
        <v>11399</v>
      </c>
      <c r="D2301" s="24" t="s">
        <v>21957</v>
      </c>
      <c r="E2301" s="40">
        <v>34</v>
      </c>
      <c r="F2301" s="41">
        <v>16596</v>
      </c>
      <c r="G2301" s="40">
        <v>45</v>
      </c>
      <c r="H2301" s="41">
        <v>22103</v>
      </c>
      <c r="I2301" s="41">
        <v>488.11764705882354</v>
      </c>
      <c r="J2301" s="41">
        <v>491.17777777777781</v>
      </c>
      <c r="K2301" s="42">
        <v>6.2692482793712439E-3</v>
      </c>
    </row>
    <row r="2302" spans="1:11" x14ac:dyDescent="0.25">
      <c r="A2302" s="24" t="s">
        <v>7</v>
      </c>
      <c r="B2302" s="24" t="s">
        <v>11401</v>
      </c>
      <c r="C2302" s="25" t="s">
        <v>11402</v>
      </c>
      <c r="D2302" s="24" t="s">
        <v>21958</v>
      </c>
      <c r="E2302" s="40">
        <v>6208</v>
      </c>
      <c r="F2302" s="41">
        <v>52147.199999999997</v>
      </c>
      <c r="G2302" s="40">
        <v>12644</v>
      </c>
      <c r="H2302" s="41">
        <v>99856</v>
      </c>
      <c r="I2302" s="41">
        <v>8.4</v>
      </c>
      <c r="J2302" s="41">
        <v>7.8975007908889596</v>
      </c>
      <c r="K2302" s="42">
        <v>-5.9821334417981036E-2</v>
      </c>
    </row>
    <row r="2303" spans="1:11" x14ac:dyDescent="0.25">
      <c r="A2303" s="24" t="s">
        <v>7</v>
      </c>
      <c r="B2303" s="24" t="s">
        <v>11403</v>
      </c>
      <c r="C2303" s="25" t="s">
        <v>11404</v>
      </c>
      <c r="D2303" s="24" t="s">
        <v>21959</v>
      </c>
      <c r="G2303" s="40">
        <v>5</v>
      </c>
      <c r="H2303" s="41">
        <v>840</v>
      </c>
      <c r="J2303" s="41">
        <v>168</v>
      </c>
    </row>
    <row r="2304" spans="1:11" x14ac:dyDescent="0.25">
      <c r="A2304" s="24" t="s">
        <v>7</v>
      </c>
      <c r="B2304" s="24" t="s">
        <v>11412</v>
      </c>
      <c r="C2304" s="25" t="s">
        <v>11413</v>
      </c>
      <c r="D2304" s="24" t="s">
        <v>21960</v>
      </c>
      <c r="E2304" s="40">
        <v>662</v>
      </c>
      <c r="F2304" s="41">
        <v>73310</v>
      </c>
      <c r="G2304" s="40">
        <v>748</v>
      </c>
      <c r="H2304" s="41">
        <v>71836</v>
      </c>
      <c r="I2304" s="41">
        <v>110.74018126888218</v>
      </c>
      <c r="J2304" s="41">
        <v>96.037433155080208</v>
      </c>
      <c r="K2304" s="42">
        <v>-0.13276796141504441</v>
      </c>
    </row>
    <row r="2305" spans="1:11" x14ac:dyDescent="0.25">
      <c r="A2305" s="24" t="s">
        <v>7</v>
      </c>
      <c r="B2305" s="24" t="s">
        <v>11427</v>
      </c>
      <c r="C2305" s="25" t="s">
        <v>11428</v>
      </c>
      <c r="D2305" s="24" t="s">
        <v>21961</v>
      </c>
      <c r="E2305" s="40">
        <v>8970</v>
      </c>
      <c r="F2305" s="41">
        <v>131760</v>
      </c>
      <c r="G2305" s="40">
        <v>12186</v>
      </c>
      <c r="H2305" s="41">
        <v>175860</v>
      </c>
      <c r="I2305" s="41">
        <v>14.688963210702342</v>
      </c>
      <c r="J2305" s="41">
        <v>14.431314623338258</v>
      </c>
      <c r="K2305" s="42">
        <v>-1.7540284066908277E-2</v>
      </c>
    </row>
    <row r="2306" spans="1:11" x14ac:dyDescent="0.25">
      <c r="A2306" s="24" t="s">
        <v>7</v>
      </c>
      <c r="B2306" s="24" t="s">
        <v>11430</v>
      </c>
      <c r="C2306" s="25" t="s">
        <v>11431</v>
      </c>
      <c r="D2306" s="24" t="s">
        <v>21962</v>
      </c>
      <c r="E2306" s="40">
        <v>94788</v>
      </c>
      <c r="F2306" s="41">
        <v>13805831</v>
      </c>
      <c r="G2306" s="40">
        <v>109049</v>
      </c>
      <c r="H2306" s="41">
        <v>13991875</v>
      </c>
      <c r="I2306" s="41">
        <v>145.64956534582436</v>
      </c>
      <c r="J2306" s="41">
        <v>128.30814587937533</v>
      </c>
      <c r="K2306" s="42">
        <v>-0.11906262421912671</v>
      </c>
    </row>
    <row r="2307" spans="1:11" x14ac:dyDescent="0.25">
      <c r="A2307" s="24" t="s">
        <v>7</v>
      </c>
      <c r="B2307" s="24" t="s">
        <v>11433</v>
      </c>
      <c r="C2307" s="25" t="s">
        <v>11434</v>
      </c>
      <c r="D2307" s="24" t="s">
        <v>21962</v>
      </c>
      <c r="E2307" s="40">
        <v>509</v>
      </c>
      <c r="F2307" s="41">
        <v>5328</v>
      </c>
      <c r="G2307" s="40">
        <v>159</v>
      </c>
      <c r="H2307" s="41">
        <v>1793</v>
      </c>
      <c r="I2307" s="41">
        <v>10.467583497053045</v>
      </c>
      <c r="J2307" s="41">
        <v>11.276729559748428</v>
      </c>
      <c r="K2307" s="42">
        <v>7.7300177536026665E-2</v>
      </c>
    </row>
    <row r="2308" spans="1:11" x14ac:dyDescent="0.25">
      <c r="A2308" s="24" t="s">
        <v>7</v>
      </c>
      <c r="B2308" s="24" t="s">
        <v>11439</v>
      </c>
      <c r="C2308" s="25" t="s">
        <v>11440</v>
      </c>
      <c r="D2308" s="24" t="s">
        <v>21846</v>
      </c>
      <c r="E2308" s="40">
        <v>54</v>
      </c>
      <c r="F2308" s="41">
        <v>108</v>
      </c>
      <c r="G2308" s="40">
        <v>139</v>
      </c>
      <c r="H2308" s="41">
        <v>278</v>
      </c>
      <c r="I2308" s="41">
        <v>2</v>
      </c>
      <c r="J2308" s="41">
        <v>2</v>
      </c>
      <c r="K2308" s="42">
        <v>0</v>
      </c>
    </row>
    <row r="2309" spans="1:11" x14ac:dyDescent="0.25">
      <c r="A2309" s="24" t="s">
        <v>7</v>
      </c>
      <c r="B2309" s="24" t="s">
        <v>11441</v>
      </c>
      <c r="C2309" s="25" t="s">
        <v>11442</v>
      </c>
      <c r="D2309" s="24" t="s">
        <v>21962</v>
      </c>
      <c r="G2309" s="40">
        <v>44</v>
      </c>
      <c r="H2309" s="41">
        <v>6284</v>
      </c>
      <c r="J2309" s="41">
        <v>142.81818181818181</v>
      </c>
    </row>
    <row r="2310" spans="1:11" x14ac:dyDescent="0.25">
      <c r="A2310" s="24" t="s">
        <v>7</v>
      </c>
      <c r="B2310" s="24" t="s">
        <v>11444</v>
      </c>
      <c r="C2310" s="25" t="s">
        <v>11445</v>
      </c>
      <c r="D2310" s="24" t="s">
        <v>21888</v>
      </c>
      <c r="G2310" s="40">
        <v>3</v>
      </c>
      <c r="H2310" s="41">
        <v>117</v>
      </c>
      <c r="J2310" s="41">
        <v>39</v>
      </c>
    </row>
    <row r="2311" spans="1:11" x14ac:dyDescent="0.25">
      <c r="A2311" s="24" t="s">
        <v>7</v>
      </c>
      <c r="B2311" s="24" t="s">
        <v>11447</v>
      </c>
      <c r="C2311" s="25" t="s">
        <v>11448</v>
      </c>
      <c r="D2311" s="24" t="s">
        <v>21962</v>
      </c>
      <c r="E2311" s="40">
        <v>79690</v>
      </c>
      <c r="F2311" s="41">
        <v>3801918</v>
      </c>
      <c r="G2311" s="40">
        <v>96844</v>
      </c>
      <c r="H2311" s="41">
        <v>4177998</v>
      </c>
      <c r="I2311" s="41">
        <v>47.708846781277451</v>
      </c>
      <c r="J2311" s="41">
        <v>43.141526578827808</v>
      </c>
      <c r="K2311" s="42">
        <v>-9.5733192281688362E-2</v>
      </c>
    </row>
    <row r="2312" spans="1:11" x14ac:dyDescent="0.25">
      <c r="A2312" s="24" t="s">
        <v>7</v>
      </c>
      <c r="B2312" s="24" t="s">
        <v>11450</v>
      </c>
      <c r="C2312" s="25" t="s">
        <v>11451</v>
      </c>
      <c r="D2312" s="24" t="s">
        <v>21963</v>
      </c>
      <c r="E2312" s="40">
        <v>28</v>
      </c>
      <c r="F2312" s="41">
        <v>117266</v>
      </c>
      <c r="G2312" s="40">
        <v>30</v>
      </c>
      <c r="H2312" s="41">
        <v>128760</v>
      </c>
      <c r="I2312" s="41">
        <v>4188.0714285714284</v>
      </c>
      <c r="J2312" s="41">
        <v>4292</v>
      </c>
      <c r="K2312" s="42">
        <v>2.4815377006122862E-2</v>
      </c>
    </row>
    <row r="2313" spans="1:11" x14ac:dyDescent="0.25">
      <c r="A2313" s="24" t="s">
        <v>7</v>
      </c>
      <c r="B2313" s="24" t="s">
        <v>11453</v>
      </c>
      <c r="C2313" s="25" t="s">
        <v>11454</v>
      </c>
      <c r="D2313" s="24" t="s">
        <v>21963</v>
      </c>
      <c r="G2313" s="40">
        <v>4</v>
      </c>
      <c r="H2313" s="41">
        <v>22360</v>
      </c>
      <c r="J2313" s="41">
        <v>5590</v>
      </c>
    </row>
    <row r="2314" spans="1:11" x14ac:dyDescent="0.25">
      <c r="A2314" s="24" t="s">
        <v>7</v>
      </c>
      <c r="B2314" s="24" t="s">
        <v>11456</v>
      </c>
      <c r="C2314" s="25" t="s">
        <v>11457</v>
      </c>
      <c r="D2314" s="24" t="s">
        <v>21964</v>
      </c>
      <c r="G2314" s="40">
        <v>1</v>
      </c>
      <c r="H2314" s="41">
        <v>713</v>
      </c>
      <c r="J2314" s="41">
        <v>713</v>
      </c>
    </row>
    <row r="2315" spans="1:11" x14ac:dyDescent="0.25">
      <c r="A2315" s="24" t="s">
        <v>7</v>
      </c>
      <c r="B2315" s="24" t="s">
        <v>11459</v>
      </c>
      <c r="C2315" s="25" t="s">
        <v>11460</v>
      </c>
      <c r="D2315" s="24" t="s">
        <v>21965</v>
      </c>
      <c r="E2315" s="40">
        <v>1494</v>
      </c>
      <c r="F2315" s="41">
        <v>591084</v>
      </c>
      <c r="G2315" s="40">
        <v>1425</v>
      </c>
      <c r="H2315" s="41">
        <v>494625</v>
      </c>
      <c r="I2315" s="41">
        <v>395.63855421686748</v>
      </c>
      <c r="J2315" s="41">
        <v>347.10526315789474</v>
      </c>
      <c r="K2315" s="42">
        <v>-0.12267078256576945</v>
      </c>
    </row>
    <row r="2316" spans="1:11" x14ac:dyDescent="0.25">
      <c r="A2316" s="24" t="s">
        <v>7</v>
      </c>
      <c r="B2316" s="24" t="s">
        <v>11468</v>
      </c>
      <c r="C2316" s="25" t="s">
        <v>11469</v>
      </c>
      <c r="D2316" s="24" t="s">
        <v>21846</v>
      </c>
      <c r="E2316" s="40">
        <v>3</v>
      </c>
      <c r="F2316" s="41">
        <v>1950</v>
      </c>
      <c r="G2316" s="40">
        <v>12</v>
      </c>
      <c r="H2316" s="41">
        <v>7334</v>
      </c>
      <c r="I2316" s="41">
        <v>650</v>
      </c>
      <c r="J2316" s="41">
        <v>611.16666666666663</v>
      </c>
      <c r="K2316" s="42">
        <v>-5.9743589743589801E-2</v>
      </c>
    </row>
    <row r="2317" spans="1:11" x14ac:dyDescent="0.25">
      <c r="A2317" s="24" t="s">
        <v>7</v>
      </c>
      <c r="B2317" s="24" t="s">
        <v>11480</v>
      </c>
      <c r="C2317" s="25" t="s">
        <v>11481</v>
      </c>
      <c r="D2317" s="24" t="s">
        <v>21966</v>
      </c>
      <c r="E2317" s="40">
        <v>1200</v>
      </c>
      <c r="F2317" s="41">
        <v>14250</v>
      </c>
      <c r="G2317" s="40">
        <v>450</v>
      </c>
      <c r="H2317" s="41">
        <v>4050</v>
      </c>
      <c r="I2317" s="41">
        <v>11.875</v>
      </c>
      <c r="J2317" s="41">
        <v>9</v>
      </c>
      <c r="K2317" s="42">
        <v>-0.24210526315789474</v>
      </c>
    </row>
    <row r="2318" spans="1:11" x14ac:dyDescent="0.25">
      <c r="A2318" s="24" t="s">
        <v>7</v>
      </c>
      <c r="B2318" s="24" t="s">
        <v>11483</v>
      </c>
      <c r="C2318" s="25" t="s">
        <v>11484</v>
      </c>
      <c r="D2318" s="24" t="s">
        <v>21967</v>
      </c>
      <c r="E2318" s="40">
        <v>8137</v>
      </c>
      <c r="F2318" s="41">
        <v>4044643</v>
      </c>
      <c r="G2318" s="40">
        <v>8711</v>
      </c>
      <c r="H2318" s="41">
        <v>3729867</v>
      </c>
      <c r="I2318" s="41">
        <v>497.06808406046457</v>
      </c>
      <c r="J2318" s="41">
        <v>428.17896911950407</v>
      </c>
      <c r="K2318" s="42">
        <v>-0.1385909036408394</v>
      </c>
    </row>
    <row r="2319" spans="1:11" x14ac:dyDescent="0.25">
      <c r="A2319" s="24" t="s">
        <v>7</v>
      </c>
      <c r="B2319" s="24" t="s">
        <v>11486</v>
      </c>
      <c r="C2319" s="25" t="s">
        <v>11487</v>
      </c>
      <c r="D2319" s="24" t="s">
        <v>21968</v>
      </c>
      <c r="E2319" s="40">
        <v>1821</v>
      </c>
      <c r="F2319" s="41">
        <v>311825</v>
      </c>
      <c r="G2319" s="40">
        <v>1833</v>
      </c>
      <c r="H2319" s="41">
        <v>313788</v>
      </c>
      <c r="I2319" s="41">
        <v>171.23833058758925</v>
      </c>
      <c r="J2319" s="41">
        <v>171.18821603927987</v>
      </c>
      <c r="K2319" s="42">
        <v>-2.9265964073240568E-4</v>
      </c>
    </row>
    <row r="2320" spans="1:11" x14ac:dyDescent="0.25">
      <c r="A2320" s="24" t="s">
        <v>7</v>
      </c>
      <c r="B2320" s="24" t="s">
        <v>11489</v>
      </c>
      <c r="C2320" s="25" t="s">
        <v>11490</v>
      </c>
      <c r="D2320" s="24" t="s">
        <v>21969</v>
      </c>
      <c r="E2320" s="40">
        <v>1</v>
      </c>
      <c r="F2320" s="41">
        <v>15365</v>
      </c>
      <c r="G2320" s="40">
        <v>1</v>
      </c>
      <c r="H2320" s="41">
        <v>15365</v>
      </c>
      <c r="I2320" s="41">
        <v>15365</v>
      </c>
      <c r="J2320" s="41">
        <v>15365</v>
      </c>
      <c r="K2320" s="42">
        <v>0</v>
      </c>
    </row>
    <row r="2321" spans="1:11" x14ac:dyDescent="0.25">
      <c r="A2321" s="24" t="s">
        <v>7</v>
      </c>
      <c r="B2321" s="24" t="s">
        <v>11492</v>
      </c>
      <c r="C2321" s="25" t="s">
        <v>11493</v>
      </c>
      <c r="D2321" s="24" t="s">
        <v>21846</v>
      </c>
      <c r="G2321" s="40">
        <v>9</v>
      </c>
      <c r="H2321" s="41">
        <v>36</v>
      </c>
      <c r="J2321" s="41">
        <v>4</v>
      </c>
    </row>
    <row r="2322" spans="1:11" x14ac:dyDescent="0.25">
      <c r="A2322" s="24" t="s">
        <v>7</v>
      </c>
      <c r="B2322" s="24" t="s">
        <v>11507</v>
      </c>
      <c r="C2322" s="25" t="s">
        <v>11508</v>
      </c>
      <c r="D2322" s="24" t="s">
        <v>21970</v>
      </c>
      <c r="E2322" s="40">
        <v>2812</v>
      </c>
      <c r="F2322" s="41">
        <v>5624</v>
      </c>
      <c r="G2322" s="40">
        <v>1917</v>
      </c>
      <c r="H2322" s="41">
        <v>3809</v>
      </c>
      <c r="I2322" s="41">
        <v>2</v>
      </c>
      <c r="J2322" s="41">
        <v>1.9869587897756913</v>
      </c>
      <c r="K2322" s="42">
        <v>-6.520605112154354E-3</v>
      </c>
    </row>
    <row r="2323" spans="1:11" x14ac:dyDescent="0.25">
      <c r="A2323" s="24" t="s">
        <v>7</v>
      </c>
      <c r="B2323" s="24" t="s">
        <v>11510</v>
      </c>
      <c r="C2323" s="25" t="s">
        <v>11511</v>
      </c>
      <c r="D2323" s="24" t="s">
        <v>21970</v>
      </c>
      <c r="E2323" s="40">
        <v>22409</v>
      </c>
      <c r="F2323" s="41">
        <v>335267</v>
      </c>
      <c r="G2323" s="40">
        <v>74991</v>
      </c>
      <c r="H2323" s="41">
        <v>972076</v>
      </c>
      <c r="I2323" s="41">
        <v>14.96126556294346</v>
      </c>
      <c r="J2323" s="41">
        <v>12.962568841594324</v>
      </c>
      <c r="K2323" s="42">
        <v>-0.13359142065491916</v>
      </c>
    </row>
    <row r="2324" spans="1:11" x14ac:dyDescent="0.25">
      <c r="A2324" s="24" t="s">
        <v>7</v>
      </c>
      <c r="B2324" s="24" t="s">
        <v>11513</v>
      </c>
      <c r="C2324" s="25" t="s">
        <v>11514</v>
      </c>
      <c r="D2324" s="24" t="s">
        <v>21970</v>
      </c>
      <c r="E2324" s="40">
        <v>21398</v>
      </c>
      <c r="F2324" s="41">
        <v>1105898</v>
      </c>
      <c r="G2324" s="40">
        <v>23218</v>
      </c>
      <c r="H2324" s="41">
        <v>1062386</v>
      </c>
      <c r="I2324" s="41">
        <v>51.682306757640902</v>
      </c>
      <c r="J2324" s="41">
        <v>45.756998880179168</v>
      </c>
      <c r="K2324" s="42">
        <v>-0.11464867280881796</v>
      </c>
    </row>
    <row r="2325" spans="1:11" x14ac:dyDescent="0.25">
      <c r="A2325" s="24" t="s">
        <v>7</v>
      </c>
      <c r="B2325" s="24" t="s">
        <v>11543</v>
      </c>
      <c r="C2325" s="25" t="s">
        <v>11544</v>
      </c>
      <c r="D2325" s="24" t="s">
        <v>21971</v>
      </c>
      <c r="G2325" s="40">
        <v>58</v>
      </c>
      <c r="H2325" s="41">
        <v>5108</v>
      </c>
      <c r="J2325" s="41">
        <v>88.068965517241381</v>
      </c>
    </row>
    <row r="2326" spans="1:11" x14ac:dyDescent="0.25">
      <c r="A2326" s="24" t="s">
        <v>7</v>
      </c>
      <c r="B2326" s="24" t="s">
        <v>11549</v>
      </c>
      <c r="C2326" s="25" t="s">
        <v>11550</v>
      </c>
      <c r="D2326" s="24" t="s">
        <v>21972</v>
      </c>
      <c r="E2326" s="40">
        <v>69</v>
      </c>
      <c r="F2326" s="41">
        <v>140511</v>
      </c>
      <c r="G2326" s="40">
        <v>60</v>
      </c>
      <c r="H2326" s="41">
        <v>68580</v>
      </c>
      <c r="I2326" s="41">
        <v>2036.391304347826</v>
      </c>
      <c r="J2326" s="41">
        <v>1143</v>
      </c>
      <c r="K2326" s="42">
        <v>-0.43871298332514891</v>
      </c>
    </row>
    <row r="2327" spans="1:11" x14ac:dyDescent="0.25">
      <c r="A2327" s="24" t="s">
        <v>7</v>
      </c>
      <c r="B2327" s="24" t="s">
        <v>11552</v>
      </c>
      <c r="C2327" s="25" t="s">
        <v>11553</v>
      </c>
      <c r="D2327" s="24" t="s">
        <v>21973</v>
      </c>
      <c r="G2327" s="40">
        <v>92</v>
      </c>
      <c r="H2327" s="41">
        <v>10694.35</v>
      </c>
      <c r="J2327" s="41">
        <v>116.2429347826087</v>
      </c>
    </row>
    <row r="2328" spans="1:11" x14ac:dyDescent="0.25">
      <c r="A2328" s="24" t="s">
        <v>7</v>
      </c>
      <c r="B2328" s="24" t="s">
        <v>11555</v>
      </c>
      <c r="C2328" s="25" t="s">
        <v>11556</v>
      </c>
      <c r="D2328" s="24" t="s">
        <v>21846</v>
      </c>
      <c r="E2328" s="40">
        <v>292</v>
      </c>
      <c r="F2328" s="41">
        <v>102101</v>
      </c>
      <c r="G2328" s="40">
        <v>370</v>
      </c>
      <c r="H2328" s="41">
        <v>190180</v>
      </c>
      <c r="I2328" s="41">
        <v>349.66095890410958</v>
      </c>
      <c r="J2328" s="41">
        <v>514</v>
      </c>
      <c r="K2328" s="42">
        <v>0.46999539671501755</v>
      </c>
    </row>
    <row r="2329" spans="1:11" x14ac:dyDescent="0.25">
      <c r="A2329" s="24" t="s">
        <v>7</v>
      </c>
      <c r="B2329" s="24" t="s">
        <v>11567</v>
      </c>
      <c r="C2329" s="25" t="s">
        <v>11568</v>
      </c>
      <c r="D2329" s="24" t="s">
        <v>21974</v>
      </c>
      <c r="G2329" s="40">
        <v>55</v>
      </c>
      <c r="H2329" s="41">
        <v>27665</v>
      </c>
      <c r="J2329" s="41">
        <v>503</v>
      </c>
    </row>
    <row r="2330" spans="1:11" x14ac:dyDescent="0.25">
      <c r="A2330" s="24" t="s">
        <v>7</v>
      </c>
      <c r="B2330" s="24" t="s">
        <v>11579</v>
      </c>
      <c r="C2330" s="25" t="s">
        <v>11580</v>
      </c>
      <c r="D2330" s="24" t="s">
        <v>21846</v>
      </c>
      <c r="E2330" s="40">
        <v>4881</v>
      </c>
      <c r="F2330" s="41">
        <v>1543020</v>
      </c>
      <c r="G2330" s="40">
        <v>901</v>
      </c>
      <c r="H2330" s="41">
        <v>291924</v>
      </c>
      <c r="I2330" s="41">
        <v>316.1278426551936</v>
      </c>
      <c r="J2330" s="41">
        <v>324</v>
      </c>
      <c r="K2330" s="42">
        <v>2.4901815919430741E-2</v>
      </c>
    </row>
    <row r="2331" spans="1:11" x14ac:dyDescent="0.25">
      <c r="A2331" s="24" t="s">
        <v>7</v>
      </c>
      <c r="B2331" s="24" t="s">
        <v>11606</v>
      </c>
      <c r="C2331" s="25" t="s">
        <v>11607</v>
      </c>
      <c r="D2331" s="24" t="s">
        <v>21846</v>
      </c>
      <c r="G2331" s="40">
        <v>23</v>
      </c>
      <c r="H2331" s="41">
        <v>1311</v>
      </c>
      <c r="J2331" s="41">
        <v>57</v>
      </c>
    </row>
    <row r="2332" spans="1:11" x14ac:dyDescent="0.25">
      <c r="A2332" s="24" t="s">
        <v>7</v>
      </c>
      <c r="B2332" s="24" t="s">
        <v>11615</v>
      </c>
      <c r="C2332" s="25" t="s">
        <v>11616</v>
      </c>
      <c r="D2332" s="24" t="s">
        <v>21846</v>
      </c>
      <c r="G2332" s="40">
        <v>530</v>
      </c>
      <c r="H2332" s="41">
        <v>190270</v>
      </c>
      <c r="J2332" s="41">
        <v>359</v>
      </c>
    </row>
    <row r="2333" spans="1:11" x14ac:dyDescent="0.25">
      <c r="A2333" s="24" t="s">
        <v>7</v>
      </c>
      <c r="B2333" s="24" t="s">
        <v>11618</v>
      </c>
      <c r="C2333" s="25" t="s">
        <v>11619</v>
      </c>
      <c r="D2333" s="24" t="s">
        <v>21846</v>
      </c>
      <c r="G2333" s="40">
        <v>3</v>
      </c>
      <c r="H2333" s="41">
        <v>613</v>
      </c>
      <c r="J2333" s="41">
        <v>204.33333333333334</v>
      </c>
    </row>
    <row r="2334" spans="1:11" x14ac:dyDescent="0.25">
      <c r="A2334" s="24" t="s">
        <v>7</v>
      </c>
      <c r="B2334" s="24" t="s">
        <v>11636</v>
      </c>
      <c r="C2334" s="25" t="s">
        <v>11637</v>
      </c>
      <c r="D2334" s="24" t="s">
        <v>21846</v>
      </c>
      <c r="E2334" s="40">
        <v>122</v>
      </c>
      <c r="F2334" s="41">
        <v>24348</v>
      </c>
      <c r="G2334" s="40">
        <v>4</v>
      </c>
      <c r="H2334" s="41">
        <v>816</v>
      </c>
      <c r="I2334" s="41">
        <v>199.57377049180329</v>
      </c>
      <c r="J2334" s="41">
        <v>204</v>
      </c>
      <c r="K2334" s="42">
        <v>2.217841301133559E-2</v>
      </c>
    </row>
    <row r="2335" spans="1:11" x14ac:dyDescent="0.25">
      <c r="A2335" s="24" t="s">
        <v>7</v>
      </c>
      <c r="B2335" s="24" t="s">
        <v>11639</v>
      </c>
      <c r="C2335" s="25" t="s">
        <v>11640</v>
      </c>
      <c r="D2335" s="24" t="s">
        <v>21975</v>
      </c>
      <c r="G2335" s="40">
        <v>23</v>
      </c>
      <c r="H2335" s="41">
        <v>141496</v>
      </c>
      <c r="J2335" s="41">
        <v>6152</v>
      </c>
    </row>
    <row r="2336" spans="1:11" x14ac:dyDescent="0.25">
      <c r="A2336" s="24" t="s">
        <v>7</v>
      </c>
      <c r="B2336" s="24" t="s">
        <v>11651</v>
      </c>
      <c r="C2336" s="25" t="s">
        <v>11652</v>
      </c>
      <c r="D2336" s="24" t="s">
        <v>21970</v>
      </c>
      <c r="E2336" s="40">
        <v>43472</v>
      </c>
      <c r="F2336" s="41">
        <v>43472</v>
      </c>
      <c r="G2336" s="40">
        <v>40871</v>
      </c>
      <c r="H2336" s="41">
        <v>115451</v>
      </c>
      <c r="I2336" s="41">
        <v>1</v>
      </c>
      <c r="J2336" s="41">
        <v>2.8247657263096082</v>
      </c>
      <c r="K2336" s="42">
        <v>1.8247657263096082</v>
      </c>
    </row>
    <row r="2337" spans="1:11" x14ac:dyDescent="0.25">
      <c r="A2337" s="24" t="s">
        <v>7</v>
      </c>
      <c r="B2337" s="24" t="s">
        <v>11654</v>
      </c>
      <c r="C2337" s="25" t="s">
        <v>11655</v>
      </c>
      <c r="D2337" s="24" t="s">
        <v>21976</v>
      </c>
      <c r="E2337" s="40">
        <v>5900</v>
      </c>
      <c r="F2337" s="41">
        <v>88700</v>
      </c>
      <c r="G2337" s="40">
        <v>1500</v>
      </c>
      <c r="H2337" s="41">
        <v>18000</v>
      </c>
      <c r="I2337" s="41">
        <v>15.033898305084746</v>
      </c>
      <c r="J2337" s="41">
        <v>12</v>
      </c>
      <c r="K2337" s="42">
        <v>-0.20180383314543404</v>
      </c>
    </row>
    <row r="2338" spans="1:11" x14ac:dyDescent="0.25">
      <c r="A2338" s="24" t="s">
        <v>7</v>
      </c>
      <c r="B2338" s="24" t="s">
        <v>11666</v>
      </c>
      <c r="C2338" s="25" t="s">
        <v>11667</v>
      </c>
      <c r="D2338" s="24" t="s">
        <v>21846</v>
      </c>
      <c r="E2338" s="40">
        <v>32</v>
      </c>
      <c r="F2338" s="41">
        <v>163748</v>
      </c>
      <c r="G2338" s="40">
        <v>25</v>
      </c>
      <c r="H2338" s="41">
        <v>110753</v>
      </c>
      <c r="I2338" s="41">
        <v>5117.125</v>
      </c>
      <c r="J2338" s="41">
        <v>4430.12</v>
      </c>
      <c r="K2338" s="42">
        <v>-0.1342560519823143</v>
      </c>
    </row>
    <row r="2339" spans="1:11" x14ac:dyDescent="0.25">
      <c r="A2339" s="24" t="s">
        <v>7</v>
      </c>
      <c r="B2339" s="24" t="s">
        <v>11677</v>
      </c>
      <c r="C2339" s="25" t="s">
        <v>11678</v>
      </c>
      <c r="D2339" s="24" t="s">
        <v>21977</v>
      </c>
      <c r="E2339" s="40">
        <v>690</v>
      </c>
      <c r="F2339" s="41">
        <v>204270</v>
      </c>
      <c r="G2339" s="40">
        <v>740</v>
      </c>
      <c r="H2339" s="41">
        <v>219780</v>
      </c>
      <c r="I2339" s="41">
        <v>296.04347826086956</v>
      </c>
      <c r="J2339" s="41">
        <v>297</v>
      </c>
      <c r="K2339" s="42">
        <v>3.2310177705977467E-3</v>
      </c>
    </row>
    <row r="2340" spans="1:11" x14ac:dyDescent="0.25">
      <c r="A2340" s="24" t="s">
        <v>7</v>
      </c>
      <c r="B2340" s="24" t="s">
        <v>11680</v>
      </c>
      <c r="C2340" s="25" t="s">
        <v>11681</v>
      </c>
      <c r="D2340" s="24" t="s">
        <v>21978</v>
      </c>
      <c r="E2340" s="40">
        <v>3640</v>
      </c>
      <c r="F2340" s="41">
        <v>691320</v>
      </c>
      <c r="G2340" s="40">
        <v>5384</v>
      </c>
      <c r="H2340" s="41">
        <v>1107752</v>
      </c>
      <c r="I2340" s="41">
        <v>189.92307692307693</v>
      </c>
      <c r="J2340" s="41">
        <v>205.74888558692422</v>
      </c>
      <c r="K2340" s="42">
        <v>8.332746562576536E-2</v>
      </c>
    </row>
    <row r="2341" spans="1:11" x14ac:dyDescent="0.25">
      <c r="A2341" s="24" t="s">
        <v>7</v>
      </c>
      <c r="B2341" s="24" t="s">
        <v>11686</v>
      </c>
      <c r="C2341" s="25" t="s">
        <v>11687</v>
      </c>
      <c r="D2341" s="24" t="s">
        <v>21979</v>
      </c>
      <c r="E2341" s="40">
        <v>94910</v>
      </c>
      <c r="F2341" s="41">
        <v>3986420</v>
      </c>
      <c r="G2341" s="40">
        <v>79420</v>
      </c>
      <c r="H2341" s="41">
        <v>2961805</v>
      </c>
      <c r="I2341" s="41">
        <v>42.00210725950901</v>
      </c>
      <c r="J2341" s="41">
        <v>37.29293628808864</v>
      </c>
      <c r="K2341" s="42">
        <v>-0.11211749311349715</v>
      </c>
    </row>
    <row r="2342" spans="1:11" x14ac:dyDescent="0.25">
      <c r="A2342" s="24" t="s">
        <v>7</v>
      </c>
      <c r="B2342" s="24" t="s">
        <v>11689</v>
      </c>
      <c r="C2342" s="25" t="s">
        <v>11690</v>
      </c>
      <c r="D2342" s="24" t="s">
        <v>21979</v>
      </c>
      <c r="E2342" s="40">
        <v>40420</v>
      </c>
      <c r="F2342" s="41">
        <v>713950</v>
      </c>
      <c r="G2342" s="40">
        <v>47770</v>
      </c>
      <c r="H2342" s="41">
        <v>749020</v>
      </c>
      <c r="I2342" s="41">
        <v>17.663285502226621</v>
      </c>
      <c r="J2342" s="41">
        <v>15.679715302491104</v>
      </c>
      <c r="K2342" s="42">
        <v>-0.11229905101661125</v>
      </c>
    </row>
    <row r="2343" spans="1:11" x14ac:dyDescent="0.25">
      <c r="A2343" s="24" t="s">
        <v>7</v>
      </c>
      <c r="B2343" s="24" t="s">
        <v>11691</v>
      </c>
      <c r="C2343" s="25" t="s">
        <v>11692</v>
      </c>
      <c r="D2343" s="24" t="s">
        <v>21846</v>
      </c>
      <c r="E2343" s="40">
        <v>15</v>
      </c>
      <c r="F2343" s="41">
        <v>5640</v>
      </c>
      <c r="G2343" s="40">
        <v>41</v>
      </c>
      <c r="H2343" s="41">
        <v>14566</v>
      </c>
      <c r="I2343" s="41">
        <v>376</v>
      </c>
      <c r="J2343" s="41">
        <v>355.26829268292681</v>
      </c>
      <c r="K2343" s="42">
        <v>-5.5137519460301029E-2</v>
      </c>
    </row>
    <row r="2344" spans="1:11" x14ac:dyDescent="0.25">
      <c r="A2344" s="24" t="s">
        <v>7</v>
      </c>
      <c r="B2344" s="24" t="s">
        <v>11697</v>
      </c>
      <c r="C2344" s="25" t="s">
        <v>11698</v>
      </c>
      <c r="D2344" s="24" t="s">
        <v>21846</v>
      </c>
      <c r="E2344" s="40">
        <v>68</v>
      </c>
      <c r="F2344" s="41">
        <v>27909</v>
      </c>
      <c r="G2344" s="40">
        <v>113</v>
      </c>
      <c r="H2344" s="41">
        <v>45710</v>
      </c>
      <c r="I2344" s="41">
        <v>410.4264705882353</v>
      </c>
      <c r="J2344" s="41">
        <v>404.51327433628319</v>
      </c>
      <c r="K2344" s="42">
        <v>-1.4407443660924571E-2</v>
      </c>
    </row>
    <row r="2345" spans="1:11" x14ac:dyDescent="0.25">
      <c r="A2345" s="24" t="s">
        <v>7</v>
      </c>
      <c r="B2345" s="24" t="s">
        <v>11700</v>
      </c>
      <c r="C2345" s="25" t="s">
        <v>11701</v>
      </c>
      <c r="D2345" s="24" t="s">
        <v>21980</v>
      </c>
      <c r="E2345" s="40">
        <v>13351</v>
      </c>
      <c r="F2345" s="41">
        <v>2278588</v>
      </c>
      <c r="G2345" s="40">
        <v>16152</v>
      </c>
      <c r="H2345" s="41">
        <v>2360112</v>
      </c>
      <c r="I2345" s="41">
        <v>170.66796494644595</v>
      </c>
      <c r="J2345" s="41">
        <v>146.11887072808321</v>
      </c>
      <c r="K2345" s="42">
        <v>-0.1438412547197479</v>
      </c>
    </row>
    <row r="2346" spans="1:11" x14ac:dyDescent="0.25">
      <c r="A2346" s="24" t="s">
        <v>7</v>
      </c>
      <c r="B2346" s="24" t="s">
        <v>11703</v>
      </c>
      <c r="C2346" s="25" t="s">
        <v>11704</v>
      </c>
      <c r="D2346" s="24" t="s">
        <v>21846</v>
      </c>
      <c r="G2346" s="40">
        <v>101</v>
      </c>
      <c r="H2346" s="41">
        <v>31512</v>
      </c>
      <c r="J2346" s="41">
        <v>312</v>
      </c>
    </row>
    <row r="2347" spans="1:11" x14ac:dyDescent="0.25">
      <c r="A2347" s="24" t="s">
        <v>7</v>
      </c>
      <c r="B2347" s="24" t="s">
        <v>11712</v>
      </c>
      <c r="C2347" s="25" t="s">
        <v>11713</v>
      </c>
      <c r="D2347" s="24" t="s">
        <v>21981</v>
      </c>
      <c r="G2347" s="40">
        <v>188</v>
      </c>
      <c r="H2347" s="41">
        <v>59772</v>
      </c>
      <c r="J2347" s="41">
        <v>317.93617021276594</v>
      </c>
    </row>
    <row r="2348" spans="1:11" x14ac:dyDescent="0.25">
      <c r="A2348" s="24" t="s">
        <v>7</v>
      </c>
      <c r="B2348" s="24" t="s">
        <v>11715</v>
      </c>
      <c r="C2348" s="25" t="s">
        <v>11716</v>
      </c>
      <c r="D2348" s="24" t="s">
        <v>21982</v>
      </c>
      <c r="G2348" s="40">
        <v>66600</v>
      </c>
      <c r="H2348" s="41">
        <v>66600</v>
      </c>
      <c r="J2348" s="41">
        <v>1</v>
      </c>
    </row>
    <row r="2349" spans="1:11" x14ac:dyDescent="0.25">
      <c r="A2349" s="24" t="s">
        <v>7</v>
      </c>
      <c r="B2349" s="24" t="s">
        <v>11730</v>
      </c>
      <c r="C2349" s="25" t="s">
        <v>11731</v>
      </c>
      <c r="D2349" s="24" t="s">
        <v>21983</v>
      </c>
      <c r="E2349" s="40">
        <v>6447</v>
      </c>
      <c r="F2349" s="41">
        <v>94912.2</v>
      </c>
      <c r="G2349" s="40">
        <v>8610</v>
      </c>
      <c r="H2349" s="41">
        <v>105980</v>
      </c>
      <c r="I2349" s="41">
        <v>14.721917170777106</v>
      </c>
      <c r="J2349" s="41">
        <v>12.308943089430894</v>
      </c>
      <c r="K2349" s="42">
        <v>-0.16390352243904394</v>
      </c>
    </row>
    <row r="2350" spans="1:11" x14ac:dyDescent="0.25">
      <c r="A2350" s="24" t="s">
        <v>7</v>
      </c>
      <c r="B2350" s="24" t="s">
        <v>11733</v>
      </c>
      <c r="C2350" s="25" t="s">
        <v>11734</v>
      </c>
      <c r="D2350" s="24" t="s">
        <v>21984</v>
      </c>
      <c r="E2350" s="40">
        <v>520</v>
      </c>
      <c r="F2350" s="41">
        <v>12729.6</v>
      </c>
      <c r="G2350" s="40">
        <v>2504</v>
      </c>
      <c r="H2350" s="41">
        <v>73991.520000000004</v>
      </c>
      <c r="I2350" s="41">
        <v>24.48</v>
      </c>
      <c r="J2350" s="41">
        <v>29.549329073482429</v>
      </c>
      <c r="K2350" s="42">
        <v>0.20708043600826914</v>
      </c>
    </row>
    <row r="2351" spans="1:11" x14ac:dyDescent="0.25">
      <c r="A2351" s="24" t="s">
        <v>7</v>
      </c>
      <c r="B2351" s="24" t="s">
        <v>11736</v>
      </c>
      <c r="C2351" s="25" t="s">
        <v>11737</v>
      </c>
      <c r="D2351" s="24" t="s">
        <v>21846</v>
      </c>
      <c r="E2351" s="40">
        <v>100</v>
      </c>
      <c r="F2351" s="41">
        <v>5560</v>
      </c>
      <c r="G2351" s="40">
        <v>40</v>
      </c>
      <c r="H2351" s="41">
        <v>2240</v>
      </c>
      <c r="I2351" s="41">
        <v>55.6</v>
      </c>
      <c r="J2351" s="41">
        <v>56</v>
      </c>
      <c r="K2351" s="42">
        <v>7.1942446043165211E-3</v>
      </c>
    </row>
    <row r="2352" spans="1:11" x14ac:dyDescent="0.25">
      <c r="A2352" s="24" t="s">
        <v>7</v>
      </c>
      <c r="B2352" s="24" t="s">
        <v>11739</v>
      </c>
      <c r="C2352" s="25" t="s">
        <v>11740</v>
      </c>
      <c r="D2352" s="24" t="s">
        <v>21985</v>
      </c>
      <c r="E2352" s="40">
        <v>287286</v>
      </c>
      <c r="F2352" s="41">
        <v>2524824</v>
      </c>
      <c r="G2352" s="40">
        <v>260028</v>
      </c>
      <c r="H2352" s="41">
        <v>1971052</v>
      </c>
      <c r="I2352" s="41">
        <v>8.788538251080805</v>
      </c>
      <c r="J2352" s="41">
        <v>7.5801529066100573</v>
      </c>
      <c r="K2352" s="42">
        <v>-0.13749560051378759</v>
      </c>
    </row>
    <row r="2353" spans="1:11" x14ac:dyDescent="0.25">
      <c r="A2353" s="24" t="s">
        <v>7</v>
      </c>
      <c r="B2353" s="24" t="s">
        <v>11742</v>
      </c>
      <c r="C2353" s="25" t="s">
        <v>11743</v>
      </c>
      <c r="D2353" s="24" t="s">
        <v>21986</v>
      </c>
      <c r="G2353" s="40">
        <v>81501</v>
      </c>
      <c r="H2353" s="41">
        <v>92920</v>
      </c>
      <c r="J2353" s="41">
        <v>1.1401087103225727</v>
      </c>
    </row>
    <row r="2354" spans="1:11" x14ac:dyDescent="0.25">
      <c r="A2354" s="24" t="s">
        <v>7</v>
      </c>
      <c r="B2354" s="24" t="s">
        <v>11745</v>
      </c>
      <c r="C2354" s="25" t="s">
        <v>11746</v>
      </c>
      <c r="D2354" s="24" t="s">
        <v>21846</v>
      </c>
      <c r="E2354" s="40">
        <v>785</v>
      </c>
      <c r="F2354" s="41">
        <v>191703</v>
      </c>
      <c r="G2354" s="40">
        <v>507</v>
      </c>
      <c r="H2354" s="41">
        <v>116793</v>
      </c>
      <c r="I2354" s="41">
        <v>244.20764331210191</v>
      </c>
      <c r="J2354" s="41">
        <v>230.36094674556213</v>
      </c>
      <c r="K2354" s="42">
        <v>-5.6700504450810499E-2</v>
      </c>
    </row>
    <row r="2355" spans="1:11" x14ac:dyDescent="0.25">
      <c r="A2355" s="24" t="s">
        <v>7</v>
      </c>
      <c r="B2355" s="24" t="s">
        <v>11748</v>
      </c>
      <c r="C2355" s="25" t="s">
        <v>11749</v>
      </c>
      <c r="D2355" s="24" t="s">
        <v>21987</v>
      </c>
      <c r="E2355" s="40">
        <v>75</v>
      </c>
      <c r="F2355" s="41">
        <v>21255</v>
      </c>
      <c r="G2355" s="40">
        <v>150</v>
      </c>
      <c r="H2355" s="41">
        <v>39168</v>
      </c>
      <c r="I2355" s="41">
        <v>283.39999999999998</v>
      </c>
      <c r="J2355" s="41">
        <v>261.12</v>
      </c>
      <c r="K2355" s="42">
        <v>-7.8616796047988616E-2</v>
      </c>
    </row>
    <row r="2356" spans="1:11" x14ac:dyDescent="0.25">
      <c r="A2356" s="24" t="s">
        <v>7</v>
      </c>
      <c r="B2356" s="24" t="s">
        <v>11751</v>
      </c>
      <c r="C2356" s="25" t="s">
        <v>11752</v>
      </c>
      <c r="D2356" s="24" t="s">
        <v>21988</v>
      </c>
      <c r="G2356" s="40">
        <v>4</v>
      </c>
      <c r="H2356" s="41">
        <v>1296</v>
      </c>
      <c r="J2356" s="41">
        <v>324</v>
      </c>
    </row>
    <row r="2357" spans="1:11" x14ac:dyDescent="0.25">
      <c r="A2357" s="24" t="s">
        <v>7</v>
      </c>
      <c r="B2357" s="24" t="s">
        <v>11754</v>
      </c>
      <c r="C2357" s="25" t="s">
        <v>11755</v>
      </c>
      <c r="D2357" s="24" t="s">
        <v>21988</v>
      </c>
      <c r="E2357" s="40">
        <v>6843</v>
      </c>
      <c r="F2357" s="41">
        <v>4230917</v>
      </c>
      <c r="G2357" s="40">
        <v>6014</v>
      </c>
      <c r="H2357" s="41">
        <v>3095528</v>
      </c>
      <c r="I2357" s="41">
        <v>618.2839397924887</v>
      </c>
      <c r="J2357" s="41">
        <v>514.72031925507144</v>
      </c>
      <c r="K2357" s="42">
        <v>-0.16750171542895931</v>
      </c>
    </row>
    <row r="2358" spans="1:11" x14ac:dyDescent="0.25">
      <c r="A2358" s="24" t="s">
        <v>7</v>
      </c>
      <c r="B2358" s="24" t="s">
        <v>21989</v>
      </c>
      <c r="C2358" s="25" t="s">
        <v>21990</v>
      </c>
      <c r="D2358" s="24" t="s">
        <v>21846</v>
      </c>
      <c r="E2358" s="40">
        <v>161</v>
      </c>
      <c r="F2358" s="41">
        <v>58933</v>
      </c>
      <c r="G2358" s="40">
        <v>0</v>
      </c>
      <c r="H2358" s="41">
        <v>0</v>
      </c>
      <c r="I2358" s="41">
        <v>366.04347826086956</v>
      </c>
    </row>
    <row r="2359" spans="1:11" x14ac:dyDescent="0.25">
      <c r="A2359" s="24" t="s">
        <v>7</v>
      </c>
      <c r="B2359" s="24" t="s">
        <v>21991</v>
      </c>
      <c r="C2359" s="25" t="s">
        <v>21992</v>
      </c>
      <c r="D2359" s="24" t="s">
        <v>21846</v>
      </c>
      <c r="E2359" s="40">
        <v>53</v>
      </c>
      <c r="F2359" s="41">
        <v>2897</v>
      </c>
      <c r="G2359" s="40">
        <v>15</v>
      </c>
      <c r="H2359" s="41">
        <v>855</v>
      </c>
      <c r="I2359" s="41">
        <v>54.660377358490564</v>
      </c>
      <c r="J2359" s="41">
        <v>57</v>
      </c>
      <c r="K2359" s="42">
        <v>4.2802899551259967E-2</v>
      </c>
    </row>
    <row r="2360" spans="1:11" x14ac:dyDescent="0.25">
      <c r="A2360" s="24" t="s">
        <v>7</v>
      </c>
      <c r="B2360" s="24" t="s">
        <v>21993</v>
      </c>
      <c r="C2360" s="25" t="s">
        <v>21994</v>
      </c>
      <c r="D2360" s="24" t="s">
        <v>21995</v>
      </c>
      <c r="G2360" s="40">
        <v>1000</v>
      </c>
      <c r="H2360" s="41">
        <v>2000</v>
      </c>
      <c r="J2360" s="41">
        <v>2</v>
      </c>
    </row>
    <row r="2361" spans="1:11" x14ac:dyDescent="0.25">
      <c r="A2361" s="24" t="s">
        <v>7</v>
      </c>
      <c r="B2361" s="24" t="s">
        <v>21996</v>
      </c>
      <c r="C2361" s="25" t="s">
        <v>21997</v>
      </c>
      <c r="D2361" s="24" t="s">
        <v>21846</v>
      </c>
      <c r="E2361" s="40">
        <v>284</v>
      </c>
      <c r="F2361" s="41">
        <v>44628</v>
      </c>
      <c r="G2361" s="40">
        <v>64</v>
      </c>
      <c r="H2361" s="41">
        <v>10368</v>
      </c>
      <c r="I2361" s="41">
        <v>157.14084507042253</v>
      </c>
      <c r="J2361" s="41">
        <v>162</v>
      </c>
      <c r="K2361" s="42">
        <v>3.092229093842435E-2</v>
      </c>
    </row>
    <row r="2362" spans="1:11" x14ac:dyDescent="0.25">
      <c r="A2362" s="24" t="s">
        <v>7</v>
      </c>
      <c r="B2362" s="24" t="s">
        <v>21998</v>
      </c>
      <c r="C2362" s="25" t="s">
        <v>21999</v>
      </c>
      <c r="D2362" s="24" t="s">
        <v>21846</v>
      </c>
      <c r="G2362" s="40">
        <v>1</v>
      </c>
      <c r="H2362" s="41">
        <v>95</v>
      </c>
      <c r="J2362" s="41">
        <v>95</v>
      </c>
    </row>
    <row r="2363" spans="1:11" x14ac:dyDescent="0.25">
      <c r="A2363" s="24" t="s">
        <v>7</v>
      </c>
      <c r="B2363" s="24" t="s">
        <v>11772</v>
      </c>
      <c r="C2363" s="25" t="s">
        <v>11773</v>
      </c>
      <c r="D2363" s="24" t="s">
        <v>22000</v>
      </c>
      <c r="G2363" s="40">
        <v>36000</v>
      </c>
      <c r="H2363" s="41">
        <v>720</v>
      </c>
      <c r="J2363" s="41">
        <v>0.02</v>
      </c>
    </row>
    <row r="2364" spans="1:11" x14ac:dyDescent="0.25">
      <c r="A2364" s="24" t="s">
        <v>7</v>
      </c>
      <c r="B2364" s="24" t="s">
        <v>11775</v>
      </c>
      <c r="C2364" s="25" t="s">
        <v>11776</v>
      </c>
      <c r="D2364" s="24" t="s">
        <v>22001</v>
      </c>
      <c r="G2364" s="40">
        <v>116802</v>
      </c>
      <c r="H2364" s="41">
        <v>25696.44</v>
      </c>
      <c r="J2364" s="41">
        <v>0.22</v>
      </c>
    </row>
    <row r="2365" spans="1:11" x14ac:dyDescent="0.25">
      <c r="A2365" s="24" t="s">
        <v>7</v>
      </c>
      <c r="B2365" s="24" t="s">
        <v>11778</v>
      </c>
      <c r="C2365" s="25" t="s">
        <v>11779</v>
      </c>
      <c r="D2365" s="24" t="s">
        <v>22001</v>
      </c>
      <c r="G2365" s="40">
        <v>630941</v>
      </c>
      <c r="H2365" s="41">
        <v>328089.32</v>
      </c>
      <c r="J2365" s="41">
        <v>0.52</v>
      </c>
    </row>
    <row r="2366" spans="1:11" x14ac:dyDescent="0.25">
      <c r="A2366" s="24" t="s">
        <v>7</v>
      </c>
      <c r="B2366" s="24" t="s">
        <v>11780</v>
      </c>
      <c r="C2366" s="25" t="s">
        <v>11781</v>
      </c>
      <c r="D2366" s="24" t="s">
        <v>22002</v>
      </c>
      <c r="G2366" s="40">
        <v>391402</v>
      </c>
      <c r="H2366" s="41">
        <v>227013.16</v>
      </c>
      <c r="J2366" s="41">
        <v>0.57999999999999996</v>
      </c>
    </row>
    <row r="2367" spans="1:11" x14ac:dyDescent="0.25">
      <c r="A2367" s="24" t="s">
        <v>7</v>
      </c>
      <c r="B2367" s="24" t="s">
        <v>22003</v>
      </c>
      <c r="C2367" s="25" t="s">
        <v>22004</v>
      </c>
      <c r="D2367" s="24" t="s">
        <v>21846</v>
      </c>
      <c r="E2367" s="40">
        <v>716</v>
      </c>
      <c r="F2367" s="41">
        <v>34072</v>
      </c>
      <c r="G2367" s="40">
        <v>212</v>
      </c>
      <c r="H2367" s="41">
        <v>10388</v>
      </c>
      <c r="I2367" s="41">
        <v>47.58659217877095</v>
      </c>
      <c r="J2367" s="41">
        <v>49</v>
      </c>
      <c r="K2367" s="42">
        <v>2.9701807936135246E-2</v>
      </c>
    </row>
    <row r="2368" spans="1:11" x14ac:dyDescent="0.25">
      <c r="A2368" s="24" t="s">
        <v>7</v>
      </c>
      <c r="B2368" s="24" t="s">
        <v>22005</v>
      </c>
      <c r="C2368" s="25" t="s">
        <v>22006</v>
      </c>
      <c r="D2368" s="24" t="s">
        <v>21846</v>
      </c>
      <c r="E2368" s="40">
        <v>213</v>
      </c>
      <c r="F2368" s="41">
        <v>30096</v>
      </c>
      <c r="G2368" s="40">
        <v>278</v>
      </c>
      <c r="H2368" s="41">
        <v>39754</v>
      </c>
      <c r="I2368" s="41">
        <v>141.29577464788733</v>
      </c>
      <c r="J2368" s="41">
        <v>143</v>
      </c>
      <c r="K2368" s="42">
        <v>1.2061403508771905E-2</v>
      </c>
    </row>
    <row r="2369" spans="1:11" x14ac:dyDescent="0.25">
      <c r="A2369" s="24" t="s">
        <v>7</v>
      </c>
      <c r="B2369" s="24" t="s">
        <v>22007</v>
      </c>
      <c r="C2369" s="25" t="s">
        <v>22008</v>
      </c>
      <c r="D2369" s="24" t="s">
        <v>21846</v>
      </c>
      <c r="E2369" s="40">
        <v>10</v>
      </c>
      <c r="F2369" s="41">
        <v>690</v>
      </c>
      <c r="G2369" s="40">
        <v>12</v>
      </c>
      <c r="H2369" s="41">
        <v>840</v>
      </c>
      <c r="I2369" s="41">
        <v>69</v>
      </c>
      <c r="J2369" s="41">
        <v>70</v>
      </c>
      <c r="K2369" s="42">
        <v>1.4492753623188406E-2</v>
      </c>
    </row>
    <row r="2370" spans="1:11" x14ac:dyDescent="0.25">
      <c r="A2370" s="24" t="s">
        <v>7</v>
      </c>
      <c r="B2370" s="24" t="s">
        <v>22009</v>
      </c>
      <c r="C2370" s="25" t="s">
        <v>22010</v>
      </c>
      <c r="D2370" s="24" t="s">
        <v>21846</v>
      </c>
      <c r="E2370" s="40">
        <v>2</v>
      </c>
      <c r="F2370" s="41">
        <v>62</v>
      </c>
      <c r="G2370" s="40">
        <v>6</v>
      </c>
      <c r="H2370" s="41">
        <v>186</v>
      </c>
      <c r="I2370" s="41">
        <v>31</v>
      </c>
      <c r="J2370" s="41">
        <v>31</v>
      </c>
      <c r="K2370" s="42">
        <v>0</v>
      </c>
    </row>
    <row r="2371" spans="1:11" x14ac:dyDescent="0.25">
      <c r="A2371" s="24" t="s">
        <v>7</v>
      </c>
      <c r="B2371" s="24" t="s">
        <v>22011</v>
      </c>
      <c r="C2371" s="25" t="s">
        <v>22012</v>
      </c>
      <c r="D2371" s="24" t="s">
        <v>21846</v>
      </c>
      <c r="E2371" s="40">
        <v>4</v>
      </c>
      <c r="F2371" s="41">
        <v>163</v>
      </c>
      <c r="G2371" s="40">
        <v>18</v>
      </c>
      <c r="H2371" s="41">
        <v>774</v>
      </c>
      <c r="I2371" s="41">
        <v>40.75</v>
      </c>
      <c r="J2371" s="41">
        <v>43</v>
      </c>
      <c r="K2371" s="42">
        <v>5.5214723926380369E-2</v>
      </c>
    </row>
    <row r="2372" spans="1:11" x14ac:dyDescent="0.25">
      <c r="A2372" s="24" t="s">
        <v>7</v>
      </c>
      <c r="B2372" s="24" t="s">
        <v>22013</v>
      </c>
      <c r="C2372" s="25" t="s">
        <v>22014</v>
      </c>
      <c r="D2372" s="24" t="s">
        <v>21846</v>
      </c>
      <c r="E2372" s="40">
        <v>268</v>
      </c>
      <c r="F2372" s="41">
        <v>49998</v>
      </c>
      <c r="G2372" s="40">
        <v>90</v>
      </c>
      <c r="H2372" s="41">
        <v>17190</v>
      </c>
      <c r="I2372" s="41">
        <v>186.5597014925373</v>
      </c>
      <c r="J2372" s="41">
        <v>191</v>
      </c>
      <c r="K2372" s="42">
        <v>2.3800952038081597E-2</v>
      </c>
    </row>
    <row r="2373" spans="1:11" x14ac:dyDescent="0.25">
      <c r="A2373" s="24" t="s">
        <v>7</v>
      </c>
      <c r="B2373" s="24" t="s">
        <v>22015</v>
      </c>
      <c r="C2373" s="25" t="s">
        <v>22016</v>
      </c>
      <c r="D2373" s="24" t="s">
        <v>21846</v>
      </c>
      <c r="E2373" s="40">
        <v>3488</v>
      </c>
      <c r="F2373" s="41">
        <v>558976</v>
      </c>
      <c r="G2373" s="40">
        <v>1223</v>
      </c>
      <c r="H2373" s="41">
        <v>200572</v>
      </c>
      <c r="I2373" s="41">
        <v>160.25688073394497</v>
      </c>
      <c r="J2373" s="41">
        <v>164</v>
      </c>
      <c r="K2373" s="42">
        <v>2.3356995649186998E-2</v>
      </c>
    </row>
    <row r="2374" spans="1:11" x14ac:dyDescent="0.25">
      <c r="A2374" s="24" t="s">
        <v>7</v>
      </c>
      <c r="B2374" s="24" t="s">
        <v>22017</v>
      </c>
      <c r="C2374" s="25" t="s">
        <v>22018</v>
      </c>
      <c r="D2374" s="24" t="s">
        <v>21846</v>
      </c>
      <c r="E2374" s="40">
        <v>68</v>
      </c>
      <c r="F2374" s="41">
        <v>9530</v>
      </c>
      <c r="G2374" s="40">
        <v>3</v>
      </c>
      <c r="H2374" s="41">
        <v>435</v>
      </c>
      <c r="I2374" s="41">
        <v>140.14705882352942</v>
      </c>
      <c r="J2374" s="41">
        <v>145</v>
      </c>
      <c r="K2374" s="42">
        <v>3.4627492130115366E-2</v>
      </c>
    </row>
    <row r="2375" spans="1:11" x14ac:dyDescent="0.25">
      <c r="A2375" s="24" t="s">
        <v>7</v>
      </c>
      <c r="B2375" s="24" t="s">
        <v>22019</v>
      </c>
      <c r="C2375" s="25" t="s">
        <v>22020</v>
      </c>
      <c r="D2375" s="24" t="s">
        <v>21846</v>
      </c>
      <c r="E2375" s="40">
        <v>627</v>
      </c>
      <c r="F2375" s="41">
        <v>18424</v>
      </c>
      <c r="G2375" s="40">
        <v>240</v>
      </c>
      <c r="H2375" s="41">
        <v>7200</v>
      </c>
      <c r="I2375" s="41">
        <v>29.384370015948964</v>
      </c>
      <c r="J2375" s="41">
        <v>30</v>
      </c>
      <c r="K2375" s="42">
        <v>2.0950933564915317E-2</v>
      </c>
    </row>
    <row r="2376" spans="1:11" x14ac:dyDescent="0.25">
      <c r="A2376" s="24" t="s">
        <v>7</v>
      </c>
      <c r="B2376" s="24" t="s">
        <v>22021</v>
      </c>
      <c r="C2376" s="25" t="s">
        <v>22022</v>
      </c>
      <c r="D2376" s="24" t="s">
        <v>21846</v>
      </c>
      <c r="E2376" s="40">
        <v>952</v>
      </c>
      <c r="F2376" s="41">
        <v>181469</v>
      </c>
      <c r="G2376" s="40">
        <v>331</v>
      </c>
      <c r="H2376" s="41">
        <v>65207</v>
      </c>
      <c r="I2376" s="41">
        <v>190.61869747899161</v>
      </c>
      <c r="J2376" s="41">
        <v>197</v>
      </c>
      <c r="K2376" s="42">
        <v>3.3476792179380446E-2</v>
      </c>
    </row>
    <row r="2377" spans="1:11" x14ac:dyDescent="0.25">
      <c r="A2377" s="24" t="s">
        <v>7</v>
      </c>
      <c r="B2377" s="24" t="s">
        <v>22023</v>
      </c>
      <c r="C2377" s="25" t="s">
        <v>22024</v>
      </c>
      <c r="D2377" s="24" t="s">
        <v>21846</v>
      </c>
      <c r="E2377" s="40">
        <v>1132</v>
      </c>
      <c r="F2377" s="41">
        <v>181716</v>
      </c>
      <c r="G2377" s="40">
        <v>508</v>
      </c>
      <c r="H2377" s="41">
        <v>83820</v>
      </c>
      <c r="I2377" s="41">
        <v>160.52650176678446</v>
      </c>
      <c r="J2377" s="41">
        <v>165</v>
      </c>
      <c r="K2377" s="42">
        <v>2.7867661625833651E-2</v>
      </c>
    </row>
    <row r="2378" spans="1:11" x14ac:dyDescent="0.25">
      <c r="A2378" s="24" t="s">
        <v>7</v>
      </c>
      <c r="B2378" s="24" t="s">
        <v>22025</v>
      </c>
      <c r="C2378" s="25" t="s">
        <v>22026</v>
      </c>
      <c r="D2378" s="24" t="s">
        <v>21846</v>
      </c>
      <c r="E2378" s="40">
        <v>532</v>
      </c>
      <c r="F2378" s="41">
        <v>15526</v>
      </c>
      <c r="G2378" s="40">
        <v>131</v>
      </c>
      <c r="H2378" s="41">
        <v>3930</v>
      </c>
      <c r="I2378" s="41">
        <v>29.184210526315791</v>
      </c>
      <c r="J2378" s="41">
        <v>30</v>
      </c>
      <c r="K2378" s="42">
        <v>2.7953110910730328E-2</v>
      </c>
    </row>
    <row r="2379" spans="1:11" x14ac:dyDescent="0.25">
      <c r="A2379" s="24" t="s">
        <v>7</v>
      </c>
      <c r="B2379" s="24" t="s">
        <v>22027</v>
      </c>
      <c r="C2379" s="25" t="s">
        <v>22028</v>
      </c>
      <c r="D2379" s="24" t="s">
        <v>21846</v>
      </c>
      <c r="E2379" s="40">
        <v>40</v>
      </c>
      <c r="F2379" s="41">
        <v>1128</v>
      </c>
      <c r="G2379" s="40">
        <v>0</v>
      </c>
      <c r="H2379" s="41">
        <v>0</v>
      </c>
      <c r="I2379" s="41">
        <v>28.2</v>
      </c>
    </row>
    <row r="2380" spans="1:11" x14ac:dyDescent="0.25">
      <c r="A2380" s="24" t="s">
        <v>7</v>
      </c>
      <c r="B2380" s="24" t="s">
        <v>22029</v>
      </c>
      <c r="C2380" s="25" t="s">
        <v>22030</v>
      </c>
      <c r="D2380" s="24" t="s">
        <v>21846</v>
      </c>
      <c r="E2380" s="40">
        <v>284</v>
      </c>
      <c r="F2380" s="41">
        <v>30144</v>
      </c>
      <c r="G2380" s="40">
        <v>104</v>
      </c>
      <c r="H2380" s="41">
        <v>11232</v>
      </c>
      <c r="I2380" s="41">
        <v>106.14084507042253</v>
      </c>
      <c r="J2380" s="41">
        <v>108</v>
      </c>
      <c r="K2380" s="42">
        <v>1.7515923566879043E-2</v>
      </c>
    </row>
    <row r="2381" spans="1:11" x14ac:dyDescent="0.25">
      <c r="A2381" s="24" t="s">
        <v>7</v>
      </c>
      <c r="B2381" s="24" t="s">
        <v>22031</v>
      </c>
      <c r="C2381" s="25" t="s">
        <v>22032</v>
      </c>
      <c r="D2381" s="24" t="s">
        <v>21846</v>
      </c>
      <c r="E2381" s="40">
        <v>1046</v>
      </c>
      <c r="F2381" s="41">
        <v>361262</v>
      </c>
      <c r="G2381" s="40">
        <v>265</v>
      </c>
      <c r="H2381" s="41">
        <v>93810</v>
      </c>
      <c r="I2381" s="41">
        <v>345.37476099426385</v>
      </c>
      <c r="J2381" s="41">
        <v>354</v>
      </c>
      <c r="K2381" s="42">
        <v>2.4973564891962098E-2</v>
      </c>
    </row>
    <row r="2382" spans="1:11" x14ac:dyDescent="0.25">
      <c r="A2382" s="24" t="s">
        <v>7</v>
      </c>
      <c r="B2382" s="24" t="s">
        <v>22033</v>
      </c>
      <c r="C2382" s="25" t="s">
        <v>22034</v>
      </c>
      <c r="D2382" s="24" t="s">
        <v>21846</v>
      </c>
      <c r="G2382" s="40">
        <v>1</v>
      </c>
      <c r="H2382" s="41">
        <v>160</v>
      </c>
      <c r="J2382" s="41">
        <v>160</v>
      </c>
    </row>
    <row r="2383" spans="1:11" x14ac:dyDescent="0.25">
      <c r="A2383" s="24" t="s">
        <v>7</v>
      </c>
      <c r="B2383" s="24" t="s">
        <v>22035</v>
      </c>
      <c r="C2383" s="25" t="s">
        <v>22036</v>
      </c>
      <c r="D2383" s="24" t="s">
        <v>21846</v>
      </c>
      <c r="E2383" s="40">
        <v>37</v>
      </c>
      <c r="F2383" s="41">
        <v>6714</v>
      </c>
      <c r="G2383" s="40">
        <v>8</v>
      </c>
      <c r="H2383" s="41">
        <v>1488</v>
      </c>
      <c r="I2383" s="41">
        <v>181.45945945945945</v>
      </c>
      <c r="J2383" s="41">
        <v>186</v>
      </c>
      <c r="K2383" s="42">
        <v>2.5022341376228815E-2</v>
      </c>
    </row>
    <row r="2384" spans="1:11" x14ac:dyDescent="0.25">
      <c r="A2384" s="24" t="s">
        <v>7</v>
      </c>
      <c r="B2384" s="24" t="s">
        <v>22037</v>
      </c>
      <c r="C2384" s="25" t="s">
        <v>22038</v>
      </c>
      <c r="D2384" s="24" t="s">
        <v>21846</v>
      </c>
      <c r="G2384" s="40">
        <v>1</v>
      </c>
      <c r="H2384" s="41">
        <v>133</v>
      </c>
      <c r="J2384" s="41">
        <v>133</v>
      </c>
    </row>
    <row r="2385" spans="1:11" x14ac:dyDescent="0.25">
      <c r="A2385" s="24" t="s">
        <v>7</v>
      </c>
      <c r="B2385" s="24" t="s">
        <v>22039</v>
      </c>
      <c r="C2385" s="25" t="s">
        <v>22040</v>
      </c>
      <c r="D2385" s="24" t="s">
        <v>21846</v>
      </c>
      <c r="E2385" s="40">
        <v>1027</v>
      </c>
      <c r="F2385" s="41">
        <v>194973</v>
      </c>
      <c r="G2385" s="40">
        <v>245</v>
      </c>
      <c r="H2385" s="41">
        <v>47775</v>
      </c>
      <c r="I2385" s="41">
        <v>189.84712755598832</v>
      </c>
      <c r="J2385" s="41">
        <v>195</v>
      </c>
      <c r="K2385" s="42">
        <v>2.714221969195731E-2</v>
      </c>
    </row>
    <row r="2386" spans="1:11" x14ac:dyDescent="0.25">
      <c r="A2386" s="24" t="s">
        <v>7</v>
      </c>
      <c r="B2386" s="24" t="s">
        <v>22041</v>
      </c>
      <c r="C2386" s="25" t="s">
        <v>22042</v>
      </c>
      <c r="D2386" s="24" t="s">
        <v>21846</v>
      </c>
      <c r="E2386" s="40">
        <v>238</v>
      </c>
      <c r="F2386" s="41">
        <v>49366</v>
      </c>
      <c r="G2386" s="40">
        <v>75</v>
      </c>
      <c r="H2386" s="41">
        <v>15975</v>
      </c>
      <c r="I2386" s="41">
        <v>207.42016806722688</v>
      </c>
      <c r="J2386" s="41">
        <v>213</v>
      </c>
      <c r="K2386" s="42">
        <v>2.6901106024389297E-2</v>
      </c>
    </row>
    <row r="2387" spans="1:11" x14ac:dyDescent="0.25">
      <c r="A2387" s="24" t="s">
        <v>7</v>
      </c>
      <c r="B2387" s="24" t="s">
        <v>22043</v>
      </c>
      <c r="C2387" s="25" t="s">
        <v>22044</v>
      </c>
      <c r="D2387" s="24" t="s">
        <v>21846</v>
      </c>
      <c r="E2387" s="40">
        <v>369</v>
      </c>
      <c r="F2387" s="41">
        <v>47857</v>
      </c>
      <c r="G2387" s="40">
        <v>109</v>
      </c>
      <c r="H2387" s="41">
        <v>14497</v>
      </c>
      <c r="I2387" s="41">
        <v>129.69376693766938</v>
      </c>
      <c r="J2387" s="41">
        <v>133</v>
      </c>
      <c r="K2387" s="42">
        <v>2.549261341078627E-2</v>
      </c>
    </row>
    <row r="2388" spans="1:11" x14ac:dyDescent="0.25">
      <c r="A2388" s="24" t="s">
        <v>7</v>
      </c>
      <c r="B2388" s="24" t="s">
        <v>11783</v>
      </c>
      <c r="C2388" s="25" t="s">
        <v>11784</v>
      </c>
      <c r="D2388" s="24" t="s">
        <v>22045</v>
      </c>
      <c r="E2388" s="40">
        <v>7746</v>
      </c>
      <c r="F2388" s="41">
        <v>2072784</v>
      </c>
      <c r="G2388" s="40">
        <v>8283</v>
      </c>
      <c r="H2388" s="41">
        <v>1999128</v>
      </c>
      <c r="I2388" s="41">
        <v>267.59411309062745</v>
      </c>
      <c r="J2388" s="41">
        <v>241.35313292285403</v>
      </c>
      <c r="K2388" s="42">
        <v>-9.8062621276299347E-2</v>
      </c>
    </row>
    <row r="2389" spans="1:11" x14ac:dyDescent="0.25">
      <c r="A2389" s="24" t="s">
        <v>7</v>
      </c>
      <c r="B2389" s="24" t="s">
        <v>11786</v>
      </c>
      <c r="C2389" s="25" t="s">
        <v>11787</v>
      </c>
      <c r="D2389" s="24" t="s">
        <v>21846</v>
      </c>
      <c r="G2389" s="40">
        <v>4</v>
      </c>
      <c r="H2389" s="41">
        <v>15184</v>
      </c>
      <c r="J2389" s="41">
        <v>3796</v>
      </c>
    </row>
    <row r="2390" spans="1:11" x14ac:dyDescent="0.25">
      <c r="A2390" s="24" t="s">
        <v>7</v>
      </c>
      <c r="B2390" s="24" t="s">
        <v>11792</v>
      </c>
      <c r="C2390" s="25" t="s">
        <v>11793</v>
      </c>
      <c r="D2390" s="24" t="s">
        <v>22046</v>
      </c>
      <c r="E2390" s="40">
        <v>4590</v>
      </c>
      <c r="F2390" s="41">
        <v>178722</v>
      </c>
      <c r="G2390" s="40">
        <v>5031</v>
      </c>
      <c r="H2390" s="41">
        <v>175789</v>
      </c>
      <c r="I2390" s="41">
        <v>38.937254901960785</v>
      </c>
      <c r="J2390" s="41">
        <v>34.94116477837408</v>
      </c>
      <c r="K2390" s="42">
        <v>-0.1026289637944012</v>
      </c>
    </row>
    <row r="2391" spans="1:11" x14ac:dyDescent="0.25">
      <c r="A2391" s="24" t="s">
        <v>7</v>
      </c>
      <c r="B2391" s="24" t="s">
        <v>11795</v>
      </c>
      <c r="C2391" s="25" t="s">
        <v>11796</v>
      </c>
      <c r="D2391" s="24" t="s">
        <v>22047</v>
      </c>
      <c r="E2391" s="40">
        <v>16720</v>
      </c>
      <c r="F2391" s="41">
        <v>525636</v>
      </c>
      <c r="G2391" s="40">
        <v>18357</v>
      </c>
      <c r="H2391" s="41">
        <v>513300</v>
      </c>
      <c r="I2391" s="41">
        <v>31.437559808612441</v>
      </c>
      <c r="J2391" s="41">
        <v>27.962085308056871</v>
      </c>
      <c r="K2391" s="42">
        <v>-0.11055166246088384</v>
      </c>
    </row>
    <row r="2392" spans="1:11" x14ac:dyDescent="0.25">
      <c r="A2392" s="24" t="s">
        <v>7</v>
      </c>
      <c r="B2392" s="24" t="s">
        <v>11798</v>
      </c>
      <c r="C2392" s="25" t="s">
        <v>11799</v>
      </c>
      <c r="D2392" s="24" t="s">
        <v>22047</v>
      </c>
      <c r="E2392" s="40">
        <v>46274</v>
      </c>
      <c r="F2392" s="41">
        <v>2086334</v>
      </c>
      <c r="G2392" s="40">
        <v>47112</v>
      </c>
      <c r="H2392" s="41">
        <v>1878364</v>
      </c>
      <c r="I2392" s="41">
        <v>45.086528071919439</v>
      </c>
      <c r="J2392" s="41">
        <v>39.870181694685009</v>
      </c>
      <c r="K2392" s="42">
        <v>-0.1156963421293743</v>
      </c>
    </row>
    <row r="2393" spans="1:11" x14ac:dyDescent="0.25">
      <c r="A2393" s="24" t="s">
        <v>7</v>
      </c>
      <c r="B2393" s="24" t="s">
        <v>11803</v>
      </c>
      <c r="C2393" s="25" t="s">
        <v>11804</v>
      </c>
      <c r="D2393" s="24" t="s">
        <v>22048</v>
      </c>
      <c r="E2393" s="40">
        <v>73</v>
      </c>
      <c r="F2393" s="41">
        <v>22485</v>
      </c>
      <c r="G2393" s="40">
        <v>94</v>
      </c>
      <c r="H2393" s="41">
        <v>25151</v>
      </c>
      <c r="I2393" s="41">
        <v>308.01369863013701</v>
      </c>
      <c r="J2393" s="41">
        <v>267.56382978723406</v>
      </c>
      <c r="K2393" s="42">
        <v>-0.13132490218065002</v>
      </c>
    </row>
    <row r="2394" spans="1:11" x14ac:dyDescent="0.25">
      <c r="A2394" s="24" t="s">
        <v>7</v>
      </c>
      <c r="B2394" s="24" t="s">
        <v>11806</v>
      </c>
      <c r="C2394" s="25" t="s">
        <v>11807</v>
      </c>
      <c r="D2394" s="24" t="s">
        <v>21846</v>
      </c>
      <c r="E2394" s="40">
        <v>77</v>
      </c>
      <c r="F2394" s="41">
        <v>1219</v>
      </c>
      <c r="G2394" s="40">
        <v>127</v>
      </c>
      <c r="H2394" s="41">
        <v>2032</v>
      </c>
      <c r="I2394" s="41">
        <v>15.831168831168831</v>
      </c>
      <c r="J2394" s="41">
        <v>16</v>
      </c>
      <c r="K2394" s="42">
        <v>1.0664479081214092E-2</v>
      </c>
    </row>
    <row r="2395" spans="1:11" x14ac:dyDescent="0.25">
      <c r="A2395" s="24" t="s">
        <v>7</v>
      </c>
      <c r="B2395" s="24" t="s">
        <v>11809</v>
      </c>
      <c r="C2395" s="25" t="s">
        <v>11810</v>
      </c>
      <c r="D2395" s="24" t="s">
        <v>22049</v>
      </c>
      <c r="E2395" s="40">
        <v>115</v>
      </c>
      <c r="F2395" s="41">
        <v>66662</v>
      </c>
      <c r="G2395" s="40">
        <v>115</v>
      </c>
      <c r="H2395" s="41">
        <v>59050</v>
      </c>
      <c r="I2395" s="41">
        <v>579.66956521739132</v>
      </c>
      <c r="J2395" s="41">
        <v>513.47826086956525</v>
      </c>
      <c r="K2395" s="42">
        <v>-0.11418799315952115</v>
      </c>
    </row>
    <row r="2396" spans="1:11" x14ac:dyDescent="0.25">
      <c r="A2396" s="24" t="s">
        <v>7</v>
      </c>
      <c r="B2396" s="24" t="s">
        <v>11821</v>
      </c>
      <c r="C2396" s="25" t="s">
        <v>11822</v>
      </c>
      <c r="D2396" s="24" t="s">
        <v>22050</v>
      </c>
      <c r="G2396" s="40">
        <v>2</v>
      </c>
      <c r="H2396" s="41">
        <v>900</v>
      </c>
      <c r="J2396" s="41">
        <v>450</v>
      </c>
    </row>
    <row r="2397" spans="1:11" x14ac:dyDescent="0.25">
      <c r="A2397" s="24" t="s">
        <v>7</v>
      </c>
      <c r="B2397" s="24" t="s">
        <v>11824</v>
      </c>
      <c r="C2397" s="25" t="s">
        <v>11825</v>
      </c>
      <c r="D2397" s="24" t="s">
        <v>22051</v>
      </c>
      <c r="E2397" s="40">
        <v>75</v>
      </c>
      <c r="F2397" s="41">
        <v>1869</v>
      </c>
      <c r="G2397" s="40">
        <v>12</v>
      </c>
      <c r="H2397" s="41">
        <v>300</v>
      </c>
      <c r="I2397" s="41">
        <v>24.92</v>
      </c>
      <c r="J2397" s="41">
        <v>25</v>
      </c>
      <c r="K2397" s="42">
        <v>3.210272873194153E-3</v>
      </c>
    </row>
    <row r="2398" spans="1:11" x14ac:dyDescent="0.25">
      <c r="A2398" s="24" t="s">
        <v>7</v>
      </c>
      <c r="B2398" s="24" t="s">
        <v>11827</v>
      </c>
      <c r="C2398" s="25" t="s">
        <v>11828</v>
      </c>
      <c r="D2398" s="24" t="s">
        <v>22052</v>
      </c>
      <c r="E2398" s="40">
        <v>122815</v>
      </c>
      <c r="F2398" s="41">
        <v>7926415</v>
      </c>
      <c r="G2398" s="40">
        <v>124020</v>
      </c>
      <c r="H2398" s="41">
        <v>6973530</v>
      </c>
      <c r="I2398" s="41">
        <v>64.53946993445426</v>
      </c>
      <c r="J2398" s="41">
        <v>56.229075955491048</v>
      </c>
      <c r="K2398" s="42">
        <v>-0.12876452173225436</v>
      </c>
    </row>
    <row r="2399" spans="1:11" x14ac:dyDescent="0.25">
      <c r="A2399" s="24" t="s">
        <v>7</v>
      </c>
      <c r="B2399" s="24" t="s">
        <v>11830</v>
      </c>
      <c r="C2399" s="25" t="s">
        <v>11831</v>
      </c>
      <c r="D2399" s="24" t="s">
        <v>21846</v>
      </c>
      <c r="E2399" s="40">
        <v>5055</v>
      </c>
      <c r="F2399" s="41">
        <v>49070</v>
      </c>
      <c r="G2399" s="40">
        <v>3928</v>
      </c>
      <c r="H2399" s="41">
        <v>39280</v>
      </c>
      <c r="I2399" s="41">
        <v>9.7072205736894173</v>
      </c>
      <c r="J2399" s="41">
        <v>10</v>
      </c>
      <c r="K2399" s="42">
        <v>3.0160994497656319E-2</v>
      </c>
    </row>
    <row r="2400" spans="1:11" x14ac:dyDescent="0.25">
      <c r="A2400" s="24" t="s">
        <v>7</v>
      </c>
      <c r="B2400" s="24" t="s">
        <v>11833</v>
      </c>
      <c r="C2400" s="25" t="s">
        <v>11834</v>
      </c>
      <c r="D2400" s="24" t="s">
        <v>22053</v>
      </c>
      <c r="E2400" s="40">
        <v>313</v>
      </c>
      <c r="F2400" s="41">
        <v>236651</v>
      </c>
      <c r="G2400" s="40">
        <v>300</v>
      </c>
      <c r="H2400" s="41">
        <v>117900</v>
      </c>
      <c r="I2400" s="41">
        <v>756.07348242811497</v>
      </c>
      <c r="J2400" s="41">
        <v>393</v>
      </c>
      <c r="K2400" s="42">
        <v>-0.48020925328859793</v>
      </c>
    </row>
    <row r="2401" spans="1:11" x14ac:dyDescent="0.25">
      <c r="A2401" s="24" t="s">
        <v>7</v>
      </c>
      <c r="B2401" s="24" t="s">
        <v>11836</v>
      </c>
      <c r="C2401" s="25" t="s">
        <v>11837</v>
      </c>
      <c r="D2401" s="24" t="s">
        <v>22052</v>
      </c>
      <c r="G2401" s="40">
        <v>13730</v>
      </c>
      <c r="H2401" s="41">
        <v>162563.20000000001</v>
      </c>
      <c r="J2401" s="41">
        <v>11.840000000000002</v>
      </c>
    </row>
    <row r="2402" spans="1:11" x14ac:dyDescent="0.25">
      <c r="A2402" s="24" t="s">
        <v>7</v>
      </c>
      <c r="B2402" s="24" t="s">
        <v>11838</v>
      </c>
      <c r="C2402" s="25" t="s">
        <v>11839</v>
      </c>
      <c r="D2402" s="24" t="s">
        <v>22054</v>
      </c>
      <c r="G2402" s="40">
        <v>18</v>
      </c>
      <c r="H2402" s="41">
        <v>5454</v>
      </c>
      <c r="J2402" s="41">
        <v>303</v>
      </c>
    </row>
    <row r="2403" spans="1:11" x14ac:dyDescent="0.25">
      <c r="A2403" s="24" t="s">
        <v>7</v>
      </c>
      <c r="B2403" s="24" t="s">
        <v>11844</v>
      </c>
      <c r="C2403" s="25" t="s">
        <v>11845</v>
      </c>
      <c r="D2403" s="24" t="s">
        <v>22055</v>
      </c>
      <c r="E2403" s="40">
        <v>478</v>
      </c>
      <c r="F2403" s="41">
        <v>63378</v>
      </c>
      <c r="G2403" s="40">
        <v>490</v>
      </c>
      <c r="H2403" s="41">
        <v>59462</v>
      </c>
      <c r="I2403" s="41">
        <v>132.58995815899581</v>
      </c>
      <c r="J2403" s="41">
        <v>121.35102040816327</v>
      </c>
      <c r="K2403" s="42">
        <v>-8.4764622501466727E-2</v>
      </c>
    </row>
    <row r="2404" spans="1:11" x14ac:dyDescent="0.25">
      <c r="A2404" s="24" t="s">
        <v>7</v>
      </c>
      <c r="B2404" s="24" t="s">
        <v>11847</v>
      </c>
      <c r="C2404" s="25" t="s">
        <v>11848</v>
      </c>
      <c r="D2404" s="24" t="s">
        <v>22056</v>
      </c>
      <c r="E2404" s="40">
        <v>38360</v>
      </c>
      <c r="F2404" s="41">
        <v>76720</v>
      </c>
      <c r="G2404" s="40">
        <v>26480</v>
      </c>
      <c r="H2404" s="41">
        <v>117440</v>
      </c>
      <c r="I2404" s="41">
        <v>2</v>
      </c>
      <c r="J2404" s="41">
        <v>4.4350453172205437</v>
      </c>
      <c r="K2404" s="42">
        <v>1.2175226586102719</v>
      </c>
    </row>
    <row r="2405" spans="1:11" x14ac:dyDescent="0.25">
      <c r="A2405" s="24" t="s">
        <v>7</v>
      </c>
      <c r="B2405" s="24" t="s">
        <v>11850</v>
      </c>
      <c r="C2405" s="25" t="s">
        <v>11851</v>
      </c>
      <c r="D2405" s="24" t="s">
        <v>21888</v>
      </c>
      <c r="E2405" s="40">
        <v>235</v>
      </c>
      <c r="F2405" s="41">
        <v>9289</v>
      </c>
      <c r="G2405" s="40">
        <v>928</v>
      </c>
      <c r="H2405" s="41">
        <v>37120</v>
      </c>
      <c r="I2405" s="41">
        <v>39.527659574468082</v>
      </c>
      <c r="J2405" s="41">
        <v>40</v>
      </c>
      <c r="K2405" s="42">
        <v>1.194961782753803E-2</v>
      </c>
    </row>
    <row r="2406" spans="1:11" x14ac:dyDescent="0.25">
      <c r="A2406" s="24" t="s">
        <v>7</v>
      </c>
      <c r="B2406" s="24" t="s">
        <v>11853</v>
      </c>
      <c r="C2406" s="25" t="s">
        <v>11854</v>
      </c>
      <c r="D2406" s="24" t="s">
        <v>22057</v>
      </c>
      <c r="E2406" s="40">
        <v>0</v>
      </c>
      <c r="F2406" s="41">
        <v>0</v>
      </c>
      <c r="G2406" s="40">
        <v>2640</v>
      </c>
      <c r="H2406" s="41">
        <v>2716</v>
      </c>
      <c r="J2406" s="41">
        <v>1.0287878787878788</v>
      </c>
    </row>
    <row r="2407" spans="1:11" x14ac:dyDescent="0.25">
      <c r="A2407" s="24" t="s">
        <v>7</v>
      </c>
      <c r="B2407" s="24" t="s">
        <v>11856</v>
      </c>
      <c r="C2407" s="25" t="s">
        <v>11857</v>
      </c>
      <c r="D2407" s="24" t="s">
        <v>22058</v>
      </c>
      <c r="E2407" s="40">
        <v>29960</v>
      </c>
      <c r="F2407" s="41">
        <v>150399.20000000001</v>
      </c>
      <c r="G2407" s="40">
        <v>189762</v>
      </c>
      <c r="H2407" s="41">
        <v>836897.58</v>
      </c>
      <c r="I2407" s="41">
        <v>5.0200000000000005</v>
      </c>
      <c r="J2407" s="41">
        <v>4.4102485218326111</v>
      </c>
      <c r="K2407" s="42">
        <v>-0.12146443788195006</v>
      </c>
    </row>
    <row r="2408" spans="1:11" x14ac:dyDescent="0.25">
      <c r="A2408" s="24" t="s">
        <v>7</v>
      </c>
      <c r="B2408" s="24" t="s">
        <v>22059</v>
      </c>
      <c r="C2408" s="25" t="s">
        <v>22060</v>
      </c>
      <c r="D2408" s="24" t="s">
        <v>22061</v>
      </c>
      <c r="E2408" s="40">
        <v>12571</v>
      </c>
      <c r="F2408" s="41">
        <v>2632994</v>
      </c>
      <c r="G2408" s="40">
        <v>0</v>
      </c>
      <c r="H2408" s="41">
        <v>0</v>
      </c>
      <c r="I2408" s="41">
        <v>209.44984488107548</v>
      </c>
    </row>
    <row r="2409" spans="1:11" x14ac:dyDescent="0.25">
      <c r="A2409" s="24" t="s">
        <v>7</v>
      </c>
      <c r="B2409" s="24" t="s">
        <v>22062</v>
      </c>
      <c r="C2409" s="25" t="s">
        <v>22063</v>
      </c>
      <c r="D2409" s="24" t="s">
        <v>22064</v>
      </c>
      <c r="E2409" s="40">
        <v>2510</v>
      </c>
      <c r="F2409" s="41">
        <v>757164</v>
      </c>
      <c r="G2409" s="40">
        <v>0</v>
      </c>
      <c r="H2409" s="41">
        <v>0</v>
      </c>
      <c r="I2409" s="41">
        <v>301.65896414342632</v>
      </c>
    </row>
    <row r="2410" spans="1:11" x14ac:dyDescent="0.25">
      <c r="A2410" s="24" t="s">
        <v>7</v>
      </c>
      <c r="B2410" s="24" t="s">
        <v>11859</v>
      </c>
      <c r="C2410" s="25" t="s">
        <v>11860</v>
      </c>
      <c r="D2410" s="24" t="s">
        <v>22065</v>
      </c>
      <c r="E2410" s="40">
        <v>8602</v>
      </c>
      <c r="F2410" s="41">
        <v>2464748</v>
      </c>
      <c r="G2410" s="40">
        <v>9818</v>
      </c>
      <c r="H2410" s="41">
        <v>2439240</v>
      </c>
      <c r="I2410" s="41">
        <v>286.53196930946291</v>
      </c>
      <c r="J2410" s="41">
        <v>248.44571195762884</v>
      </c>
      <c r="K2410" s="42">
        <v>-0.13292149369447775</v>
      </c>
    </row>
    <row r="2411" spans="1:11" x14ac:dyDescent="0.25">
      <c r="A2411" s="24" t="s">
        <v>7</v>
      </c>
      <c r="B2411" s="24" t="s">
        <v>11862</v>
      </c>
      <c r="C2411" s="25" t="s">
        <v>11863</v>
      </c>
      <c r="D2411" s="24" t="s">
        <v>21846</v>
      </c>
      <c r="E2411" s="40">
        <v>8</v>
      </c>
      <c r="F2411" s="41">
        <v>170</v>
      </c>
      <c r="G2411" s="40">
        <v>0</v>
      </c>
      <c r="H2411" s="41">
        <v>0</v>
      </c>
      <c r="I2411" s="41">
        <v>21.25</v>
      </c>
    </row>
    <row r="2412" spans="1:11" x14ac:dyDescent="0.25">
      <c r="A2412" s="24" t="s">
        <v>7</v>
      </c>
      <c r="B2412" s="24" t="s">
        <v>11865</v>
      </c>
      <c r="C2412" s="25" t="s">
        <v>11866</v>
      </c>
      <c r="D2412" s="24" t="s">
        <v>21846</v>
      </c>
      <c r="E2412" s="40">
        <v>1518</v>
      </c>
      <c r="F2412" s="41">
        <v>211783</v>
      </c>
      <c r="G2412" s="40">
        <v>1921</v>
      </c>
      <c r="H2412" s="41">
        <v>232644</v>
      </c>
      <c r="I2412" s="41">
        <v>139.51449275362319</v>
      </c>
      <c r="J2412" s="41">
        <v>121.1056741280583</v>
      </c>
      <c r="K2412" s="42">
        <v>-0.13194914924053161</v>
      </c>
    </row>
    <row r="2413" spans="1:11" x14ac:dyDescent="0.25">
      <c r="A2413" s="24" t="s">
        <v>7</v>
      </c>
      <c r="B2413" s="24" t="s">
        <v>11868</v>
      </c>
      <c r="C2413" s="25" t="s">
        <v>11869</v>
      </c>
      <c r="D2413" s="24" t="s">
        <v>21846</v>
      </c>
      <c r="E2413" s="40">
        <v>3832</v>
      </c>
      <c r="F2413" s="41">
        <v>11496</v>
      </c>
      <c r="G2413" s="40">
        <v>4374</v>
      </c>
      <c r="H2413" s="41">
        <v>14877</v>
      </c>
      <c r="I2413" s="41">
        <v>3</v>
      </c>
      <c r="J2413" s="41">
        <v>3.4012345679012346</v>
      </c>
      <c r="K2413" s="42">
        <v>0.13374485596707819</v>
      </c>
    </row>
    <row r="2414" spans="1:11" x14ac:dyDescent="0.25">
      <c r="A2414" s="24" t="s">
        <v>7</v>
      </c>
      <c r="B2414" s="24" t="s">
        <v>11871</v>
      </c>
      <c r="C2414" s="25" t="s">
        <v>11872</v>
      </c>
      <c r="D2414" s="24" t="s">
        <v>22066</v>
      </c>
      <c r="E2414" s="40">
        <v>296200</v>
      </c>
      <c r="F2414" s="41">
        <v>139460</v>
      </c>
      <c r="G2414" s="40">
        <v>353225</v>
      </c>
      <c r="H2414" s="41">
        <v>204648</v>
      </c>
      <c r="I2414" s="41">
        <v>0.47083051991897368</v>
      </c>
      <c r="J2414" s="41">
        <v>0.57937008988604999</v>
      </c>
      <c r="K2414" s="42">
        <v>0.23052789777891872</v>
      </c>
    </row>
    <row r="2415" spans="1:11" x14ac:dyDescent="0.25">
      <c r="A2415" s="24" t="s">
        <v>7</v>
      </c>
      <c r="B2415" s="24" t="s">
        <v>11874</v>
      </c>
      <c r="C2415" s="25" t="s">
        <v>11875</v>
      </c>
      <c r="D2415" s="24" t="s">
        <v>22067</v>
      </c>
      <c r="E2415" s="40">
        <v>123350</v>
      </c>
      <c r="F2415" s="41">
        <v>1329700</v>
      </c>
      <c r="G2415" s="40">
        <v>113800</v>
      </c>
      <c r="H2415" s="41">
        <v>1131000</v>
      </c>
      <c r="I2415" s="41">
        <v>10.779894608836644</v>
      </c>
      <c r="J2415" s="41">
        <v>9.9384885764499113</v>
      </c>
      <c r="K2415" s="42">
        <v>-7.8053270733927538E-2</v>
      </c>
    </row>
    <row r="2416" spans="1:11" x14ac:dyDescent="0.25">
      <c r="A2416" s="24" t="s">
        <v>7</v>
      </c>
      <c r="B2416" s="24" t="s">
        <v>11877</v>
      </c>
      <c r="C2416" s="25" t="s">
        <v>11878</v>
      </c>
      <c r="D2416" s="24" t="s">
        <v>22067</v>
      </c>
      <c r="G2416" s="40">
        <v>2400</v>
      </c>
      <c r="H2416" s="41">
        <v>5256</v>
      </c>
      <c r="J2416" s="41">
        <v>2.19</v>
      </c>
    </row>
    <row r="2417" spans="1:11" x14ac:dyDescent="0.25">
      <c r="A2417" s="24" t="s">
        <v>7</v>
      </c>
      <c r="B2417" s="24" t="s">
        <v>11880</v>
      </c>
      <c r="C2417" s="25" t="s">
        <v>11881</v>
      </c>
      <c r="D2417" s="24" t="s">
        <v>22068</v>
      </c>
      <c r="G2417" s="40">
        <v>14</v>
      </c>
      <c r="H2417" s="41">
        <v>1120</v>
      </c>
      <c r="J2417" s="41">
        <v>80</v>
      </c>
    </row>
    <row r="2418" spans="1:11" x14ac:dyDescent="0.25">
      <c r="A2418" s="24" t="s">
        <v>7</v>
      </c>
      <c r="B2418" s="24" t="s">
        <v>11883</v>
      </c>
      <c r="C2418" s="25" t="s">
        <v>11884</v>
      </c>
      <c r="D2418" s="24" t="s">
        <v>22069</v>
      </c>
      <c r="E2418" s="40">
        <v>11090</v>
      </c>
      <c r="F2418" s="41">
        <v>945378</v>
      </c>
      <c r="G2418" s="40">
        <v>12586</v>
      </c>
      <c r="H2418" s="41">
        <v>1033328</v>
      </c>
      <c r="I2418" s="41">
        <v>85.245987376014426</v>
      </c>
      <c r="J2418" s="41">
        <v>82.10138248847926</v>
      </c>
      <c r="K2418" s="42">
        <v>-3.688859715665585E-2</v>
      </c>
    </row>
    <row r="2419" spans="1:11" x14ac:dyDescent="0.25">
      <c r="A2419" s="24" t="s">
        <v>7</v>
      </c>
      <c r="B2419" s="24" t="s">
        <v>11886</v>
      </c>
      <c r="C2419" s="25" t="s">
        <v>11887</v>
      </c>
      <c r="D2419" s="24" t="s">
        <v>22068</v>
      </c>
      <c r="E2419" s="40">
        <v>2528</v>
      </c>
      <c r="F2419" s="41">
        <v>113768</v>
      </c>
      <c r="G2419" s="40">
        <v>2016</v>
      </c>
      <c r="H2419" s="41">
        <v>89376</v>
      </c>
      <c r="I2419" s="41">
        <v>45.003164556962027</v>
      </c>
      <c r="J2419" s="41">
        <v>44.333333333333336</v>
      </c>
      <c r="K2419" s="42">
        <v>-1.4884091601621992E-2</v>
      </c>
    </row>
    <row r="2420" spans="1:11" x14ac:dyDescent="0.25">
      <c r="A2420" s="24" t="s">
        <v>7</v>
      </c>
      <c r="B2420" s="24" t="s">
        <v>11889</v>
      </c>
      <c r="C2420" s="25" t="s">
        <v>11890</v>
      </c>
      <c r="D2420" s="24" t="s">
        <v>22070</v>
      </c>
      <c r="E2420" s="40">
        <v>2700</v>
      </c>
      <c r="F2420" s="41">
        <v>13500</v>
      </c>
      <c r="G2420" s="40">
        <v>4600</v>
      </c>
      <c r="H2420" s="41">
        <v>55400</v>
      </c>
      <c r="I2420" s="41">
        <v>5</v>
      </c>
      <c r="J2420" s="41">
        <v>12.043478260869565</v>
      </c>
      <c r="K2420" s="42">
        <v>1.4086956521739129</v>
      </c>
    </row>
    <row r="2421" spans="1:11" x14ac:dyDescent="0.25">
      <c r="A2421" s="24" t="s">
        <v>7</v>
      </c>
      <c r="B2421" s="24" t="s">
        <v>11909</v>
      </c>
      <c r="C2421" s="25" t="s">
        <v>11910</v>
      </c>
      <c r="D2421" s="24" t="s">
        <v>21846</v>
      </c>
      <c r="E2421" s="40">
        <v>2605</v>
      </c>
      <c r="F2421" s="41">
        <v>290370</v>
      </c>
      <c r="G2421" s="40">
        <v>2344</v>
      </c>
      <c r="H2421" s="41">
        <v>256244</v>
      </c>
      <c r="I2421" s="41">
        <v>111.46641074856046</v>
      </c>
      <c r="J2421" s="41">
        <v>109.31911262798634</v>
      </c>
      <c r="K2421" s="42">
        <v>-1.9264082391760803E-2</v>
      </c>
    </row>
    <row r="2422" spans="1:11" x14ac:dyDescent="0.25">
      <c r="A2422" s="24" t="s">
        <v>7</v>
      </c>
      <c r="B2422" s="24" t="s">
        <v>11917</v>
      </c>
      <c r="C2422" s="25" t="s">
        <v>11918</v>
      </c>
      <c r="D2422" s="24" t="s">
        <v>21846</v>
      </c>
      <c r="E2422" s="40">
        <v>125</v>
      </c>
      <c r="F2422" s="41">
        <v>13292</v>
      </c>
      <c r="G2422" s="40">
        <v>212</v>
      </c>
      <c r="H2422" s="41">
        <v>22896</v>
      </c>
      <c r="I2422" s="41">
        <v>106.336</v>
      </c>
      <c r="J2422" s="41">
        <v>108</v>
      </c>
      <c r="K2422" s="42">
        <v>1.5648510382184788E-2</v>
      </c>
    </row>
    <row r="2423" spans="1:11" x14ac:dyDescent="0.25">
      <c r="A2423" s="24" t="s">
        <v>7</v>
      </c>
      <c r="B2423" s="24" t="s">
        <v>11922</v>
      </c>
      <c r="C2423" s="25" t="s">
        <v>11923</v>
      </c>
      <c r="D2423" s="24" t="s">
        <v>22071</v>
      </c>
      <c r="G2423" s="40">
        <v>17750</v>
      </c>
      <c r="H2423" s="41">
        <v>12780</v>
      </c>
      <c r="J2423" s="41">
        <v>0.72</v>
      </c>
    </row>
    <row r="2424" spans="1:11" x14ac:dyDescent="0.25">
      <c r="A2424" s="24" t="s">
        <v>7</v>
      </c>
      <c r="B2424" s="24" t="s">
        <v>22072</v>
      </c>
      <c r="C2424" s="25" t="s">
        <v>22073</v>
      </c>
      <c r="D2424" s="24" t="s">
        <v>22074</v>
      </c>
      <c r="E2424" s="40">
        <v>581</v>
      </c>
      <c r="F2424" s="41">
        <v>87082</v>
      </c>
      <c r="G2424" s="40">
        <v>50</v>
      </c>
      <c r="H2424" s="41">
        <v>7550</v>
      </c>
      <c r="I2424" s="41">
        <v>149.88296041308089</v>
      </c>
      <c r="J2424" s="41">
        <v>151</v>
      </c>
      <c r="K2424" s="42">
        <v>7.4527456879722592E-3</v>
      </c>
    </row>
    <row r="2425" spans="1:11" x14ac:dyDescent="0.25">
      <c r="A2425" s="24" t="s">
        <v>7</v>
      </c>
      <c r="B2425" s="24" t="s">
        <v>11925</v>
      </c>
      <c r="C2425" s="25" t="s">
        <v>11926</v>
      </c>
      <c r="D2425" s="24" t="s">
        <v>22075</v>
      </c>
      <c r="E2425" s="40">
        <v>32890</v>
      </c>
      <c r="F2425" s="41">
        <v>2243550</v>
      </c>
      <c r="G2425" s="40">
        <v>33975</v>
      </c>
      <c r="H2425" s="41">
        <v>2072505</v>
      </c>
      <c r="I2425" s="41">
        <v>68.213742778960167</v>
      </c>
      <c r="J2425" s="41">
        <v>61.000883002207509</v>
      </c>
      <c r="K2425" s="42">
        <v>-0.10573910011249803</v>
      </c>
    </row>
    <row r="2426" spans="1:11" x14ac:dyDescent="0.25">
      <c r="A2426" s="24" t="s">
        <v>7</v>
      </c>
      <c r="B2426" s="24" t="s">
        <v>11931</v>
      </c>
      <c r="C2426" s="25" t="s">
        <v>11932</v>
      </c>
      <c r="D2426" s="24" t="s">
        <v>22076</v>
      </c>
      <c r="E2426" s="40">
        <v>42</v>
      </c>
      <c r="F2426" s="41">
        <v>4968</v>
      </c>
      <c r="G2426" s="40">
        <v>32</v>
      </c>
      <c r="H2426" s="41">
        <v>3252</v>
      </c>
      <c r="I2426" s="41">
        <v>118.28571428571429</v>
      </c>
      <c r="J2426" s="41">
        <v>101.625</v>
      </c>
      <c r="K2426" s="42">
        <v>-0.14085144927536236</v>
      </c>
    </row>
    <row r="2427" spans="1:11" x14ac:dyDescent="0.25">
      <c r="A2427" s="24" t="s">
        <v>7</v>
      </c>
      <c r="B2427" s="24" t="s">
        <v>11934</v>
      </c>
      <c r="C2427" s="25" t="s">
        <v>11935</v>
      </c>
      <c r="D2427" s="24" t="s">
        <v>22077</v>
      </c>
      <c r="E2427" s="40">
        <v>249</v>
      </c>
      <c r="F2427" s="41">
        <v>147321</v>
      </c>
      <c r="G2427" s="40">
        <v>213</v>
      </c>
      <c r="H2427" s="41">
        <v>110949</v>
      </c>
      <c r="I2427" s="41">
        <v>591.65060240963851</v>
      </c>
      <c r="J2427" s="41">
        <v>520.88732394366195</v>
      </c>
      <c r="K2427" s="42">
        <v>-0.11960315459458029</v>
      </c>
    </row>
    <row r="2428" spans="1:11" x14ac:dyDescent="0.25">
      <c r="A2428" s="24" t="s">
        <v>7</v>
      </c>
      <c r="B2428" s="24" t="s">
        <v>11940</v>
      </c>
      <c r="C2428" s="25" t="s">
        <v>11941</v>
      </c>
      <c r="D2428" s="24" t="s">
        <v>22078</v>
      </c>
      <c r="E2428" s="40">
        <v>18180</v>
      </c>
      <c r="F2428" s="41">
        <v>1259730</v>
      </c>
      <c r="G2428" s="40">
        <v>15365</v>
      </c>
      <c r="H2428" s="41">
        <v>960229</v>
      </c>
      <c r="I2428" s="41">
        <v>69.292079207920793</v>
      </c>
      <c r="J2428" s="41">
        <v>62.494565571103159</v>
      </c>
      <c r="K2428" s="42">
        <v>-9.8099432352444241E-2</v>
      </c>
    </row>
    <row r="2429" spans="1:11" x14ac:dyDescent="0.25">
      <c r="A2429" s="24" t="s">
        <v>7</v>
      </c>
      <c r="B2429" s="24" t="s">
        <v>11948</v>
      </c>
      <c r="C2429" s="25" t="s">
        <v>11949</v>
      </c>
      <c r="D2429" s="24" t="s">
        <v>22079</v>
      </c>
      <c r="E2429" s="40">
        <v>114000</v>
      </c>
      <c r="F2429" s="41">
        <v>127680</v>
      </c>
      <c r="G2429" s="40">
        <v>371500</v>
      </c>
      <c r="H2429" s="41">
        <v>409180</v>
      </c>
      <c r="I2429" s="41">
        <v>1.1200000000000001</v>
      </c>
      <c r="J2429" s="41">
        <v>1.1014266487213997</v>
      </c>
      <c r="K2429" s="42">
        <v>-1.6583349355893194E-2</v>
      </c>
    </row>
    <row r="2430" spans="1:11" x14ac:dyDescent="0.25">
      <c r="A2430" s="24" t="s">
        <v>7</v>
      </c>
      <c r="B2430" s="24" t="s">
        <v>11951</v>
      </c>
      <c r="C2430" s="25" t="s">
        <v>11952</v>
      </c>
      <c r="D2430" s="24" t="s">
        <v>22079</v>
      </c>
      <c r="E2430" s="40">
        <v>39200</v>
      </c>
      <c r="F2430" s="41">
        <v>54880</v>
      </c>
      <c r="G2430" s="40">
        <v>242400</v>
      </c>
      <c r="H2430" s="41">
        <v>363840</v>
      </c>
      <c r="I2430" s="41">
        <v>1.4</v>
      </c>
      <c r="J2430" s="41">
        <v>1.500990099009901</v>
      </c>
      <c r="K2430" s="42">
        <v>7.2135785007072198E-2</v>
      </c>
    </row>
    <row r="2431" spans="1:11" x14ac:dyDescent="0.25">
      <c r="A2431" s="24" t="s">
        <v>7</v>
      </c>
      <c r="B2431" s="24" t="s">
        <v>11956</v>
      </c>
      <c r="C2431" s="25" t="s">
        <v>11957</v>
      </c>
      <c r="D2431" s="24" t="s">
        <v>22080</v>
      </c>
      <c r="G2431" s="40">
        <v>14</v>
      </c>
      <c r="H2431" s="41">
        <v>20083.14</v>
      </c>
      <c r="J2431" s="41">
        <v>1434.51</v>
      </c>
    </row>
    <row r="2432" spans="1:11" x14ac:dyDescent="0.25">
      <c r="A2432" s="24" t="s">
        <v>7</v>
      </c>
      <c r="B2432" s="24" t="s">
        <v>11959</v>
      </c>
      <c r="C2432" s="25" t="s">
        <v>11960</v>
      </c>
      <c r="D2432" s="24" t="s">
        <v>22081</v>
      </c>
      <c r="G2432" s="40">
        <v>3</v>
      </c>
      <c r="H2432" s="41">
        <v>4098.6000000000004</v>
      </c>
      <c r="J2432" s="41">
        <v>1366.2</v>
      </c>
    </row>
    <row r="2433" spans="1:11" x14ac:dyDescent="0.25">
      <c r="A2433" s="24" t="s">
        <v>7</v>
      </c>
      <c r="B2433" s="24" t="s">
        <v>11961</v>
      </c>
      <c r="C2433" s="25" t="s">
        <v>11962</v>
      </c>
      <c r="D2433" s="24" t="s">
        <v>21846</v>
      </c>
      <c r="E2433" s="40">
        <v>3178</v>
      </c>
      <c r="F2433" s="41">
        <v>606564</v>
      </c>
      <c r="G2433" s="40">
        <v>1938</v>
      </c>
      <c r="H2433" s="41">
        <v>384075</v>
      </c>
      <c r="I2433" s="41">
        <v>190.86343612334801</v>
      </c>
      <c r="J2433" s="41">
        <v>198.1811145510836</v>
      </c>
      <c r="K2433" s="42">
        <v>3.8339865279416012E-2</v>
      </c>
    </row>
    <row r="2434" spans="1:11" x14ac:dyDescent="0.25">
      <c r="A2434" s="24" t="s">
        <v>7</v>
      </c>
      <c r="B2434" s="24" t="s">
        <v>11975</v>
      </c>
      <c r="C2434" s="25" t="s">
        <v>11976</v>
      </c>
      <c r="D2434" s="24" t="s">
        <v>21846</v>
      </c>
      <c r="G2434" s="40">
        <v>709</v>
      </c>
      <c r="H2434" s="41">
        <v>109186</v>
      </c>
      <c r="J2434" s="41">
        <v>154</v>
      </c>
    </row>
    <row r="2435" spans="1:11" x14ac:dyDescent="0.25">
      <c r="A2435" s="24" t="s">
        <v>7</v>
      </c>
      <c r="B2435" s="24" t="s">
        <v>11978</v>
      </c>
      <c r="C2435" s="25" t="s">
        <v>11979</v>
      </c>
      <c r="D2435" s="24" t="s">
        <v>22082</v>
      </c>
      <c r="E2435" s="40">
        <v>14738</v>
      </c>
      <c r="F2435" s="41">
        <v>1400000</v>
      </c>
      <c r="G2435" s="40">
        <v>12226</v>
      </c>
      <c r="H2435" s="41">
        <v>1047116</v>
      </c>
      <c r="I2435" s="41">
        <v>94.992536300719223</v>
      </c>
      <c r="J2435" s="41">
        <v>85.646654670374616</v>
      </c>
      <c r="K2435" s="42">
        <v>-9.8385431048584882E-2</v>
      </c>
    </row>
    <row r="2436" spans="1:11" x14ac:dyDescent="0.25">
      <c r="A2436" s="24" t="s">
        <v>7</v>
      </c>
      <c r="B2436" s="24" t="s">
        <v>11984</v>
      </c>
      <c r="C2436" s="25" t="s">
        <v>11985</v>
      </c>
      <c r="D2436" s="24" t="s">
        <v>22083</v>
      </c>
      <c r="E2436" s="40">
        <v>94719</v>
      </c>
      <c r="F2436" s="41">
        <v>8052465</v>
      </c>
      <c r="G2436" s="40">
        <v>100753</v>
      </c>
      <c r="H2436" s="41">
        <v>7472755</v>
      </c>
      <c r="I2436" s="41">
        <v>85.014252684255538</v>
      </c>
      <c r="J2436" s="41">
        <v>74.169057000784093</v>
      </c>
      <c r="K2436" s="42">
        <v>-0.12756914683177534</v>
      </c>
    </row>
    <row r="2437" spans="1:11" x14ac:dyDescent="0.25">
      <c r="A2437" s="24" t="s">
        <v>7</v>
      </c>
      <c r="B2437" s="24" t="s">
        <v>11990</v>
      </c>
      <c r="C2437" s="25" t="s">
        <v>11991</v>
      </c>
      <c r="D2437" s="24" t="s">
        <v>22084</v>
      </c>
      <c r="E2437" s="40">
        <v>294</v>
      </c>
      <c r="F2437" s="41">
        <v>2579.92</v>
      </c>
      <c r="G2437" s="40">
        <v>591</v>
      </c>
      <c r="H2437" s="41">
        <v>6254</v>
      </c>
      <c r="I2437" s="41">
        <v>8.7752380952380946</v>
      </c>
      <c r="J2437" s="41">
        <v>10.582064297800338</v>
      </c>
      <c r="K2437" s="42">
        <v>0.20590053317672627</v>
      </c>
    </row>
    <row r="2438" spans="1:11" x14ac:dyDescent="0.25">
      <c r="A2438" s="24" t="s">
        <v>7</v>
      </c>
      <c r="B2438" s="24" t="s">
        <v>11993</v>
      </c>
      <c r="C2438" s="25" t="s">
        <v>11994</v>
      </c>
      <c r="D2438" s="24" t="s">
        <v>22084</v>
      </c>
      <c r="E2438" s="40">
        <v>3110</v>
      </c>
      <c r="F2438" s="41">
        <v>30818.799999999999</v>
      </c>
      <c r="G2438" s="40">
        <v>4261</v>
      </c>
      <c r="H2438" s="41">
        <v>37870</v>
      </c>
      <c r="I2438" s="41">
        <v>9.9095819935691321</v>
      </c>
      <c r="J2438" s="41">
        <v>8.8875850739263083</v>
      </c>
      <c r="K2438" s="42">
        <v>-0.10313219269047406</v>
      </c>
    </row>
    <row r="2439" spans="1:11" x14ac:dyDescent="0.25">
      <c r="A2439" s="24" t="s">
        <v>7</v>
      </c>
      <c r="B2439" s="24" t="s">
        <v>11996</v>
      </c>
      <c r="C2439" s="25" t="s">
        <v>11997</v>
      </c>
      <c r="D2439" s="24" t="s">
        <v>22085</v>
      </c>
      <c r="E2439" s="40">
        <v>1863</v>
      </c>
      <c r="F2439" s="41">
        <v>12929.22</v>
      </c>
      <c r="G2439" s="40">
        <v>4190</v>
      </c>
      <c r="H2439" s="41">
        <v>31344.6</v>
      </c>
      <c r="I2439" s="41">
        <v>6.9399999999999995</v>
      </c>
      <c r="J2439" s="41">
        <v>7.4808114558472552</v>
      </c>
      <c r="K2439" s="42">
        <v>7.7926722744561333E-2</v>
      </c>
    </row>
    <row r="2440" spans="1:11" x14ac:dyDescent="0.25">
      <c r="A2440" s="24" t="s">
        <v>7</v>
      </c>
      <c r="B2440" s="24" t="s">
        <v>11999</v>
      </c>
      <c r="C2440" s="25" t="s">
        <v>12000</v>
      </c>
      <c r="D2440" s="24" t="s">
        <v>22086</v>
      </c>
      <c r="E2440" s="40">
        <v>4172</v>
      </c>
      <c r="F2440" s="41">
        <v>211592</v>
      </c>
      <c r="G2440" s="40">
        <v>1368</v>
      </c>
      <c r="H2440" s="41">
        <v>60552</v>
      </c>
      <c r="I2440" s="41">
        <v>50.717162032598274</v>
      </c>
      <c r="J2440" s="41">
        <v>44.263157894736842</v>
      </c>
      <c r="K2440" s="42">
        <v>-0.12725483602006643</v>
      </c>
    </row>
    <row r="2441" spans="1:11" x14ac:dyDescent="0.25">
      <c r="A2441" s="24" t="s">
        <v>7</v>
      </c>
      <c r="B2441" s="24" t="s">
        <v>12005</v>
      </c>
      <c r="C2441" s="25" t="s">
        <v>12006</v>
      </c>
      <c r="D2441" s="24" t="s">
        <v>22087</v>
      </c>
      <c r="G2441" s="40">
        <v>3842</v>
      </c>
      <c r="H2441" s="41">
        <v>203626</v>
      </c>
      <c r="J2441" s="41">
        <v>53</v>
      </c>
    </row>
    <row r="2442" spans="1:11" x14ac:dyDescent="0.25">
      <c r="A2442" s="24" t="s">
        <v>7</v>
      </c>
      <c r="B2442" s="24" t="s">
        <v>12008</v>
      </c>
      <c r="C2442" s="25" t="s">
        <v>12009</v>
      </c>
      <c r="D2442" s="24" t="s">
        <v>22088</v>
      </c>
      <c r="E2442" s="40">
        <v>4964</v>
      </c>
      <c r="F2442" s="41">
        <v>648436</v>
      </c>
      <c r="G2442" s="40">
        <v>6047</v>
      </c>
      <c r="H2442" s="41">
        <v>810298</v>
      </c>
      <c r="I2442" s="41">
        <v>130.62771958098307</v>
      </c>
      <c r="J2442" s="41">
        <v>134</v>
      </c>
      <c r="K2442" s="42">
        <v>2.5815963333312847E-2</v>
      </c>
    </row>
    <row r="2443" spans="1:11" x14ac:dyDescent="0.25">
      <c r="A2443" s="24" t="s">
        <v>7</v>
      </c>
      <c r="B2443" s="24" t="s">
        <v>12014</v>
      </c>
      <c r="C2443" s="25" t="s">
        <v>12015</v>
      </c>
      <c r="D2443" s="24" t="s">
        <v>22088</v>
      </c>
      <c r="E2443" s="40">
        <v>5223</v>
      </c>
      <c r="F2443" s="41">
        <v>982587</v>
      </c>
      <c r="G2443" s="40">
        <v>5206</v>
      </c>
      <c r="H2443" s="41">
        <v>885254</v>
      </c>
      <c r="I2443" s="41">
        <v>188.12693854106834</v>
      </c>
      <c r="J2443" s="41">
        <v>170.04494813676527</v>
      </c>
      <c r="K2443" s="42">
        <v>-9.6115902084675395E-2</v>
      </c>
    </row>
    <row r="2444" spans="1:11" x14ac:dyDescent="0.25">
      <c r="A2444" s="24" t="s">
        <v>7</v>
      </c>
      <c r="B2444" s="24" t="s">
        <v>12017</v>
      </c>
      <c r="C2444" s="25" t="s">
        <v>12018</v>
      </c>
      <c r="D2444" s="24" t="s">
        <v>22089</v>
      </c>
      <c r="G2444" s="40">
        <v>1540</v>
      </c>
      <c r="H2444" s="41">
        <v>42085</v>
      </c>
      <c r="J2444" s="41">
        <v>27.327922077922079</v>
      </c>
    </row>
    <row r="2445" spans="1:11" x14ac:dyDescent="0.25">
      <c r="A2445" s="24" t="s">
        <v>7</v>
      </c>
      <c r="B2445" s="24" t="s">
        <v>12026</v>
      </c>
      <c r="C2445" s="25" t="s">
        <v>12027</v>
      </c>
      <c r="D2445" s="24" t="s">
        <v>22090</v>
      </c>
      <c r="E2445" s="40">
        <v>118</v>
      </c>
      <c r="F2445" s="41">
        <v>300024</v>
      </c>
      <c r="G2445" s="40">
        <v>121</v>
      </c>
      <c r="H2445" s="41">
        <v>207724</v>
      </c>
      <c r="I2445" s="41">
        <v>2542.5762711864409</v>
      </c>
      <c r="J2445" s="41">
        <v>1716.7272727272727</v>
      </c>
      <c r="K2445" s="42">
        <v>-0.3248079547575588</v>
      </c>
    </row>
    <row r="2446" spans="1:11" x14ac:dyDescent="0.25">
      <c r="A2446" s="24" t="s">
        <v>7</v>
      </c>
      <c r="B2446" s="24" t="s">
        <v>12038</v>
      </c>
      <c r="C2446" s="25" t="s">
        <v>12039</v>
      </c>
      <c r="D2446" s="24" t="s">
        <v>22091</v>
      </c>
      <c r="E2446" s="40">
        <v>19501</v>
      </c>
      <c r="F2446" s="41">
        <v>7486935</v>
      </c>
      <c r="G2446" s="40">
        <v>21076</v>
      </c>
      <c r="H2446" s="41">
        <v>7053210</v>
      </c>
      <c r="I2446" s="41">
        <v>383.92569611814781</v>
      </c>
      <c r="J2446" s="41">
        <v>334.65600683241604</v>
      </c>
      <c r="K2446" s="42">
        <v>-0.12833131458481412</v>
      </c>
    </row>
    <row r="2447" spans="1:11" x14ac:dyDescent="0.25">
      <c r="A2447" s="24" t="s">
        <v>7</v>
      </c>
      <c r="B2447" s="24" t="s">
        <v>12047</v>
      </c>
      <c r="C2447" s="25" t="s">
        <v>12048</v>
      </c>
      <c r="D2447" s="24" t="s">
        <v>21846</v>
      </c>
      <c r="G2447" s="40">
        <v>1297</v>
      </c>
      <c r="H2447" s="41">
        <v>5188</v>
      </c>
      <c r="J2447" s="41">
        <v>4</v>
      </c>
    </row>
    <row r="2448" spans="1:11" x14ac:dyDescent="0.25">
      <c r="A2448" s="24" t="s">
        <v>7</v>
      </c>
      <c r="B2448" s="24" t="s">
        <v>12050</v>
      </c>
      <c r="C2448" s="25" t="s">
        <v>12051</v>
      </c>
      <c r="D2448" s="24" t="s">
        <v>22092</v>
      </c>
      <c r="E2448" s="40">
        <v>230</v>
      </c>
      <c r="F2448" s="41">
        <v>36626</v>
      </c>
      <c r="G2448" s="40">
        <v>271</v>
      </c>
      <c r="H2448" s="41">
        <v>37818</v>
      </c>
      <c r="I2448" s="41">
        <v>159.24347826086955</v>
      </c>
      <c r="J2448" s="41">
        <v>139.54981549815497</v>
      </c>
      <c r="K2448" s="42">
        <v>-0.12367013693617523</v>
      </c>
    </row>
    <row r="2449" spans="1:11" x14ac:dyDescent="0.25">
      <c r="A2449" s="24" t="s">
        <v>7</v>
      </c>
      <c r="B2449" s="24" t="s">
        <v>12059</v>
      </c>
      <c r="C2449" s="25" t="s">
        <v>12060</v>
      </c>
      <c r="D2449" s="24" t="s">
        <v>22093</v>
      </c>
      <c r="G2449" s="40">
        <v>120</v>
      </c>
      <c r="H2449" s="41">
        <v>31200</v>
      </c>
      <c r="J2449" s="41">
        <v>260</v>
      </c>
    </row>
    <row r="2450" spans="1:11" x14ac:dyDescent="0.25">
      <c r="A2450" s="24" t="s">
        <v>7</v>
      </c>
      <c r="B2450" s="24" t="s">
        <v>12065</v>
      </c>
      <c r="C2450" s="25" t="s">
        <v>12066</v>
      </c>
      <c r="D2450" s="24" t="s">
        <v>22094</v>
      </c>
      <c r="G2450" s="40">
        <v>205</v>
      </c>
      <c r="H2450" s="41">
        <v>32878.449999999997</v>
      </c>
      <c r="J2450" s="41">
        <v>160.38268292682926</v>
      </c>
    </row>
    <row r="2451" spans="1:11" x14ac:dyDescent="0.25">
      <c r="A2451" s="24" t="s">
        <v>7</v>
      </c>
      <c r="B2451" s="24" t="s">
        <v>12068</v>
      </c>
      <c r="C2451" s="25" t="s">
        <v>12069</v>
      </c>
      <c r="D2451" s="24" t="s">
        <v>22095</v>
      </c>
      <c r="E2451" s="40">
        <v>726</v>
      </c>
      <c r="F2451" s="41">
        <v>17562</v>
      </c>
      <c r="G2451" s="40">
        <v>444</v>
      </c>
      <c r="H2451" s="41">
        <v>11100</v>
      </c>
      <c r="I2451" s="41">
        <v>24.190082644628099</v>
      </c>
      <c r="J2451" s="41">
        <v>25</v>
      </c>
      <c r="K2451" s="42">
        <v>3.3481380252818604E-2</v>
      </c>
    </row>
    <row r="2452" spans="1:11" x14ac:dyDescent="0.25">
      <c r="A2452" s="24" t="s">
        <v>7</v>
      </c>
      <c r="B2452" s="24" t="s">
        <v>12077</v>
      </c>
      <c r="C2452" s="25" t="s">
        <v>12078</v>
      </c>
      <c r="D2452" s="24" t="s">
        <v>22096</v>
      </c>
      <c r="E2452" s="40">
        <v>1133</v>
      </c>
      <c r="F2452" s="41">
        <v>53325</v>
      </c>
      <c r="G2452" s="40">
        <v>1548</v>
      </c>
      <c r="H2452" s="41">
        <v>63576</v>
      </c>
      <c r="I2452" s="41">
        <v>47.065313327449253</v>
      </c>
      <c r="J2452" s="41">
        <v>41.069767441860463</v>
      </c>
      <c r="K2452" s="42">
        <v>-0.12738778224795308</v>
      </c>
    </row>
    <row r="2453" spans="1:11" x14ac:dyDescent="0.25">
      <c r="A2453" s="24" t="s">
        <v>7</v>
      </c>
      <c r="B2453" s="24" t="s">
        <v>12089</v>
      </c>
      <c r="C2453" s="25" t="s">
        <v>12090</v>
      </c>
      <c r="D2453" s="24" t="s">
        <v>22097</v>
      </c>
      <c r="G2453" s="40">
        <v>1</v>
      </c>
      <c r="H2453" s="41">
        <v>52.8</v>
      </c>
      <c r="J2453" s="41">
        <v>52.8</v>
      </c>
    </row>
    <row r="2454" spans="1:11" x14ac:dyDescent="0.25">
      <c r="A2454" s="24" t="s">
        <v>7</v>
      </c>
      <c r="B2454" s="24" t="s">
        <v>12092</v>
      </c>
      <c r="C2454" s="25" t="s">
        <v>12093</v>
      </c>
      <c r="D2454" s="24" t="s">
        <v>21888</v>
      </c>
      <c r="G2454" s="40">
        <v>24</v>
      </c>
      <c r="H2454" s="41">
        <v>336</v>
      </c>
      <c r="J2454" s="41">
        <v>14</v>
      </c>
    </row>
    <row r="2455" spans="1:11" x14ac:dyDescent="0.25">
      <c r="A2455" s="24" t="s">
        <v>7</v>
      </c>
      <c r="B2455" s="24" t="s">
        <v>12098</v>
      </c>
      <c r="C2455" s="25" t="s">
        <v>12099</v>
      </c>
      <c r="D2455" s="24" t="s">
        <v>22098</v>
      </c>
      <c r="E2455" s="40">
        <v>1801000</v>
      </c>
      <c r="F2455" s="41">
        <v>54030</v>
      </c>
      <c r="G2455" s="40">
        <v>2276500</v>
      </c>
      <c r="H2455" s="41">
        <v>261810</v>
      </c>
      <c r="I2455" s="41">
        <v>0.03</v>
      </c>
      <c r="J2455" s="41">
        <v>0.11500549088513068</v>
      </c>
      <c r="K2455" s="42">
        <v>2.8335163628376896</v>
      </c>
    </row>
    <row r="2456" spans="1:11" x14ac:dyDescent="0.25">
      <c r="A2456" s="24" t="s">
        <v>7</v>
      </c>
      <c r="B2456" s="24" t="s">
        <v>12101</v>
      </c>
      <c r="C2456" s="25" t="s">
        <v>12102</v>
      </c>
      <c r="D2456" s="24" t="s">
        <v>22098</v>
      </c>
      <c r="E2456" s="40">
        <v>32604</v>
      </c>
      <c r="F2456" s="41">
        <v>21518.639999999999</v>
      </c>
      <c r="G2456" s="40">
        <v>38750</v>
      </c>
      <c r="H2456" s="41">
        <v>27751</v>
      </c>
      <c r="I2456" s="41">
        <v>0.66</v>
      </c>
      <c r="J2456" s="41">
        <v>0.71615483870967744</v>
      </c>
      <c r="K2456" s="42">
        <v>8.5083088954056682E-2</v>
      </c>
    </row>
    <row r="2457" spans="1:11" x14ac:dyDescent="0.25">
      <c r="A2457" s="24" t="s">
        <v>7</v>
      </c>
      <c r="B2457" s="24" t="s">
        <v>12107</v>
      </c>
      <c r="C2457" s="25" t="s">
        <v>12108</v>
      </c>
      <c r="D2457" s="24" t="s">
        <v>21846</v>
      </c>
      <c r="E2457" s="40">
        <v>1310</v>
      </c>
      <c r="F2457" s="41">
        <v>213262</v>
      </c>
      <c r="G2457" s="40">
        <v>1270</v>
      </c>
      <c r="H2457" s="41">
        <v>212090</v>
      </c>
      <c r="I2457" s="41">
        <v>162.79541984732825</v>
      </c>
      <c r="J2457" s="41">
        <v>167</v>
      </c>
      <c r="K2457" s="42">
        <v>2.5827386032204497E-2</v>
      </c>
    </row>
    <row r="2458" spans="1:11" x14ac:dyDescent="0.25">
      <c r="A2458" s="24" t="s">
        <v>7</v>
      </c>
      <c r="B2458" s="24" t="s">
        <v>12110</v>
      </c>
      <c r="C2458" s="25" t="s">
        <v>12111</v>
      </c>
      <c r="D2458" s="24" t="s">
        <v>22099</v>
      </c>
      <c r="E2458" s="40">
        <v>918</v>
      </c>
      <c r="F2458" s="41">
        <v>53666</v>
      </c>
      <c r="G2458" s="40">
        <v>614</v>
      </c>
      <c r="H2458" s="41">
        <v>34146</v>
      </c>
      <c r="I2458" s="41">
        <v>58.459694989106751</v>
      </c>
      <c r="J2458" s="41">
        <v>55.612377850162865</v>
      </c>
      <c r="K2458" s="42">
        <v>-4.8705644794664917E-2</v>
      </c>
    </row>
    <row r="2459" spans="1:11" x14ac:dyDescent="0.25">
      <c r="A2459" s="24" t="s">
        <v>7</v>
      </c>
      <c r="B2459" s="24" t="s">
        <v>12113</v>
      </c>
      <c r="C2459" s="25" t="s">
        <v>12114</v>
      </c>
      <c r="D2459" s="24" t="s">
        <v>22100</v>
      </c>
      <c r="E2459" s="40">
        <v>1716</v>
      </c>
      <c r="F2459" s="41">
        <v>195408</v>
      </c>
      <c r="G2459" s="40">
        <v>1642</v>
      </c>
      <c r="H2459" s="41">
        <v>172926</v>
      </c>
      <c r="I2459" s="41">
        <v>113.87412587412588</v>
      </c>
      <c r="J2459" s="41">
        <v>105.3142509135201</v>
      </c>
      <c r="K2459" s="42">
        <v>-7.5169621675671011E-2</v>
      </c>
    </row>
    <row r="2460" spans="1:11" x14ac:dyDescent="0.25">
      <c r="A2460" s="24" t="s">
        <v>7</v>
      </c>
      <c r="B2460" s="24" t="s">
        <v>12116</v>
      </c>
      <c r="C2460" s="25" t="s">
        <v>12117</v>
      </c>
      <c r="D2460" s="24" t="s">
        <v>22100</v>
      </c>
      <c r="E2460" s="40">
        <v>4430</v>
      </c>
      <c r="F2460" s="41">
        <v>614020</v>
      </c>
      <c r="G2460" s="40">
        <v>2420</v>
      </c>
      <c r="H2460" s="41">
        <v>324640</v>
      </c>
      <c r="I2460" s="41">
        <v>138.60496613995485</v>
      </c>
      <c r="J2460" s="41">
        <v>134.14876033057851</v>
      </c>
      <c r="K2460" s="42">
        <v>-3.2150405093542875E-2</v>
      </c>
    </row>
    <row r="2461" spans="1:11" x14ac:dyDescent="0.25">
      <c r="A2461" s="24" t="s">
        <v>7</v>
      </c>
      <c r="B2461" s="24" t="s">
        <v>12119</v>
      </c>
      <c r="C2461" s="25" t="s">
        <v>12120</v>
      </c>
      <c r="D2461" s="24" t="s">
        <v>22101</v>
      </c>
      <c r="E2461" s="40">
        <v>110936</v>
      </c>
      <c r="F2461" s="41">
        <v>15925375</v>
      </c>
      <c r="G2461" s="40">
        <v>108379</v>
      </c>
      <c r="H2461" s="41">
        <v>13260585</v>
      </c>
      <c r="I2461" s="41">
        <v>143.55461707651259</v>
      </c>
      <c r="J2461" s="41">
        <v>122.35382315762278</v>
      </c>
      <c r="K2461" s="42">
        <v>-0.1476845144422633</v>
      </c>
    </row>
    <row r="2462" spans="1:11" x14ac:dyDescent="0.25">
      <c r="A2462" s="24" t="s">
        <v>7</v>
      </c>
      <c r="B2462" s="24" t="s">
        <v>12122</v>
      </c>
      <c r="C2462" s="25" t="s">
        <v>12123</v>
      </c>
      <c r="D2462" s="24" t="s">
        <v>21846</v>
      </c>
      <c r="E2462" s="40">
        <v>4390</v>
      </c>
      <c r="F2462" s="41">
        <v>17560</v>
      </c>
      <c r="G2462" s="40">
        <v>3163</v>
      </c>
      <c r="H2462" s="41">
        <v>12652</v>
      </c>
      <c r="I2462" s="41">
        <v>4</v>
      </c>
      <c r="J2462" s="41">
        <v>4</v>
      </c>
      <c r="K2462" s="42">
        <v>0</v>
      </c>
    </row>
    <row r="2463" spans="1:11" x14ac:dyDescent="0.25">
      <c r="A2463" s="24" t="s">
        <v>7</v>
      </c>
      <c r="B2463" s="24" t="s">
        <v>12125</v>
      </c>
      <c r="C2463" s="25" t="s">
        <v>12126</v>
      </c>
      <c r="D2463" s="24" t="s">
        <v>22102</v>
      </c>
      <c r="G2463" s="40">
        <v>4</v>
      </c>
      <c r="H2463" s="41">
        <v>2732</v>
      </c>
      <c r="J2463" s="41">
        <v>683</v>
      </c>
    </row>
    <row r="2464" spans="1:11" x14ac:dyDescent="0.25">
      <c r="A2464" s="24" t="s">
        <v>7</v>
      </c>
      <c r="B2464" s="24" t="s">
        <v>12128</v>
      </c>
      <c r="C2464" s="25" t="s">
        <v>12129</v>
      </c>
      <c r="D2464" s="24" t="s">
        <v>22103</v>
      </c>
      <c r="E2464" s="40">
        <v>26</v>
      </c>
      <c r="F2464" s="41">
        <v>9634</v>
      </c>
      <c r="G2464" s="40">
        <v>20</v>
      </c>
      <c r="H2464" s="41">
        <v>7142</v>
      </c>
      <c r="I2464" s="41">
        <v>370.53846153846155</v>
      </c>
      <c r="J2464" s="41">
        <v>357.1</v>
      </c>
      <c r="K2464" s="42">
        <v>-3.6267386340045636E-2</v>
      </c>
    </row>
    <row r="2465" spans="1:11" x14ac:dyDescent="0.25">
      <c r="A2465" s="24" t="s">
        <v>7</v>
      </c>
      <c r="B2465" s="24" t="s">
        <v>12131</v>
      </c>
      <c r="C2465" s="25" t="s">
        <v>12132</v>
      </c>
      <c r="D2465" s="24" t="s">
        <v>22104</v>
      </c>
      <c r="G2465" s="40">
        <v>2</v>
      </c>
      <c r="H2465" s="41">
        <v>1064</v>
      </c>
      <c r="J2465" s="41">
        <v>532</v>
      </c>
    </row>
    <row r="2466" spans="1:11" x14ac:dyDescent="0.25">
      <c r="A2466" s="24" t="s">
        <v>7</v>
      </c>
      <c r="B2466" s="24" t="s">
        <v>12134</v>
      </c>
      <c r="C2466" s="25" t="s">
        <v>12135</v>
      </c>
      <c r="D2466" s="24" t="s">
        <v>21846</v>
      </c>
      <c r="G2466" s="40">
        <v>1</v>
      </c>
      <c r="H2466" s="41">
        <v>262</v>
      </c>
      <c r="J2466" s="41">
        <v>262</v>
      </c>
    </row>
    <row r="2467" spans="1:11" x14ac:dyDescent="0.25">
      <c r="A2467" s="24" t="s">
        <v>7</v>
      </c>
      <c r="B2467" s="24" t="s">
        <v>12137</v>
      </c>
      <c r="C2467" s="25" t="s">
        <v>12138</v>
      </c>
      <c r="D2467" s="24" t="s">
        <v>21846</v>
      </c>
      <c r="E2467" s="40">
        <v>1049</v>
      </c>
      <c r="F2467" s="41">
        <v>30814</v>
      </c>
      <c r="G2467" s="40">
        <v>822</v>
      </c>
      <c r="H2467" s="41">
        <v>27460</v>
      </c>
      <c r="I2467" s="41">
        <v>29.374642516682556</v>
      </c>
      <c r="J2467" s="41">
        <v>33.406326034063262</v>
      </c>
      <c r="K2467" s="42">
        <v>0.13725047088116962</v>
      </c>
    </row>
    <row r="2468" spans="1:11" x14ac:dyDescent="0.25">
      <c r="A2468" s="24" t="s">
        <v>7</v>
      </c>
      <c r="B2468" s="24" t="s">
        <v>12140</v>
      </c>
      <c r="C2468" s="25" t="s">
        <v>12141</v>
      </c>
      <c r="D2468" s="24" t="s">
        <v>21846</v>
      </c>
      <c r="E2468" s="40">
        <v>284</v>
      </c>
      <c r="F2468" s="41">
        <v>9372</v>
      </c>
      <c r="G2468" s="40">
        <v>531</v>
      </c>
      <c r="H2468" s="41">
        <v>20926</v>
      </c>
      <c r="I2468" s="41">
        <v>33</v>
      </c>
      <c r="J2468" s="41">
        <v>39.408662900188325</v>
      </c>
      <c r="K2468" s="42">
        <v>0.19420190606631288</v>
      </c>
    </row>
    <row r="2469" spans="1:11" x14ac:dyDescent="0.25">
      <c r="A2469" s="24" t="s">
        <v>7</v>
      </c>
      <c r="B2469" s="24" t="s">
        <v>12143</v>
      </c>
      <c r="C2469" s="25" t="s">
        <v>12144</v>
      </c>
      <c r="D2469" s="24" t="s">
        <v>21846</v>
      </c>
      <c r="E2469" s="40">
        <v>1700</v>
      </c>
      <c r="F2469" s="41">
        <v>125600</v>
      </c>
      <c r="G2469" s="40">
        <v>1319</v>
      </c>
      <c r="H2469" s="41">
        <v>113444</v>
      </c>
      <c r="I2469" s="41">
        <v>73.882352941176464</v>
      </c>
      <c r="J2469" s="41">
        <v>86.007581501137224</v>
      </c>
      <c r="K2469" s="42">
        <v>0.16411535471284469</v>
      </c>
    </row>
    <row r="2470" spans="1:11" x14ac:dyDescent="0.25">
      <c r="A2470" s="24" t="s">
        <v>7</v>
      </c>
      <c r="B2470" s="24" t="s">
        <v>12146</v>
      </c>
      <c r="C2470" s="25" t="s">
        <v>12147</v>
      </c>
      <c r="D2470" s="24" t="s">
        <v>21888</v>
      </c>
      <c r="E2470" s="40">
        <v>320</v>
      </c>
      <c r="F2470" s="41">
        <v>1600</v>
      </c>
      <c r="G2470" s="40">
        <v>689</v>
      </c>
      <c r="H2470" s="41">
        <v>3445</v>
      </c>
      <c r="I2470" s="41">
        <v>5</v>
      </c>
      <c r="J2470" s="41">
        <v>5</v>
      </c>
      <c r="K2470" s="42">
        <v>0</v>
      </c>
    </row>
    <row r="2471" spans="1:11" x14ac:dyDescent="0.25">
      <c r="A2471" s="24" t="s">
        <v>7</v>
      </c>
      <c r="B2471" s="24" t="s">
        <v>12152</v>
      </c>
      <c r="C2471" s="25" t="s">
        <v>12153</v>
      </c>
      <c r="D2471" s="24" t="s">
        <v>22105</v>
      </c>
      <c r="G2471" s="40">
        <v>2</v>
      </c>
      <c r="H2471" s="41">
        <v>546</v>
      </c>
      <c r="J2471" s="41">
        <v>273</v>
      </c>
    </row>
    <row r="2472" spans="1:11" x14ac:dyDescent="0.25">
      <c r="A2472" s="24" t="s">
        <v>7</v>
      </c>
      <c r="B2472" s="24" t="s">
        <v>12155</v>
      </c>
      <c r="C2472" s="25" t="s">
        <v>12156</v>
      </c>
      <c r="D2472" s="24" t="s">
        <v>22106</v>
      </c>
      <c r="E2472" s="40">
        <v>396</v>
      </c>
      <c r="F2472" s="41">
        <v>70103</v>
      </c>
      <c r="G2472" s="40">
        <v>392</v>
      </c>
      <c r="H2472" s="41">
        <v>61787</v>
      </c>
      <c r="I2472" s="41">
        <v>177.02777777777777</v>
      </c>
      <c r="J2472" s="41">
        <v>157.61989795918367</v>
      </c>
      <c r="K2472" s="42">
        <v>-0.10963183327622587</v>
      </c>
    </row>
    <row r="2473" spans="1:11" x14ac:dyDescent="0.25">
      <c r="A2473" s="24" t="s">
        <v>7</v>
      </c>
      <c r="B2473" s="24" t="s">
        <v>12161</v>
      </c>
      <c r="C2473" s="25" t="s">
        <v>12162</v>
      </c>
      <c r="D2473" s="24" t="s">
        <v>22107</v>
      </c>
      <c r="E2473" s="40">
        <v>112</v>
      </c>
      <c r="F2473" s="41">
        <v>12932</v>
      </c>
      <c r="G2473" s="40">
        <v>96</v>
      </c>
      <c r="H2473" s="41">
        <v>9334</v>
      </c>
      <c r="I2473" s="41">
        <v>115.46428571428571</v>
      </c>
      <c r="J2473" s="41">
        <v>97.229166666666671</v>
      </c>
      <c r="K2473" s="42">
        <v>-0.15792865243839563</v>
      </c>
    </row>
    <row r="2474" spans="1:11" x14ac:dyDescent="0.25">
      <c r="A2474" s="24" t="s">
        <v>7</v>
      </c>
      <c r="B2474" s="24" t="s">
        <v>12164</v>
      </c>
      <c r="C2474" s="25" t="s">
        <v>12165</v>
      </c>
      <c r="D2474" s="24" t="s">
        <v>22108</v>
      </c>
      <c r="G2474" s="40">
        <v>7</v>
      </c>
      <c r="H2474" s="41">
        <v>909</v>
      </c>
      <c r="J2474" s="41">
        <v>129.85714285714286</v>
      </c>
    </row>
    <row r="2475" spans="1:11" x14ac:dyDescent="0.25">
      <c r="A2475" s="24" t="s">
        <v>7</v>
      </c>
      <c r="B2475" s="24" t="s">
        <v>12167</v>
      </c>
      <c r="C2475" s="25" t="s">
        <v>12168</v>
      </c>
      <c r="D2475" s="24" t="s">
        <v>22109</v>
      </c>
      <c r="E2475" s="40">
        <v>449880</v>
      </c>
      <c r="F2475" s="41">
        <v>7979550</v>
      </c>
      <c r="G2475" s="40">
        <v>384480</v>
      </c>
      <c r="H2475" s="41">
        <v>5949090</v>
      </c>
      <c r="I2475" s="41">
        <v>17.73706321685783</v>
      </c>
      <c r="J2475" s="41">
        <v>15.473080524344569</v>
      </c>
      <c r="K2475" s="42">
        <v>-0.12764134991420142</v>
      </c>
    </row>
    <row r="2476" spans="1:11" x14ac:dyDescent="0.25">
      <c r="A2476" s="24" t="s">
        <v>7</v>
      </c>
      <c r="B2476" s="24" t="s">
        <v>12170</v>
      </c>
      <c r="C2476" s="25" t="s">
        <v>12171</v>
      </c>
      <c r="D2476" s="24" t="s">
        <v>22110</v>
      </c>
      <c r="E2476" s="40">
        <v>3705</v>
      </c>
      <c r="F2476" s="41">
        <v>58220</v>
      </c>
      <c r="G2476" s="40">
        <v>3770</v>
      </c>
      <c r="H2476" s="41">
        <v>63680</v>
      </c>
      <c r="I2476" s="41">
        <v>15.713900134952766</v>
      </c>
      <c r="J2476" s="41">
        <v>16.891246684350133</v>
      </c>
      <c r="K2476" s="42">
        <v>7.4923891541003845E-2</v>
      </c>
    </row>
    <row r="2477" spans="1:11" x14ac:dyDescent="0.25">
      <c r="A2477" s="24" t="s">
        <v>7</v>
      </c>
      <c r="B2477" s="24" t="s">
        <v>12173</v>
      </c>
      <c r="C2477" s="25" t="s">
        <v>12174</v>
      </c>
      <c r="D2477" s="24" t="s">
        <v>22111</v>
      </c>
      <c r="E2477" s="40">
        <v>73192</v>
      </c>
      <c r="F2477" s="41">
        <v>365960</v>
      </c>
      <c r="G2477" s="40">
        <v>99621</v>
      </c>
      <c r="H2477" s="41">
        <v>553077</v>
      </c>
      <c r="I2477" s="41">
        <v>5</v>
      </c>
      <c r="J2477" s="41">
        <v>5.5518113650736289</v>
      </c>
      <c r="K2477" s="42">
        <v>0.11036227301472579</v>
      </c>
    </row>
    <row r="2478" spans="1:11" x14ac:dyDescent="0.25">
      <c r="A2478" s="24" t="s">
        <v>7</v>
      </c>
      <c r="B2478" s="24" t="s">
        <v>12179</v>
      </c>
      <c r="C2478" s="25" t="s">
        <v>12180</v>
      </c>
      <c r="D2478" s="24" t="s">
        <v>22112</v>
      </c>
      <c r="G2478" s="40">
        <v>10</v>
      </c>
      <c r="H2478" s="41">
        <v>920</v>
      </c>
      <c r="J2478" s="41">
        <v>92</v>
      </c>
    </row>
    <row r="2479" spans="1:11" x14ac:dyDescent="0.25">
      <c r="A2479" s="24" t="s">
        <v>7</v>
      </c>
      <c r="B2479" s="24" t="s">
        <v>12182</v>
      </c>
      <c r="C2479" s="25" t="s">
        <v>12183</v>
      </c>
      <c r="D2479" s="24" t="s">
        <v>21969</v>
      </c>
      <c r="G2479" s="40">
        <v>60</v>
      </c>
      <c r="H2479" s="41">
        <v>120521.38</v>
      </c>
      <c r="J2479" s="41">
        <v>2008.6896666666667</v>
      </c>
    </row>
    <row r="2480" spans="1:11" x14ac:dyDescent="0.25">
      <c r="A2480" s="24" t="s">
        <v>7</v>
      </c>
      <c r="B2480" s="24" t="s">
        <v>12191</v>
      </c>
      <c r="C2480" s="25" t="s">
        <v>12192</v>
      </c>
      <c r="D2480" s="24" t="s">
        <v>22113</v>
      </c>
      <c r="G2480" s="40">
        <v>27</v>
      </c>
      <c r="H2480" s="41">
        <v>32787</v>
      </c>
      <c r="J2480" s="41">
        <v>1214.3333333333333</v>
      </c>
    </row>
    <row r="2481" spans="1:11" x14ac:dyDescent="0.25">
      <c r="A2481" s="24" t="s">
        <v>7</v>
      </c>
      <c r="B2481" s="24" t="s">
        <v>12200</v>
      </c>
      <c r="C2481" s="25" t="s">
        <v>12201</v>
      </c>
      <c r="D2481" s="24" t="s">
        <v>22114</v>
      </c>
      <c r="E2481" s="40">
        <v>2740</v>
      </c>
      <c r="F2481" s="41">
        <v>920896</v>
      </c>
      <c r="G2481" s="40">
        <v>2676</v>
      </c>
      <c r="H2481" s="41">
        <v>977948</v>
      </c>
      <c r="I2481" s="41">
        <v>336.09343065693429</v>
      </c>
      <c r="J2481" s="41">
        <v>365.45142002989536</v>
      </c>
      <c r="K2481" s="42">
        <v>8.7350678992973524E-2</v>
      </c>
    </row>
    <row r="2482" spans="1:11" x14ac:dyDescent="0.25">
      <c r="A2482" s="24" t="s">
        <v>7</v>
      </c>
      <c r="B2482" s="24" t="s">
        <v>12206</v>
      </c>
      <c r="C2482" s="25" t="s">
        <v>12207</v>
      </c>
      <c r="D2482" s="24" t="s">
        <v>22115</v>
      </c>
      <c r="E2482" s="40">
        <v>111</v>
      </c>
      <c r="F2482" s="41">
        <v>88554</v>
      </c>
      <c r="G2482" s="40">
        <v>99</v>
      </c>
      <c r="H2482" s="41">
        <v>80586</v>
      </c>
      <c r="I2482" s="41">
        <v>797.78378378378375</v>
      </c>
      <c r="J2482" s="41">
        <v>814</v>
      </c>
      <c r="K2482" s="42">
        <v>2.0326580391625496E-2</v>
      </c>
    </row>
    <row r="2483" spans="1:11" x14ac:dyDescent="0.25">
      <c r="A2483" s="24" t="s">
        <v>7</v>
      </c>
      <c r="B2483" s="24" t="s">
        <v>12209</v>
      </c>
      <c r="C2483" s="25" t="s">
        <v>12210</v>
      </c>
      <c r="D2483" s="24" t="s">
        <v>22116</v>
      </c>
      <c r="E2483" s="40">
        <v>122100</v>
      </c>
      <c r="F2483" s="41">
        <v>4819287</v>
      </c>
      <c r="G2483" s="40">
        <v>83200</v>
      </c>
      <c r="H2483" s="41">
        <v>3605033</v>
      </c>
      <c r="I2483" s="41">
        <v>39.47</v>
      </c>
      <c r="J2483" s="41">
        <v>43.329723557692304</v>
      </c>
      <c r="K2483" s="42">
        <v>9.7788790415310509E-2</v>
      </c>
    </row>
    <row r="2484" spans="1:11" x14ac:dyDescent="0.25">
      <c r="A2484" s="24" t="s">
        <v>7</v>
      </c>
      <c r="B2484" s="24" t="s">
        <v>12212</v>
      </c>
      <c r="C2484" s="25" t="s">
        <v>12213</v>
      </c>
      <c r="D2484" s="24" t="s">
        <v>22117</v>
      </c>
      <c r="E2484" s="40">
        <v>436</v>
      </c>
      <c r="F2484" s="41">
        <v>12866.36</v>
      </c>
      <c r="G2484" s="40">
        <v>765</v>
      </c>
      <c r="H2484" s="41">
        <v>49386.9</v>
      </c>
      <c r="I2484" s="41">
        <v>29.51</v>
      </c>
      <c r="J2484" s="41">
        <v>64.558039215686279</v>
      </c>
      <c r="K2484" s="42">
        <v>1.18766652713271</v>
      </c>
    </row>
    <row r="2485" spans="1:11" x14ac:dyDescent="0.25">
      <c r="A2485" s="24" t="s">
        <v>7</v>
      </c>
      <c r="B2485" s="24" t="s">
        <v>12215</v>
      </c>
      <c r="C2485" s="25" t="s">
        <v>12216</v>
      </c>
      <c r="D2485" s="24" t="s">
        <v>22118</v>
      </c>
      <c r="G2485" s="40">
        <v>140</v>
      </c>
      <c r="H2485" s="41">
        <v>27697.599999999999</v>
      </c>
      <c r="J2485" s="41">
        <v>197.84</v>
      </c>
    </row>
    <row r="2486" spans="1:11" x14ac:dyDescent="0.25">
      <c r="A2486" s="24" t="s">
        <v>7</v>
      </c>
      <c r="B2486" s="24" t="s">
        <v>12218</v>
      </c>
      <c r="C2486" s="25" t="s">
        <v>12219</v>
      </c>
      <c r="D2486" s="24" t="s">
        <v>22119</v>
      </c>
      <c r="E2486" s="40">
        <v>1347</v>
      </c>
      <c r="F2486" s="41">
        <v>422157</v>
      </c>
      <c r="G2486" s="40">
        <v>1131</v>
      </c>
      <c r="H2486" s="41">
        <v>369837</v>
      </c>
      <c r="I2486" s="41">
        <v>313.40534521158128</v>
      </c>
      <c r="J2486" s="41">
        <v>327</v>
      </c>
      <c r="K2486" s="42">
        <v>4.3377226955848225E-2</v>
      </c>
    </row>
    <row r="2487" spans="1:11" x14ac:dyDescent="0.25">
      <c r="A2487" s="24" t="s">
        <v>7</v>
      </c>
      <c r="B2487" s="24" t="s">
        <v>22120</v>
      </c>
      <c r="C2487" s="25" t="s">
        <v>22121</v>
      </c>
      <c r="D2487" s="24" t="s">
        <v>21846</v>
      </c>
      <c r="G2487" s="40">
        <v>13</v>
      </c>
      <c r="H2487" s="41">
        <v>15392</v>
      </c>
      <c r="J2487" s="41">
        <v>1184</v>
      </c>
    </row>
    <row r="2488" spans="1:11" x14ac:dyDescent="0.25">
      <c r="A2488" s="24" t="s">
        <v>7</v>
      </c>
      <c r="B2488" s="24" t="s">
        <v>12227</v>
      </c>
      <c r="C2488" s="25" t="s">
        <v>12228</v>
      </c>
      <c r="D2488" s="24" t="s">
        <v>21846</v>
      </c>
      <c r="E2488" s="40">
        <v>25</v>
      </c>
      <c r="F2488" s="41">
        <v>6760</v>
      </c>
      <c r="G2488" s="40">
        <v>32</v>
      </c>
      <c r="H2488" s="41">
        <v>7872</v>
      </c>
      <c r="I2488" s="41">
        <v>270.39999999999998</v>
      </c>
      <c r="J2488" s="41">
        <v>246</v>
      </c>
      <c r="K2488" s="42">
        <v>-9.0236686390532464E-2</v>
      </c>
    </row>
    <row r="2489" spans="1:11" x14ac:dyDescent="0.25">
      <c r="A2489" s="24" t="s">
        <v>7</v>
      </c>
      <c r="B2489" s="24" t="s">
        <v>12230</v>
      </c>
      <c r="C2489" s="25" t="s">
        <v>12231</v>
      </c>
      <c r="D2489" s="24" t="s">
        <v>21846</v>
      </c>
      <c r="E2489" s="40">
        <v>3738</v>
      </c>
      <c r="F2489" s="41">
        <v>1521546</v>
      </c>
      <c r="G2489" s="40">
        <v>3950</v>
      </c>
      <c r="H2489" s="41">
        <v>1395862</v>
      </c>
      <c r="I2489" s="41">
        <v>407.04815409309793</v>
      </c>
      <c r="J2489" s="41">
        <v>353.38278481012657</v>
      </c>
      <c r="K2489" s="42">
        <v>-0.13184034552997212</v>
      </c>
    </row>
    <row r="2490" spans="1:11" x14ac:dyDescent="0.25">
      <c r="A2490" s="24" t="s">
        <v>7</v>
      </c>
      <c r="B2490" s="24" t="s">
        <v>22122</v>
      </c>
      <c r="C2490" s="25" t="s">
        <v>22123</v>
      </c>
      <c r="D2490" s="24" t="s">
        <v>22124</v>
      </c>
      <c r="E2490" s="40">
        <v>100</v>
      </c>
      <c r="F2490" s="41">
        <v>23200</v>
      </c>
      <c r="G2490" s="40">
        <v>100</v>
      </c>
      <c r="H2490" s="41">
        <v>23200</v>
      </c>
      <c r="I2490" s="41">
        <v>232</v>
      </c>
      <c r="J2490" s="41">
        <v>232</v>
      </c>
      <c r="K2490" s="42">
        <v>0</v>
      </c>
    </row>
    <row r="2491" spans="1:11" x14ac:dyDescent="0.25">
      <c r="A2491" s="24" t="s">
        <v>7</v>
      </c>
      <c r="B2491" s="24" t="s">
        <v>12236</v>
      </c>
      <c r="C2491" s="25" t="s">
        <v>12237</v>
      </c>
      <c r="D2491" s="24" t="s">
        <v>22125</v>
      </c>
      <c r="E2491" s="40">
        <v>157361</v>
      </c>
      <c r="F2491" s="41">
        <v>157361</v>
      </c>
      <c r="G2491" s="40">
        <v>239009</v>
      </c>
      <c r="H2491" s="41">
        <v>239009</v>
      </c>
      <c r="I2491" s="41">
        <v>1</v>
      </c>
      <c r="J2491" s="41">
        <v>1</v>
      </c>
      <c r="K2491" s="42">
        <v>0</v>
      </c>
    </row>
    <row r="2492" spans="1:11" x14ac:dyDescent="0.25">
      <c r="A2492" s="24" t="s">
        <v>7</v>
      </c>
      <c r="B2492" s="24" t="s">
        <v>12239</v>
      </c>
      <c r="C2492" s="25" t="s">
        <v>12240</v>
      </c>
      <c r="D2492" s="24" t="s">
        <v>22125</v>
      </c>
      <c r="E2492" s="40">
        <v>353401</v>
      </c>
      <c r="F2492" s="41">
        <v>353401</v>
      </c>
      <c r="G2492" s="40">
        <v>310101</v>
      </c>
      <c r="H2492" s="41">
        <v>310101</v>
      </c>
      <c r="I2492" s="41">
        <v>1</v>
      </c>
      <c r="J2492" s="41">
        <v>1</v>
      </c>
      <c r="K2492" s="42">
        <v>0</v>
      </c>
    </row>
    <row r="2493" spans="1:11" x14ac:dyDescent="0.25">
      <c r="A2493" s="24" t="s">
        <v>7</v>
      </c>
      <c r="B2493" s="24" t="s">
        <v>12242</v>
      </c>
      <c r="C2493" s="25" t="s">
        <v>12243</v>
      </c>
      <c r="D2493" s="24" t="s">
        <v>21846</v>
      </c>
      <c r="G2493" s="40">
        <v>69</v>
      </c>
      <c r="H2493" s="41">
        <v>4485</v>
      </c>
      <c r="J2493" s="41">
        <v>65</v>
      </c>
    </row>
    <row r="2494" spans="1:11" x14ac:dyDescent="0.25">
      <c r="A2494" s="24" t="s">
        <v>7</v>
      </c>
      <c r="B2494" s="24" t="s">
        <v>12245</v>
      </c>
      <c r="C2494" s="25" t="s">
        <v>12246</v>
      </c>
      <c r="D2494" s="24" t="s">
        <v>21846</v>
      </c>
      <c r="E2494" s="40">
        <v>529</v>
      </c>
      <c r="F2494" s="41">
        <v>99188</v>
      </c>
      <c r="G2494" s="40">
        <v>759</v>
      </c>
      <c r="H2494" s="41">
        <v>120456</v>
      </c>
      <c r="I2494" s="41">
        <v>187.50094517958411</v>
      </c>
      <c r="J2494" s="41">
        <v>158.70355731225297</v>
      </c>
      <c r="K2494" s="42">
        <v>-0.15358529440878105</v>
      </c>
    </row>
    <row r="2495" spans="1:11" x14ac:dyDescent="0.25">
      <c r="A2495" s="24" t="s">
        <v>7</v>
      </c>
      <c r="B2495" s="24" t="s">
        <v>12248</v>
      </c>
      <c r="C2495" s="25" t="s">
        <v>12249</v>
      </c>
      <c r="D2495" s="24" t="s">
        <v>21846</v>
      </c>
      <c r="G2495" s="40">
        <v>6</v>
      </c>
      <c r="H2495" s="41">
        <v>840</v>
      </c>
      <c r="J2495" s="41">
        <v>140</v>
      </c>
    </row>
    <row r="2496" spans="1:11" x14ac:dyDescent="0.25">
      <c r="A2496" s="24" t="s">
        <v>7</v>
      </c>
      <c r="B2496" s="24" t="s">
        <v>12251</v>
      </c>
      <c r="C2496" s="25" t="s">
        <v>12252</v>
      </c>
      <c r="D2496" s="24" t="s">
        <v>21846</v>
      </c>
      <c r="G2496" s="40">
        <v>4</v>
      </c>
      <c r="H2496" s="41">
        <v>1092</v>
      </c>
      <c r="J2496" s="41">
        <v>273</v>
      </c>
    </row>
    <row r="2497" spans="1:11" x14ac:dyDescent="0.25">
      <c r="A2497" s="24" t="s">
        <v>7</v>
      </c>
      <c r="B2497" s="24" t="s">
        <v>12254</v>
      </c>
      <c r="C2497" s="25" t="s">
        <v>12255</v>
      </c>
      <c r="D2497" s="24" t="s">
        <v>21846</v>
      </c>
      <c r="E2497" s="40">
        <v>315</v>
      </c>
      <c r="F2497" s="41">
        <v>119233</v>
      </c>
      <c r="G2497" s="40">
        <v>543</v>
      </c>
      <c r="H2497" s="41">
        <v>210684</v>
      </c>
      <c r="I2497" s="41">
        <v>378.51746031746029</v>
      </c>
      <c r="J2497" s="41">
        <v>388</v>
      </c>
      <c r="K2497" s="42">
        <v>2.5051789353618618E-2</v>
      </c>
    </row>
    <row r="2498" spans="1:11" x14ac:dyDescent="0.25">
      <c r="A2498" s="24" t="s">
        <v>7</v>
      </c>
      <c r="B2498" s="24" t="s">
        <v>12257</v>
      </c>
      <c r="C2498" s="25" t="s">
        <v>12258</v>
      </c>
      <c r="D2498" s="24" t="s">
        <v>21846</v>
      </c>
      <c r="E2498" s="40">
        <v>3645</v>
      </c>
      <c r="F2498" s="41">
        <v>580275</v>
      </c>
      <c r="G2498" s="40">
        <v>3215</v>
      </c>
      <c r="H2498" s="41">
        <v>473327</v>
      </c>
      <c r="I2498" s="41">
        <v>159.19753086419752</v>
      </c>
      <c r="J2498" s="41">
        <v>147.22457231726284</v>
      </c>
      <c r="K2498" s="42">
        <v>-7.5208192501101889E-2</v>
      </c>
    </row>
    <row r="2499" spans="1:11" x14ac:dyDescent="0.25">
      <c r="A2499" s="24" t="s">
        <v>7</v>
      </c>
      <c r="B2499" s="24" t="s">
        <v>12260</v>
      </c>
      <c r="C2499" s="25" t="s">
        <v>12261</v>
      </c>
      <c r="D2499" s="24" t="s">
        <v>21846</v>
      </c>
      <c r="E2499" s="40">
        <v>3251</v>
      </c>
      <c r="F2499" s="41">
        <v>1470010</v>
      </c>
      <c r="G2499" s="40">
        <v>2913</v>
      </c>
      <c r="H2499" s="41">
        <v>1228707</v>
      </c>
      <c r="I2499" s="41">
        <v>452.17163949553981</v>
      </c>
      <c r="J2499" s="41">
        <v>421.8012358393409</v>
      </c>
      <c r="K2499" s="42">
        <v>-6.7165653489637919E-2</v>
      </c>
    </row>
    <row r="2500" spans="1:11" x14ac:dyDescent="0.25">
      <c r="A2500" s="24" t="s">
        <v>7</v>
      </c>
      <c r="B2500" s="24" t="s">
        <v>12263</v>
      </c>
      <c r="C2500" s="25" t="s">
        <v>12264</v>
      </c>
      <c r="D2500" s="24" t="s">
        <v>21846</v>
      </c>
      <c r="E2500" s="40">
        <v>1306</v>
      </c>
      <c r="F2500" s="41">
        <v>163108</v>
      </c>
      <c r="G2500" s="40">
        <v>1532</v>
      </c>
      <c r="H2500" s="41">
        <v>177734</v>
      </c>
      <c r="I2500" s="41">
        <v>124.89127105666157</v>
      </c>
      <c r="J2500" s="41">
        <v>116.01436031331593</v>
      </c>
      <c r="K2500" s="42">
        <v>-7.1077111060214068E-2</v>
      </c>
    </row>
    <row r="2501" spans="1:11" x14ac:dyDescent="0.25">
      <c r="A2501" s="24" t="s">
        <v>7</v>
      </c>
      <c r="B2501" s="24" t="s">
        <v>12266</v>
      </c>
      <c r="C2501" s="25" t="s">
        <v>12267</v>
      </c>
      <c r="D2501" s="24" t="s">
        <v>22126</v>
      </c>
      <c r="E2501" s="40">
        <v>7728</v>
      </c>
      <c r="F2501" s="41">
        <v>478600</v>
      </c>
      <c r="G2501" s="40">
        <v>3007</v>
      </c>
      <c r="H2501" s="41">
        <v>152306</v>
      </c>
      <c r="I2501" s="41">
        <v>61.930641821946168</v>
      </c>
      <c r="J2501" s="41">
        <v>50.650482208180911</v>
      </c>
      <c r="K2501" s="42">
        <v>-0.18214181674713312</v>
      </c>
    </row>
    <row r="2502" spans="1:11" x14ac:dyDescent="0.25">
      <c r="A2502" s="24" t="s">
        <v>7</v>
      </c>
      <c r="B2502" s="24" t="s">
        <v>12269</v>
      </c>
      <c r="C2502" s="25" t="s">
        <v>12270</v>
      </c>
      <c r="D2502" s="24" t="s">
        <v>22126</v>
      </c>
      <c r="E2502" s="40">
        <v>25175</v>
      </c>
      <c r="F2502" s="41">
        <v>1033245</v>
      </c>
      <c r="G2502" s="40">
        <v>26568</v>
      </c>
      <c r="H2502" s="41">
        <v>970778</v>
      </c>
      <c r="I2502" s="41">
        <v>41.04250248262165</v>
      </c>
      <c r="J2502" s="41">
        <v>36.539370671484491</v>
      </c>
      <c r="K2502" s="42">
        <v>-0.10971874371071524</v>
      </c>
    </row>
    <row r="2503" spans="1:11" x14ac:dyDescent="0.25">
      <c r="A2503" s="24" t="s">
        <v>7</v>
      </c>
      <c r="B2503" s="24" t="s">
        <v>12272</v>
      </c>
      <c r="C2503" s="25" t="s">
        <v>12273</v>
      </c>
      <c r="D2503" s="24" t="s">
        <v>22126</v>
      </c>
      <c r="E2503" s="40">
        <v>30842</v>
      </c>
      <c r="F2503" s="41">
        <v>807088</v>
      </c>
      <c r="G2503" s="40">
        <v>26804</v>
      </c>
      <c r="H2503" s="41">
        <v>661825</v>
      </c>
      <c r="I2503" s="41">
        <v>26.168471564749368</v>
      </c>
      <c r="J2503" s="41">
        <v>24.691277421280407</v>
      </c>
      <c r="K2503" s="42">
        <v>-5.6449385659147047E-2</v>
      </c>
    </row>
    <row r="2504" spans="1:11" x14ac:dyDescent="0.25">
      <c r="A2504" s="24" t="s">
        <v>7</v>
      </c>
      <c r="B2504" s="24" t="s">
        <v>12278</v>
      </c>
      <c r="C2504" s="25" t="s">
        <v>12279</v>
      </c>
      <c r="D2504" s="24" t="s">
        <v>21846</v>
      </c>
      <c r="E2504" s="40">
        <v>895</v>
      </c>
      <c r="F2504" s="41">
        <v>145666</v>
      </c>
      <c r="G2504" s="40">
        <v>1218</v>
      </c>
      <c r="H2504" s="41">
        <v>200788</v>
      </c>
      <c r="I2504" s="41">
        <v>162.75530726256983</v>
      </c>
      <c r="J2504" s="41">
        <v>164.85057471264369</v>
      </c>
      <c r="K2504" s="42">
        <v>1.2873727347604155E-2</v>
      </c>
    </row>
    <row r="2505" spans="1:11" x14ac:dyDescent="0.25">
      <c r="A2505" s="24" t="s">
        <v>7</v>
      </c>
      <c r="B2505" s="24" t="s">
        <v>12296</v>
      </c>
      <c r="C2505" s="25" t="s">
        <v>12297</v>
      </c>
      <c r="D2505" s="24" t="s">
        <v>21846</v>
      </c>
      <c r="E2505" s="40">
        <v>734</v>
      </c>
      <c r="F2505" s="41">
        <v>307398</v>
      </c>
      <c r="G2505" s="40">
        <v>1606</v>
      </c>
      <c r="H2505" s="41">
        <v>807476</v>
      </c>
      <c r="I2505" s="41">
        <v>418.79836512261579</v>
      </c>
      <c r="J2505" s="41">
        <v>502.7870485678705</v>
      </c>
      <c r="K2505" s="42">
        <v>0.20054682739906232</v>
      </c>
    </row>
    <row r="2506" spans="1:11" x14ac:dyDescent="0.25">
      <c r="A2506" s="24" t="s">
        <v>7</v>
      </c>
      <c r="B2506" s="24" t="s">
        <v>12302</v>
      </c>
      <c r="C2506" s="25" t="s">
        <v>12303</v>
      </c>
      <c r="D2506" s="24" t="s">
        <v>22127</v>
      </c>
      <c r="E2506" s="40">
        <v>32920</v>
      </c>
      <c r="F2506" s="41">
        <v>3334800</v>
      </c>
      <c r="G2506" s="40">
        <v>32720</v>
      </c>
      <c r="H2506" s="41">
        <v>2936740</v>
      </c>
      <c r="I2506" s="41">
        <v>101.30012150668287</v>
      </c>
      <c r="J2506" s="41">
        <v>89.753667481662589</v>
      </c>
      <c r="K2506" s="42">
        <v>-0.11398262759495852</v>
      </c>
    </row>
    <row r="2507" spans="1:11" x14ac:dyDescent="0.25">
      <c r="A2507" s="24" t="s">
        <v>7</v>
      </c>
      <c r="B2507" s="24" t="s">
        <v>12305</v>
      </c>
      <c r="C2507" s="25" t="s">
        <v>12306</v>
      </c>
      <c r="D2507" s="24" t="s">
        <v>22128</v>
      </c>
      <c r="E2507" s="40">
        <v>54</v>
      </c>
      <c r="F2507" s="41">
        <v>34116</v>
      </c>
      <c r="G2507" s="40">
        <v>81</v>
      </c>
      <c r="H2507" s="41">
        <v>48526</v>
      </c>
      <c r="I2507" s="41">
        <v>631.77777777777783</v>
      </c>
      <c r="J2507" s="41">
        <v>599.08641975308637</v>
      </c>
      <c r="K2507" s="42">
        <v>-5.17450267714075E-2</v>
      </c>
    </row>
    <row r="2508" spans="1:11" x14ac:dyDescent="0.25">
      <c r="A2508" s="24" t="s">
        <v>7</v>
      </c>
      <c r="B2508" s="24" t="s">
        <v>12311</v>
      </c>
      <c r="C2508" s="25" t="s">
        <v>12312</v>
      </c>
      <c r="D2508" s="24" t="s">
        <v>22129</v>
      </c>
      <c r="E2508" s="40">
        <v>220</v>
      </c>
      <c r="F2508" s="41">
        <v>43490</v>
      </c>
      <c r="G2508" s="40">
        <v>310</v>
      </c>
      <c r="H2508" s="41">
        <v>52328</v>
      </c>
      <c r="I2508" s="41">
        <v>197.68181818181819</v>
      </c>
      <c r="J2508" s="41">
        <v>168.8</v>
      </c>
      <c r="K2508" s="42">
        <v>-0.14610255231087602</v>
      </c>
    </row>
    <row r="2509" spans="1:11" x14ac:dyDescent="0.25">
      <c r="A2509" s="24" t="s">
        <v>7</v>
      </c>
      <c r="B2509" s="24" t="s">
        <v>12317</v>
      </c>
      <c r="C2509" s="25" t="s">
        <v>12318</v>
      </c>
      <c r="D2509" s="24" t="s">
        <v>22130</v>
      </c>
      <c r="E2509" s="40">
        <v>2233</v>
      </c>
      <c r="F2509" s="41">
        <v>958928.88</v>
      </c>
      <c r="G2509" s="40">
        <v>2984</v>
      </c>
      <c r="H2509" s="41">
        <v>1751728</v>
      </c>
      <c r="I2509" s="41">
        <v>429.43523510971789</v>
      </c>
      <c r="J2509" s="41">
        <v>587.04021447721175</v>
      </c>
      <c r="K2509" s="42">
        <v>0.36700523497385307</v>
      </c>
    </row>
    <row r="2510" spans="1:11" x14ac:dyDescent="0.25">
      <c r="A2510" s="24" t="s">
        <v>7</v>
      </c>
      <c r="B2510" s="24" t="s">
        <v>12320</v>
      </c>
      <c r="C2510" s="25" t="s">
        <v>12321</v>
      </c>
      <c r="D2510" s="24" t="s">
        <v>22131</v>
      </c>
      <c r="E2510" s="40">
        <v>121975</v>
      </c>
      <c r="F2510" s="41">
        <v>487900</v>
      </c>
      <c r="G2510" s="40">
        <v>84901</v>
      </c>
      <c r="H2510" s="41">
        <v>327723</v>
      </c>
      <c r="I2510" s="41">
        <v>4</v>
      </c>
      <c r="J2510" s="41">
        <v>3.8600605411008115</v>
      </c>
      <c r="K2510" s="42">
        <v>-3.4984864724797116E-2</v>
      </c>
    </row>
    <row r="2511" spans="1:11" x14ac:dyDescent="0.25">
      <c r="A2511" s="24" t="s">
        <v>7</v>
      </c>
      <c r="B2511" s="24" t="s">
        <v>12325</v>
      </c>
      <c r="C2511" s="25" t="s">
        <v>12326</v>
      </c>
      <c r="D2511" s="24" t="s">
        <v>22132</v>
      </c>
      <c r="E2511" s="40">
        <v>800</v>
      </c>
      <c r="F2511" s="41">
        <v>800</v>
      </c>
      <c r="G2511" s="40">
        <v>600</v>
      </c>
      <c r="H2511" s="41">
        <v>600</v>
      </c>
      <c r="I2511" s="41">
        <v>1</v>
      </c>
      <c r="J2511" s="41">
        <v>1</v>
      </c>
      <c r="K2511" s="42">
        <v>0</v>
      </c>
    </row>
    <row r="2512" spans="1:11" x14ac:dyDescent="0.25">
      <c r="A2512" s="24" t="s">
        <v>7</v>
      </c>
      <c r="B2512" s="24" t="s">
        <v>12337</v>
      </c>
      <c r="C2512" s="25" t="s">
        <v>12338</v>
      </c>
      <c r="D2512" s="24" t="s">
        <v>22133</v>
      </c>
      <c r="E2512" s="40">
        <v>4314</v>
      </c>
      <c r="F2512" s="41">
        <v>1208256</v>
      </c>
      <c r="G2512" s="40">
        <v>3838</v>
      </c>
      <c r="H2512" s="41">
        <v>905674</v>
      </c>
      <c r="I2512" s="41">
        <v>280.07788595271211</v>
      </c>
      <c r="J2512" s="41">
        <v>235.97550807712349</v>
      </c>
      <c r="K2512" s="42">
        <v>-0.15746469138600536</v>
      </c>
    </row>
    <row r="2513" spans="1:11" x14ac:dyDescent="0.25">
      <c r="A2513" s="24" t="s">
        <v>7</v>
      </c>
      <c r="B2513" s="24" t="s">
        <v>12340</v>
      </c>
      <c r="C2513" s="25" t="s">
        <v>12341</v>
      </c>
      <c r="D2513" s="24" t="s">
        <v>22134</v>
      </c>
      <c r="G2513" s="40">
        <v>1150</v>
      </c>
      <c r="H2513" s="41">
        <v>4600</v>
      </c>
      <c r="J2513" s="41">
        <v>4</v>
      </c>
    </row>
    <row r="2514" spans="1:11" x14ac:dyDescent="0.25">
      <c r="A2514" s="24" t="s">
        <v>7</v>
      </c>
      <c r="B2514" s="24" t="s">
        <v>12343</v>
      </c>
      <c r="C2514" s="25" t="s">
        <v>12344</v>
      </c>
      <c r="D2514" s="24" t="s">
        <v>22135</v>
      </c>
      <c r="E2514" s="40">
        <v>8375</v>
      </c>
      <c r="F2514" s="41">
        <v>524925</v>
      </c>
      <c r="G2514" s="40">
        <v>9595</v>
      </c>
      <c r="H2514" s="41">
        <v>577120</v>
      </c>
      <c r="I2514" s="41">
        <v>62.677611940298505</v>
      </c>
      <c r="J2514" s="41">
        <v>60.147993746743097</v>
      </c>
      <c r="K2514" s="42">
        <v>-4.0359198687482091E-2</v>
      </c>
    </row>
    <row r="2515" spans="1:11" x14ac:dyDescent="0.25">
      <c r="A2515" s="24" t="s">
        <v>7</v>
      </c>
      <c r="B2515" s="24" t="s">
        <v>12349</v>
      </c>
      <c r="C2515" s="25" t="s">
        <v>12350</v>
      </c>
      <c r="D2515" s="24" t="s">
        <v>22136</v>
      </c>
      <c r="E2515" s="40">
        <v>728</v>
      </c>
      <c r="F2515" s="41">
        <v>143540</v>
      </c>
      <c r="G2515" s="40">
        <v>143</v>
      </c>
      <c r="H2515" s="41">
        <v>18843</v>
      </c>
      <c r="I2515" s="41">
        <v>197.17032967032966</v>
      </c>
      <c r="J2515" s="41">
        <v>131.76923076923077</v>
      </c>
      <c r="K2515" s="42">
        <v>-0.33169848125957918</v>
      </c>
    </row>
    <row r="2516" spans="1:11" x14ac:dyDescent="0.25">
      <c r="A2516" s="24" t="s">
        <v>7</v>
      </c>
      <c r="B2516" s="24" t="s">
        <v>12355</v>
      </c>
      <c r="C2516" s="25" t="s">
        <v>12356</v>
      </c>
      <c r="D2516" s="24" t="s">
        <v>22137</v>
      </c>
      <c r="G2516" s="40">
        <v>400</v>
      </c>
      <c r="H2516" s="41">
        <v>7200</v>
      </c>
      <c r="J2516" s="41">
        <v>18</v>
      </c>
    </row>
    <row r="2517" spans="1:11" x14ac:dyDescent="0.25">
      <c r="A2517" s="24" t="s">
        <v>7</v>
      </c>
      <c r="B2517" s="24" t="s">
        <v>12358</v>
      </c>
      <c r="C2517" s="25" t="s">
        <v>12359</v>
      </c>
      <c r="D2517" s="24" t="s">
        <v>22138</v>
      </c>
      <c r="G2517" s="40">
        <v>145</v>
      </c>
      <c r="H2517" s="41">
        <v>19720</v>
      </c>
      <c r="J2517" s="41">
        <v>136</v>
      </c>
    </row>
    <row r="2518" spans="1:11" x14ac:dyDescent="0.25">
      <c r="A2518" s="24" t="s">
        <v>7</v>
      </c>
      <c r="B2518" s="24" t="s">
        <v>12364</v>
      </c>
      <c r="C2518" s="25" t="s">
        <v>12365</v>
      </c>
      <c r="D2518" s="24" t="s">
        <v>21846</v>
      </c>
      <c r="E2518" s="40">
        <v>1629</v>
      </c>
      <c r="F2518" s="41">
        <v>127392</v>
      </c>
      <c r="G2518" s="40">
        <v>1522</v>
      </c>
      <c r="H2518" s="41">
        <v>121760</v>
      </c>
      <c r="I2518" s="41">
        <v>78.202578268876607</v>
      </c>
      <c r="J2518" s="41">
        <v>80</v>
      </c>
      <c r="K2518" s="42">
        <v>2.2984174830444667E-2</v>
      </c>
    </row>
    <row r="2519" spans="1:11" x14ac:dyDescent="0.25">
      <c r="A2519" s="24" t="s">
        <v>7</v>
      </c>
      <c r="B2519" s="24" t="s">
        <v>12367</v>
      </c>
      <c r="C2519" s="25" t="s">
        <v>12368</v>
      </c>
      <c r="D2519" s="24" t="s">
        <v>21846</v>
      </c>
      <c r="G2519" s="40">
        <v>4</v>
      </c>
      <c r="H2519" s="41">
        <v>184</v>
      </c>
      <c r="J2519" s="41">
        <v>46</v>
      </c>
    </row>
    <row r="2520" spans="1:11" x14ac:dyDescent="0.25">
      <c r="A2520" s="24" t="s">
        <v>7</v>
      </c>
      <c r="B2520" s="24" t="s">
        <v>12370</v>
      </c>
      <c r="C2520" s="25" t="s">
        <v>12371</v>
      </c>
      <c r="D2520" s="24" t="s">
        <v>21846</v>
      </c>
      <c r="E2520" s="40">
        <v>1225</v>
      </c>
      <c r="F2520" s="41">
        <v>408650</v>
      </c>
      <c r="G2520" s="40">
        <v>1701</v>
      </c>
      <c r="H2520" s="41">
        <v>489154</v>
      </c>
      <c r="I2520" s="41">
        <v>333.59183673469386</v>
      </c>
      <c r="J2520" s="41">
        <v>287.56848912404467</v>
      </c>
      <c r="K2520" s="42">
        <v>-0.13796305107805029</v>
      </c>
    </row>
    <row r="2521" spans="1:11" x14ac:dyDescent="0.25">
      <c r="A2521" s="24" t="s">
        <v>7</v>
      </c>
      <c r="B2521" s="24" t="s">
        <v>12373</v>
      </c>
      <c r="C2521" s="25" t="s">
        <v>12374</v>
      </c>
      <c r="D2521" s="24" t="s">
        <v>22139</v>
      </c>
      <c r="G2521" s="40">
        <v>105</v>
      </c>
      <c r="H2521" s="41">
        <v>43470</v>
      </c>
      <c r="J2521" s="41">
        <v>414</v>
      </c>
    </row>
    <row r="2522" spans="1:11" x14ac:dyDescent="0.25">
      <c r="A2522" s="24" t="s">
        <v>7</v>
      </c>
      <c r="B2522" s="24" t="s">
        <v>12376</v>
      </c>
      <c r="C2522" s="25" t="s">
        <v>12377</v>
      </c>
      <c r="D2522" s="24" t="s">
        <v>22140</v>
      </c>
      <c r="E2522" s="40">
        <v>222</v>
      </c>
      <c r="F2522" s="41">
        <v>8808</v>
      </c>
      <c r="G2522" s="40">
        <v>464</v>
      </c>
      <c r="H2522" s="41">
        <v>15229</v>
      </c>
      <c r="I2522" s="41">
        <v>39.675675675675677</v>
      </c>
      <c r="J2522" s="41">
        <v>32.821120689655174</v>
      </c>
      <c r="K2522" s="42">
        <v>-0.17276466926618433</v>
      </c>
    </row>
    <row r="2523" spans="1:11" x14ac:dyDescent="0.25">
      <c r="A2523" s="24" t="s">
        <v>7</v>
      </c>
      <c r="B2523" s="24" t="s">
        <v>12385</v>
      </c>
      <c r="C2523" s="25" t="s">
        <v>12386</v>
      </c>
      <c r="D2523" s="24" t="s">
        <v>21846</v>
      </c>
      <c r="E2523" s="40">
        <v>394</v>
      </c>
      <c r="F2523" s="41">
        <v>97203</v>
      </c>
      <c r="G2523" s="40">
        <v>623</v>
      </c>
      <c r="H2523" s="41">
        <v>139729</v>
      </c>
      <c r="I2523" s="41">
        <v>246.70812182741116</v>
      </c>
      <c r="J2523" s="41">
        <v>224.2841091492777</v>
      </c>
      <c r="K2523" s="42">
        <v>-9.0892883914946918E-2</v>
      </c>
    </row>
    <row r="2524" spans="1:11" x14ac:dyDescent="0.25">
      <c r="A2524" s="24" t="s">
        <v>7</v>
      </c>
      <c r="B2524" s="24" t="s">
        <v>12388</v>
      </c>
      <c r="C2524" s="25" t="s">
        <v>12389</v>
      </c>
      <c r="D2524" s="24" t="s">
        <v>21888</v>
      </c>
      <c r="E2524" s="40">
        <v>6035</v>
      </c>
      <c r="F2524" s="41">
        <v>168592</v>
      </c>
      <c r="G2524" s="40">
        <v>3500</v>
      </c>
      <c r="H2524" s="41">
        <v>98000</v>
      </c>
      <c r="I2524" s="41">
        <v>27.935708367854183</v>
      </c>
      <c r="J2524" s="41">
        <v>28</v>
      </c>
      <c r="K2524" s="42">
        <v>2.3014140647243503E-3</v>
      </c>
    </row>
    <row r="2525" spans="1:11" x14ac:dyDescent="0.25">
      <c r="A2525" s="24" t="s">
        <v>7</v>
      </c>
      <c r="B2525" s="24" t="s">
        <v>12391</v>
      </c>
      <c r="C2525" s="25" t="s">
        <v>12392</v>
      </c>
      <c r="D2525" s="24" t="s">
        <v>22141</v>
      </c>
      <c r="E2525" s="40">
        <v>3370</v>
      </c>
      <c r="F2525" s="41">
        <v>2237460</v>
      </c>
      <c r="G2525" s="40">
        <v>2729</v>
      </c>
      <c r="H2525" s="41">
        <v>1713276</v>
      </c>
      <c r="I2525" s="41">
        <v>663.93471810089022</v>
      </c>
      <c r="J2525" s="41">
        <v>627.80359105899595</v>
      </c>
      <c r="K2525" s="42">
        <v>-5.4419698287872721E-2</v>
      </c>
    </row>
    <row r="2526" spans="1:11" x14ac:dyDescent="0.25">
      <c r="A2526" s="24" t="s">
        <v>7</v>
      </c>
      <c r="B2526" s="24" t="s">
        <v>12394</v>
      </c>
      <c r="C2526" s="25" t="s">
        <v>12395</v>
      </c>
      <c r="D2526" s="24" t="s">
        <v>22141</v>
      </c>
      <c r="E2526" s="40">
        <v>31180</v>
      </c>
      <c r="F2526" s="41">
        <v>11949293</v>
      </c>
      <c r="G2526" s="40">
        <v>30645</v>
      </c>
      <c r="H2526" s="41">
        <v>10739136</v>
      </c>
      <c r="I2526" s="41">
        <v>383.23582424631172</v>
      </c>
      <c r="J2526" s="41">
        <v>350.43680861478219</v>
      </c>
      <c r="K2526" s="42">
        <v>-8.5584419713458426E-2</v>
      </c>
    </row>
    <row r="2527" spans="1:11" x14ac:dyDescent="0.25">
      <c r="A2527" s="24" t="s">
        <v>7</v>
      </c>
      <c r="B2527" s="24" t="s">
        <v>12400</v>
      </c>
      <c r="C2527" s="25" t="s">
        <v>12401</v>
      </c>
      <c r="D2527" s="24" t="s">
        <v>22142</v>
      </c>
      <c r="E2527" s="40">
        <v>37287</v>
      </c>
      <c r="F2527" s="41">
        <v>540661.5</v>
      </c>
      <c r="G2527" s="40">
        <v>41961</v>
      </c>
      <c r="H2527" s="41">
        <v>585334.5</v>
      </c>
      <c r="I2527" s="41">
        <v>14.5</v>
      </c>
      <c r="J2527" s="41">
        <v>13.949488811038822</v>
      </c>
      <c r="K2527" s="42">
        <v>-3.7966288893874316E-2</v>
      </c>
    </row>
    <row r="2528" spans="1:11" x14ac:dyDescent="0.25">
      <c r="A2528" s="24" t="s">
        <v>7</v>
      </c>
      <c r="B2528" s="24" t="s">
        <v>12409</v>
      </c>
      <c r="C2528" s="25" t="s">
        <v>12410</v>
      </c>
      <c r="D2528" s="24" t="s">
        <v>21846</v>
      </c>
      <c r="E2528" s="40">
        <v>1225</v>
      </c>
      <c r="F2528" s="41">
        <v>233758</v>
      </c>
      <c r="G2528" s="40">
        <v>630</v>
      </c>
      <c r="H2528" s="41">
        <v>112544</v>
      </c>
      <c r="I2528" s="41">
        <v>190.82285714285715</v>
      </c>
      <c r="J2528" s="41">
        <v>178.64126984126983</v>
      </c>
      <c r="K2528" s="42">
        <v>-6.3837149720841466E-2</v>
      </c>
    </row>
    <row r="2529" spans="1:11" x14ac:dyDescent="0.25">
      <c r="A2529" s="24" t="s">
        <v>7</v>
      </c>
      <c r="B2529" s="24" t="s">
        <v>12415</v>
      </c>
      <c r="C2529" s="25" t="s">
        <v>12416</v>
      </c>
      <c r="D2529" s="24" t="s">
        <v>21846</v>
      </c>
      <c r="E2529" s="40">
        <v>355</v>
      </c>
      <c r="F2529" s="41">
        <v>96107</v>
      </c>
      <c r="G2529" s="40">
        <v>368</v>
      </c>
      <c r="H2529" s="41">
        <v>90152</v>
      </c>
      <c r="I2529" s="41">
        <v>270.72394366197182</v>
      </c>
      <c r="J2529" s="41">
        <v>244.97826086956522</v>
      </c>
      <c r="K2529" s="42">
        <v>-9.5099393293977985E-2</v>
      </c>
    </row>
    <row r="2530" spans="1:11" x14ac:dyDescent="0.25">
      <c r="A2530" s="24" t="s">
        <v>7</v>
      </c>
      <c r="B2530" s="24" t="s">
        <v>12418</v>
      </c>
      <c r="C2530" s="25" t="s">
        <v>12419</v>
      </c>
      <c r="D2530" s="24" t="s">
        <v>21846</v>
      </c>
      <c r="G2530" s="40">
        <v>2</v>
      </c>
      <c r="H2530" s="41">
        <v>678</v>
      </c>
      <c r="J2530" s="41">
        <v>339</v>
      </c>
    </row>
    <row r="2531" spans="1:11" x14ac:dyDescent="0.25">
      <c r="A2531" s="24" t="s">
        <v>7</v>
      </c>
      <c r="B2531" s="24" t="s">
        <v>12421</v>
      </c>
      <c r="C2531" s="25" t="s">
        <v>12422</v>
      </c>
      <c r="D2531" s="24" t="s">
        <v>22143</v>
      </c>
      <c r="G2531" s="40">
        <v>13</v>
      </c>
      <c r="H2531" s="41">
        <v>1547</v>
      </c>
      <c r="J2531" s="41">
        <v>119</v>
      </c>
    </row>
    <row r="2532" spans="1:11" x14ac:dyDescent="0.25">
      <c r="A2532" s="24" t="s">
        <v>7</v>
      </c>
      <c r="B2532" s="24" t="s">
        <v>12424</v>
      </c>
      <c r="C2532" s="25" t="s">
        <v>12425</v>
      </c>
      <c r="D2532" s="24" t="s">
        <v>22144</v>
      </c>
      <c r="E2532" s="40">
        <v>41</v>
      </c>
      <c r="F2532" s="41">
        <v>39462</v>
      </c>
      <c r="G2532" s="40">
        <v>44</v>
      </c>
      <c r="H2532" s="41">
        <v>44176</v>
      </c>
      <c r="I2532" s="41">
        <v>962.48780487804879</v>
      </c>
      <c r="J2532" s="41">
        <v>1004</v>
      </c>
      <c r="K2532" s="42">
        <v>4.3130099842886814E-2</v>
      </c>
    </row>
    <row r="2533" spans="1:11" x14ac:dyDescent="0.25">
      <c r="A2533" s="24" t="s">
        <v>7</v>
      </c>
      <c r="B2533" s="24" t="s">
        <v>12433</v>
      </c>
      <c r="C2533" s="25" t="s">
        <v>12434</v>
      </c>
      <c r="D2533" s="24" t="s">
        <v>22145</v>
      </c>
      <c r="E2533" s="40">
        <v>1680</v>
      </c>
      <c r="F2533" s="41">
        <v>50400</v>
      </c>
      <c r="G2533" s="40">
        <v>8600</v>
      </c>
      <c r="H2533" s="41">
        <v>244200</v>
      </c>
      <c r="I2533" s="41">
        <v>30</v>
      </c>
      <c r="J2533" s="41">
        <v>28.395348837209301</v>
      </c>
      <c r="K2533" s="42">
        <v>-5.348837209302329E-2</v>
      </c>
    </row>
    <row r="2534" spans="1:11" x14ac:dyDescent="0.25">
      <c r="A2534" s="24" t="s">
        <v>7</v>
      </c>
      <c r="B2534" s="24" t="s">
        <v>12442</v>
      </c>
      <c r="C2534" s="25" t="s">
        <v>12443</v>
      </c>
      <c r="D2534" s="24" t="s">
        <v>21846</v>
      </c>
      <c r="E2534" s="40">
        <v>9</v>
      </c>
      <c r="F2534" s="41">
        <v>266</v>
      </c>
      <c r="G2534" s="40">
        <v>44</v>
      </c>
      <c r="H2534" s="41">
        <v>1370</v>
      </c>
      <c r="I2534" s="41">
        <v>29.555555555555557</v>
      </c>
      <c r="J2534" s="41">
        <v>31.136363636363637</v>
      </c>
      <c r="K2534" s="42">
        <v>5.348598769651397E-2</v>
      </c>
    </row>
    <row r="2535" spans="1:11" x14ac:dyDescent="0.25">
      <c r="A2535" s="24" t="s">
        <v>7</v>
      </c>
      <c r="B2535" s="24" t="s">
        <v>12445</v>
      </c>
      <c r="C2535" s="25" t="s">
        <v>12446</v>
      </c>
      <c r="D2535" s="24" t="s">
        <v>21846</v>
      </c>
      <c r="E2535" s="40">
        <v>628</v>
      </c>
      <c r="F2535" s="41">
        <v>13440</v>
      </c>
      <c r="G2535" s="40">
        <v>333</v>
      </c>
      <c r="H2535" s="41">
        <v>6728</v>
      </c>
      <c r="I2535" s="41">
        <v>21.401273885350317</v>
      </c>
      <c r="J2535" s="41">
        <v>20.204204204204203</v>
      </c>
      <c r="K2535" s="42">
        <v>-5.5934505934505954E-2</v>
      </c>
    </row>
    <row r="2536" spans="1:11" x14ac:dyDescent="0.25">
      <c r="A2536" s="24" t="s">
        <v>7</v>
      </c>
      <c r="B2536" s="24" t="s">
        <v>12448</v>
      </c>
      <c r="C2536" s="25" t="s">
        <v>12449</v>
      </c>
      <c r="D2536" s="24" t="s">
        <v>21846</v>
      </c>
      <c r="E2536" s="40">
        <v>28</v>
      </c>
      <c r="F2536" s="41">
        <v>840</v>
      </c>
      <c r="G2536" s="40">
        <v>34</v>
      </c>
      <c r="H2536" s="41">
        <v>1000</v>
      </c>
      <c r="I2536" s="41">
        <v>30</v>
      </c>
      <c r="J2536" s="41">
        <v>29.411764705882351</v>
      </c>
      <c r="K2536" s="42">
        <v>-1.960784313725495E-2</v>
      </c>
    </row>
    <row r="2537" spans="1:11" x14ac:dyDescent="0.25">
      <c r="A2537" s="24" t="s">
        <v>7</v>
      </c>
      <c r="B2537" s="24" t="s">
        <v>12454</v>
      </c>
      <c r="C2537" s="25" t="s">
        <v>12455</v>
      </c>
      <c r="D2537" s="24" t="s">
        <v>21846</v>
      </c>
      <c r="E2537" s="40">
        <v>3</v>
      </c>
      <c r="F2537" s="41">
        <v>381</v>
      </c>
      <c r="G2537" s="40">
        <v>6</v>
      </c>
      <c r="H2537" s="41">
        <v>762</v>
      </c>
      <c r="I2537" s="41">
        <v>127</v>
      </c>
      <c r="J2537" s="41">
        <v>127</v>
      </c>
      <c r="K2537" s="42">
        <v>0</v>
      </c>
    </row>
    <row r="2538" spans="1:11" x14ac:dyDescent="0.25">
      <c r="A2538" s="24" t="s">
        <v>7</v>
      </c>
      <c r="B2538" s="24" t="s">
        <v>12457</v>
      </c>
      <c r="C2538" s="25" t="s">
        <v>12458</v>
      </c>
      <c r="D2538" s="24" t="s">
        <v>21846</v>
      </c>
      <c r="E2538" s="40">
        <v>109</v>
      </c>
      <c r="F2538" s="41">
        <v>12838</v>
      </c>
      <c r="G2538" s="40">
        <v>148</v>
      </c>
      <c r="H2538" s="41">
        <v>17908</v>
      </c>
      <c r="I2538" s="41">
        <v>117.77981651376147</v>
      </c>
      <c r="J2538" s="41">
        <v>121</v>
      </c>
      <c r="K2538" s="42">
        <v>2.7340707275276464E-2</v>
      </c>
    </row>
    <row r="2539" spans="1:11" x14ac:dyDescent="0.25">
      <c r="A2539" s="24" t="s">
        <v>7</v>
      </c>
      <c r="B2539" s="24" t="s">
        <v>12460</v>
      </c>
      <c r="C2539" s="25" t="s">
        <v>12461</v>
      </c>
      <c r="D2539" s="24" t="s">
        <v>22146</v>
      </c>
      <c r="G2539" s="40">
        <v>24</v>
      </c>
      <c r="H2539" s="41">
        <v>25128</v>
      </c>
      <c r="J2539" s="41">
        <v>1047</v>
      </c>
    </row>
    <row r="2540" spans="1:11" x14ac:dyDescent="0.25">
      <c r="A2540" s="24" t="s">
        <v>7</v>
      </c>
      <c r="B2540" s="24" t="s">
        <v>12463</v>
      </c>
      <c r="C2540" s="25" t="s">
        <v>12464</v>
      </c>
      <c r="D2540" s="24" t="s">
        <v>22147</v>
      </c>
      <c r="E2540" s="40">
        <v>476</v>
      </c>
      <c r="F2540" s="41">
        <v>93104</v>
      </c>
      <c r="G2540" s="40">
        <v>584</v>
      </c>
      <c r="H2540" s="41">
        <v>100356</v>
      </c>
      <c r="I2540" s="41">
        <v>195.59663865546219</v>
      </c>
      <c r="J2540" s="41">
        <v>171.84246575342465</v>
      </c>
      <c r="K2540" s="42">
        <v>-0.12144468874989117</v>
      </c>
    </row>
    <row r="2541" spans="1:11" x14ac:dyDescent="0.25">
      <c r="A2541" s="24" t="s">
        <v>7</v>
      </c>
      <c r="B2541" s="24" t="s">
        <v>12466</v>
      </c>
      <c r="C2541" s="25" t="s">
        <v>12467</v>
      </c>
      <c r="D2541" s="24" t="s">
        <v>21824</v>
      </c>
      <c r="G2541" s="40">
        <v>28</v>
      </c>
      <c r="H2541" s="41">
        <v>616</v>
      </c>
      <c r="J2541" s="41">
        <v>22</v>
      </c>
    </row>
    <row r="2542" spans="1:11" x14ac:dyDescent="0.25">
      <c r="A2542" s="24" t="s">
        <v>7</v>
      </c>
      <c r="B2542" s="24" t="s">
        <v>12469</v>
      </c>
      <c r="C2542" s="25" t="s">
        <v>12470</v>
      </c>
      <c r="D2542" s="24" t="s">
        <v>21824</v>
      </c>
      <c r="E2542" s="40">
        <v>421</v>
      </c>
      <c r="F2542" s="41">
        <v>11504</v>
      </c>
      <c r="G2542" s="40">
        <v>445</v>
      </c>
      <c r="H2542" s="41">
        <v>11385</v>
      </c>
      <c r="I2542" s="41">
        <v>27.325415676959619</v>
      </c>
      <c r="J2542" s="41">
        <v>25.584269662921347</v>
      </c>
      <c r="K2542" s="42">
        <v>-6.3718921410823401E-2</v>
      </c>
    </row>
    <row r="2543" spans="1:11" x14ac:dyDescent="0.25">
      <c r="A2543" s="24" t="s">
        <v>7</v>
      </c>
      <c r="B2543" s="24" t="s">
        <v>12478</v>
      </c>
      <c r="C2543" s="25" t="s">
        <v>12479</v>
      </c>
      <c r="D2543" s="24" t="s">
        <v>21824</v>
      </c>
      <c r="G2543" s="40">
        <v>6</v>
      </c>
      <c r="H2543" s="41">
        <v>96</v>
      </c>
      <c r="J2543" s="41">
        <v>16</v>
      </c>
    </row>
    <row r="2544" spans="1:11" x14ac:dyDescent="0.25">
      <c r="A2544" s="24" t="s">
        <v>7</v>
      </c>
      <c r="B2544" s="24" t="s">
        <v>12481</v>
      </c>
      <c r="C2544" s="25" t="s">
        <v>12482</v>
      </c>
      <c r="D2544" s="24" t="s">
        <v>21824</v>
      </c>
      <c r="E2544" s="40">
        <v>179</v>
      </c>
      <c r="F2544" s="41">
        <v>2984</v>
      </c>
      <c r="G2544" s="40">
        <v>96</v>
      </c>
      <c r="H2544" s="41">
        <v>1407</v>
      </c>
      <c r="I2544" s="41">
        <v>16.670391061452513</v>
      </c>
      <c r="J2544" s="41">
        <v>14.65625</v>
      </c>
      <c r="K2544" s="42">
        <v>-0.12082146447721173</v>
      </c>
    </row>
    <row r="2545" spans="1:11" x14ac:dyDescent="0.25">
      <c r="A2545" s="24" t="s">
        <v>7</v>
      </c>
      <c r="B2545" s="24" t="s">
        <v>12487</v>
      </c>
      <c r="C2545" s="25" t="s">
        <v>12488</v>
      </c>
      <c r="D2545" s="24" t="s">
        <v>21824</v>
      </c>
      <c r="G2545" s="40">
        <v>208</v>
      </c>
      <c r="H2545" s="41">
        <v>6795</v>
      </c>
      <c r="J2545" s="41">
        <v>32.668269230769234</v>
      </c>
    </row>
    <row r="2546" spans="1:11" x14ac:dyDescent="0.25">
      <c r="A2546" s="24" t="s">
        <v>7</v>
      </c>
      <c r="B2546" s="24" t="s">
        <v>12493</v>
      </c>
      <c r="C2546" s="25" t="s">
        <v>12494</v>
      </c>
      <c r="D2546" s="24" t="s">
        <v>21824</v>
      </c>
      <c r="G2546" s="40">
        <v>104</v>
      </c>
      <c r="H2546" s="41">
        <v>778.62</v>
      </c>
      <c r="J2546" s="41">
        <v>7.4867307692307694</v>
      </c>
    </row>
    <row r="2547" spans="1:11" x14ac:dyDescent="0.25">
      <c r="A2547" s="24" t="s">
        <v>7</v>
      </c>
      <c r="B2547" s="24" t="s">
        <v>12496</v>
      </c>
      <c r="C2547" s="25" t="s">
        <v>12497</v>
      </c>
      <c r="D2547" s="24" t="s">
        <v>21824</v>
      </c>
      <c r="G2547" s="40">
        <v>3</v>
      </c>
      <c r="H2547" s="41">
        <v>51</v>
      </c>
      <c r="J2547" s="41">
        <v>17</v>
      </c>
    </row>
    <row r="2548" spans="1:11" x14ac:dyDescent="0.25">
      <c r="A2548" s="24" t="s">
        <v>7</v>
      </c>
      <c r="B2548" s="24" t="s">
        <v>12508</v>
      </c>
      <c r="C2548" s="25" t="s">
        <v>12509</v>
      </c>
      <c r="D2548" s="24" t="s">
        <v>21846</v>
      </c>
      <c r="E2548" s="40">
        <v>44</v>
      </c>
      <c r="F2548" s="41">
        <v>18821</v>
      </c>
      <c r="G2548" s="40">
        <v>27</v>
      </c>
      <c r="H2548" s="41">
        <v>17918</v>
      </c>
      <c r="I2548" s="41">
        <v>427.75</v>
      </c>
      <c r="J2548" s="41">
        <v>663.62962962962968</v>
      </c>
      <c r="K2548" s="42">
        <v>0.55144273437669122</v>
      </c>
    </row>
    <row r="2549" spans="1:11" x14ac:dyDescent="0.25">
      <c r="A2549" s="24" t="s">
        <v>7</v>
      </c>
      <c r="B2549" s="24" t="s">
        <v>12513</v>
      </c>
      <c r="C2549" s="25" t="s">
        <v>12514</v>
      </c>
      <c r="D2549" s="24" t="s">
        <v>21824</v>
      </c>
      <c r="E2549" s="40">
        <v>879</v>
      </c>
      <c r="F2549" s="41">
        <v>62213</v>
      </c>
      <c r="G2549" s="40">
        <v>521</v>
      </c>
      <c r="H2549" s="41">
        <v>31896</v>
      </c>
      <c r="I2549" s="41">
        <v>70.777019340159271</v>
      </c>
      <c r="J2549" s="41">
        <v>61.22072936660269</v>
      </c>
      <c r="K2549" s="42">
        <v>-0.13501967252433147</v>
      </c>
    </row>
    <row r="2550" spans="1:11" x14ac:dyDescent="0.25">
      <c r="A2550" s="24" t="s">
        <v>7</v>
      </c>
      <c r="B2550" s="24" t="s">
        <v>12516</v>
      </c>
      <c r="C2550" s="25" t="s">
        <v>12517</v>
      </c>
      <c r="D2550" s="24" t="s">
        <v>21824</v>
      </c>
      <c r="E2550" s="40">
        <v>123</v>
      </c>
      <c r="F2550" s="41">
        <v>11316</v>
      </c>
      <c r="G2550" s="40">
        <v>111</v>
      </c>
      <c r="H2550" s="41">
        <v>10212</v>
      </c>
      <c r="I2550" s="41">
        <v>92</v>
      </c>
      <c r="J2550" s="41">
        <v>92</v>
      </c>
      <c r="K2550" s="42">
        <v>0</v>
      </c>
    </row>
    <row r="2551" spans="1:11" x14ac:dyDescent="0.25">
      <c r="A2551" s="24" t="s">
        <v>7</v>
      </c>
      <c r="B2551" s="24" t="s">
        <v>12519</v>
      </c>
      <c r="C2551" s="25" t="s">
        <v>12520</v>
      </c>
      <c r="D2551" s="24" t="s">
        <v>22148</v>
      </c>
      <c r="E2551" s="40">
        <v>10515</v>
      </c>
      <c r="F2551" s="41">
        <v>2114835</v>
      </c>
      <c r="G2551" s="40">
        <v>12191</v>
      </c>
      <c r="H2551" s="41">
        <v>2117722</v>
      </c>
      <c r="I2551" s="41">
        <v>201.12553495007134</v>
      </c>
      <c r="J2551" s="41">
        <v>173.71191862849642</v>
      </c>
      <c r="K2551" s="42">
        <v>-0.13630102377791187</v>
      </c>
    </row>
    <row r="2552" spans="1:11" x14ac:dyDescent="0.25">
      <c r="A2552" s="24" t="s">
        <v>7</v>
      </c>
      <c r="B2552" s="24" t="s">
        <v>12522</v>
      </c>
      <c r="C2552" s="25" t="s">
        <v>12523</v>
      </c>
      <c r="D2552" s="24" t="s">
        <v>21846</v>
      </c>
      <c r="E2552" s="40">
        <v>2</v>
      </c>
      <c r="F2552" s="41">
        <v>268</v>
      </c>
      <c r="G2552" s="40">
        <v>1</v>
      </c>
      <c r="H2552" s="41">
        <v>134</v>
      </c>
      <c r="I2552" s="41">
        <v>134</v>
      </c>
      <c r="J2552" s="41">
        <v>134</v>
      </c>
      <c r="K2552" s="42">
        <v>0</v>
      </c>
    </row>
    <row r="2553" spans="1:11" x14ac:dyDescent="0.25">
      <c r="A2553" s="24" t="s">
        <v>7</v>
      </c>
      <c r="B2553" s="24" t="s">
        <v>12525</v>
      </c>
      <c r="C2553" s="25" t="s">
        <v>12526</v>
      </c>
      <c r="D2553" s="24" t="s">
        <v>21846</v>
      </c>
      <c r="E2553" s="40">
        <v>56</v>
      </c>
      <c r="F2553" s="41">
        <v>5355</v>
      </c>
      <c r="G2553" s="40">
        <v>40</v>
      </c>
      <c r="H2553" s="41">
        <v>3756</v>
      </c>
      <c r="I2553" s="41">
        <v>95.625</v>
      </c>
      <c r="J2553" s="41">
        <v>93.9</v>
      </c>
      <c r="K2553" s="42">
        <v>-1.8039215686274451E-2</v>
      </c>
    </row>
    <row r="2554" spans="1:11" x14ac:dyDescent="0.25">
      <c r="A2554" s="24" t="s">
        <v>7</v>
      </c>
      <c r="B2554" s="24" t="s">
        <v>12528</v>
      </c>
      <c r="C2554" s="25" t="s">
        <v>12529</v>
      </c>
      <c r="D2554" s="24" t="s">
        <v>21846</v>
      </c>
      <c r="E2554" s="40">
        <v>47</v>
      </c>
      <c r="F2554" s="41">
        <v>6382</v>
      </c>
      <c r="G2554" s="40">
        <v>77</v>
      </c>
      <c r="H2554" s="41">
        <v>7028</v>
      </c>
      <c r="I2554" s="41">
        <v>135.78723404255319</v>
      </c>
      <c r="J2554" s="41">
        <v>91.272727272727266</v>
      </c>
      <c r="K2554" s="42">
        <v>-0.32782541807925708</v>
      </c>
    </row>
    <row r="2555" spans="1:11" x14ac:dyDescent="0.25">
      <c r="A2555" s="24" t="s">
        <v>7</v>
      </c>
      <c r="B2555" s="24" t="s">
        <v>12531</v>
      </c>
      <c r="C2555" s="25" t="s">
        <v>12532</v>
      </c>
      <c r="D2555" s="24" t="s">
        <v>21846</v>
      </c>
      <c r="G2555" s="40">
        <v>18</v>
      </c>
      <c r="H2555" s="41">
        <v>3048</v>
      </c>
      <c r="J2555" s="41">
        <v>169.33333333333334</v>
      </c>
    </row>
    <row r="2556" spans="1:11" x14ac:dyDescent="0.25">
      <c r="A2556" s="24" t="s">
        <v>7</v>
      </c>
      <c r="B2556" s="24" t="s">
        <v>12534</v>
      </c>
      <c r="C2556" s="25" t="s">
        <v>12535</v>
      </c>
      <c r="D2556" s="24" t="s">
        <v>21846</v>
      </c>
      <c r="G2556" s="40">
        <v>5</v>
      </c>
      <c r="H2556" s="41">
        <v>1570</v>
      </c>
      <c r="J2556" s="41">
        <v>314</v>
      </c>
    </row>
    <row r="2557" spans="1:11" x14ac:dyDescent="0.25">
      <c r="A2557" s="24" t="s">
        <v>7</v>
      </c>
      <c r="B2557" s="24" t="s">
        <v>12549</v>
      </c>
      <c r="C2557" s="25" t="s">
        <v>12550</v>
      </c>
      <c r="D2557" s="24" t="s">
        <v>21824</v>
      </c>
      <c r="E2557" s="40">
        <v>47</v>
      </c>
      <c r="F2557" s="41">
        <v>1411</v>
      </c>
      <c r="G2557" s="40">
        <v>69</v>
      </c>
      <c r="H2557" s="41">
        <v>6342</v>
      </c>
      <c r="I2557" s="41">
        <v>30.021276595744681</v>
      </c>
      <c r="J2557" s="41">
        <v>91.913043478260875</v>
      </c>
      <c r="K2557" s="42">
        <v>2.0615967707145719</v>
      </c>
    </row>
    <row r="2558" spans="1:11" x14ac:dyDescent="0.25">
      <c r="A2558" s="24" t="s">
        <v>7</v>
      </c>
      <c r="B2558" s="24" t="s">
        <v>12555</v>
      </c>
      <c r="C2558" s="25" t="s">
        <v>12556</v>
      </c>
      <c r="D2558" s="24" t="s">
        <v>21824</v>
      </c>
      <c r="E2558" s="40">
        <v>3</v>
      </c>
      <c r="F2558" s="41">
        <v>26</v>
      </c>
      <c r="G2558" s="40">
        <v>11</v>
      </c>
      <c r="H2558" s="41">
        <v>99</v>
      </c>
      <c r="I2558" s="41">
        <v>8.6666666666666661</v>
      </c>
      <c r="J2558" s="41">
        <v>9</v>
      </c>
      <c r="K2558" s="42">
        <v>3.8461538461538533E-2</v>
      </c>
    </row>
    <row r="2559" spans="1:11" x14ac:dyDescent="0.25">
      <c r="A2559" s="24" t="s">
        <v>7</v>
      </c>
      <c r="B2559" s="24" t="s">
        <v>12558</v>
      </c>
      <c r="C2559" s="25" t="s">
        <v>12559</v>
      </c>
      <c r="D2559" s="24" t="s">
        <v>21824</v>
      </c>
      <c r="E2559" s="40">
        <v>17065</v>
      </c>
      <c r="F2559" s="41">
        <v>551351</v>
      </c>
      <c r="G2559" s="40">
        <v>16857</v>
      </c>
      <c r="H2559" s="41">
        <v>455407</v>
      </c>
      <c r="I2559" s="41">
        <v>32.308877820099617</v>
      </c>
      <c r="J2559" s="41">
        <v>27.015898439817288</v>
      </c>
      <c r="K2559" s="42">
        <v>-0.16382430271191664</v>
      </c>
    </row>
    <row r="2560" spans="1:11" x14ac:dyDescent="0.25">
      <c r="A2560" s="24" t="s">
        <v>7</v>
      </c>
      <c r="B2560" s="24" t="s">
        <v>12561</v>
      </c>
      <c r="C2560" s="25" t="s">
        <v>12562</v>
      </c>
      <c r="D2560" s="24" t="s">
        <v>21824</v>
      </c>
      <c r="E2560" s="40">
        <v>503</v>
      </c>
      <c r="F2560" s="41">
        <v>8386</v>
      </c>
      <c r="G2560" s="40">
        <v>693</v>
      </c>
      <c r="H2560" s="41">
        <v>10521</v>
      </c>
      <c r="I2560" s="41">
        <v>16.671968190854869</v>
      </c>
      <c r="J2560" s="41">
        <v>15.181818181818182</v>
      </c>
      <c r="K2560" s="42">
        <v>-8.9380569347180291E-2</v>
      </c>
    </row>
    <row r="2561" spans="1:11" x14ac:dyDescent="0.25">
      <c r="A2561" s="24" t="s">
        <v>7</v>
      </c>
      <c r="B2561" s="24" t="s">
        <v>12564</v>
      </c>
      <c r="C2561" s="25" t="s">
        <v>12565</v>
      </c>
      <c r="D2561" s="24" t="s">
        <v>21824</v>
      </c>
      <c r="E2561" s="40">
        <v>101</v>
      </c>
      <c r="F2561" s="41">
        <v>2401</v>
      </c>
      <c r="G2561" s="40">
        <v>40</v>
      </c>
      <c r="H2561" s="41">
        <v>1002</v>
      </c>
      <c r="I2561" s="41">
        <v>23.772277227722771</v>
      </c>
      <c r="J2561" s="41">
        <v>25.05</v>
      </c>
      <c r="K2561" s="42">
        <v>5.3748438150770593E-2</v>
      </c>
    </row>
    <row r="2562" spans="1:11" x14ac:dyDescent="0.25">
      <c r="A2562" s="24" t="s">
        <v>7</v>
      </c>
      <c r="B2562" s="24" t="s">
        <v>12567</v>
      </c>
      <c r="C2562" s="25" t="s">
        <v>12568</v>
      </c>
      <c r="D2562" s="24" t="s">
        <v>21824</v>
      </c>
      <c r="E2562" s="40">
        <v>8219</v>
      </c>
      <c r="F2562" s="41">
        <v>319292</v>
      </c>
      <c r="G2562" s="40">
        <v>8108</v>
      </c>
      <c r="H2562" s="41">
        <v>273058</v>
      </c>
      <c r="I2562" s="41">
        <v>38.848035040759214</v>
      </c>
      <c r="J2562" s="41">
        <v>33.677602368031572</v>
      </c>
      <c r="K2562" s="42">
        <v>-0.13309380171488322</v>
      </c>
    </row>
    <row r="2563" spans="1:11" x14ac:dyDescent="0.25">
      <c r="A2563" s="24" t="s">
        <v>7</v>
      </c>
      <c r="B2563" s="24" t="s">
        <v>12579</v>
      </c>
      <c r="C2563" s="25" t="s">
        <v>12580</v>
      </c>
      <c r="D2563" s="24" t="s">
        <v>21824</v>
      </c>
      <c r="G2563" s="40">
        <v>9</v>
      </c>
      <c r="H2563" s="41">
        <v>99</v>
      </c>
      <c r="J2563" s="41">
        <v>11</v>
      </c>
    </row>
    <row r="2564" spans="1:11" x14ac:dyDescent="0.25">
      <c r="A2564" s="24" t="s">
        <v>7</v>
      </c>
      <c r="B2564" s="24" t="s">
        <v>12582</v>
      </c>
      <c r="C2564" s="25" t="s">
        <v>12583</v>
      </c>
      <c r="D2564" s="24" t="s">
        <v>21824</v>
      </c>
      <c r="E2564" s="40">
        <v>3094</v>
      </c>
      <c r="F2564" s="41">
        <v>66562</v>
      </c>
      <c r="G2564" s="40">
        <v>3386</v>
      </c>
      <c r="H2564" s="41">
        <v>54732</v>
      </c>
      <c r="I2564" s="41">
        <v>21.513251454427927</v>
      </c>
      <c r="J2564" s="41">
        <v>16.164205552274069</v>
      </c>
      <c r="K2564" s="42">
        <v>-0.24863958446657303</v>
      </c>
    </row>
    <row r="2565" spans="1:11" x14ac:dyDescent="0.25">
      <c r="A2565" s="24" t="s">
        <v>7</v>
      </c>
      <c r="B2565" s="24" t="s">
        <v>22149</v>
      </c>
      <c r="C2565" s="25" t="s">
        <v>22150</v>
      </c>
      <c r="D2565" s="24" t="s">
        <v>22151</v>
      </c>
      <c r="E2565" s="40">
        <v>27776</v>
      </c>
      <c r="F2565" s="41">
        <v>3333099</v>
      </c>
      <c r="G2565" s="40">
        <v>8641</v>
      </c>
      <c r="H2565" s="41">
        <v>1062843</v>
      </c>
      <c r="I2565" s="41">
        <v>119.9992439516129</v>
      </c>
      <c r="J2565" s="41">
        <v>123</v>
      </c>
      <c r="K2565" s="42">
        <v>2.500645795399422E-2</v>
      </c>
    </row>
    <row r="2566" spans="1:11" x14ac:dyDescent="0.25">
      <c r="A2566" s="24" t="s">
        <v>7</v>
      </c>
      <c r="B2566" s="24" t="s">
        <v>12585</v>
      </c>
      <c r="C2566" s="25" t="s">
        <v>12586</v>
      </c>
      <c r="D2566" s="24" t="s">
        <v>21824</v>
      </c>
      <c r="E2566" s="40">
        <v>623</v>
      </c>
      <c r="F2566" s="41">
        <v>13400</v>
      </c>
      <c r="G2566" s="40">
        <v>757</v>
      </c>
      <c r="H2566" s="41">
        <v>12379</v>
      </c>
      <c r="I2566" s="41">
        <v>21.508828250401283</v>
      </c>
      <c r="J2566" s="41">
        <v>16.352708058124175</v>
      </c>
      <c r="K2566" s="42">
        <v>-0.23972111043198793</v>
      </c>
    </row>
    <row r="2567" spans="1:11" x14ac:dyDescent="0.25">
      <c r="A2567" s="24" t="s">
        <v>7</v>
      </c>
      <c r="B2567" s="24" t="s">
        <v>12597</v>
      </c>
      <c r="C2567" s="25" t="s">
        <v>12598</v>
      </c>
      <c r="D2567" s="24" t="s">
        <v>22152</v>
      </c>
      <c r="E2567" s="40">
        <v>1364</v>
      </c>
      <c r="F2567" s="41">
        <v>209524</v>
      </c>
      <c r="G2567" s="40">
        <v>1149</v>
      </c>
      <c r="H2567" s="41">
        <v>178582</v>
      </c>
      <c r="I2567" s="41">
        <v>153.60997067448682</v>
      </c>
      <c r="J2567" s="41">
        <v>155.42384682332462</v>
      </c>
      <c r="K2567" s="42">
        <v>1.1808322994095035E-2</v>
      </c>
    </row>
    <row r="2568" spans="1:11" x14ac:dyDescent="0.25">
      <c r="A2568" s="24" t="s">
        <v>7</v>
      </c>
      <c r="B2568" s="24" t="s">
        <v>12606</v>
      </c>
      <c r="C2568" s="25" t="s">
        <v>12607</v>
      </c>
      <c r="D2568" s="24" t="s">
        <v>22153</v>
      </c>
      <c r="E2568" s="40">
        <v>106</v>
      </c>
      <c r="F2568" s="41">
        <v>2014</v>
      </c>
      <c r="G2568" s="40">
        <v>32</v>
      </c>
      <c r="H2568" s="41">
        <v>604</v>
      </c>
      <c r="I2568" s="41">
        <v>19</v>
      </c>
      <c r="J2568" s="41">
        <v>18.875</v>
      </c>
      <c r="K2568" s="42">
        <v>-6.5789473684210523E-3</v>
      </c>
    </row>
    <row r="2569" spans="1:11" x14ac:dyDescent="0.25">
      <c r="A2569" s="24" t="s">
        <v>7</v>
      </c>
      <c r="B2569" s="24" t="s">
        <v>12609</v>
      </c>
      <c r="C2569" s="25" t="s">
        <v>12610</v>
      </c>
      <c r="D2569" s="24" t="s">
        <v>21824</v>
      </c>
      <c r="E2569" s="40">
        <v>271</v>
      </c>
      <c r="F2569" s="41">
        <v>1084</v>
      </c>
      <c r="G2569" s="40">
        <v>116</v>
      </c>
      <c r="H2569" s="41">
        <v>464</v>
      </c>
      <c r="I2569" s="41">
        <v>4</v>
      </c>
      <c r="J2569" s="41">
        <v>4</v>
      </c>
      <c r="K2569" s="42">
        <v>0</v>
      </c>
    </row>
    <row r="2570" spans="1:11" x14ac:dyDescent="0.25">
      <c r="A2570" s="24" t="s">
        <v>7</v>
      </c>
      <c r="B2570" s="24" t="s">
        <v>12612</v>
      </c>
      <c r="C2570" s="25" t="s">
        <v>12613</v>
      </c>
      <c r="D2570" s="24" t="s">
        <v>21824</v>
      </c>
      <c r="G2570" s="40">
        <v>1</v>
      </c>
      <c r="H2570" s="41">
        <v>17</v>
      </c>
      <c r="J2570" s="41">
        <v>17</v>
      </c>
    </row>
    <row r="2571" spans="1:11" x14ac:dyDescent="0.25">
      <c r="A2571" s="24" t="s">
        <v>7</v>
      </c>
      <c r="B2571" s="24" t="s">
        <v>12615</v>
      </c>
      <c r="C2571" s="25" t="s">
        <v>12616</v>
      </c>
      <c r="D2571" s="24" t="s">
        <v>21824</v>
      </c>
      <c r="E2571" s="40">
        <v>3388</v>
      </c>
      <c r="F2571" s="41">
        <v>56240</v>
      </c>
      <c r="G2571" s="40">
        <v>3521</v>
      </c>
      <c r="H2571" s="41">
        <v>53697</v>
      </c>
      <c r="I2571" s="41">
        <v>16.599763872491145</v>
      </c>
      <c r="J2571" s="41">
        <v>15.250497017892645</v>
      </c>
      <c r="K2571" s="42">
        <v>-8.1282292023110228E-2</v>
      </c>
    </row>
    <row r="2572" spans="1:11" x14ac:dyDescent="0.25">
      <c r="A2572" s="24" t="s">
        <v>7</v>
      </c>
      <c r="B2572" s="24" t="s">
        <v>12618</v>
      </c>
      <c r="C2572" s="25" t="s">
        <v>12619</v>
      </c>
      <c r="D2572" s="24" t="s">
        <v>22154</v>
      </c>
      <c r="G2572" s="40">
        <v>123209</v>
      </c>
      <c r="H2572" s="41">
        <v>712148.02</v>
      </c>
      <c r="J2572" s="41">
        <v>5.78</v>
      </c>
    </row>
    <row r="2573" spans="1:11" x14ac:dyDescent="0.25">
      <c r="A2573" s="24" t="s">
        <v>7</v>
      </c>
      <c r="B2573" s="24" t="s">
        <v>12621</v>
      </c>
      <c r="C2573" s="25" t="s">
        <v>12622</v>
      </c>
      <c r="D2573" s="24" t="s">
        <v>22153</v>
      </c>
      <c r="E2573" s="40">
        <v>639</v>
      </c>
      <c r="F2573" s="41">
        <v>9250</v>
      </c>
      <c r="G2573" s="40">
        <v>418</v>
      </c>
      <c r="H2573" s="41">
        <v>5819</v>
      </c>
      <c r="I2573" s="41">
        <v>14.475743348982785</v>
      </c>
      <c r="J2573" s="41">
        <v>13.921052631578947</v>
      </c>
      <c r="K2573" s="42">
        <v>-3.8318634423897595E-2</v>
      </c>
    </row>
    <row r="2574" spans="1:11" x14ac:dyDescent="0.25">
      <c r="A2574" s="24" t="s">
        <v>7</v>
      </c>
      <c r="B2574" s="24" t="s">
        <v>12624</v>
      </c>
      <c r="C2574" s="25" t="s">
        <v>12625</v>
      </c>
      <c r="D2574" s="24" t="s">
        <v>21824</v>
      </c>
      <c r="E2574" s="40">
        <v>459</v>
      </c>
      <c r="F2574" s="41">
        <v>37467</v>
      </c>
      <c r="G2574" s="40">
        <v>206</v>
      </c>
      <c r="H2574" s="41">
        <v>9472</v>
      </c>
      <c r="I2574" s="41">
        <v>81.627450980392155</v>
      </c>
      <c r="J2574" s="41">
        <v>45.980582524271846</v>
      </c>
      <c r="K2574" s="42">
        <v>-0.43670196763443092</v>
      </c>
    </row>
    <row r="2575" spans="1:11" x14ac:dyDescent="0.25">
      <c r="A2575" s="24" t="s">
        <v>7</v>
      </c>
      <c r="B2575" s="24" t="s">
        <v>12627</v>
      </c>
      <c r="C2575" s="25" t="s">
        <v>12628</v>
      </c>
      <c r="D2575" s="24" t="s">
        <v>21824</v>
      </c>
      <c r="E2575" s="40">
        <v>125</v>
      </c>
      <c r="F2575" s="41">
        <v>14623</v>
      </c>
      <c r="G2575" s="40">
        <v>507</v>
      </c>
      <c r="H2575" s="41">
        <v>54834</v>
      </c>
      <c r="I2575" s="41">
        <v>116.98399999999999</v>
      </c>
      <c r="J2575" s="41">
        <v>108.15384615384616</v>
      </c>
      <c r="K2575" s="42">
        <v>-7.5481722681339625E-2</v>
      </c>
    </row>
    <row r="2576" spans="1:11" x14ac:dyDescent="0.25">
      <c r="A2576" s="24" t="s">
        <v>7</v>
      </c>
      <c r="B2576" s="24" t="s">
        <v>12630</v>
      </c>
      <c r="C2576" s="25" t="s">
        <v>12631</v>
      </c>
      <c r="D2576" s="24" t="s">
        <v>22154</v>
      </c>
      <c r="G2576" s="40">
        <v>1500</v>
      </c>
      <c r="H2576" s="41">
        <v>2160</v>
      </c>
      <c r="J2576" s="41">
        <v>1.44</v>
      </c>
    </row>
    <row r="2577" spans="1:11" x14ac:dyDescent="0.25">
      <c r="A2577" s="24" t="s">
        <v>7</v>
      </c>
      <c r="B2577" s="24" t="s">
        <v>12633</v>
      </c>
      <c r="C2577" s="25" t="s">
        <v>12634</v>
      </c>
      <c r="D2577" s="24" t="s">
        <v>21824</v>
      </c>
      <c r="E2577" s="40">
        <v>66</v>
      </c>
      <c r="F2577" s="41">
        <v>1114</v>
      </c>
      <c r="G2577" s="40">
        <v>21</v>
      </c>
      <c r="H2577" s="41">
        <v>237</v>
      </c>
      <c r="I2577" s="41">
        <v>16.878787878787879</v>
      </c>
      <c r="J2577" s="41">
        <v>11.285714285714286</v>
      </c>
      <c r="K2577" s="42">
        <v>-0.33136701718389328</v>
      </c>
    </row>
    <row r="2578" spans="1:11" x14ac:dyDescent="0.25">
      <c r="A2578" s="24" t="s">
        <v>7</v>
      </c>
      <c r="B2578" s="24" t="s">
        <v>12639</v>
      </c>
      <c r="C2578" s="25" t="s">
        <v>12640</v>
      </c>
      <c r="D2578" s="24" t="s">
        <v>21824</v>
      </c>
      <c r="G2578" s="40">
        <v>1</v>
      </c>
      <c r="H2578" s="41">
        <v>17</v>
      </c>
      <c r="J2578" s="41">
        <v>17</v>
      </c>
    </row>
    <row r="2579" spans="1:11" x14ac:dyDescent="0.25">
      <c r="A2579" s="24" t="s">
        <v>7</v>
      </c>
      <c r="B2579" s="24" t="s">
        <v>12645</v>
      </c>
      <c r="C2579" s="25" t="s">
        <v>12646</v>
      </c>
      <c r="D2579" s="24" t="s">
        <v>22155</v>
      </c>
      <c r="E2579" s="40">
        <v>613</v>
      </c>
      <c r="F2579" s="41">
        <v>64420</v>
      </c>
      <c r="G2579" s="40">
        <v>618</v>
      </c>
      <c r="H2579" s="41">
        <v>59616</v>
      </c>
      <c r="I2579" s="41">
        <v>105.08972267536704</v>
      </c>
      <c r="J2579" s="41">
        <v>96.466019417475735</v>
      </c>
      <c r="K2579" s="42">
        <v>-8.2060386480710512E-2</v>
      </c>
    </row>
    <row r="2580" spans="1:11" x14ac:dyDescent="0.25">
      <c r="A2580" s="24" t="s">
        <v>7</v>
      </c>
      <c r="B2580" s="24" t="s">
        <v>12654</v>
      </c>
      <c r="C2580" s="25" t="s">
        <v>12655</v>
      </c>
      <c r="D2580" s="24" t="s">
        <v>22069</v>
      </c>
      <c r="E2580" s="40">
        <v>187900</v>
      </c>
      <c r="F2580" s="41">
        <v>9750300</v>
      </c>
      <c r="G2580" s="40">
        <v>161250</v>
      </c>
      <c r="H2580" s="41">
        <v>8652750</v>
      </c>
      <c r="I2580" s="41">
        <v>51.890899414582222</v>
      </c>
      <c r="J2580" s="41">
        <v>53.66046511627907</v>
      </c>
      <c r="K2580" s="42">
        <v>3.4101657933482847E-2</v>
      </c>
    </row>
    <row r="2581" spans="1:11" x14ac:dyDescent="0.25">
      <c r="A2581" s="24" t="s">
        <v>7</v>
      </c>
      <c r="B2581" s="24" t="s">
        <v>12660</v>
      </c>
      <c r="C2581" s="25" t="s">
        <v>12661</v>
      </c>
      <c r="D2581" s="24" t="s">
        <v>21824</v>
      </c>
      <c r="E2581" s="40">
        <v>15</v>
      </c>
      <c r="F2581" s="41">
        <v>281</v>
      </c>
      <c r="G2581" s="40">
        <v>10</v>
      </c>
      <c r="H2581" s="41">
        <v>350</v>
      </c>
      <c r="I2581" s="41">
        <v>18.733333333333334</v>
      </c>
      <c r="J2581" s="41">
        <v>35</v>
      </c>
      <c r="K2581" s="42">
        <v>0.86832740213523119</v>
      </c>
    </row>
    <row r="2582" spans="1:11" x14ac:dyDescent="0.25">
      <c r="A2582" s="24" t="s">
        <v>7</v>
      </c>
      <c r="B2582" s="24" t="s">
        <v>12663</v>
      </c>
      <c r="C2582" s="25" t="s">
        <v>12664</v>
      </c>
      <c r="D2582" s="24" t="s">
        <v>22156</v>
      </c>
      <c r="E2582" s="40">
        <v>21392</v>
      </c>
      <c r="F2582" s="41">
        <v>2691378</v>
      </c>
      <c r="G2582" s="40">
        <v>22193</v>
      </c>
      <c r="H2582" s="41">
        <v>2462697</v>
      </c>
      <c r="I2582" s="41">
        <v>125.8123597606582</v>
      </c>
      <c r="J2582" s="41">
        <v>110.96728698238184</v>
      </c>
      <c r="K2582" s="42">
        <v>-0.11799375519636703</v>
      </c>
    </row>
    <row r="2583" spans="1:11" x14ac:dyDescent="0.25">
      <c r="A2583" s="24" t="s">
        <v>7</v>
      </c>
      <c r="B2583" s="24" t="s">
        <v>12666</v>
      </c>
      <c r="C2583" s="25" t="s">
        <v>12667</v>
      </c>
      <c r="D2583" s="24" t="s">
        <v>21824</v>
      </c>
      <c r="E2583" s="40">
        <v>223</v>
      </c>
      <c r="F2583" s="41">
        <v>3773</v>
      </c>
      <c r="G2583" s="40">
        <v>339</v>
      </c>
      <c r="H2583" s="41">
        <v>5343</v>
      </c>
      <c r="I2583" s="41">
        <v>16.919282511210763</v>
      </c>
      <c r="J2583" s="41">
        <v>15.761061946902656</v>
      </c>
      <c r="K2583" s="42">
        <v>-6.8455654874293143E-2</v>
      </c>
    </row>
    <row r="2584" spans="1:11" x14ac:dyDescent="0.25">
      <c r="A2584" s="24" t="s">
        <v>7</v>
      </c>
      <c r="B2584" s="24" t="s">
        <v>12672</v>
      </c>
      <c r="C2584" s="25" t="s">
        <v>12673</v>
      </c>
      <c r="D2584" s="24" t="s">
        <v>21824</v>
      </c>
      <c r="E2584" s="40">
        <v>469</v>
      </c>
      <c r="F2584" s="41">
        <v>11515</v>
      </c>
      <c r="G2584" s="40">
        <v>1105</v>
      </c>
      <c r="H2584" s="41">
        <v>23425</v>
      </c>
      <c r="I2584" s="41">
        <v>24.552238805970148</v>
      </c>
      <c r="J2584" s="41">
        <v>21.199095022624434</v>
      </c>
      <c r="K2584" s="42">
        <v>-0.13657181366818413</v>
      </c>
    </row>
    <row r="2585" spans="1:11" x14ac:dyDescent="0.25">
      <c r="A2585" s="24" t="s">
        <v>7</v>
      </c>
      <c r="B2585" s="24" t="s">
        <v>12675</v>
      </c>
      <c r="C2585" s="25" t="s">
        <v>12676</v>
      </c>
      <c r="D2585" s="24" t="s">
        <v>21824</v>
      </c>
      <c r="E2585" s="40">
        <v>1</v>
      </c>
      <c r="F2585" s="41">
        <v>102</v>
      </c>
      <c r="G2585" s="40">
        <v>1</v>
      </c>
      <c r="H2585" s="41">
        <v>102</v>
      </c>
      <c r="I2585" s="41">
        <v>102</v>
      </c>
      <c r="J2585" s="41">
        <v>102</v>
      </c>
      <c r="K2585" s="42">
        <v>0</v>
      </c>
    </row>
    <row r="2586" spans="1:11" x14ac:dyDescent="0.25">
      <c r="A2586" s="24" t="s">
        <v>7</v>
      </c>
      <c r="B2586" s="24" t="s">
        <v>12678</v>
      </c>
      <c r="C2586" s="25" t="s">
        <v>12679</v>
      </c>
      <c r="D2586" s="24" t="s">
        <v>21824</v>
      </c>
      <c r="E2586" s="40">
        <v>4</v>
      </c>
      <c r="F2586" s="41">
        <v>636</v>
      </c>
      <c r="G2586" s="40">
        <v>19</v>
      </c>
      <c r="H2586" s="41">
        <v>3021</v>
      </c>
      <c r="I2586" s="41">
        <v>159</v>
      </c>
      <c r="J2586" s="41">
        <v>159</v>
      </c>
      <c r="K2586" s="42">
        <v>0</v>
      </c>
    </row>
    <row r="2587" spans="1:11" x14ac:dyDescent="0.25">
      <c r="A2587" s="24" t="s">
        <v>7</v>
      </c>
      <c r="B2587" s="24" t="s">
        <v>12681</v>
      </c>
      <c r="C2587" s="25" t="s">
        <v>12682</v>
      </c>
      <c r="D2587" s="24" t="s">
        <v>21824</v>
      </c>
      <c r="E2587" s="40">
        <v>1159</v>
      </c>
      <c r="F2587" s="41">
        <v>30487</v>
      </c>
      <c r="G2587" s="40">
        <v>1199</v>
      </c>
      <c r="H2587" s="41">
        <v>30378</v>
      </c>
      <c r="I2587" s="41">
        <v>26.304572907679034</v>
      </c>
      <c r="J2587" s="41">
        <v>25.336113427856546</v>
      </c>
      <c r="K2587" s="42">
        <v>-3.681715279018153E-2</v>
      </c>
    </row>
    <row r="2588" spans="1:11" x14ac:dyDescent="0.25">
      <c r="A2588" s="24" t="s">
        <v>7</v>
      </c>
      <c r="B2588" s="24" t="s">
        <v>12687</v>
      </c>
      <c r="C2588" s="25" t="s">
        <v>12688</v>
      </c>
      <c r="D2588" s="24" t="s">
        <v>21824</v>
      </c>
      <c r="E2588" s="40">
        <v>239</v>
      </c>
      <c r="F2588" s="41">
        <v>8187</v>
      </c>
      <c r="G2588" s="40">
        <v>298</v>
      </c>
      <c r="H2588" s="41">
        <v>9606</v>
      </c>
      <c r="I2588" s="41">
        <v>34.255230125523013</v>
      </c>
      <c r="J2588" s="41">
        <v>32.234899328859058</v>
      </c>
      <c r="K2588" s="42">
        <v>-5.8978754171575103E-2</v>
      </c>
    </row>
    <row r="2589" spans="1:11" x14ac:dyDescent="0.25">
      <c r="A2589" s="24" t="s">
        <v>7</v>
      </c>
      <c r="B2589" s="24" t="s">
        <v>12696</v>
      </c>
      <c r="C2589" s="25" t="s">
        <v>12697</v>
      </c>
      <c r="D2589" s="24" t="s">
        <v>21824</v>
      </c>
      <c r="E2589" s="40">
        <v>2564</v>
      </c>
      <c r="F2589" s="41">
        <v>34921</v>
      </c>
      <c r="G2589" s="40">
        <v>1583</v>
      </c>
      <c r="H2589" s="41">
        <v>22162</v>
      </c>
      <c r="I2589" s="41">
        <v>13.619734789391575</v>
      </c>
      <c r="J2589" s="41">
        <v>14</v>
      </c>
      <c r="K2589" s="42">
        <v>2.7920162652845009E-2</v>
      </c>
    </row>
    <row r="2590" spans="1:11" x14ac:dyDescent="0.25">
      <c r="A2590" s="24" t="s">
        <v>7</v>
      </c>
      <c r="B2590" s="24" t="s">
        <v>12702</v>
      </c>
      <c r="C2590" s="25" t="s">
        <v>12703</v>
      </c>
      <c r="D2590" s="24" t="s">
        <v>21824</v>
      </c>
      <c r="G2590" s="40">
        <v>8</v>
      </c>
      <c r="H2590" s="41">
        <v>136</v>
      </c>
      <c r="J2590" s="41">
        <v>17</v>
      </c>
    </row>
    <row r="2591" spans="1:11" x14ac:dyDescent="0.25">
      <c r="A2591" s="24" t="s">
        <v>7</v>
      </c>
      <c r="B2591" s="24" t="s">
        <v>12705</v>
      </c>
      <c r="C2591" s="25" t="s">
        <v>12706</v>
      </c>
      <c r="D2591" s="24" t="s">
        <v>22156</v>
      </c>
      <c r="G2591" s="40">
        <v>6</v>
      </c>
      <c r="H2591" s="41">
        <v>396</v>
      </c>
      <c r="J2591" s="41">
        <v>66</v>
      </c>
    </row>
    <row r="2592" spans="1:11" x14ac:dyDescent="0.25">
      <c r="A2592" s="24" t="s">
        <v>7</v>
      </c>
      <c r="B2592" s="24" t="s">
        <v>12708</v>
      </c>
      <c r="C2592" s="25" t="s">
        <v>12709</v>
      </c>
      <c r="D2592" s="24" t="s">
        <v>21824</v>
      </c>
      <c r="E2592" s="40">
        <v>3389</v>
      </c>
      <c r="F2592" s="41">
        <v>72322</v>
      </c>
      <c r="G2592" s="40">
        <v>3974</v>
      </c>
      <c r="H2592" s="41">
        <v>75800</v>
      </c>
      <c r="I2592" s="41">
        <v>21.340218353496606</v>
      </c>
      <c r="J2592" s="41">
        <v>19.073980875691998</v>
      </c>
      <c r="K2592" s="42">
        <v>-0.10619560869831889</v>
      </c>
    </row>
    <row r="2593" spans="1:11" x14ac:dyDescent="0.25">
      <c r="A2593" s="24" t="s">
        <v>7</v>
      </c>
      <c r="B2593" s="24" t="s">
        <v>12711</v>
      </c>
      <c r="C2593" s="25" t="s">
        <v>12712</v>
      </c>
      <c r="D2593" s="24" t="s">
        <v>21824</v>
      </c>
      <c r="E2593" s="40">
        <v>9283</v>
      </c>
      <c r="F2593" s="41">
        <v>281185</v>
      </c>
      <c r="G2593" s="40">
        <v>10563</v>
      </c>
      <c r="H2593" s="41">
        <v>282300</v>
      </c>
      <c r="I2593" s="41">
        <v>30.290315630722827</v>
      </c>
      <c r="J2593" s="41">
        <v>26.72536211303607</v>
      </c>
      <c r="K2593" s="42">
        <v>-0.11769284814156573</v>
      </c>
    </row>
    <row r="2594" spans="1:11" x14ac:dyDescent="0.25">
      <c r="A2594" s="24" t="s">
        <v>7</v>
      </c>
      <c r="B2594" s="24" t="s">
        <v>12714</v>
      </c>
      <c r="C2594" s="25" t="s">
        <v>12715</v>
      </c>
      <c r="D2594" s="24" t="s">
        <v>21824</v>
      </c>
      <c r="E2594" s="40">
        <v>829</v>
      </c>
      <c r="F2594" s="41">
        <v>11420</v>
      </c>
      <c r="G2594" s="40">
        <v>729</v>
      </c>
      <c r="H2594" s="41">
        <v>9558</v>
      </c>
      <c r="I2594" s="41">
        <v>13.775633293124246</v>
      </c>
      <c r="J2594" s="41">
        <v>13.111111111111111</v>
      </c>
      <c r="K2594" s="42">
        <v>-4.8238956995524426E-2</v>
      </c>
    </row>
    <row r="2595" spans="1:11" x14ac:dyDescent="0.25">
      <c r="A2595" s="24" t="s">
        <v>7</v>
      </c>
      <c r="B2595" s="24" t="s">
        <v>12720</v>
      </c>
      <c r="C2595" s="25" t="s">
        <v>12721</v>
      </c>
      <c r="D2595" s="24" t="s">
        <v>21824</v>
      </c>
      <c r="E2595" s="40">
        <v>6578</v>
      </c>
      <c r="F2595" s="41">
        <v>122971</v>
      </c>
      <c r="G2595" s="40">
        <v>8203</v>
      </c>
      <c r="H2595" s="41">
        <v>136881</v>
      </c>
      <c r="I2595" s="41">
        <v>18.694283976892674</v>
      </c>
      <c r="J2595" s="41">
        <v>16.686699987809337</v>
      </c>
      <c r="K2595" s="42">
        <v>-0.10739025851778213</v>
      </c>
    </row>
    <row r="2596" spans="1:11" x14ac:dyDescent="0.25">
      <c r="A2596" s="24" t="s">
        <v>7</v>
      </c>
      <c r="B2596" s="24" t="s">
        <v>12723</v>
      </c>
      <c r="C2596" s="25" t="s">
        <v>12724</v>
      </c>
      <c r="D2596" s="24" t="s">
        <v>21824</v>
      </c>
      <c r="E2596" s="40">
        <v>444</v>
      </c>
      <c r="F2596" s="41">
        <v>11528</v>
      </c>
      <c r="G2596" s="40">
        <v>404</v>
      </c>
      <c r="H2596" s="41">
        <v>17700</v>
      </c>
      <c r="I2596" s="41">
        <v>25.963963963963963</v>
      </c>
      <c r="J2596" s="41">
        <v>43.811881188118811</v>
      </c>
      <c r="K2596" s="42">
        <v>0.68741110752296608</v>
      </c>
    </row>
    <row r="2597" spans="1:11" x14ac:dyDescent="0.25">
      <c r="A2597" s="24" t="s">
        <v>7</v>
      </c>
      <c r="B2597" s="24" t="s">
        <v>12726</v>
      </c>
      <c r="C2597" s="25" t="s">
        <v>12727</v>
      </c>
      <c r="D2597" s="24" t="s">
        <v>21824</v>
      </c>
      <c r="E2597" s="40">
        <v>77</v>
      </c>
      <c r="F2597" s="41">
        <v>4853</v>
      </c>
      <c r="G2597" s="40">
        <v>56</v>
      </c>
      <c r="H2597" s="41">
        <v>3668</v>
      </c>
      <c r="I2597" s="41">
        <v>63.025974025974023</v>
      </c>
      <c r="J2597" s="41">
        <v>65.5</v>
      </c>
      <c r="K2597" s="42">
        <v>3.9254069647640687E-2</v>
      </c>
    </row>
    <row r="2598" spans="1:11" x14ac:dyDescent="0.25">
      <c r="A2598" s="24" t="s">
        <v>7</v>
      </c>
      <c r="B2598" s="24" t="s">
        <v>22157</v>
      </c>
      <c r="C2598" s="25" t="s">
        <v>22158</v>
      </c>
      <c r="D2598" s="24" t="s">
        <v>22151</v>
      </c>
      <c r="E2598" s="40">
        <v>214</v>
      </c>
      <c r="F2598" s="41">
        <v>27816</v>
      </c>
      <c r="G2598" s="40">
        <v>46</v>
      </c>
      <c r="H2598" s="41">
        <v>6164</v>
      </c>
      <c r="I2598" s="41">
        <v>129.98130841121494</v>
      </c>
      <c r="J2598" s="41">
        <v>134</v>
      </c>
      <c r="K2598" s="42">
        <v>3.0917457578372266E-2</v>
      </c>
    </row>
    <row r="2599" spans="1:11" x14ac:dyDescent="0.25">
      <c r="A2599" s="24" t="s">
        <v>7</v>
      </c>
      <c r="B2599" s="24" t="s">
        <v>12744</v>
      </c>
      <c r="C2599" s="25" t="s">
        <v>12745</v>
      </c>
      <c r="D2599" s="24" t="s">
        <v>21824</v>
      </c>
      <c r="E2599" s="40">
        <v>129</v>
      </c>
      <c r="F2599" s="41">
        <v>1507</v>
      </c>
      <c r="G2599" s="40">
        <v>82</v>
      </c>
      <c r="H2599" s="41">
        <v>984</v>
      </c>
      <c r="I2599" s="41">
        <v>11.682170542635658</v>
      </c>
      <c r="J2599" s="41">
        <v>12</v>
      </c>
      <c r="K2599" s="42">
        <v>2.7206370272063754E-2</v>
      </c>
    </row>
    <row r="2600" spans="1:11" x14ac:dyDescent="0.25">
      <c r="A2600" s="24" t="s">
        <v>7</v>
      </c>
      <c r="B2600" s="24" t="s">
        <v>12750</v>
      </c>
      <c r="C2600" s="25" t="s">
        <v>12751</v>
      </c>
      <c r="D2600" s="24" t="s">
        <v>22159</v>
      </c>
      <c r="E2600" s="40">
        <v>59</v>
      </c>
      <c r="F2600" s="41">
        <v>5432</v>
      </c>
      <c r="G2600" s="40">
        <v>7</v>
      </c>
      <c r="H2600" s="41">
        <v>686</v>
      </c>
      <c r="I2600" s="41">
        <v>92.067796610169495</v>
      </c>
      <c r="J2600" s="41">
        <v>98</v>
      </c>
      <c r="K2600" s="42">
        <v>6.4432989690721615E-2</v>
      </c>
    </row>
    <row r="2601" spans="1:11" x14ac:dyDescent="0.25">
      <c r="A2601" s="24" t="s">
        <v>7</v>
      </c>
      <c r="B2601" s="24" t="s">
        <v>12753</v>
      </c>
      <c r="C2601" s="25" t="s">
        <v>12754</v>
      </c>
      <c r="D2601" s="24" t="s">
        <v>21824</v>
      </c>
      <c r="E2601" s="40">
        <v>38</v>
      </c>
      <c r="F2601" s="41">
        <v>456</v>
      </c>
      <c r="G2601" s="40">
        <v>12</v>
      </c>
      <c r="H2601" s="41">
        <v>144</v>
      </c>
      <c r="I2601" s="41">
        <v>12</v>
      </c>
      <c r="J2601" s="41">
        <v>12</v>
      </c>
      <c r="K2601" s="42">
        <v>0</v>
      </c>
    </row>
    <row r="2602" spans="1:11" x14ac:dyDescent="0.25">
      <c r="A2602" s="24" t="s">
        <v>7</v>
      </c>
      <c r="B2602" s="24" t="s">
        <v>12762</v>
      </c>
      <c r="C2602" s="25" t="s">
        <v>12763</v>
      </c>
      <c r="D2602" s="24" t="s">
        <v>21824</v>
      </c>
      <c r="E2602" s="40">
        <v>15</v>
      </c>
      <c r="F2602" s="41">
        <v>283</v>
      </c>
      <c r="G2602" s="40">
        <v>113</v>
      </c>
      <c r="H2602" s="41">
        <v>2147</v>
      </c>
      <c r="I2602" s="41">
        <v>18.866666666666667</v>
      </c>
      <c r="J2602" s="41">
        <v>19</v>
      </c>
      <c r="K2602" s="42">
        <v>7.0671378091872539E-3</v>
      </c>
    </row>
    <row r="2603" spans="1:11" x14ac:dyDescent="0.25">
      <c r="A2603" s="24" t="s">
        <v>7</v>
      </c>
      <c r="B2603" s="24" t="s">
        <v>12768</v>
      </c>
      <c r="C2603" s="25" t="s">
        <v>12769</v>
      </c>
      <c r="D2603" s="24" t="s">
        <v>21846</v>
      </c>
      <c r="E2603" s="40">
        <v>108</v>
      </c>
      <c r="F2603" s="41">
        <v>43254</v>
      </c>
      <c r="G2603" s="40">
        <v>19</v>
      </c>
      <c r="H2603" s="41">
        <v>7752</v>
      </c>
      <c r="I2603" s="41">
        <v>400.5</v>
      </c>
      <c r="J2603" s="41">
        <v>408</v>
      </c>
      <c r="K2603" s="42">
        <v>1.8726591760299626E-2</v>
      </c>
    </row>
    <row r="2604" spans="1:11" x14ac:dyDescent="0.25">
      <c r="A2604" s="24" t="s">
        <v>7</v>
      </c>
      <c r="B2604" s="24" t="s">
        <v>12774</v>
      </c>
      <c r="C2604" s="25" t="s">
        <v>12775</v>
      </c>
      <c r="D2604" s="24" t="s">
        <v>21846</v>
      </c>
      <c r="E2604" s="40">
        <v>26</v>
      </c>
      <c r="F2604" s="41">
        <v>4246</v>
      </c>
      <c r="G2604" s="40">
        <v>8</v>
      </c>
      <c r="H2604" s="41">
        <v>1336</v>
      </c>
      <c r="I2604" s="41">
        <v>163.30769230769232</v>
      </c>
      <c r="J2604" s="41">
        <v>167</v>
      </c>
      <c r="K2604" s="42">
        <v>2.260951483749403E-2</v>
      </c>
    </row>
    <row r="2605" spans="1:11" x14ac:dyDescent="0.25">
      <c r="A2605" s="24" t="s">
        <v>7</v>
      </c>
      <c r="B2605" s="24" t="s">
        <v>12786</v>
      </c>
      <c r="C2605" s="25" t="s">
        <v>12787</v>
      </c>
      <c r="D2605" s="24" t="s">
        <v>22160</v>
      </c>
      <c r="E2605" s="40">
        <v>38800</v>
      </c>
      <c r="F2605" s="41">
        <v>6428</v>
      </c>
      <c r="G2605" s="40">
        <v>31900</v>
      </c>
      <c r="H2605" s="41">
        <v>9241</v>
      </c>
      <c r="I2605" s="41">
        <v>0.16567010309278352</v>
      </c>
      <c r="J2605" s="41">
        <v>0.28968652037617554</v>
      </c>
      <c r="K2605" s="42">
        <v>0.74857451627187466</v>
      </c>
    </row>
    <row r="2606" spans="1:11" x14ac:dyDescent="0.25">
      <c r="A2606" s="24" t="s">
        <v>7</v>
      </c>
      <c r="B2606" s="24" t="s">
        <v>12789</v>
      </c>
      <c r="C2606" s="25" t="s">
        <v>12790</v>
      </c>
      <c r="D2606" s="24" t="s">
        <v>21846</v>
      </c>
      <c r="G2606" s="40">
        <v>2</v>
      </c>
      <c r="H2606" s="41">
        <v>406</v>
      </c>
      <c r="J2606" s="41">
        <v>203</v>
      </c>
    </row>
    <row r="2607" spans="1:11" x14ac:dyDescent="0.25">
      <c r="A2607" s="24" t="s">
        <v>7</v>
      </c>
      <c r="B2607" s="24" t="s">
        <v>12798</v>
      </c>
      <c r="C2607" s="25" t="s">
        <v>12799</v>
      </c>
      <c r="D2607" s="24" t="s">
        <v>21846</v>
      </c>
      <c r="E2607" s="40">
        <v>1945</v>
      </c>
      <c r="F2607" s="41">
        <v>78644</v>
      </c>
      <c r="G2607" s="40">
        <v>2317</v>
      </c>
      <c r="H2607" s="41">
        <v>104702</v>
      </c>
      <c r="I2607" s="41">
        <v>40.433933161953725</v>
      </c>
      <c r="J2607" s="41">
        <v>45.188605955977557</v>
      </c>
      <c r="K2607" s="42">
        <v>0.11759115233681343</v>
      </c>
    </row>
    <row r="2608" spans="1:11" x14ac:dyDescent="0.25">
      <c r="A2608" s="24" t="s">
        <v>7</v>
      </c>
      <c r="B2608" s="24" t="s">
        <v>12801</v>
      </c>
      <c r="C2608" s="25" t="s">
        <v>12802</v>
      </c>
      <c r="D2608" s="24" t="s">
        <v>21846</v>
      </c>
      <c r="G2608" s="40">
        <v>1</v>
      </c>
      <c r="H2608" s="41">
        <v>286</v>
      </c>
      <c r="J2608" s="41">
        <v>286</v>
      </c>
    </row>
    <row r="2609" spans="1:11" x14ac:dyDescent="0.25">
      <c r="A2609" s="24" t="s">
        <v>7</v>
      </c>
      <c r="B2609" s="24" t="s">
        <v>12807</v>
      </c>
      <c r="C2609" s="25" t="s">
        <v>12808</v>
      </c>
      <c r="D2609" s="24" t="s">
        <v>21846</v>
      </c>
      <c r="E2609" s="40">
        <v>2226</v>
      </c>
      <c r="F2609" s="41">
        <v>463322</v>
      </c>
      <c r="G2609" s="40">
        <v>3104</v>
      </c>
      <c r="H2609" s="41">
        <v>633696</v>
      </c>
      <c r="I2609" s="41">
        <v>208.14106019766396</v>
      </c>
      <c r="J2609" s="41">
        <v>204.15463917525773</v>
      </c>
      <c r="K2609" s="42">
        <v>-1.9152496958651382E-2</v>
      </c>
    </row>
    <row r="2610" spans="1:11" x14ac:dyDescent="0.25">
      <c r="A2610" s="24" t="s">
        <v>7</v>
      </c>
      <c r="B2610" s="24" t="s">
        <v>12811</v>
      </c>
      <c r="C2610" s="25" t="s">
        <v>12812</v>
      </c>
      <c r="D2610" s="24" t="s">
        <v>21846</v>
      </c>
      <c r="G2610" s="40">
        <v>5</v>
      </c>
      <c r="H2610" s="41">
        <v>1745</v>
      </c>
      <c r="J2610" s="41">
        <v>349</v>
      </c>
    </row>
    <row r="2611" spans="1:11" x14ac:dyDescent="0.25">
      <c r="A2611" s="24" t="s">
        <v>7</v>
      </c>
      <c r="B2611" s="24" t="s">
        <v>12813</v>
      </c>
      <c r="C2611" s="25" t="s">
        <v>12814</v>
      </c>
      <c r="D2611" s="24" t="s">
        <v>21846</v>
      </c>
      <c r="E2611" s="40">
        <v>92</v>
      </c>
      <c r="F2611" s="41">
        <v>3032.32</v>
      </c>
      <c r="G2611" s="40">
        <v>472</v>
      </c>
      <c r="H2611" s="41">
        <v>15557.12</v>
      </c>
      <c r="I2611" s="41">
        <v>32.96</v>
      </c>
      <c r="J2611" s="41">
        <v>32.96</v>
      </c>
      <c r="K2611" s="42">
        <v>0</v>
      </c>
    </row>
    <row r="2612" spans="1:11" x14ac:dyDescent="0.25">
      <c r="A2612" s="24" t="s">
        <v>7</v>
      </c>
      <c r="B2612" s="24" t="s">
        <v>12819</v>
      </c>
      <c r="C2612" s="25" t="s">
        <v>12820</v>
      </c>
      <c r="D2612" s="24" t="s">
        <v>21846</v>
      </c>
      <c r="E2612" s="40">
        <v>2</v>
      </c>
      <c r="F2612" s="41">
        <v>599</v>
      </c>
      <c r="G2612" s="40">
        <v>2</v>
      </c>
      <c r="H2612" s="41">
        <v>622</v>
      </c>
      <c r="I2612" s="41">
        <v>299.5</v>
      </c>
      <c r="J2612" s="41">
        <v>311</v>
      </c>
      <c r="K2612" s="42">
        <v>3.8397328881469114E-2</v>
      </c>
    </row>
    <row r="2613" spans="1:11" x14ac:dyDescent="0.25">
      <c r="A2613" s="24" t="s">
        <v>7</v>
      </c>
      <c r="B2613" s="24" t="s">
        <v>12822</v>
      </c>
      <c r="C2613" s="25" t="s">
        <v>12823</v>
      </c>
      <c r="D2613" s="24" t="s">
        <v>21846</v>
      </c>
      <c r="E2613" s="40">
        <v>10407</v>
      </c>
      <c r="F2613" s="41">
        <v>510170</v>
      </c>
      <c r="G2613" s="40">
        <v>8751</v>
      </c>
      <c r="H2613" s="41">
        <v>373160</v>
      </c>
      <c r="I2613" s="41">
        <v>49.021812241760351</v>
      </c>
      <c r="J2613" s="41">
        <v>42.641983773283052</v>
      </c>
      <c r="K2613" s="42">
        <v>-0.1301426482769337</v>
      </c>
    </row>
    <row r="2614" spans="1:11" x14ac:dyDescent="0.25">
      <c r="A2614" s="24" t="s">
        <v>7</v>
      </c>
      <c r="B2614" s="24" t="s">
        <v>12825</v>
      </c>
      <c r="C2614" s="25" t="s">
        <v>12826</v>
      </c>
      <c r="D2614" s="24" t="s">
        <v>22161</v>
      </c>
      <c r="E2614" s="40">
        <v>197</v>
      </c>
      <c r="F2614" s="41">
        <v>32775</v>
      </c>
      <c r="G2614" s="40">
        <v>222</v>
      </c>
      <c r="H2614" s="41">
        <v>36686</v>
      </c>
      <c r="I2614" s="41">
        <v>166.37055837563452</v>
      </c>
      <c r="J2614" s="41">
        <v>165.25225225225225</v>
      </c>
      <c r="K2614" s="42">
        <v>-6.721778987225229E-3</v>
      </c>
    </row>
    <row r="2615" spans="1:11" x14ac:dyDescent="0.25">
      <c r="A2615" s="24" t="s">
        <v>7</v>
      </c>
      <c r="B2615" s="24" t="s">
        <v>12828</v>
      </c>
      <c r="C2615" s="25" t="s">
        <v>12829</v>
      </c>
      <c r="D2615" s="24" t="s">
        <v>21846</v>
      </c>
      <c r="E2615" s="40">
        <v>48439</v>
      </c>
      <c r="F2615" s="41">
        <v>1947182</v>
      </c>
      <c r="G2615" s="40">
        <v>52991</v>
      </c>
      <c r="H2615" s="41">
        <v>1844767</v>
      </c>
      <c r="I2615" s="41">
        <v>40.198641590453974</v>
      </c>
      <c r="J2615" s="41">
        <v>34.812836141986374</v>
      </c>
      <c r="K2615" s="42">
        <v>-0.13397978726093507</v>
      </c>
    </row>
    <row r="2616" spans="1:11" x14ac:dyDescent="0.25">
      <c r="A2616" s="24" t="s">
        <v>7</v>
      </c>
      <c r="B2616" s="24" t="s">
        <v>12831</v>
      </c>
      <c r="C2616" s="25" t="s">
        <v>12832</v>
      </c>
      <c r="D2616" s="24" t="s">
        <v>21846</v>
      </c>
      <c r="E2616" s="40">
        <v>5579</v>
      </c>
      <c r="F2616" s="41">
        <v>230889</v>
      </c>
      <c r="G2616" s="40">
        <v>5314</v>
      </c>
      <c r="H2616" s="41">
        <v>203837</v>
      </c>
      <c r="I2616" s="41">
        <v>41.385373722889405</v>
      </c>
      <c r="J2616" s="41">
        <v>38.358487015430939</v>
      </c>
      <c r="K2616" s="42">
        <v>-7.3139044912970227E-2</v>
      </c>
    </row>
    <row r="2617" spans="1:11" x14ac:dyDescent="0.25">
      <c r="A2617" s="24" t="s">
        <v>7</v>
      </c>
      <c r="B2617" s="24" t="s">
        <v>12834</v>
      </c>
      <c r="C2617" s="25" t="s">
        <v>12835</v>
      </c>
      <c r="D2617" s="24" t="s">
        <v>22161</v>
      </c>
      <c r="E2617" s="40">
        <v>12</v>
      </c>
      <c r="F2617" s="41">
        <v>1008</v>
      </c>
      <c r="G2617" s="40">
        <v>9</v>
      </c>
      <c r="H2617" s="41">
        <v>756</v>
      </c>
      <c r="I2617" s="41">
        <v>84</v>
      </c>
      <c r="J2617" s="41">
        <v>84</v>
      </c>
      <c r="K2617" s="42">
        <v>0</v>
      </c>
    </row>
    <row r="2618" spans="1:11" x14ac:dyDescent="0.25">
      <c r="A2618" s="24" t="s">
        <v>7</v>
      </c>
      <c r="B2618" s="24" t="s">
        <v>12855</v>
      </c>
      <c r="C2618" s="25" t="s">
        <v>12856</v>
      </c>
      <c r="D2618" s="24" t="s">
        <v>21846</v>
      </c>
      <c r="E2618" s="40">
        <v>12</v>
      </c>
      <c r="F2618" s="41">
        <v>696</v>
      </c>
      <c r="G2618" s="40">
        <v>15</v>
      </c>
      <c r="H2618" s="41">
        <v>1251</v>
      </c>
      <c r="I2618" s="41">
        <v>58</v>
      </c>
      <c r="J2618" s="41">
        <v>83.4</v>
      </c>
      <c r="K2618" s="42">
        <v>0.43793103448275872</v>
      </c>
    </row>
    <row r="2619" spans="1:11" x14ac:dyDescent="0.25">
      <c r="A2619" s="24" t="s">
        <v>7</v>
      </c>
      <c r="B2619" s="24" t="s">
        <v>12861</v>
      </c>
      <c r="C2619" s="25" t="s">
        <v>12862</v>
      </c>
      <c r="D2619" s="24" t="s">
        <v>21846</v>
      </c>
      <c r="E2619" s="40">
        <v>21</v>
      </c>
      <c r="F2619" s="41">
        <v>13804</v>
      </c>
      <c r="G2619" s="40">
        <v>25</v>
      </c>
      <c r="H2619" s="41">
        <v>12693</v>
      </c>
      <c r="I2619" s="41">
        <v>657.33333333333337</v>
      </c>
      <c r="J2619" s="41">
        <v>507.72</v>
      </c>
      <c r="K2619" s="42">
        <v>-0.22760649087221096</v>
      </c>
    </row>
    <row r="2620" spans="1:11" x14ac:dyDescent="0.25">
      <c r="A2620" s="24" t="s">
        <v>7</v>
      </c>
      <c r="B2620" s="24" t="s">
        <v>12873</v>
      </c>
      <c r="C2620" s="25" t="s">
        <v>12874</v>
      </c>
      <c r="D2620" s="24" t="s">
        <v>21846</v>
      </c>
      <c r="G2620" s="40">
        <v>2</v>
      </c>
      <c r="H2620" s="41">
        <v>502</v>
      </c>
      <c r="J2620" s="41">
        <v>251</v>
      </c>
    </row>
    <row r="2621" spans="1:11" x14ac:dyDescent="0.25">
      <c r="A2621" s="24" t="s">
        <v>7</v>
      </c>
      <c r="B2621" s="24" t="s">
        <v>12882</v>
      </c>
      <c r="C2621" s="25" t="s">
        <v>12883</v>
      </c>
      <c r="D2621" s="24" t="s">
        <v>21846</v>
      </c>
      <c r="G2621" s="40">
        <v>1</v>
      </c>
      <c r="H2621" s="41">
        <v>373</v>
      </c>
      <c r="J2621" s="41">
        <v>373</v>
      </c>
    </row>
    <row r="2622" spans="1:11" x14ac:dyDescent="0.25">
      <c r="A2622" s="24" t="s">
        <v>7</v>
      </c>
      <c r="B2622" s="24" t="s">
        <v>12885</v>
      </c>
      <c r="C2622" s="25" t="s">
        <v>12886</v>
      </c>
      <c r="D2622" s="24" t="s">
        <v>21846</v>
      </c>
      <c r="E2622" s="40">
        <v>2530</v>
      </c>
      <c r="F2622" s="41">
        <v>106159</v>
      </c>
      <c r="G2622" s="40">
        <v>2124</v>
      </c>
      <c r="H2622" s="41">
        <v>99012</v>
      </c>
      <c r="I2622" s="41">
        <v>41.960079051383396</v>
      </c>
      <c r="J2622" s="41">
        <v>46.61581920903955</v>
      </c>
      <c r="K2622" s="42">
        <v>0.11095642007620712</v>
      </c>
    </row>
    <row r="2623" spans="1:11" x14ac:dyDescent="0.25">
      <c r="A2623" s="24" t="s">
        <v>7</v>
      </c>
      <c r="B2623" s="24" t="s">
        <v>12888</v>
      </c>
      <c r="C2623" s="25" t="s">
        <v>12889</v>
      </c>
      <c r="D2623" s="24" t="s">
        <v>21846</v>
      </c>
      <c r="E2623" s="40">
        <v>291</v>
      </c>
      <c r="F2623" s="41">
        <v>22686</v>
      </c>
      <c r="G2623" s="40">
        <v>288</v>
      </c>
      <c r="H2623" s="41">
        <v>21153</v>
      </c>
      <c r="I2623" s="41">
        <v>77.958762886597938</v>
      </c>
      <c r="J2623" s="41">
        <v>73.447916666666671</v>
      </c>
      <c r="K2623" s="42">
        <v>-5.7861952305386523E-2</v>
      </c>
    </row>
    <row r="2624" spans="1:11" x14ac:dyDescent="0.25">
      <c r="A2624" s="24" t="s">
        <v>7</v>
      </c>
      <c r="B2624" s="24" t="s">
        <v>12894</v>
      </c>
      <c r="C2624" s="25" t="s">
        <v>12895</v>
      </c>
      <c r="D2624" s="24" t="s">
        <v>21278</v>
      </c>
      <c r="E2624" s="40">
        <v>4</v>
      </c>
      <c r="F2624" s="41">
        <v>1214</v>
      </c>
      <c r="G2624" s="40">
        <v>7</v>
      </c>
      <c r="H2624" s="41">
        <v>3813</v>
      </c>
      <c r="I2624" s="41">
        <v>303.5</v>
      </c>
      <c r="J2624" s="41">
        <v>544.71428571428567</v>
      </c>
      <c r="K2624" s="42">
        <v>0.79477524123323118</v>
      </c>
    </row>
    <row r="2625" spans="1:11" x14ac:dyDescent="0.25">
      <c r="A2625" s="24" t="s">
        <v>7</v>
      </c>
      <c r="B2625" s="24" t="s">
        <v>12897</v>
      </c>
      <c r="C2625" s="25" t="s">
        <v>12898</v>
      </c>
      <c r="D2625" s="24" t="s">
        <v>21846</v>
      </c>
      <c r="E2625" s="40">
        <v>13832</v>
      </c>
      <c r="F2625" s="41">
        <v>596569</v>
      </c>
      <c r="G2625" s="40">
        <v>15149</v>
      </c>
      <c r="H2625" s="41">
        <v>643111</v>
      </c>
      <c r="I2625" s="41">
        <v>43.12962695199537</v>
      </c>
      <c r="J2625" s="41">
        <v>42.452373093933595</v>
      </c>
      <c r="K2625" s="42">
        <v>-1.5702752514311791E-2</v>
      </c>
    </row>
    <row r="2626" spans="1:11" x14ac:dyDescent="0.25">
      <c r="A2626" s="24" t="s">
        <v>7</v>
      </c>
      <c r="B2626" s="24" t="s">
        <v>12904</v>
      </c>
      <c r="C2626" s="25" t="s">
        <v>12905</v>
      </c>
      <c r="D2626" s="24" t="s">
        <v>21278</v>
      </c>
      <c r="G2626" s="40">
        <v>2</v>
      </c>
      <c r="H2626" s="41">
        <v>1158</v>
      </c>
      <c r="J2626" s="41">
        <v>579</v>
      </c>
    </row>
    <row r="2627" spans="1:11" x14ac:dyDescent="0.25">
      <c r="A2627" s="24" t="s">
        <v>7</v>
      </c>
      <c r="B2627" s="24" t="s">
        <v>12907</v>
      </c>
      <c r="C2627" s="25" t="s">
        <v>12908</v>
      </c>
      <c r="D2627" s="24" t="s">
        <v>21823</v>
      </c>
      <c r="E2627" s="40">
        <v>8</v>
      </c>
      <c r="F2627" s="41">
        <v>1387</v>
      </c>
      <c r="G2627" s="40">
        <v>7</v>
      </c>
      <c r="H2627" s="41">
        <v>415</v>
      </c>
      <c r="I2627" s="41">
        <v>173.375</v>
      </c>
      <c r="J2627" s="41">
        <v>59.285714285714285</v>
      </c>
      <c r="K2627" s="42">
        <v>-0.65804923267071791</v>
      </c>
    </row>
    <row r="2628" spans="1:11" x14ac:dyDescent="0.25">
      <c r="A2628" s="24" t="s">
        <v>7</v>
      </c>
      <c r="B2628" s="24" t="s">
        <v>12910</v>
      </c>
      <c r="C2628" s="25" t="s">
        <v>12911</v>
      </c>
      <c r="D2628" s="24" t="s">
        <v>21846</v>
      </c>
      <c r="E2628" s="40">
        <v>6</v>
      </c>
      <c r="F2628" s="41">
        <v>3923</v>
      </c>
      <c r="G2628" s="40">
        <v>12</v>
      </c>
      <c r="H2628" s="41">
        <v>8468</v>
      </c>
      <c r="I2628" s="41">
        <v>653.83333333333337</v>
      </c>
      <c r="J2628" s="41">
        <v>705.66666666666663</v>
      </c>
      <c r="K2628" s="42">
        <v>7.9276064236553534E-2</v>
      </c>
    </row>
    <row r="2629" spans="1:11" x14ac:dyDescent="0.25">
      <c r="A2629" s="24" t="s">
        <v>7</v>
      </c>
      <c r="B2629" s="24" t="s">
        <v>12913</v>
      </c>
      <c r="C2629" s="25" t="s">
        <v>12914</v>
      </c>
      <c r="D2629" s="24" t="s">
        <v>21846</v>
      </c>
      <c r="E2629" s="40">
        <v>18</v>
      </c>
      <c r="F2629" s="41">
        <v>2964</v>
      </c>
      <c r="G2629" s="40">
        <v>20</v>
      </c>
      <c r="H2629" s="41">
        <v>3360</v>
      </c>
      <c r="I2629" s="41">
        <v>164.66666666666666</v>
      </c>
      <c r="J2629" s="41">
        <v>168</v>
      </c>
      <c r="K2629" s="42">
        <v>2.0242914979757144E-2</v>
      </c>
    </row>
    <row r="2630" spans="1:11" x14ac:dyDescent="0.25">
      <c r="A2630" s="24" t="s">
        <v>7</v>
      </c>
      <c r="B2630" s="24" t="s">
        <v>12916</v>
      </c>
      <c r="C2630" s="25" t="s">
        <v>12917</v>
      </c>
      <c r="D2630" s="24" t="s">
        <v>21846</v>
      </c>
      <c r="G2630" s="40">
        <v>2</v>
      </c>
      <c r="H2630" s="41">
        <v>1068</v>
      </c>
      <c r="J2630" s="41">
        <v>534</v>
      </c>
    </row>
    <row r="2631" spans="1:11" x14ac:dyDescent="0.25">
      <c r="A2631" s="24" t="s">
        <v>7</v>
      </c>
      <c r="B2631" s="24" t="s">
        <v>12928</v>
      </c>
      <c r="C2631" s="25" t="s">
        <v>12929</v>
      </c>
      <c r="D2631" s="24" t="s">
        <v>22161</v>
      </c>
      <c r="G2631" s="40">
        <v>1</v>
      </c>
      <c r="H2631" s="41">
        <v>76</v>
      </c>
      <c r="J2631" s="41">
        <v>76</v>
      </c>
    </row>
    <row r="2632" spans="1:11" x14ac:dyDescent="0.25">
      <c r="A2632" s="24" t="s">
        <v>7</v>
      </c>
      <c r="B2632" s="24" t="s">
        <v>12934</v>
      </c>
      <c r="C2632" s="25" t="s">
        <v>12935</v>
      </c>
      <c r="D2632" s="24" t="s">
        <v>21846</v>
      </c>
      <c r="G2632" s="40">
        <v>1</v>
      </c>
      <c r="H2632" s="41">
        <v>164</v>
      </c>
      <c r="J2632" s="41">
        <v>164</v>
      </c>
    </row>
    <row r="2633" spans="1:11" x14ac:dyDescent="0.25">
      <c r="A2633" s="24" t="s">
        <v>7</v>
      </c>
      <c r="B2633" s="24" t="s">
        <v>12939</v>
      </c>
      <c r="C2633" s="25" t="s">
        <v>12940</v>
      </c>
      <c r="D2633" s="24" t="s">
        <v>21846</v>
      </c>
      <c r="E2633" s="40">
        <v>2307</v>
      </c>
      <c r="F2633" s="41">
        <v>87789</v>
      </c>
      <c r="G2633" s="40">
        <v>2375</v>
      </c>
      <c r="H2633" s="41">
        <v>89017</v>
      </c>
      <c r="I2633" s="41">
        <v>38.053315994798439</v>
      </c>
      <c r="J2633" s="41">
        <v>37.480842105263157</v>
      </c>
      <c r="K2633" s="42">
        <v>-1.5043994841698782E-2</v>
      </c>
    </row>
    <row r="2634" spans="1:11" x14ac:dyDescent="0.25">
      <c r="A2634" s="24" t="s">
        <v>7</v>
      </c>
      <c r="B2634" s="24" t="s">
        <v>12945</v>
      </c>
      <c r="C2634" s="25" t="s">
        <v>12946</v>
      </c>
      <c r="D2634" s="24" t="s">
        <v>21846</v>
      </c>
      <c r="E2634" s="40">
        <v>2</v>
      </c>
      <c r="F2634" s="41">
        <v>1534</v>
      </c>
      <c r="G2634" s="40">
        <v>10</v>
      </c>
      <c r="H2634" s="41">
        <v>7506</v>
      </c>
      <c r="I2634" s="41">
        <v>767</v>
      </c>
      <c r="J2634" s="41">
        <v>750.6</v>
      </c>
      <c r="K2634" s="42">
        <v>-2.1382007822685758E-2</v>
      </c>
    </row>
    <row r="2635" spans="1:11" x14ac:dyDescent="0.25">
      <c r="A2635" s="24" t="s">
        <v>7</v>
      </c>
      <c r="B2635" s="24" t="s">
        <v>12948</v>
      </c>
      <c r="C2635" s="25" t="s">
        <v>12949</v>
      </c>
      <c r="D2635" s="24" t="s">
        <v>21846</v>
      </c>
      <c r="G2635" s="40">
        <v>3</v>
      </c>
      <c r="H2635" s="41">
        <v>462</v>
      </c>
      <c r="J2635" s="41">
        <v>154</v>
      </c>
    </row>
    <row r="2636" spans="1:11" x14ac:dyDescent="0.25">
      <c r="A2636" s="24" t="s">
        <v>7</v>
      </c>
      <c r="B2636" s="24" t="s">
        <v>12951</v>
      </c>
      <c r="C2636" s="25" t="s">
        <v>12952</v>
      </c>
      <c r="D2636" s="24" t="s">
        <v>21846</v>
      </c>
      <c r="G2636" s="40">
        <v>9</v>
      </c>
      <c r="H2636" s="41">
        <v>783</v>
      </c>
      <c r="J2636" s="41">
        <v>87</v>
      </c>
    </row>
    <row r="2637" spans="1:11" x14ac:dyDescent="0.25">
      <c r="A2637" s="24" t="s">
        <v>7</v>
      </c>
      <c r="B2637" s="24" t="s">
        <v>12954</v>
      </c>
      <c r="C2637" s="25" t="s">
        <v>12955</v>
      </c>
      <c r="D2637" s="24" t="s">
        <v>21846</v>
      </c>
      <c r="E2637" s="40">
        <v>12</v>
      </c>
      <c r="F2637" s="41">
        <v>3532</v>
      </c>
      <c r="G2637" s="40">
        <v>7</v>
      </c>
      <c r="H2637" s="41">
        <v>2086</v>
      </c>
      <c r="I2637" s="41">
        <v>294.33333333333331</v>
      </c>
      <c r="J2637" s="41">
        <v>298</v>
      </c>
      <c r="K2637" s="42">
        <v>1.2457531143827924E-2</v>
      </c>
    </row>
    <row r="2638" spans="1:11" x14ac:dyDescent="0.25">
      <c r="A2638" s="24" t="s">
        <v>7</v>
      </c>
      <c r="B2638" s="24" t="s">
        <v>12957</v>
      </c>
      <c r="C2638" s="25" t="s">
        <v>12958</v>
      </c>
      <c r="D2638" s="24" t="s">
        <v>21846</v>
      </c>
      <c r="E2638" s="40">
        <v>53</v>
      </c>
      <c r="F2638" s="41">
        <v>2089</v>
      </c>
      <c r="G2638" s="40">
        <v>123</v>
      </c>
      <c r="H2638" s="41">
        <v>5066</v>
      </c>
      <c r="I2638" s="41">
        <v>39.415094339622641</v>
      </c>
      <c r="J2638" s="41">
        <v>41.1869918699187</v>
      </c>
      <c r="K2638" s="42">
        <v>4.4954796125270993E-2</v>
      </c>
    </row>
    <row r="2639" spans="1:11" x14ac:dyDescent="0.25">
      <c r="A2639" s="24" t="s">
        <v>7</v>
      </c>
      <c r="B2639" s="24" t="s">
        <v>12960</v>
      </c>
      <c r="C2639" s="25" t="s">
        <v>12961</v>
      </c>
      <c r="D2639" s="24" t="s">
        <v>21846</v>
      </c>
      <c r="G2639" s="40">
        <v>4</v>
      </c>
      <c r="H2639" s="41">
        <v>3224</v>
      </c>
      <c r="J2639" s="41">
        <v>806</v>
      </c>
    </row>
    <row r="2640" spans="1:11" x14ac:dyDescent="0.25">
      <c r="A2640" s="24" t="s">
        <v>7</v>
      </c>
      <c r="B2640" s="24" t="s">
        <v>12963</v>
      </c>
      <c r="C2640" s="25" t="s">
        <v>12964</v>
      </c>
      <c r="D2640" s="24" t="s">
        <v>21846</v>
      </c>
      <c r="E2640" s="40">
        <v>5</v>
      </c>
      <c r="F2640" s="41">
        <v>1471</v>
      </c>
      <c r="G2640" s="40">
        <v>13</v>
      </c>
      <c r="H2640" s="41">
        <v>3809</v>
      </c>
      <c r="I2640" s="41">
        <v>294.2</v>
      </c>
      <c r="J2640" s="41">
        <v>293</v>
      </c>
      <c r="K2640" s="42">
        <v>-4.0788579197824221E-3</v>
      </c>
    </row>
    <row r="2641" spans="1:11" x14ac:dyDescent="0.25">
      <c r="A2641" s="24" t="s">
        <v>7</v>
      </c>
      <c r="B2641" s="24" t="s">
        <v>12969</v>
      </c>
      <c r="C2641" s="25" t="s">
        <v>12970</v>
      </c>
      <c r="D2641" s="24" t="s">
        <v>21278</v>
      </c>
      <c r="G2641" s="40">
        <v>105</v>
      </c>
      <c r="H2641" s="41">
        <v>58542</v>
      </c>
      <c r="J2641" s="41">
        <v>557.54285714285709</v>
      </c>
    </row>
    <row r="2642" spans="1:11" x14ac:dyDescent="0.25">
      <c r="A2642" s="24" t="s">
        <v>7</v>
      </c>
      <c r="B2642" s="24" t="s">
        <v>12972</v>
      </c>
      <c r="C2642" s="25" t="s">
        <v>12973</v>
      </c>
      <c r="D2642" s="24" t="s">
        <v>21846</v>
      </c>
      <c r="E2642" s="40">
        <v>91</v>
      </c>
      <c r="F2642" s="41">
        <v>53477</v>
      </c>
      <c r="G2642" s="40">
        <v>85</v>
      </c>
      <c r="H2642" s="41">
        <v>44878</v>
      </c>
      <c r="I2642" s="41">
        <v>587.65934065934061</v>
      </c>
      <c r="J2642" s="41">
        <v>527.97647058823532</v>
      </c>
      <c r="K2642" s="42">
        <v>-0.1015603189496528</v>
      </c>
    </row>
    <row r="2643" spans="1:11" x14ac:dyDescent="0.25">
      <c r="A2643" s="24" t="s">
        <v>7</v>
      </c>
      <c r="B2643" s="24" t="s">
        <v>12975</v>
      </c>
      <c r="C2643" s="25" t="s">
        <v>12976</v>
      </c>
      <c r="D2643" s="24" t="s">
        <v>21846</v>
      </c>
      <c r="E2643" s="40">
        <v>8</v>
      </c>
      <c r="F2643" s="41">
        <v>2432</v>
      </c>
      <c r="G2643" s="40">
        <v>6</v>
      </c>
      <c r="H2643" s="41">
        <v>1689</v>
      </c>
      <c r="I2643" s="41">
        <v>304</v>
      </c>
      <c r="J2643" s="41">
        <v>281.5</v>
      </c>
      <c r="K2643" s="42">
        <v>-7.4013157894736836E-2</v>
      </c>
    </row>
    <row r="2644" spans="1:11" x14ac:dyDescent="0.25">
      <c r="A2644" s="24" t="s">
        <v>7</v>
      </c>
      <c r="B2644" s="24" t="s">
        <v>12978</v>
      </c>
      <c r="C2644" s="25" t="s">
        <v>12979</v>
      </c>
      <c r="D2644" s="24" t="s">
        <v>21846</v>
      </c>
      <c r="E2644" s="40">
        <v>1950</v>
      </c>
      <c r="F2644" s="41">
        <v>22717</v>
      </c>
      <c r="G2644" s="40">
        <v>1917</v>
      </c>
      <c r="H2644" s="41">
        <v>26930</v>
      </c>
      <c r="I2644" s="41">
        <v>11.64974358974359</v>
      </c>
      <c r="J2644" s="41">
        <v>14.047991653625456</v>
      </c>
      <c r="K2644" s="42">
        <v>0.20586273383675829</v>
      </c>
    </row>
    <row r="2645" spans="1:11" x14ac:dyDescent="0.25">
      <c r="A2645" s="24" t="s">
        <v>7</v>
      </c>
      <c r="B2645" s="24" t="s">
        <v>12981</v>
      </c>
      <c r="C2645" s="25" t="s">
        <v>12982</v>
      </c>
      <c r="D2645" s="24" t="s">
        <v>21846</v>
      </c>
      <c r="E2645" s="40">
        <v>164</v>
      </c>
      <c r="F2645" s="41">
        <v>8040</v>
      </c>
      <c r="G2645" s="40">
        <v>111</v>
      </c>
      <c r="H2645" s="41">
        <v>4692</v>
      </c>
      <c r="I2645" s="41">
        <v>49.024390243902438</v>
      </c>
      <c r="J2645" s="41">
        <v>42.270270270270274</v>
      </c>
      <c r="K2645" s="42">
        <v>-0.13777060642732275</v>
      </c>
    </row>
    <row r="2646" spans="1:11" x14ac:dyDescent="0.25">
      <c r="A2646" s="24" t="s">
        <v>7</v>
      </c>
      <c r="B2646" s="24" t="s">
        <v>12984</v>
      </c>
      <c r="C2646" s="25" t="s">
        <v>12985</v>
      </c>
      <c r="D2646" s="24" t="s">
        <v>21846</v>
      </c>
      <c r="E2646" s="40">
        <v>1868</v>
      </c>
      <c r="F2646" s="41">
        <v>173057</v>
      </c>
      <c r="G2646" s="40">
        <v>1886</v>
      </c>
      <c r="H2646" s="41">
        <v>179170</v>
      </c>
      <c r="I2646" s="41">
        <v>92.642933618843685</v>
      </c>
      <c r="J2646" s="41">
        <v>95</v>
      </c>
      <c r="K2646" s="42">
        <v>2.5442484268189073E-2</v>
      </c>
    </row>
    <row r="2647" spans="1:11" x14ac:dyDescent="0.25">
      <c r="A2647" s="24" t="s">
        <v>7</v>
      </c>
      <c r="B2647" s="24" t="s">
        <v>12987</v>
      </c>
      <c r="C2647" s="25" t="s">
        <v>12988</v>
      </c>
      <c r="D2647" s="24" t="s">
        <v>21846</v>
      </c>
      <c r="G2647" s="40">
        <v>15</v>
      </c>
      <c r="H2647" s="41">
        <v>2708</v>
      </c>
      <c r="J2647" s="41">
        <v>180.53333333333333</v>
      </c>
    </row>
    <row r="2648" spans="1:11" x14ac:dyDescent="0.25">
      <c r="A2648" s="24" t="s">
        <v>7</v>
      </c>
      <c r="B2648" s="24" t="s">
        <v>12990</v>
      </c>
      <c r="C2648" s="25" t="s">
        <v>12991</v>
      </c>
      <c r="D2648" s="24" t="s">
        <v>21846</v>
      </c>
      <c r="E2648" s="40">
        <v>13</v>
      </c>
      <c r="F2648" s="41">
        <v>4072</v>
      </c>
      <c r="G2648" s="40">
        <v>18</v>
      </c>
      <c r="H2648" s="41">
        <v>5720</v>
      </c>
      <c r="I2648" s="41">
        <v>313.23076923076923</v>
      </c>
      <c r="J2648" s="41">
        <v>317.77777777777777</v>
      </c>
      <c r="K2648" s="42">
        <v>1.4516481117659893E-2</v>
      </c>
    </row>
    <row r="2649" spans="1:11" x14ac:dyDescent="0.25">
      <c r="A2649" s="24" t="s">
        <v>7</v>
      </c>
      <c r="B2649" s="24" t="s">
        <v>12996</v>
      </c>
      <c r="C2649" s="25" t="s">
        <v>12997</v>
      </c>
      <c r="D2649" s="24" t="s">
        <v>21846</v>
      </c>
      <c r="E2649" s="40">
        <v>170</v>
      </c>
      <c r="F2649" s="41">
        <v>3001</v>
      </c>
      <c r="G2649" s="40">
        <v>181</v>
      </c>
      <c r="H2649" s="41">
        <v>2858</v>
      </c>
      <c r="I2649" s="41">
        <v>17.652941176470588</v>
      </c>
      <c r="J2649" s="41">
        <v>15.790055248618785</v>
      </c>
      <c r="K2649" s="42">
        <v>-0.10552835979167161</v>
      </c>
    </row>
    <row r="2650" spans="1:11" x14ac:dyDescent="0.25">
      <c r="A2650" s="24" t="s">
        <v>7</v>
      </c>
      <c r="B2650" s="24" t="s">
        <v>12999</v>
      </c>
      <c r="C2650" s="25" t="s">
        <v>13000</v>
      </c>
      <c r="D2650" s="24" t="s">
        <v>22161</v>
      </c>
      <c r="E2650" s="40">
        <v>9</v>
      </c>
      <c r="F2650" s="41">
        <v>3282</v>
      </c>
      <c r="G2650" s="40">
        <v>23</v>
      </c>
      <c r="H2650" s="41">
        <v>6997</v>
      </c>
      <c r="I2650" s="41">
        <v>364.66666666666669</v>
      </c>
      <c r="J2650" s="41">
        <v>304.21739130434781</v>
      </c>
      <c r="K2650" s="42">
        <v>-0.16576583737381773</v>
      </c>
    </row>
    <row r="2651" spans="1:11" x14ac:dyDescent="0.25">
      <c r="A2651" s="24" t="s">
        <v>7</v>
      </c>
      <c r="B2651" s="24" t="s">
        <v>13005</v>
      </c>
      <c r="C2651" s="25" t="s">
        <v>13006</v>
      </c>
      <c r="D2651" s="24" t="s">
        <v>21846</v>
      </c>
      <c r="G2651" s="40">
        <v>3</v>
      </c>
      <c r="H2651" s="41">
        <v>1635</v>
      </c>
      <c r="J2651" s="41">
        <v>545</v>
      </c>
    </row>
    <row r="2652" spans="1:11" x14ac:dyDescent="0.25">
      <c r="A2652" s="24" t="s">
        <v>7</v>
      </c>
      <c r="B2652" s="24" t="s">
        <v>13008</v>
      </c>
      <c r="C2652" s="25" t="s">
        <v>13009</v>
      </c>
      <c r="D2652" s="24" t="s">
        <v>22161</v>
      </c>
      <c r="E2652" s="40">
        <v>885</v>
      </c>
      <c r="F2652" s="41">
        <v>477631</v>
      </c>
      <c r="G2652" s="40">
        <v>1021</v>
      </c>
      <c r="H2652" s="41">
        <v>483401</v>
      </c>
      <c r="I2652" s="41">
        <v>539.69604519774009</v>
      </c>
      <c r="J2652" s="41">
        <v>473.45837414299706</v>
      </c>
      <c r="K2652" s="42">
        <v>-0.12273143678581915</v>
      </c>
    </row>
    <row r="2653" spans="1:11" x14ac:dyDescent="0.25">
      <c r="A2653" s="24" t="s">
        <v>7</v>
      </c>
      <c r="B2653" s="24" t="s">
        <v>13017</v>
      </c>
      <c r="C2653" s="25" t="s">
        <v>13018</v>
      </c>
      <c r="D2653" s="24" t="s">
        <v>22161</v>
      </c>
      <c r="E2653" s="40">
        <v>5175</v>
      </c>
      <c r="F2653" s="41">
        <v>228063</v>
      </c>
      <c r="G2653" s="40">
        <v>6313</v>
      </c>
      <c r="H2653" s="41">
        <v>260145</v>
      </c>
      <c r="I2653" s="41">
        <v>44.070144927536234</v>
      </c>
      <c r="J2653" s="41">
        <v>41.20782512276255</v>
      </c>
      <c r="K2653" s="42">
        <v>-6.4949180663692985E-2</v>
      </c>
    </row>
    <row r="2654" spans="1:11" x14ac:dyDescent="0.25">
      <c r="A2654" s="24" t="s">
        <v>7</v>
      </c>
      <c r="B2654" s="24" t="s">
        <v>13026</v>
      </c>
      <c r="C2654" s="25" t="s">
        <v>13027</v>
      </c>
      <c r="D2654" s="24" t="s">
        <v>22161</v>
      </c>
      <c r="E2654" s="40">
        <v>34</v>
      </c>
      <c r="F2654" s="41">
        <v>10458</v>
      </c>
      <c r="G2654" s="40">
        <v>35</v>
      </c>
      <c r="H2654" s="41">
        <v>9580</v>
      </c>
      <c r="I2654" s="41">
        <v>307.58823529411762</v>
      </c>
      <c r="J2654" s="41">
        <v>273.71428571428572</v>
      </c>
      <c r="K2654" s="42">
        <v>-0.11012758517061434</v>
      </c>
    </row>
    <row r="2655" spans="1:11" x14ac:dyDescent="0.25">
      <c r="A2655" s="24" t="s">
        <v>7</v>
      </c>
      <c r="B2655" s="24" t="s">
        <v>13032</v>
      </c>
      <c r="C2655" s="25" t="s">
        <v>13033</v>
      </c>
      <c r="D2655" s="24" t="s">
        <v>21846</v>
      </c>
      <c r="E2655" s="40">
        <v>9</v>
      </c>
      <c r="F2655" s="41">
        <v>1912</v>
      </c>
      <c r="G2655" s="40">
        <v>10</v>
      </c>
      <c r="H2655" s="41">
        <v>2160</v>
      </c>
      <c r="I2655" s="41">
        <v>212.44444444444446</v>
      </c>
      <c r="J2655" s="41">
        <v>216</v>
      </c>
      <c r="K2655" s="42">
        <v>1.6736401673640107E-2</v>
      </c>
    </row>
    <row r="2656" spans="1:11" x14ac:dyDescent="0.25">
      <c r="A2656" s="24" t="s">
        <v>7</v>
      </c>
      <c r="B2656" s="24" t="s">
        <v>13044</v>
      </c>
      <c r="C2656" s="25" t="s">
        <v>13045</v>
      </c>
      <c r="D2656" s="24" t="s">
        <v>21846</v>
      </c>
      <c r="E2656" s="40">
        <v>4434</v>
      </c>
      <c r="F2656" s="41">
        <v>598266</v>
      </c>
      <c r="G2656" s="40">
        <v>3163</v>
      </c>
      <c r="H2656" s="41">
        <v>373833</v>
      </c>
      <c r="I2656" s="41">
        <v>134.92692828146144</v>
      </c>
      <c r="J2656" s="41">
        <v>118.1893771735694</v>
      </c>
      <c r="K2656" s="42">
        <v>-0.12404900430977746</v>
      </c>
    </row>
    <row r="2657" spans="1:11" x14ac:dyDescent="0.25">
      <c r="A2657" s="24" t="s">
        <v>7</v>
      </c>
      <c r="B2657" s="24" t="s">
        <v>13047</v>
      </c>
      <c r="C2657" s="25" t="s">
        <v>13048</v>
      </c>
      <c r="D2657" s="24" t="s">
        <v>21846</v>
      </c>
      <c r="E2657" s="40">
        <v>6</v>
      </c>
      <c r="F2657" s="41">
        <v>1704</v>
      </c>
      <c r="G2657" s="40">
        <v>9</v>
      </c>
      <c r="H2657" s="41">
        <v>2556</v>
      </c>
      <c r="I2657" s="41">
        <v>284</v>
      </c>
      <c r="J2657" s="41">
        <v>284</v>
      </c>
      <c r="K2657" s="42">
        <v>0</v>
      </c>
    </row>
    <row r="2658" spans="1:11" x14ac:dyDescent="0.25">
      <c r="A2658" s="24" t="s">
        <v>7</v>
      </c>
      <c r="B2658" s="24" t="s">
        <v>13050</v>
      </c>
      <c r="C2658" s="25" t="s">
        <v>13051</v>
      </c>
      <c r="D2658" s="24" t="s">
        <v>21846</v>
      </c>
      <c r="E2658" s="40">
        <v>25</v>
      </c>
      <c r="F2658" s="41">
        <v>7685</v>
      </c>
      <c r="G2658" s="40">
        <v>23</v>
      </c>
      <c r="H2658" s="41">
        <v>6640</v>
      </c>
      <c r="I2658" s="41">
        <v>307.39999999999998</v>
      </c>
      <c r="J2658" s="41">
        <v>288.69565217391306</v>
      </c>
      <c r="K2658" s="42">
        <v>-6.0846935023054383E-2</v>
      </c>
    </row>
    <row r="2659" spans="1:11" x14ac:dyDescent="0.25">
      <c r="A2659" s="24" t="s">
        <v>7</v>
      </c>
      <c r="B2659" s="24" t="s">
        <v>13053</v>
      </c>
      <c r="C2659" s="25" t="s">
        <v>13054</v>
      </c>
      <c r="D2659" s="24" t="s">
        <v>22161</v>
      </c>
      <c r="E2659" s="40">
        <v>9</v>
      </c>
      <c r="F2659" s="41">
        <v>7389</v>
      </c>
      <c r="G2659" s="40">
        <v>4</v>
      </c>
      <c r="H2659" s="41">
        <v>3396</v>
      </c>
      <c r="I2659" s="41">
        <v>821</v>
      </c>
      <c r="J2659" s="41">
        <v>849</v>
      </c>
      <c r="K2659" s="42">
        <v>3.4104750304506701E-2</v>
      </c>
    </row>
    <row r="2660" spans="1:11" x14ac:dyDescent="0.25">
      <c r="A2660" s="24" t="s">
        <v>7</v>
      </c>
      <c r="B2660" s="24" t="s">
        <v>13059</v>
      </c>
      <c r="C2660" s="25" t="s">
        <v>13060</v>
      </c>
      <c r="D2660" s="24" t="s">
        <v>21846</v>
      </c>
      <c r="E2660" s="40">
        <v>92</v>
      </c>
      <c r="F2660" s="41">
        <v>4163</v>
      </c>
      <c r="G2660" s="40">
        <v>126</v>
      </c>
      <c r="H2660" s="41">
        <v>6108</v>
      </c>
      <c r="I2660" s="41">
        <v>45.25</v>
      </c>
      <c r="J2660" s="41">
        <v>48.476190476190474</v>
      </c>
      <c r="K2660" s="42">
        <v>7.1297027098132029E-2</v>
      </c>
    </row>
    <row r="2661" spans="1:11" x14ac:dyDescent="0.25">
      <c r="A2661" s="24" t="s">
        <v>7</v>
      </c>
      <c r="B2661" s="24" t="s">
        <v>13062</v>
      </c>
      <c r="C2661" s="25" t="s">
        <v>13063</v>
      </c>
      <c r="D2661" s="24" t="s">
        <v>21846</v>
      </c>
      <c r="E2661" s="40">
        <v>666</v>
      </c>
      <c r="F2661" s="41">
        <v>328884</v>
      </c>
      <c r="G2661" s="40">
        <v>743</v>
      </c>
      <c r="H2661" s="41">
        <v>327305</v>
      </c>
      <c r="I2661" s="41">
        <v>493.81981981981983</v>
      </c>
      <c r="J2661" s="41">
        <v>440.51816958277254</v>
      </c>
      <c r="K2661" s="42">
        <v>-0.10793744620557245</v>
      </c>
    </row>
    <row r="2662" spans="1:11" x14ac:dyDescent="0.25">
      <c r="A2662" s="24" t="s">
        <v>7</v>
      </c>
      <c r="B2662" s="24" t="s">
        <v>13065</v>
      </c>
      <c r="C2662" s="25" t="s">
        <v>13066</v>
      </c>
      <c r="D2662" s="24" t="s">
        <v>21846</v>
      </c>
      <c r="E2662" s="40">
        <v>2288</v>
      </c>
      <c r="F2662" s="41">
        <v>66838</v>
      </c>
      <c r="G2662" s="40">
        <v>3611</v>
      </c>
      <c r="H2662" s="41">
        <v>91236</v>
      </c>
      <c r="I2662" s="41">
        <v>29.212412587412587</v>
      </c>
      <c r="J2662" s="41">
        <v>25.266131265577403</v>
      </c>
      <c r="K2662" s="42">
        <v>-0.13508919573235134</v>
      </c>
    </row>
    <row r="2663" spans="1:11" x14ac:dyDescent="0.25">
      <c r="A2663" s="24" t="s">
        <v>7</v>
      </c>
      <c r="B2663" s="24" t="s">
        <v>13068</v>
      </c>
      <c r="C2663" s="25" t="s">
        <v>13069</v>
      </c>
      <c r="D2663" s="24" t="s">
        <v>21846</v>
      </c>
      <c r="E2663" s="40">
        <v>6628</v>
      </c>
      <c r="F2663" s="41">
        <v>141090</v>
      </c>
      <c r="G2663" s="40">
        <v>7411</v>
      </c>
      <c r="H2663" s="41">
        <v>138232</v>
      </c>
      <c r="I2663" s="41">
        <v>21.286964393482197</v>
      </c>
      <c r="J2663" s="41">
        <v>18.652273647281067</v>
      </c>
      <c r="K2663" s="42">
        <v>-0.12377014859891623</v>
      </c>
    </row>
    <row r="2664" spans="1:11" x14ac:dyDescent="0.25">
      <c r="A2664" s="24" t="s">
        <v>7</v>
      </c>
      <c r="B2664" s="24" t="s">
        <v>13070</v>
      </c>
      <c r="C2664" s="25" t="s">
        <v>13071</v>
      </c>
      <c r="D2664" s="24" t="s">
        <v>21846</v>
      </c>
      <c r="G2664" s="40">
        <v>201</v>
      </c>
      <c r="H2664" s="41">
        <v>5025</v>
      </c>
      <c r="J2664" s="41">
        <v>25</v>
      </c>
    </row>
    <row r="2665" spans="1:11" x14ac:dyDescent="0.25">
      <c r="A2665" s="24" t="s">
        <v>7</v>
      </c>
      <c r="B2665" s="24" t="s">
        <v>13080</v>
      </c>
      <c r="C2665" s="25" t="s">
        <v>13081</v>
      </c>
      <c r="D2665" s="24" t="s">
        <v>21846</v>
      </c>
      <c r="E2665" s="40">
        <v>360</v>
      </c>
      <c r="F2665" s="41">
        <v>125811</v>
      </c>
      <c r="G2665" s="40">
        <v>288</v>
      </c>
      <c r="H2665" s="41">
        <v>102525</v>
      </c>
      <c r="I2665" s="41">
        <v>349.47500000000002</v>
      </c>
      <c r="J2665" s="41">
        <v>355.98958333333331</v>
      </c>
      <c r="K2665" s="42">
        <v>1.8641056823330112E-2</v>
      </c>
    </row>
    <row r="2666" spans="1:11" x14ac:dyDescent="0.25">
      <c r="A2666" s="24" t="s">
        <v>7</v>
      </c>
      <c r="B2666" s="24" t="s">
        <v>13086</v>
      </c>
      <c r="C2666" s="25" t="s">
        <v>13087</v>
      </c>
      <c r="D2666" s="24" t="s">
        <v>21846</v>
      </c>
      <c r="E2666" s="40">
        <v>4</v>
      </c>
      <c r="F2666" s="41">
        <v>1504</v>
      </c>
      <c r="G2666" s="40">
        <v>2</v>
      </c>
      <c r="H2666" s="41">
        <v>475</v>
      </c>
      <c r="I2666" s="41">
        <v>376</v>
      </c>
      <c r="J2666" s="41">
        <v>237.5</v>
      </c>
      <c r="K2666" s="42">
        <v>-0.36835106382978722</v>
      </c>
    </row>
    <row r="2667" spans="1:11" x14ac:dyDescent="0.25">
      <c r="A2667" s="24" t="s">
        <v>7</v>
      </c>
      <c r="B2667" s="24" t="s">
        <v>13095</v>
      </c>
      <c r="C2667" s="25" t="s">
        <v>13096</v>
      </c>
      <c r="D2667" s="24" t="s">
        <v>21846</v>
      </c>
      <c r="G2667" s="40">
        <v>6</v>
      </c>
      <c r="H2667" s="41">
        <v>1440</v>
      </c>
      <c r="J2667" s="41">
        <v>240</v>
      </c>
    </row>
    <row r="2668" spans="1:11" x14ac:dyDescent="0.25">
      <c r="A2668" s="24" t="s">
        <v>7</v>
      </c>
      <c r="B2668" s="24" t="s">
        <v>13097</v>
      </c>
      <c r="C2668" s="25" t="s">
        <v>13098</v>
      </c>
      <c r="D2668" s="24" t="s">
        <v>21846</v>
      </c>
      <c r="G2668" s="40">
        <v>1</v>
      </c>
      <c r="H2668" s="41">
        <v>363</v>
      </c>
      <c r="J2668" s="41">
        <v>363</v>
      </c>
    </row>
    <row r="2669" spans="1:11" x14ac:dyDescent="0.25">
      <c r="A2669" s="24" t="s">
        <v>7</v>
      </c>
      <c r="B2669" s="24" t="s">
        <v>13112</v>
      </c>
      <c r="C2669" s="25" t="s">
        <v>13113</v>
      </c>
      <c r="D2669" s="24" t="s">
        <v>21846</v>
      </c>
      <c r="E2669" s="40">
        <v>18</v>
      </c>
      <c r="F2669" s="41">
        <v>18456</v>
      </c>
      <c r="G2669" s="40">
        <v>14</v>
      </c>
      <c r="H2669" s="41">
        <v>16114</v>
      </c>
      <c r="I2669" s="41">
        <v>1025.3333333333333</v>
      </c>
      <c r="J2669" s="41">
        <v>1151</v>
      </c>
      <c r="K2669" s="42">
        <v>0.12256176853055925</v>
      </c>
    </row>
    <row r="2670" spans="1:11" x14ac:dyDescent="0.25">
      <c r="A2670" s="24" t="s">
        <v>7</v>
      </c>
      <c r="B2670" s="24" t="s">
        <v>13115</v>
      </c>
      <c r="C2670" s="25" t="s">
        <v>13116</v>
      </c>
      <c r="D2670" s="24" t="s">
        <v>21823</v>
      </c>
      <c r="E2670" s="40">
        <v>85</v>
      </c>
      <c r="F2670" s="41">
        <v>10347</v>
      </c>
      <c r="G2670" s="40">
        <v>102</v>
      </c>
      <c r="H2670" s="41">
        <v>11740</v>
      </c>
      <c r="I2670" s="41">
        <v>121.72941176470589</v>
      </c>
      <c r="J2670" s="41">
        <v>115.09803921568627</v>
      </c>
      <c r="K2670" s="42">
        <v>-5.4476337746851004E-2</v>
      </c>
    </row>
    <row r="2671" spans="1:11" x14ac:dyDescent="0.25">
      <c r="A2671" s="24" t="s">
        <v>7</v>
      </c>
      <c r="B2671" s="24" t="s">
        <v>13118</v>
      </c>
      <c r="C2671" s="25" t="s">
        <v>13119</v>
      </c>
      <c r="D2671" s="24" t="s">
        <v>21846</v>
      </c>
      <c r="E2671" s="40">
        <v>21</v>
      </c>
      <c r="F2671" s="41">
        <v>6753</v>
      </c>
      <c r="G2671" s="40">
        <v>19</v>
      </c>
      <c r="H2671" s="41">
        <v>5813</v>
      </c>
      <c r="I2671" s="41">
        <v>321.57142857142856</v>
      </c>
      <c r="J2671" s="41">
        <v>305.94736842105266</v>
      </c>
      <c r="K2671" s="42">
        <v>-4.8586593093128065E-2</v>
      </c>
    </row>
    <row r="2672" spans="1:11" x14ac:dyDescent="0.25">
      <c r="A2672" s="24" t="s">
        <v>7</v>
      </c>
      <c r="B2672" s="24" t="s">
        <v>13124</v>
      </c>
      <c r="C2672" s="25" t="s">
        <v>13125</v>
      </c>
      <c r="D2672" s="24" t="s">
        <v>21823</v>
      </c>
      <c r="G2672" s="40">
        <v>1</v>
      </c>
      <c r="H2672" s="41">
        <v>136</v>
      </c>
      <c r="J2672" s="41">
        <v>136</v>
      </c>
    </row>
    <row r="2673" spans="1:11" x14ac:dyDescent="0.25">
      <c r="A2673" s="24" t="s">
        <v>7</v>
      </c>
      <c r="B2673" s="24" t="s">
        <v>13127</v>
      </c>
      <c r="C2673" s="25" t="s">
        <v>13128</v>
      </c>
      <c r="D2673" s="24" t="s">
        <v>21823</v>
      </c>
      <c r="E2673" s="40">
        <v>99</v>
      </c>
      <c r="F2673" s="41">
        <v>11304</v>
      </c>
      <c r="G2673" s="40">
        <v>111</v>
      </c>
      <c r="H2673" s="41">
        <v>11487</v>
      </c>
      <c r="I2673" s="41">
        <v>114.18181818181819</v>
      </c>
      <c r="J2673" s="41">
        <v>103.48648648648648</v>
      </c>
      <c r="K2673" s="42">
        <v>-9.3669306248924139E-2</v>
      </c>
    </row>
    <row r="2674" spans="1:11" x14ac:dyDescent="0.25">
      <c r="A2674" s="24" t="s">
        <v>7</v>
      </c>
      <c r="B2674" s="24" t="s">
        <v>13136</v>
      </c>
      <c r="C2674" s="25" t="s">
        <v>13137</v>
      </c>
      <c r="D2674" s="24" t="s">
        <v>21823</v>
      </c>
      <c r="G2674" s="40">
        <v>4</v>
      </c>
      <c r="H2674" s="41">
        <v>108</v>
      </c>
      <c r="J2674" s="41">
        <v>27</v>
      </c>
    </row>
    <row r="2675" spans="1:11" x14ac:dyDescent="0.25">
      <c r="A2675" s="24" t="s">
        <v>7</v>
      </c>
      <c r="B2675" s="24" t="s">
        <v>13139</v>
      </c>
      <c r="C2675" s="25" t="s">
        <v>13140</v>
      </c>
      <c r="D2675" s="24" t="s">
        <v>21823</v>
      </c>
      <c r="E2675" s="40">
        <v>6</v>
      </c>
      <c r="F2675" s="41">
        <v>90</v>
      </c>
      <c r="G2675" s="40">
        <v>2</v>
      </c>
      <c r="H2675" s="41">
        <v>30</v>
      </c>
      <c r="I2675" s="41">
        <v>15</v>
      </c>
      <c r="J2675" s="41">
        <v>15</v>
      </c>
      <c r="K2675" s="42">
        <v>0</v>
      </c>
    </row>
    <row r="2676" spans="1:11" x14ac:dyDescent="0.25">
      <c r="A2676" s="24" t="s">
        <v>7</v>
      </c>
      <c r="B2676" s="24" t="s">
        <v>13142</v>
      </c>
      <c r="C2676" s="25" t="s">
        <v>13143</v>
      </c>
      <c r="D2676" s="24" t="s">
        <v>21823</v>
      </c>
      <c r="E2676" s="40">
        <v>3</v>
      </c>
      <c r="F2676" s="41">
        <v>290</v>
      </c>
      <c r="G2676" s="40">
        <v>3</v>
      </c>
      <c r="H2676" s="41">
        <v>243</v>
      </c>
      <c r="I2676" s="41">
        <v>96.666666666666671</v>
      </c>
      <c r="J2676" s="41">
        <v>81</v>
      </c>
      <c r="K2676" s="42">
        <v>-0.16206896551724143</v>
      </c>
    </row>
    <row r="2677" spans="1:11" x14ac:dyDescent="0.25">
      <c r="A2677" s="24" t="s">
        <v>7</v>
      </c>
      <c r="B2677" s="24" t="s">
        <v>13145</v>
      </c>
      <c r="C2677" s="25" t="s">
        <v>13146</v>
      </c>
      <c r="D2677" s="24" t="s">
        <v>21823</v>
      </c>
      <c r="E2677" s="40">
        <v>150</v>
      </c>
      <c r="F2677" s="41">
        <v>16700</v>
      </c>
      <c r="G2677" s="40">
        <v>117</v>
      </c>
      <c r="H2677" s="41">
        <v>12441</v>
      </c>
      <c r="I2677" s="41">
        <v>111.33333333333333</v>
      </c>
      <c r="J2677" s="41">
        <v>106.33333333333333</v>
      </c>
      <c r="K2677" s="42">
        <v>-4.4910179640718563E-2</v>
      </c>
    </row>
    <row r="2678" spans="1:11" x14ac:dyDescent="0.25">
      <c r="A2678" s="24" t="s">
        <v>7</v>
      </c>
      <c r="B2678" s="24" t="s">
        <v>13162</v>
      </c>
      <c r="C2678" s="25" t="s">
        <v>13163</v>
      </c>
      <c r="D2678" s="24" t="s">
        <v>21846</v>
      </c>
      <c r="E2678" s="40">
        <v>14</v>
      </c>
      <c r="F2678" s="41">
        <v>1715</v>
      </c>
      <c r="G2678" s="40">
        <v>19</v>
      </c>
      <c r="H2678" s="41">
        <v>2674</v>
      </c>
      <c r="I2678" s="41">
        <v>122.5</v>
      </c>
      <c r="J2678" s="41">
        <v>140.73684210526315</v>
      </c>
      <c r="K2678" s="42">
        <v>0.14887218045112777</v>
      </c>
    </row>
    <row r="2679" spans="1:11" x14ac:dyDescent="0.25">
      <c r="A2679" s="24" t="s">
        <v>7</v>
      </c>
      <c r="B2679" s="24" t="s">
        <v>13165</v>
      </c>
      <c r="C2679" s="25" t="s">
        <v>13166</v>
      </c>
      <c r="D2679" s="24" t="s">
        <v>21846</v>
      </c>
      <c r="E2679" s="40">
        <v>7</v>
      </c>
      <c r="F2679" s="41">
        <v>1212</v>
      </c>
      <c r="G2679" s="40">
        <v>7</v>
      </c>
      <c r="H2679" s="41">
        <v>1225</v>
      </c>
      <c r="I2679" s="41">
        <v>173.14285714285714</v>
      </c>
      <c r="J2679" s="41">
        <v>175</v>
      </c>
      <c r="K2679" s="42">
        <v>1.072607260726075E-2</v>
      </c>
    </row>
    <row r="2680" spans="1:11" x14ac:dyDescent="0.25">
      <c r="A2680" s="24" t="s">
        <v>7</v>
      </c>
      <c r="B2680" s="24" t="s">
        <v>13171</v>
      </c>
      <c r="C2680" s="25" t="s">
        <v>13172</v>
      </c>
      <c r="D2680" s="24" t="s">
        <v>21846</v>
      </c>
      <c r="G2680" s="40">
        <v>2</v>
      </c>
      <c r="H2680" s="41">
        <v>366</v>
      </c>
      <c r="J2680" s="41">
        <v>183</v>
      </c>
    </row>
    <row r="2681" spans="1:11" x14ac:dyDescent="0.25">
      <c r="A2681" s="24" t="s">
        <v>7</v>
      </c>
      <c r="B2681" s="24" t="s">
        <v>13173</v>
      </c>
      <c r="C2681" s="25" t="s">
        <v>13174</v>
      </c>
      <c r="D2681" s="24" t="s">
        <v>21846</v>
      </c>
      <c r="G2681" s="40">
        <v>1</v>
      </c>
      <c r="H2681" s="41">
        <v>26</v>
      </c>
      <c r="J2681" s="41">
        <v>26</v>
      </c>
    </row>
    <row r="2682" spans="1:11" x14ac:dyDescent="0.25">
      <c r="A2682" s="24" t="s">
        <v>7</v>
      </c>
      <c r="B2682" s="24" t="s">
        <v>13176</v>
      </c>
      <c r="C2682" s="25" t="s">
        <v>13177</v>
      </c>
      <c r="D2682" s="24" t="s">
        <v>21846</v>
      </c>
      <c r="E2682" s="40">
        <v>1</v>
      </c>
      <c r="F2682" s="41">
        <v>276</v>
      </c>
      <c r="G2682" s="40">
        <v>0</v>
      </c>
      <c r="H2682" s="41">
        <v>0</v>
      </c>
      <c r="I2682" s="41">
        <v>276</v>
      </c>
    </row>
    <row r="2683" spans="1:11" x14ac:dyDescent="0.25">
      <c r="A2683" s="24" t="s">
        <v>7</v>
      </c>
      <c r="B2683" s="24" t="s">
        <v>13184</v>
      </c>
      <c r="C2683" s="25" t="s">
        <v>13185</v>
      </c>
      <c r="D2683" s="24" t="s">
        <v>21846</v>
      </c>
      <c r="E2683" s="40">
        <v>59</v>
      </c>
      <c r="F2683" s="41">
        <v>8509</v>
      </c>
      <c r="G2683" s="40">
        <v>39</v>
      </c>
      <c r="H2683" s="41">
        <v>7950</v>
      </c>
      <c r="I2683" s="41">
        <v>144.22033898305085</v>
      </c>
      <c r="J2683" s="41">
        <v>203.84615384615384</v>
      </c>
      <c r="K2683" s="42">
        <v>0.41343554788142861</v>
      </c>
    </row>
    <row r="2684" spans="1:11" x14ac:dyDescent="0.25">
      <c r="A2684" s="24" t="s">
        <v>7</v>
      </c>
      <c r="B2684" s="24" t="s">
        <v>13187</v>
      </c>
      <c r="C2684" s="25" t="s">
        <v>13188</v>
      </c>
      <c r="D2684" s="24" t="s">
        <v>21823</v>
      </c>
      <c r="E2684" s="40">
        <v>357</v>
      </c>
      <c r="F2684" s="41">
        <v>13686</v>
      </c>
      <c r="G2684" s="40">
        <v>649</v>
      </c>
      <c r="H2684" s="41">
        <v>27571</v>
      </c>
      <c r="I2684" s="41">
        <v>38.336134453781511</v>
      </c>
      <c r="J2684" s="41">
        <v>42.482280431432976</v>
      </c>
      <c r="K2684" s="42">
        <v>0.10815242686114079</v>
      </c>
    </row>
    <row r="2685" spans="1:11" x14ac:dyDescent="0.25">
      <c r="A2685" s="24" t="s">
        <v>7</v>
      </c>
      <c r="B2685" s="24" t="s">
        <v>13192</v>
      </c>
      <c r="C2685" s="25" t="s">
        <v>13193</v>
      </c>
      <c r="D2685" s="24" t="s">
        <v>21846</v>
      </c>
      <c r="E2685" s="40">
        <v>32</v>
      </c>
      <c r="F2685" s="41">
        <v>123670</v>
      </c>
      <c r="G2685" s="40">
        <v>55</v>
      </c>
      <c r="H2685" s="41">
        <v>226557</v>
      </c>
      <c r="I2685" s="41">
        <v>3864.6875</v>
      </c>
      <c r="J2685" s="41">
        <v>4119.2181818181816</v>
      </c>
      <c r="K2685" s="42">
        <v>6.5860611451296291E-2</v>
      </c>
    </row>
    <row r="2686" spans="1:11" x14ac:dyDescent="0.25">
      <c r="A2686" s="24" t="s">
        <v>7</v>
      </c>
      <c r="B2686" s="24" t="s">
        <v>13195</v>
      </c>
      <c r="C2686" s="25" t="s">
        <v>13196</v>
      </c>
      <c r="D2686" s="24" t="s">
        <v>21846</v>
      </c>
      <c r="E2686" s="40">
        <v>16</v>
      </c>
      <c r="F2686" s="41">
        <v>989</v>
      </c>
      <c r="G2686" s="40">
        <v>24</v>
      </c>
      <c r="H2686" s="41">
        <v>1752</v>
      </c>
      <c r="I2686" s="41">
        <v>61.8125</v>
      </c>
      <c r="J2686" s="41">
        <v>73</v>
      </c>
      <c r="K2686" s="42">
        <v>0.18099089989888775</v>
      </c>
    </row>
    <row r="2687" spans="1:11" x14ac:dyDescent="0.25">
      <c r="A2687" s="24" t="s">
        <v>7</v>
      </c>
      <c r="B2687" s="24" t="s">
        <v>13198</v>
      </c>
      <c r="C2687" s="25" t="s">
        <v>13199</v>
      </c>
      <c r="D2687" s="24" t="s">
        <v>21846</v>
      </c>
      <c r="G2687" s="40">
        <v>1</v>
      </c>
      <c r="H2687" s="41">
        <v>706</v>
      </c>
      <c r="J2687" s="41">
        <v>706</v>
      </c>
    </row>
    <row r="2688" spans="1:11" x14ac:dyDescent="0.25">
      <c r="A2688" s="24" t="s">
        <v>7</v>
      </c>
      <c r="B2688" s="24" t="s">
        <v>13201</v>
      </c>
      <c r="C2688" s="25" t="s">
        <v>13202</v>
      </c>
      <c r="D2688" s="24" t="s">
        <v>21846</v>
      </c>
      <c r="E2688" s="40">
        <v>57</v>
      </c>
      <c r="F2688" s="41">
        <v>33777</v>
      </c>
      <c r="G2688" s="40">
        <v>70</v>
      </c>
      <c r="H2688" s="41">
        <v>39612</v>
      </c>
      <c r="I2688" s="41">
        <v>592.57894736842104</v>
      </c>
      <c r="J2688" s="41">
        <v>565.88571428571424</v>
      </c>
      <c r="K2688" s="42">
        <v>-4.5045868067450853E-2</v>
      </c>
    </row>
    <row r="2689" spans="1:11" x14ac:dyDescent="0.25">
      <c r="A2689" s="24" t="s">
        <v>7</v>
      </c>
      <c r="B2689" s="24" t="s">
        <v>13216</v>
      </c>
      <c r="C2689" s="25" t="s">
        <v>13217</v>
      </c>
      <c r="D2689" s="24" t="s">
        <v>22161</v>
      </c>
      <c r="E2689" s="40">
        <v>46</v>
      </c>
      <c r="F2689" s="41">
        <v>14076</v>
      </c>
      <c r="G2689" s="40">
        <v>22</v>
      </c>
      <c r="H2689" s="41">
        <v>5786</v>
      </c>
      <c r="I2689" s="41">
        <v>306</v>
      </c>
      <c r="J2689" s="41">
        <v>263</v>
      </c>
      <c r="K2689" s="42">
        <v>-0.14052287581699346</v>
      </c>
    </row>
    <row r="2690" spans="1:11" x14ac:dyDescent="0.25">
      <c r="A2690" s="24" t="s">
        <v>7</v>
      </c>
      <c r="B2690" s="24" t="s">
        <v>13218</v>
      </c>
      <c r="C2690" s="25" t="s">
        <v>13219</v>
      </c>
      <c r="D2690" s="24" t="s">
        <v>21823</v>
      </c>
      <c r="E2690" s="40">
        <v>26</v>
      </c>
      <c r="F2690" s="41">
        <v>844</v>
      </c>
      <c r="G2690" s="40">
        <v>24</v>
      </c>
      <c r="H2690" s="41">
        <v>768</v>
      </c>
      <c r="I2690" s="41">
        <v>32.46153846153846</v>
      </c>
      <c r="J2690" s="41">
        <v>32</v>
      </c>
      <c r="K2690" s="42">
        <v>-1.4218009478672937E-2</v>
      </c>
    </row>
    <row r="2691" spans="1:11" x14ac:dyDescent="0.25">
      <c r="A2691" s="24" t="s">
        <v>7</v>
      </c>
      <c r="B2691" s="24" t="s">
        <v>13221</v>
      </c>
      <c r="C2691" s="25" t="s">
        <v>13222</v>
      </c>
      <c r="D2691" s="24" t="s">
        <v>21823</v>
      </c>
      <c r="E2691" s="40">
        <v>59</v>
      </c>
      <c r="F2691" s="41">
        <v>3437</v>
      </c>
      <c r="G2691" s="40">
        <v>142</v>
      </c>
      <c r="H2691" s="41">
        <v>7428</v>
      </c>
      <c r="I2691" s="41">
        <v>58.254237288135592</v>
      </c>
      <c r="J2691" s="41">
        <v>52.309859154929576</v>
      </c>
      <c r="K2691" s="42">
        <v>-0.10204198715715884</v>
      </c>
    </row>
    <row r="2692" spans="1:11" x14ac:dyDescent="0.25">
      <c r="A2692" s="24" t="s">
        <v>7</v>
      </c>
      <c r="B2692" s="24" t="s">
        <v>13224</v>
      </c>
      <c r="C2692" s="25" t="s">
        <v>13225</v>
      </c>
      <c r="D2692" s="24" t="s">
        <v>21823</v>
      </c>
      <c r="E2692" s="40">
        <v>5</v>
      </c>
      <c r="F2692" s="41">
        <v>154</v>
      </c>
      <c r="G2692" s="40">
        <v>4</v>
      </c>
      <c r="H2692" s="41">
        <v>128</v>
      </c>
      <c r="I2692" s="41">
        <v>30.8</v>
      </c>
      <c r="J2692" s="41">
        <v>32</v>
      </c>
      <c r="K2692" s="42">
        <v>3.8961038961038939E-2</v>
      </c>
    </row>
    <row r="2693" spans="1:11" x14ac:dyDescent="0.25">
      <c r="A2693" s="24" t="s">
        <v>7</v>
      </c>
      <c r="B2693" s="24" t="s">
        <v>13227</v>
      </c>
      <c r="C2693" s="25" t="s">
        <v>13228</v>
      </c>
      <c r="D2693" s="24" t="s">
        <v>21846</v>
      </c>
      <c r="G2693" s="40">
        <v>61</v>
      </c>
      <c r="H2693" s="41">
        <v>2013</v>
      </c>
      <c r="J2693" s="41">
        <v>33</v>
      </c>
    </row>
    <row r="2694" spans="1:11" x14ac:dyDescent="0.25">
      <c r="A2694" s="24" t="s">
        <v>7</v>
      </c>
      <c r="B2694" s="24" t="s">
        <v>13229</v>
      </c>
      <c r="C2694" s="25" t="s">
        <v>13230</v>
      </c>
      <c r="D2694" s="24" t="s">
        <v>21846</v>
      </c>
      <c r="E2694" s="40">
        <v>104</v>
      </c>
      <c r="F2694" s="41">
        <v>2578</v>
      </c>
      <c r="G2694" s="40">
        <v>66</v>
      </c>
      <c r="H2694" s="41">
        <v>1650</v>
      </c>
      <c r="I2694" s="41">
        <v>24.78846153846154</v>
      </c>
      <c r="J2694" s="41">
        <v>25</v>
      </c>
      <c r="K2694" s="42">
        <v>8.5337470907679708E-3</v>
      </c>
    </row>
    <row r="2695" spans="1:11" x14ac:dyDescent="0.25">
      <c r="A2695" s="24" t="s">
        <v>7</v>
      </c>
      <c r="B2695" s="24" t="s">
        <v>13232</v>
      </c>
      <c r="C2695" s="25" t="s">
        <v>13233</v>
      </c>
      <c r="D2695" s="24" t="s">
        <v>21846</v>
      </c>
      <c r="E2695" s="40">
        <v>29</v>
      </c>
      <c r="F2695" s="41">
        <v>11223</v>
      </c>
      <c r="G2695" s="40">
        <v>35</v>
      </c>
      <c r="H2695" s="41">
        <v>12015</v>
      </c>
      <c r="I2695" s="41">
        <v>387</v>
      </c>
      <c r="J2695" s="41">
        <v>343.28571428571428</v>
      </c>
      <c r="K2695" s="42">
        <v>-0.11295681063122925</v>
      </c>
    </row>
    <row r="2696" spans="1:11" x14ac:dyDescent="0.25">
      <c r="A2696" s="24" t="s">
        <v>7</v>
      </c>
      <c r="B2696" s="24" t="s">
        <v>13235</v>
      </c>
      <c r="C2696" s="25" t="s">
        <v>13236</v>
      </c>
      <c r="D2696" s="24" t="s">
        <v>21846</v>
      </c>
      <c r="E2696" s="40">
        <v>1</v>
      </c>
      <c r="F2696" s="41">
        <v>143</v>
      </c>
      <c r="G2696" s="40">
        <v>0</v>
      </c>
      <c r="H2696" s="41">
        <v>0</v>
      </c>
      <c r="I2696" s="41">
        <v>143</v>
      </c>
    </row>
    <row r="2697" spans="1:11" x14ac:dyDescent="0.25">
      <c r="A2697" s="24" t="s">
        <v>7</v>
      </c>
      <c r="B2697" s="24" t="s">
        <v>13238</v>
      </c>
      <c r="C2697" s="25" t="s">
        <v>13239</v>
      </c>
      <c r="D2697" s="24" t="s">
        <v>21846</v>
      </c>
      <c r="E2697" s="40">
        <v>1390</v>
      </c>
      <c r="F2697" s="41">
        <v>41026</v>
      </c>
      <c r="G2697" s="40">
        <v>1405</v>
      </c>
      <c r="H2697" s="41">
        <v>36350</v>
      </c>
      <c r="I2697" s="41">
        <v>29.515107913669066</v>
      </c>
      <c r="J2697" s="41">
        <v>25.871886120996443</v>
      </c>
      <c r="K2697" s="42">
        <v>-0.12343582829949169</v>
      </c>
    </row>
    <row r="2698" spans="1:11" x14ac:dyDescent="0.25">
      <c r="A2698" s="24" t="s">
        <v>7</v>
      </c>
      <c r="B2698" s="24" t="s">
        <v>13245</v>
      </c>
      <c r="C2698" s="25" t="s">
        <v>13246</v>
      </c>
      <c r="D2698" s="24" t="s">
        <v>21846</v>
      </c>
      <c r="E2698" s="40">
        <v>15</v>
      </c>
      <c r="F2698" s="41">
        <v>1429</v>
      </c>
      <c r="G2698" s="40">
        <v>8</v>
      </c>
      <c r="H2698" s="41">
        <v>828</v>
      </c>
      <c r="I2698" s="41">
        <v>95.266666666666666</v>
      </c>
      <c r="J2698" s="41">
        <v>103.5</v>
      </c>
      <c r="K2698" s="42">
        <v>8.6424072778166564E-2</v>
      </c>
    </row>
    <row r="2699" spans="1:11" x14ac:dyDescent="0.25">
      <c r="A2699" s="24" t="s">
        <v>7</v>
      </c>
      <c r="B2699" s="24" t="s">
        <v>13248</v>
      </c>
      <c r="C2699" s="25" t="s">
        <v>13249</v>
      </c>
      <c r="D2699" s="24" t="s">
        <v>21846</v>
      </c>
      <c r="G2699" s="40">
        <v>1</v>
      </c>
      <c r="H2699" s="41">
        <v>170</v>
      </c>
      <c r="J2699" s="41">
        <v>170</v>
      </c>
    </row>
    <row r="2700" spans="1:11" x14ac:dyDescent="0.25">
      <c r="A2700" s="24" t="s">
        <v>7</v>
      </c>
      <c r="B2700" s="24" t="s">
        <v>13251</v>
      </c>
      <c r="C2700" s="25" t="s">
        <v>13252</v>
      </c>
      <c r="D2700" s="24" t="s">
        <v>21846</v>
      </c>
      <c r="G2700" s="40">
        <v>6</v>
      </c>
      <c r="H2700" s="41">
        <v>1925.6</v>
      </c>
      <c r="J2700" s="41">
        <v>320.93333333333334</v>
      </c>
    </row>
    <row r="2701" spans="1:11" x14ac:dyDescent="0.25">
      <c r="A2701" s="24" t="s">
        <v>7</v>
      </c>
      <c r="B2701" s="24" t="s">
        <v>13254</v>
      </c>
      <c r="C2701" s="25" t="s">
        <v>13255</v>
      </c>
      <c r="D2701" s="24" t="s">
        <v>21846</v>
      </c>
      <c r="E2701" s="40">
        <v>119</v>
      </c>
      <c r="F2701" s="41">
        <v>6337</v>
      </c>
      <c r="G2701" s="40">
        <v>147</v>
      </c>
      <c r="H2701" s="41">
        <v>9814</v>
      </c>
      <c r="I2701" s="41">
        <v>53.252100840336134</v>
      </c>
      <c r="J2701" s="41">
        <v>66.761904761904759</v>
      </c>
      <c r="K2701" s="42">
        <v>0.25369522907790226</v>
      </c>
    </row>
    <row r="2702" spans="1:11" x14ac:dyDescent="0.25">
      <c r="A2702" s="24" t="s">
        <v>7</v>
      </c>
      <c r="B2702" s="24" t="s">
        <v>13260</v>
      </c>
      <c r="C2702" s="25" t="s">
        <v>13261</v>
      </c>
      <c r="D2702" s="24" t="s">
        <v>21823</v>
      </c>
      <c r="G2702" s="40">
        <v>8</v>
      </c>
      <c r="H2702" s="41">
        <v>724</v>
      </c>
      <c r="J2702" s="41">
        <v>90.5</v>
      </c>
    </row>
    <row r="2703" spans="1:11" x14ac:dyDescent="0.25">
      <c r="A2703" s="24" t="s">
        <v>7</v>
      </c>
      <c r="B2703" s="24" t="s">
        <v>13263</v>
      </c>
      <c r="C2703" s="25" t="s">
        <v>13264</v>
      </c>
      <c r="D2703" s="24" t="s">
        <v>21846</v>
      </c>
      <c r="E2703" s="40">
        <v>175</v>
      </c>
      <c r="F2703" s="41">
        <v>13000</v>
      </c>
      <c r="G2703" s="40">
        <v>185</v>
      </c>
      <c r="H2703" s="41">
        <v>13448</v>
      </c>
      <c r="I2703" s="41">
        <v>74.285714285714292</v>
      </c>
      <c r="J2703" s="41">
        <v>72.691891891891885</v>
      </c>
      <c r="K2703" s="42">
        <v>-2.1455301455301629E-2</v>
      </c>
    </row>
    <row r="2704" spans="1:11" x14ac:dyDescent="0.25">
      <c r="A2704" s="24" t="s">
        <v>7</v>
      </c>
      <c r="B2704" s="24" t="s">
        <v>13269</v>
      </c>
      <c r="C2704" s="25" t="s">
        <v>13270</v>
      </c>
      <c r="D2704" s="24" t="s">
        <v>21846</v>
      </c>
      <c r="E2704" s="40">
        <v>16</v>
      </c>
      <c r="F2704" s="41">
        <v>3978</v>
      </c>
      <c r="G2704" s="40">
        <v>16</v>
      </c>
      <c r="H2704" s="41">
        <v>3791</v>
      </c>
      <c r="I2704" s="41">
        <v>248.625</v>
      </c>
      <c r="J2704" s="41">
        <v>236.9375</v>
      </c>
      <c r="K2704" s="42">
        <v>-4.7008547008547008E-2</v>
      </c>
    </row>
    <row r="2705" spans="1:11" x14ac:dyDescent="0.25">
      <c r="A2705" s="24" t="s">
        <v>7</v>
      </c>
      <c r="B2705" s="24" t="s">
        <v>13272</v>
      </c>
      <c r="C2705" s="25" t="s">
        <v>13273</v>
      </c>
      <c r="D2705" s="24" t="s">
        <v>21846</v>
      </c>
      <c r="G2705" s="40">
        <v>4</v>
      </c>
      <c r="H2705" s="41">
        <v>2936</v>
      </c>
      <c r="J2705" s="41">
        <v>734</v>
      </c>
    </row>
    <row r="2706" spans="1:11" x14ac:dyDescent="0.25">
      <c r="A2706" s="24" t="s">
        <v>7</v>
      </c>
      <c r="B2706" s="24" t="s">
        <v>13275</v>
      </c>
      <c r="C2706" s="25" t="s">
        <v>13276</v>
      </c>
      <c r="D2706" s="24" t="s">
        <v>21846</v>
      </c>
      <c r="G2706" s="40">
        <v>2</v>
      </c>
      <c r="H2706" s="41">
        <v>1042</v>
      </c>
      <c r="J2706" s="41">
        <v>521</v>
      </c>
    </row>
    <row r="2707" spans="1:11" x14ac:dyDescent="0.25">
      <c r="A2707" s="24" t="s">
        <v>7</v>
      </c>
      <c r="B2707" s="24" t="s">
        <v>13277</v>
      </c>
      <c r="C2707" s="25" t="s">
        <v>13278</v>
      </c>
      <c r="D2707" s="24" t="s">
        <v>21846</v>
      </c>
      <c r="E2707" s="40">
        <v>6</v>
      </c>
      <c r="F2707" s="41">
        <v>1345</v>
      </c>
      <c r="G2707" s="40">
        <v>15</v>
      </c>
      <c r="H2707" s="41">
        <v>14349</v>
      </c>
      <c r="I2707" s="41">
        <v>224.16666666666666</v>
      </c>
      <c r="J2707" s="41">
        <v>956.6</v>
      </c>
      <c r="K2707" s="42">
        <v>3.2673605947955395</v>
      </c>
    </row>
    <row r="2708" spans="1:11" x14ac:dyDescent="0.25">
      <c r="A2708" s="24" t="s">
        <v>7</v>
      </c>
      <c r="B2708" s="24" t="s">
        <v>13280</v>
      </c>
      <c r="C2708" s="25" t="s">
        <v>13281</v>
      </c>
      <c r="D2708" s="24" t="s">
        <v>21846</v>
      </c>
      <c r="E2708" s="40">
        <v>12</v>
      </c>
      <c r="F2708" s="41">
        <v>3156</v>
      </c>
      <c r="G2708" s="40">
        <v>8</v>
      </c>
      <c r="H2708" s="41">
        <v>1931</v>
      </c>
      <c r="I2708" s="41">
        <v>263</v>
      </c>
      <c r="J2708" s="41">
        <v>241.375</v>
      </c>
      <c r="K2708" s="42">
        <v>-8.2224334600760451E-2</v>
      </c>
    </row>
    <row r="2709" spans="1:11" x14ac:dyDescent="0.25">
      <c r="A2709" s="24" t="s">
        <v>7</v>
      </c>
      <c r="B2709" s="24" t="s">
        <v>13283</v>
      </c>
      <c r="C2709" s="25" t="s">
        <v>13284</v>
      </c>
      <c r="D2709" s="24" t="s">
        <v>21846</v>
      </c>
      <c r="G2709" s="40">
        <v>4</v>
      </c>
      <c r="H2709" s="41">
        <v>2881</v>
      </c>
      <c r="J2709" s="41">
        <v>720.25</v>
      </c>
    </row>
    <row r="2710" spans="1:11" x14ac:dyDescent="0.25">
      <c r="A2710" s="24" t="s">
        <v>7</v>
      </c>
      <c r="B2710" s="24" t="s">
        <v>13289</v>
      </c>
      <c r="C2710" s="25" t="s">
        <v>13290</v>
      </c>
      <c r="D2710" s="24" t="s">
        <v>21846</v>
      </c>
      <c r="G2710" s="40">
        <v>16</v>
      </c>
      <c r="H2710" s="41">
        <v>4961</v>
      </c>
      <c r="J2710" s="41">
        <v>310.0625</v>
      </c>
    </row>
    <row r="2711" spans="1:11" x14ac:dyDescent="0.25">
      <c r="A2711" s="24" t="s">
        <v>7</v>
      </c>
      <c r="B2711" s="24" t="s">
        <v>13298</v>
      </c>
      <c r="C2711" s="25" t="s">
        <v>13299</v>
      </c>
      <c r="D2711" s="24" t="s">
        <v>21846</v>
      </c>
      <c r="E2711" s="40">
        <v>9</v>
      </c>
      <c r="F2711" s="41">
        <v>1375</v>
      </c>
      <c r="G2711" s="40">
        <v>11</v>
      </c>
      <c r="H2711" s="41">
        <v>1694</v>
      </c>
      <c r="I2711" s="41">
        <v>152.77777777777777</v>
      </c>
      <c r="J2711" s="41">
        <v>154</v>
      </c>
      <c r="K2711" s="42">
        <v>8.0000000000000418E-3</v>
      </c>
    </row>
    <row r="2712" spans="1:11" x14ac:dyDescent="0.25">
      <c r="A2712" s="24" t="s">
        <v>7</v>
      </c>
      <c r="B2712" s="24" t="s">
        <v>13307</v>
      </c>
      <c r="C2712" s="25" t="s">
        <v>13308</v>
      </c>
      <c r="D2712" s="24" t="s">
        <v>22161</v>
      </c>
      <c r="E2712" s="40">
        <v>29</v>
      </c>
      <c r="F2712" s="41">
        <v>9310</v>
      </c>
      <c r="G2712" s="40">
        <v>28</v>
      </c>
      <c r="H2712" s="41">
        <v>8602</v>
      </c>
      <c r="I2712" s="41">
        <v>321.0344827586207</v>
      </c>
      <c r="J2712" s="41">
        <v>307.21428571428572</v>
      </c>
      <c r="K2712" s="42">
        <v>-4.3048948902869415E-2</v>
      </c>
    </row>
    <row r="2713" spans="1:11" x14ac:dyDescent="0.25">
      <c r="A2713" s="24" t="s">
        <v>7</v>
      </c>
      <c r="B2713" s="24" t="s">
        <v>13310</v>
      </c>
      <c r="C2713" s="25" t="s">
        <v>13311</v>
      </c>
      <c r="D2713" s="24" t="s">
        <v>22161</v>
      </c>
      <c r="E2713" s="40">
        <v>26</v>
      </c>
      <c r="F2713" s="41">
        <v>10620</v>
      </c>
      <c r="G2713" s="40">
        <v>48</v>
      </c>
      <c r="H2713" s="41">
        <v>15660</v>
      </c>
      <c r="I2713" s="41">
        <v>408.46153846153845</v>
      </c>
      <c r="J2713" s="41">
        <v>326.25</v>
      </c>
      <c r="K2713" s="42">
        <v>-0.20127118644067796</v>
      </c>
    </row>
    <row r="2714" spans="1:11" x14ac:dyDescent="0.25">
      <c r="A2714" s="24" t="s">
        <v>7</v>
      </c>
      <c r="B2714" s="24" t="s">
        <v>13316</v>
      </c>
      <c r="C2714" s="25" t="s">
        <v>13317</v>
      </c>
      <c r="D2714" s="24" t="s">
        <v>21846</v>
      </c>
      <c r="G2714" s="40">
        <v>20</v>
      </c>
      <c r="H2714" s="41">
        <v>35997</v>
      </c>
      <c r="J2714" s="41">
        <v>1799.85</v>
      </c>
    </row>
    <row r="2715" spans="1:11" x14ac:dyDescent="0.25">
      <c r="A2715" s="24" t="s">
        <v>7</v>
      </c>
      <c r="B2715" s="24" t="s">
        <v>13322</v>
      </c>
      <c r="C2715" s="25" t="s">
        <v>13323</v>
      </c>
      <c r="D2715" s="24" t="s">
        <v>21846</v>
      </c>
      <c r="E2715" s="40">
        <v>13</v>
      </c>
      <c r="F2715" s="41">
        <v>7590</v>
      </c>
      <c r="G2715" s="40">
        <v>15</v>
      </c>
      <c r="H2715" s="41">
        <v>10758</v>
      </c>
      <c r="I2715" s="41">
        <v>583.84615384615381</v>
      </c>
      <c r="J2715" s="41">
        <v>717.2</v>
      </c>
      <c r="K2715" s="42">
        <v>0.22840579710144943</v>
      </c>
    </row>
    <row r="2716" spans="1:11" x14ac:dyDescent="0.25">
      <c r="A2716" s="24" t="s">
        <v>7</v>
      </c>
      <c r="B2716" s="24" t="s">
        <v>13325</v>
      </c>
      <c r="C2716" s="25" t="s">
        <v>13326</v>
      </c>
      <c r="D2716" s="24" t="s">
        <v>21278</v>
      </c>
      <c r="E2716" s="40">
        <v>39</v>
      </c>
      <c r="F2716" s="41">
        <v>79007</v>
      </c>
      <c r="G2716" s="40">
        <v>28</v>
      </c>
      <c r="H2716" s="41">
        <v>57596</v>
      </c>
      <c r="I2716" s="41">
        <v>2025.8205128205129</v>
      </c>
      <c r="J2716" s="41">
        <v>2057</v>
      </c>
      <c r="K2716" s="42">
        <v>1.5391041300137907E-2</v>
      </c>
    </row>
    <row r="2717" spans="1:11" x14ac:dyDescent="0.25">
      <c r="A2717" s="24" t="s">
        <v>7</v>
      </c>
      <c r="B2717" s="24" t="s">
        <v>13328</v>
      </c>
      <c r="C2717" s="25" t="s">
        <v>13329</v>
      </c>
      <c r="D2717" s="24" t="s">
        <v>21823</v>
      </c>
      <c r="G2717" s="40">
        <v>1</v>
      </c>
      <c r="H2717" s="41">
        <v>12</v>
      </c>
      <c r="J2717" s="41">
        <v>12</v>
      </c>
    </row>
    <row r="2718" spans="1:11" x14ac:dyDescent="0.25">
      <c r="A2718" s="24" t="s">
        <v>7</v>
      </c>
      <c r="B2718" s="24" t="s">
        <v>13334</v>
      </c>
      <c r="C2718" s="25" t="s">
        <v>13335</v>
      </c>
      <c r="D2718" s="24" t="s">
        <v>21823</v>
      </c>
      <c r="E2718" s="40">
        <v>30</v>
      </c>
      <c r="F2718" s="41">
        <v>1128</v>
      </c>
      <c r="G2718" s="40">
        <v>11</v>
      </c>
      <c r="H2718" s="41">
        <v>429</v>
      </c>
      <c r="I2718" s="41">
        <v>37.6</v>
      </c>
      <c r="J2718" s="41">
        <v>39</v>
      </c>
      <c r="K2718" s="42">
        <v>3.7234042553191453E-2</v>
      </c>
    </row>
    <row r="2719" spans="1:11" x14ac:dyDescent="0.25">
      <c r="A2719" s="24" t="s">
        <v>7</v>
      </c>
      <c r="B2719" s="24" t="s">
        <v>13340</v>
      </c>
      <c r="C2719" s="25" t="s">
        <v>13341</v>
      </c>
      <c r="D2719" s="24" t="s">
        <v>21823</v>
      </c>
      <c r="E2719" s="40">
        <v>275</v>
      </c>
      <c r="F2719" s="41">
        <v>21723</v>
      </c>
      <c r="G2719" s="40">
        <v>369</v>
      </c>
      <c r="H2719" s="41">
        <v>26046</v>
      </c>
      <c r="I2719" s="41">
        <v>78.992727272727279</v>
      </c>
      <c r="J2719" s="41">
        <v>70.58536585365853</v>
      </c>
      <c r="K2719" s="42">
        <v>-0.10643209456538719</v>
      </c>
    </row>
    <row r="2720" spans="1:11" x14ac:dyDescent="0.25">
      <c r="A2720" s="24" t="s">
        <v>7</v>
      </c>
      <c r="B2720" s="24" t="s">
        <v>13343</v>
      </c>
      <c r="C2720" s="25" t="s">
        <v>13344</v>
      </c>
      <c r="D2720" s="24" t="s">
        <v>21823</v>
      </c>
      <c r="E2720" s="40">
        <v>307</v>
      </c>
      <c r="F2720" s="41">
        <v>4813</v>
      </c>
      <c r="G2720" s="40">
        <v>704</v>
      </c>
      <c r="H2720" s="41">
        <v>10184</v>
      </c>
      <c r="I2720" s="41">
        <v>15.677524429967427</v>
      </c>
      <c r="J2720" s="41">
        <v>14.465909090909092</v>
      </c>
      <c r="K2720" s="42">
        <v>-7.7283588009746301E-2</v>
      </c>
    </row>
    <row r="2721" spans="1:11" x14ac:dyDescent="0.25">
      <c r="A2721" s="24" t="s">
        <v>7</v>
      </c>
      <c r="B2721" s="24" t="s">
        <v>13346</v>
      </c>
      <c r="C2721" s="25" t="s">
        <v>13347</v>
      </c>
      <c r="D2721" s="24" t="s">
        <v>21823</v>
      </c>
      <c r="G2721" s="40">
        <v>34</v>
      </c>
      <c r="H2721" s="41">
        <v>663</v>
      </c>
      <c r="J2721" s="41">
        <v>19.5</v>
      </c>
    </row>
    <row r="2722" spans="1:11" x14ac:dyDescent="0.25">
      <c r="A2722" s="24" t="s">
        <v>7</v>
      </c>
      <c r="B2722" s="24" t="s">
        <v>13349</v>
      </c>
      <c r="C2722" s="25" t="s">
        <v>13350</v>
      </c>
      <c r="D2722" s="24" t="s">
        <v>21823</v>
      </c>
      <c r="E2722" s="40">
        <v>3</v>
      </c>
      <c r="F2722" s="41">
        <v>89</v>
      </c>
      <c r="G2722" s="40">
        <v>1</v>
      </c>
      <c r="H2722" s="41">
        <v>31</v>
      </c>
      <c r="I2722" s="41">
        <v>29.666666666666668</v>
      </c>
      <c r="J2722" s="41">
        <v>31</v>
      </c>
      <c r="K2722" s="42">
        <v>4.4943820224719058E-2</v>
      </c>
    </row>
    <row r="2723" spans="1:11" x14ac:dyDescent="0.25">
      <c r="A2723" s="24" t="s">
        <v>7</v>
      </c>
      <c r="B2723" s="24" t="s">
        <v>13352</v>
      </c>
      <c r="C2723" s="25" t="s">
        <v>13353</v>
      </c>
      <c r="D2723" s="24" t="s">
        <v>21823</v>
      </c>
      <c r="E2723" s="40">
        <v>9</v>
      </c>
      <c r="F2723" s="41">
        <v>470</v>
      </c>
      <c r="G2723" s="40">
        <v>18</v>
      </c>
      <c r="H2723" s="41">
        <v>966</v>
      </c>
      <c r="I2723" s="41">
        <v>52.222222222222221</v>
      </c>
      <c r="J2723" s="41">
        <v>53.666666666666664</v>
      </c>
      <c r="K2723" s="42">
        <v>2.7659574468085077E-2</v>
      </c>
    </row>
    <row r="2724" spans="1:11" x14ac:dyDescent="0.25">
      <c r="A2724" s="24" t="s">
        <v>7</v>
      </c>
      <c r="B2724" s="24" t="s">
        <v>13355</v>
      </c>
      <c r="C2724" s="25" t="s">
        <v>13356</v>
      </c>
      <c r="D2724" s="24" t="s">
        <v>21823</v>
      </c>
      <c r="G2724" s="40">
        <v>1</v>
      </c>
      <c r="H2724" s="41">
        <v>154</v>
      </c>
      <c r="J2724" s="41">
        <v>154</v>
      </c>
    </row>
    <row r="2725" spans="1:11" x14ac:dyDescent="0.25">
      <c r="A2725" s="24" t="s">
        <v>7</v>
      </c>
      <c r="B2725" s="24" t="s">
        <v>13361</v>
      </c>
      <c r="C2725" s="25" t="s">
        <v>13362</v>
      </c>
      <c r="D2725" s="24" t="s">
        <v>21823</v>
      </c>
      <c r="G2725" s="40">
        <v>1</v>
      </c>
      <c r="H2725" s="41">
        <v>24</v>
      </c>
      <c r="J2725" s="41">
        <v>24</v>
      </c>
    </row>
    <row r="2726" spans="1:11" x14ac:dyDescent="0.25">
      <c r="A2726" s="24" t="s">
        <v>7</v>
      </c>
      <c r="B2726" s="24" t="s">
        <v>13364</v>
      </c>
      <c r="C2726" s="25" t="s">
        <v>13365</v>
      </c>
      <c r="D2726" s="24" t="s">
        <v>21846</v>
      </c>
      <c r="E2726" s="40">
        <v>200</v>
      </c>
      <c r="F2726" s="41">
        <v>29674</v>
      </c>
      <c r="G2726" s="40">
        <v>142</v>
      </c>
      <c r="H2726" s="41">
        <v>30271</v>
      </c>
      <c r="I2726" s="41">
        <v>148.37</v>
      </c>
      <c r="J2726" s="41">
        <v>213.17605633802816</v>
      </c>
      <c r="K2726" s="42">
        <v>0.4367867920605793</v>
      </c>
    </row>
    <row r="2727" spans="1:11" x14ac:dyDescent="0.25">
      <c r="A2727" s="24" t="s">
        <v>7</v>
      </c>
      <c r="B2727" s="24" t="s">
        <v>13367</v>
      </c>
      <c r="C2727" s="25" t="s">
        <v>13368</v>
      </c>
      <c r="D2727" s="24" t="s">
        <v>21846</v>
      </c>
      <c r="E2727" s="40">
        <v>8</v>
      </c>
      <c r="F2727" s="41">
        <v>362</v>
      </c>
      <c r="G2727" s="40">
        <v>6</v>
      </c>
      <c r="H2727" s="41">
        <v>540</v>
      </c>
      <c r="I2727" s="41">
        <v>45.25</v>
      </c>
      <c r="J2727" s="41">
        <v>90</v>
      </c>
      <c r="K2727" s="42">
        <v>0.98895027624309395</v>
      </c>
    </row>
    <row r="2728" spans="1:11" x14ac:dyDescent="0.25">
      <c r="A2728" s="24" t="s">
        <v>7</v>
      </c>
      <c r="B2728" s="24" t="s">
        <v>13370</v>
      </c>
      <c r="C2728" s="25" t="s">
        <v>13371</v>
      </c>
      <c r="D2728" s="24" t="s">
        <v>21823</v>
      </c>
      <c r="G2728" s="40">
        <v>2</v>
      </c>
      <c r="H2728" s="41">
        <v>38</v>
      </c>
      <c r="J2728" s="41">
        <v>19</v>
      </c>
    </row>
    <row r="2729" spans="1:11" x14ac:dyDescent="0.25">
      <c r="A2729" s="24" t="s">
        <v>7</v>
      </c>
      <c r="B2729" s="24" t="s">
        <v>13376</v>
      </c>
      <c r="C2729" s="25" t="s">
        <v>13377</v>
      </c>
      <c r="D2729" s="24" t="s">
        <v>21823</v>
      </c>
      <c r="E2729" s="40">
        <v>1083</v>
      </c>
      <c r="F2729" s="41">
        <v>17048.490000000002</v>
      </c>
      <c r="G2729" s="40">
        <v>1044</v>
      </c>
      <c r="H2729" s="41">
        <v>26224</v>
      </c>
      <c r="I2729" s="41">
        <v>15.741911357340722</v>
      </c>
      <c r="J2729" s="41">
        <v>25.118773946360154</v>
      </c>
      <c r="K2729" s="42">
        <v>0.59566226591962357</v>
      </c>
    </row>
    <row r="2730" spans="1:11" x14ac:dyDescent="0.25">
      <c r="A2730" s="24" t="s">
        <v>7</v>
      </c>
      <c r="B2730" s="24" t="s">
        <v>13379</v>
      </c>
      <c r="C2730" s="25" t="s">
        <v>13380</v>
      </c>
      <c r="D2730" s="24" t="s">
        <v>21846</v>
      </c>
      <c r="G2730" s="40">
        <v>1</v>
      </c>
      <c r="H2730" s="41">
        <v>208</v>
      </c>
      <c r="J2730" s="41">
        <v>208</v>
      </c>
    </row>
    <row r="2731" spans="1:11" x14ac:dyDescent="0.25">
      <c r="A2731" s="24" t="s">
        <v>7</v>
      </c>
      <c r="B2731" s="24" t="s">
        <v>13382</v>
      </c>
      <c r="C2731" s="25" t="s">
        <v>13383</v>
      </c>
      <c r="D2731" s="24" t="s">
        <v>21823</v>
      </c>
      <c r="G2731" s="40">
        <v>1</v>
      </c>
      <c r="H2731" s="41">
        <v>50</v>
      </c>
      <c r="J2731" s="41">
        <v>50</v>
      </c>
    </row>
    <row r="2732" spans="1:11" x14ac:dyDescent="0.25">
      <c r="A2732" s="24" t="s">
        <v>7</v>
      </c>
      <c r="B2732" s="24" t="s">
        <v>13388</v>
      </c>
      <c r="C2732" s="25" t="s">
        <v>13389</v>
      </c>
      <c r="D2732" s="24" t="s">
        <v>21846</v>
      </c>
      <c r="E2732" s="40">
        <v>3</v>
      </c>
      <c r="F2732" s="41">
        <v>416</v>
      </c>
      <c r="G2732" s="40">
        <v>9</v>
      </c>
      <c r="H2732" s="41">
        <v>1314</v>
      </c>
      <c r="I2732" s="41">
        <v>138.66666666666666</v>
      </c>
      <c r="J2732" s="41">
        <v>146</v>
      </c>
      <c r="K2732" s="42">
        <v>5.2884615384615453E-2</v>
      </c>
    </row>
    <row r="2733" spans="1:11" x14ac:dyDescent="0.25">
      <c r="A2733" s="24" t="s">
        <v>7</v>
      </c>
      <c r="B2733" s="24" t="s">
        <v>13391</v>
      </c>
      <c r="C2733" s="25" t="s">
        <v>13392</v>
      </c>
      <c r="D2733" s="24" t="s">
        <v>21846</v>
      </c>
      <c r="E2733" s="40">
        <v>1</v>
      </c>
      <c r="F2733" s="41">
        <v>399</v>
      </c>
      <c r="G2733" s="40">
        <v>0</v>
      </c>
      <c r="H2733" s="41">
        <v>0</v>
      </c>
      <c r="I2733" s="41">
        <v>399</v>
      </c>
    </row>
    <row r="2734" spans="1:11" x14ac:dyDescent="0.25">
      <c r="A2734" s="24" t="s">
        <v>7</v>
      </c>
      <c r="B2734" s="24" t="s">
        <v>13397</v>
      </c>
      <c r="C2734" s="25" t="s">
        <v>13398</v>
      </c>
      <c r="D2734" s="24" t="s">
        <v>21823</v>
      </c>
      <c r="E2734" s="40">
        <v>84</v>
      </c>
      <c r="F2734" s="41">
        <v>31192</v>
      </c>
      <c r="G2734" s="40">
        <v>94</v>
      </c>
      <c r="H2734" s="41">
        <v>36002</v>
      </c>
      <c r="I2734" s="41">
        <v>371.33333333333331</v>
      </c>
      <c r="J2734" s="41">
        <v>383</v>
      </c>
      <c r="K2734" s="42">
        <v>3.1418312387791796E-2</v>
      </c>
    </row>
    <row r="2735" spans="1:11" x14ac:dyDescent="0.25">
      <c r="A2735" s="24" t="s">
        <v>7</v>
      </c>
      <c r="B2735" s="24" t="s">
        <v>13400</v>
      </c>
      <c r="C2735" s="25" t="s">
        <v>13401</v>
      </c>
      <c r="D2735" s="24" t="s">
        <v>21823</v>
      </c>
      <c r="E2735" s="40">
        <v>5</v>
      </c>
      <c r="F2735" s="41">
        <v>1555</v>
      </c>
      <c r="G2735" s="40">
        <v>14</v>
      </c>
      <c r="H2735" s="41">
        <v>4354</v>
      </c>
      <c r="I2735" s="41">
        <v>311</v>
      </c>
      <c r="J2735" s="41">
        <v>311</v>
      </c>
      <c r="K2735" s="42">
        <v>0</v>
      </c>
    </row>
    <row r="2736" spans="1:11" x14ac:dyDescent="0.25">
      <c r="A2736" s="24" t="s">
        <v>7</v>
      </c>
      <c r="B2736" s="24" t="s">
        <v>13403</v>
      </c>
      <c r="C2736" s="25" t="s">
        <v>13404</v>
      </c>
      <c r="D2736" s="24" t="s">
        <v>21823</v>
      </c>
      <c r="E2736" s="40">
        <v>10</v>
      </c>
      <c r="F2736" s="41">
        <v>234</v>
      </c>
      <c r="G2736" s="40">
        <v>8</v>
      </c>
      <c r="H2736" s="41">
        <v>174</v>
      </c>
      <c r="I2736" s="41">
        <v>23.4</v>
      </c>
      <c r="J2736" s="41">
        <v>21.75</v>
      </c>
      <c r="K2736" s="42">
        <v>-7.0512820512820457E-2</v>
      </c>
    </row>
    <row r="2737" spans="1:11" x14ac:dyDescent="0.25">
      <c r="A2737" s="24" t="s">
        <v>7</v>
      </c>
      <c r="B2737" s="24" t="s">
        <v>13412</v>
      </c>
      <c r="C2737" s="25" t="s">
        <v>13413</v>
      </c>
      <c r="D2737" s="24" t="s">
        <v>21823</v>
      </c>
      <c r="E2737" s="40">
        <v>52</v>
      </c>
      <c r="F2737" s="41">
        <v>2231</v>
      </c>
      <c r="G2737" s="40">
        <v>17</v>
      </c>
      <c r="H2737" s="41">
        <v>734</v>
      </c>
      <c r="I2737" s="41">
        <v>42.903846153846153</v>
      </c>
      <c r="J2737" s="41">
        <v>43.176470588235297</v>
      </c>
      <c r="K2737" s="42">
        <v>6.3543122313919655E-3</v>
      </c>
    </row>
    <row r="2738" spans="1:11" x14ac:dyDescent="0.25">
      <c r="A2738" s="24" t="s">
        <v>7</v>
      </c>
      <c r="B2738" s="24" t="s">
        <v>13415</v>
      </c>
      <c r="C2738" s="25" t="s">
        <v>13416</v>
      </c>
      <c r="D2738" s="24" t="s">
        <v>21823</v>
      </c>
      <c r="E2738" s="40">
        <v>3</v>
      </c>
      <c r="F2738" s="41">
        <v>219</v>
      </c>
      <c r="G2738" s="40">
        <v>6</v>
      </c>
      <c r="H2738" s="41">
        <v>402</v>
      </c>
      <c r="I2738" s="41">
        <v>73</v>
      </c>
      <c r="J2738" s="41">
        <v>67</v>
      </c>
      <c r="K2738" s="42">
        <v>-8.2191780821917804E-2</v>
      </c>
    </row>
    <row r="2739" spans="1:11" x14ac:dyDescent="0.25">
      <c r="A2739" s="24" t="s">
        <v>7</v>
      </c>
      <c r="B2739" s="24" t="s">
        <v>13429</v>
      </c>
      <c r="C2739" s="25" t="s">
        <v>13430</v>
      </c>
      <c r="D2739" s="24" t="s">
        <v>21846</v>
      </c>
      <c r="G2739" s="40">
        <v>5</v>
      </c>
      <c r="H2739" s="41">
        <v>296</v>
      </c>
      <c r="J2739" s="41">
        <v>59.2</v>
      </c>
    </row>
    <row r="2740" spans="1:11" x14ac:dyDescent="0.25">
      <c r="A2740" s="24" t="s">
        <v>7</v>
      </c>
      <c r="B2740" s="24" t="s">
        <v>13432</v>
      </c>
      <c r="C2740" s="25" t="s">
        <v>13433</v>
      </c>
      <c r="D2740" s="24" t="s">
        <v>21846</v>
      </c>
      <c r="E2740" s="40">
        <v>3</v>
      </c>
      <c r="F2740" s="41">
        <v>474</v>
      </c>
      <c r="G2740" s="40">
        <v>3</v>
      </c>
      <c r="H2740" s="41">
        <v>474</v>
      </c>
      <c r="I2740" s="41">
        <v>158</v>
      </c>
      <c r="J2740" s="41">
        <v>158</v>
      </c>
      <c r="K2740" s="42">
        <v>0</v>
      </c>
    </row>
    <row r="2741" spans="1:11" x14ac:dyDescent="0.25">
      <c r="A2741" s="24" t="s">
        <v>7</v>
      </c>
      <c r="B2741" s="24" t="s">
        <v>13435</v>
      </c>
      <c r="C2741" s="25" t="s">
        <v>13436</v>
      </c>
      <c r="D2741" s="24" t="s">
        <v>21846</v>
      </c>
      <c r="G2741" s="40">
        <v>6</v>
      </c>
      <c r="H2741" s="41">
        <v>3540</v>
      </c>
      <c r="J2741" s="41">
        <v>590</v>
      </c>
    </row>
    <row r="2742" spans="1:11" x14ac:dyDescent="0.25">
      <c r="A2742" s="24" t="s">
        <v>7</v>
      </c>
      <c r="B2742" s="24" t="s">
        <v>13438</v>
      </c>
      <c r="C2742" s="25" t="s">
        <v>13439</v>
      </c>
      <c r="D2742" s="24" t="s">
        <v>21846</v>
      </c>
      <c r="G2742" s="40">
        <v>2</v>
      </c>
      <c r="H2742" s="41">
        <v>948</v>
      </c>
      <c r="J2742" s="41">
        <v>474</v>
      </c>
    </row>
    <row r="2743" spans="1:11" x14ac:dyDescent="0.25">
      <c r="A2743" s="24" t="s">
        <v>7</v>
      </c>
      <c r="B2743" s="24" t="s">
        <v>13441</v>
      </c>
      <c r="C2743" s="25" t="s">
        <v>13442</v>
      </c>
      <c r="D2743" s="24" t="s">
        <v>21846</v>
      </c>
      <c r="G2743" s="40">
        <v>1</v>
      </c>
      <c r="H2743" s="41">
        <v>180</v>
      </c>
      <c r="J2743" s="41">
        <v>180</v>
      </c>
    </row>
    <row r="2744" spans="1:11" x14ac:dyDescent="0.25">
      <c r="A2744" s="24" t="s">
        <v>7</v>
      </c>
      <c r="B2744" s="24" t="s">
        <v>13444</v>
      </c>
      <c r="C2744" s="25" t="s">
        <v>13445</v>
      </c>
      <c r="D2744" s="24" t="s">
        <v>21846</v>
      </c>
      <c r="G2744" s="40">
        <v>44</v>
      </c>
      <c r="H2744" s="41">
        <v>15840</v>
      </c>
      <c r="J2744" s="41">
        <v>360</v>
      </c>
    </row>
    <row r="2745" spans="1:11" x14ac:dyDescent="0.25">
      <c r="A2745" s="24" t="s">
        <v>7</v>
      </c>
      <c r="B2745" s="24" t="s">
        <v>13450</v>
      </c>
      <c r="C2745" s="25" t="s">
        <v>13451</v>
      </c>
      <c r="D2745" s="24" t="s">
        <v>21846</v>
      </c>
      <c r="E2745" s="40">
        <v>60</v>
      </c>
      <c r="F2745" s="41">
        <v>7050</v>
      </c>
      <c r="G2745" s="40">
        <v>21</v>
      </c>
      <c r="H2745" s="41">
        <v>2313</v>
      </c>
      <c r="I2745" s="41">
        <v>117.5</v>
      </c>
      <c r="J2745" s="41">
        <v>110.14285714285714</v>
      </c>
      <c r="K2745" s="42">
        <v>-6.2613981762917964E-2</v>
      </c>
    </row>
    <row r="2746" spans="1:11" x14ac:dyDescent="0.25">
      <c r="A2746" s="24" t="s">
        <v>7</v>
      </c>
      <c r="B2746" s="24" t="s">
        <v>13453</v>
      </c>
      <c r="C2746" s="25" t="s">
        <v>13454</v>
      </c>
      <c r="D2746" s="24" t="s">
        <v>21846</v>
      </c>
      <c r="E2746" s="40">
        <v>58</v>
      </c>
      <c r="F2746" s="41">
        <v>12366</v>
      </c>
      <c r="G2746" s="40">
        <v>49</v>
      </c>
      <c r="H2746" s="41">
        <v>9155</v>
      </c>
      <c r="I2746" s="41">
        <v>213.20689655172413</v>
      </c>
      <c r="J2746" s="41">
        <v>186.83673469387756</v>
      </c>
      <c r="K2746" s="42">
        <v>-0.12368343747008742</v>
      </c>
    </row>
    <row r="2747" spans="1:11" x14ac:dyDescent="0.25">
      <c r="A2747" s="24" t="s">
        <v>7</v>
      </c>
      <c r="B2747" s="24" t="s">
        <v>13456</v>
      </c>
      <c r="C2747" s="25" t="s">
        <v>13457</v>
      </c>
      <c r="D2747" s="24" t="s">
        <v>21846</v>
      </c>
      <c r="G2747" s="40">
        <v>5</v>
      </c>
      <c r="H2747" s="41">
        <v>940</v>
      </c>
      <c r="J2747" s="41">
        <v>188</v>
      </c>
    </row>
    <row r="2748" spans="1:11" x14ac:dyDescent="0.25">
      <c r="A2748" s="24" t="s">
        <v>7</v>
      </c>
      <c r="B2748" s="24" t="s">
        <v>13459</v>
      </c>
      <c r="C2748" s="25" t="s">
        <v>13460</v>
      </c>
      <c r="D2748" s="24" t="s">
        <v>21846</v>
      </c>
      <c r="G2748" s="40">
        <v>3</v>
      </c>
      <c r="H2748" s="41">
        <v>795</v>
      </c>
      <c r="J2748" s="41">
        <v>265</v>
      </c>
    </row>
    <row r="2749" spans="1:11" x14ac:dyDescent="0.25">
      <c r="A2749" s="24" t="s">
        <v>7</v>
      </c>
      <c r="B2749" s="24" t="s">
        <v>13462</v>
      </c>
      <c r="C2749" s="25" t="s">
        <v>13463</v>
      </c>
      <c r="D2749" s="24" t="s">
        <v>21846</v>
      </c>
      <c r="G2749" s="40">
        <v>4</v>
      </c>
      <c r="H2749" s="41">
        <v>1116</v>
      </c>
      <c r="J2749" s="41">
        <v>279</v>
      </c>
    </row>
    <row r="2750" spans="1:11" x14ac:dyDescent="0.25">
      <c r="A2750" s="24" t="s">
        <v>7</v>
      </c>
      <c r="B2750" s="24" t="s">
        <v>13468</v>
      </c>
      <c r="C2750" s="25" t="s">
        <v>13469</v>
      </c>
      <c r="D2750" s="24" t="s">
        <v>21846</v>
      </c>
      <c r="E2750" s="40">
        <v>65</v>
      </c>
      <c r="F2750" s="41">
        <v>13982</v>
      </c>
      <c r="G2750" s="40">
        <v>112</v>
      </c>
      <c r="H2750" s="41">
        <v>21460</v>
      </c>
      <c r="I2750" s="41">
        <v>215.1076923076923</v>
      </c>
      <c r="J2750" s="41">
        <v>191.60714285714286</v>
      </c>
      <c r="K2750" s="42">
        <v>-0.10925015836687983</v>
      </c>
    </row>
    <row r="2751" spans="1:11" x14ac:dyDescent="0.25">
      <c r="A2751" s="24" t="s">
        <v>7</v>
      </c>
      <c r="B2751" s="24" t="s">
        <v>13471</v>
      </c>
      <c r="C2751" s="25" t="s">
        <v>13472</v>
      </c>
      <c r="D2751" s="24" t="s">
        <v>21846</v>
      </c>
      <c r="E2751" s="40">
        <v>64</v>
      </c>
      <c r="F2751" s="41">
        <v>7096</v>
      </c>
      <c r="G2751" s="40">
        <v>79</v>
      </c>
      <c r="H2751" s="41">
        <v>8556</v>
      </c>
      <c r="I2751" s="41">
        <v>110.875</v>
      </c>
      <c r="J2751" s="41">
        <v>108.30379746835443</v>
      </c>
      <c r="K2751" s="42">
        <v>-2.3190101751031054E-2</v>
      </c>
    </row>
    <row r="2752" spans="1:11" x14ac:dyDescent="0.25">
      <c r="A2752" s="24" t="s">
        <v>7</v>
      </c>
      <c r="B2752" s="24" t="s">
        <v>13474</v>
      </c>
      <c r="C2752" s="25" t="s">
        <v>13475</v>
      </c>
      <c r="D2752" s="24" t="s">
        <v>21846</v>
      </c>
      <c r="E2752" s="40">
        <v>75</v>
      </c>
      <c r="F2752" s="41">
        <v>15479</v>
      </c>
      <c r="G2752" s="40">
        <v>81</v>
      </c>
      <c r="H2752" s="41">
        <v>15923</v>
      </c>
      <c r="I2752" s="41">
        <v>206.38666666666666</v>
      </c>
      <c r="J2752" s="41">
        <v>196.58024691358025</v>
      </c>
      <c r="K2752" s="42">
        <v>-4.7514793040989739E-2</v>
      </c>
    </row>
    <row r="2753" spans="1:11" x14ac:dyDescent="0.25">
      <c r="A2753" s="24" t="s">
        <v>7</v>
      </c>
      <c r="B2753" s="24" t="s">
        <v>13477</v>
      </c>
      <c r="C2753" s="25" t="s">
        <v>13478</v>
      </c>
      <c r="D2753" s="24" t="s">
        <v>21846</v>
      </c>
      <c r="E2753" s="40">
        <v>81</v>
      </c>
      <c r="F2753" s="41">
        <v>13928</v>
      </c>
      <c r="G2753" s="40">
        <v>106</v>
      </c>
      <c r="H2753" s="41">
        <v>18650</v>
      </c>
      <c r="I2753" s="41">
        <v>171.95061728395061</v>
      </c>
      <c r="J2753" s="41">
        <v>175.9433962264151</v>
      </c>
      <c r="K2753" s="42">
        <v>2.3220497870449761E-2</v>
      </c>
    </row>
    <row r="2754" spans="1:11" x14ac:dyDescent="0.25">
      <c r="A2754" s="24" t="s">
        <v>7</v>
      </c>
      <c r="B2754" s="24" t="s">
        <v>13480</v>
      </c>
      <c r="C2754" s="25" t="s">
        <v>13481</v>
      </c>
      <c r="D2754" s="24" t="s">
        <v>21846</v>
      </c>
      <c r="E2754" s="40">
        <v>171</v>
      </c>
      <c r="F2754" s="41">
        <v>179571</v>
      </c>
      <c r="G2754" s="40">
        <v>233</v>
      </c>
      <c r="H2754" s="41">
        <v>343919</v>
      </c>
      <c r="I2754" s="41">
        <v>1050.1228070175439</v>
      </c>
      <c r="J2754" s="41">
        <v>1476.0472103004292</v>
      </c>
      <c r="K2754" s="42">
        <v>0.40559485084659214</v>
      </c>
    </row>
    <row r="2755" spans="1:11" x14ac:dyDescent="0.25">
      <c r="A2755" s="24" t="s">
        <v>7</v>
      </c>
      <c r="B2755" s="24" t="s">
        <v>13492</v>
      </c>
      <c r="C2755" s="25" t="s">
        <v>13493</v>
      </c>
      <c r="D2755" s="24" t="s">
        <v>21823</v>
      </c>
      <c r="G2755" s="40">
        <v>2</v>
      </c>
      <c r="H2755" s="41">
        <v>228</v>
      </c>
      <c r="J2755" s="41">
        <v>114</v>
      </c>
    </row>
    <row r="2756" spans="1:11" x14ac:dyDescent="0.25">
      <c r="A2756" s="24" t="s">
        <v>7</v>
      </c>
      <c r="B2756" s="24" t="s">
        <v>13495</v>
      </c>
      <c r="C2756" s="25" t="s">
        <v>13496</v>
      </c>
      <c r="D2756" s="24" t="s">
        <v>21846</v>
      </c>
      <c r="E2756" s="40">
        <v>110</v>
      </c>
      <c r="F2756" s="41">
        <v>51180</v>
      </c>
      <c r="G2756" s="40">
        <v>161</v>
      </c>
      <c r="H2756" s="41">
        <v>67108</v>
      </c>
      <c r="I2756" s="41">
        <v>465.27272727272725</v>
      </c>
      <c r="J2756" s="41">
        <v>416.81987577639751</v>
      </c>
      <c r="K2756" s="42">
        <v>-0.10413860227816084</v>
      </c>
    </row>
    <row r="2757" spans="1:11" x14ac:dyDescent="0.25">
      <c r="A2757" s="24" t="s">
        <v>7</v>
      </c>
      <c r="B2757" s="24" t="s">
        <v>13501</v>
      </c>
      <c r="C2757" s="25" t="s">
        <v>13502</v>
      </c>
      <c r="D2757" s="24" t="s">
        <v>21823</v>
      </c>
      <c r="E2757" s="40">
        <v>16</v>
      </c>
      <c r="F2757" s="41">
        <v>484</v>
      </c>
      <c r="G2757" s="40">
        <v>15</v>
      </c>
      <c r="H2757" s="41">
        <v>465</v>
      </c>
      <c r="I2757" s="41">
        <v>30.25</v>
      </c>
      <c r="J2757" s="41">
        <v>31</v>
      </c>
      <c r="K2757" s="42">
        <v>2.4793388429752067E-2</v>
      </c>
    </row>
    <row r="2758" spans="1:11" x14ac:dyDescent="0.25">
      <c r="A2758" s="24" t="s">
        <v>7</v>
      </c>
      <c r="B2758" s="24" t="s">
        <v>13504</v>
      </c>
      <c r="C2758" s="25" t="s">
        <v>13505</v>
      </c>
      <c r="D2758" s="24" t="s">
        <v>21823</v>
      </c>
      <c r="E2758" s="40">
        <v>51</v>
      </c>
      <c r="F2758" s="41">
        <v>1322</v>
      </c>
      <c r="G2758" s="40">
        <v>53</v>
      </c>
      <c r="H2758" s="41">
        <v>1348</v>
      </c>
      <c r="I2758" s="41">
        <v>25.921568627450981</v>
      </c>
      <c r="J2758" s="41">
        <v>25.433962264150942</v>
      </c>
      <c r="K2758" s="42">
        <v>-1.8810835497959123E-2</v>
      </c>
    </row>
    <row r="2759" spans="1:11" x14ac:dyDescent="0.25">
      <c r="A2759" s="24" t="s">
        <v>7</v>
      </c>
      <c r="B2759" s="24" t="s">
        <v>13506</v>
      </c>
      <c r="C2759" s="25" t="s">
        <v>13507</v>
      </c>
      <c r="D2759" s="24" t="s">
        <v>21823</v>
      </c>
      <c r="E2759" s="40">
        <v>2</v>
      </c>
      <c r="F2759" s="41">
        <v>52</v>
      </c>
      <c r="G2759" s="40">
        <v>1</v>
      </c>
      <c r="H2759" s="41">
        <v>27</v>
      </c>
      <c r="I2759" s="41">
        <v>26</v>
      </c>
      <c r="J2759" s="41">
        <v>27</v>
      </c>
      <c r="K2759" s="42">
        <v>3.8461538461538464E-2</v>
      </c>
    </row>
    <row r="2760" spans="1:11" x14ac:dyDescent="0.25">
      <c r="A2760" s="24" t="s">
        <v>7</v>
      </c>
      <c r="B2760" s="24" t="s">
        <v>13509</v>
      </c>
      <c r="C2760" s="25" t="s">
        <v>13510</v>
      </c>
      <c r="D2760" s="24" t="s">
        <v>21846</v>
      </c>
      <c r="G2760" s="40">
        <v>1</v>
      </c>
      <c r="H2760" s="41">
        <v>178</v>
      </c>
      <c r="J2760" s="41">
        <v>178</v>
      </c>
    </row>
    <row r="2761" spans="1:11" x14ac:dyDescent="0.25">
      <c r="A2761" s="24" t="s">
        <v>7</v>
      </c>
      <c r="B2761" s="24" t="s">
        <v>13512</v>
      </c>
      <c r="C2761" s="25" t="s">
        <v>13513</v>
      </c>
      <c r="D2761" s="24" t="s">
        <v>21823</v>
      </c>
      <c r="E2761" s="40">
        <v>17</v>
      </c>
      <c r="F2761" s="41">
        <v>506</v>
      </c>
      <c r="G2761" s="40">
        <v>3</v>
      </c>
      <c r="H2761" s="41">
        <v>90</v>
      </c>
      <c r="I2761" s="41">
        <v>29.764705882352942</v>
      </c>
      <c r="J2761" s="41">
        <v>30</v>
      </c>
      <c r="K2761" s="42">
        <v>7.9051383399209203E-3</v>
      </c>
    </row>
    <row r="2762" spans="1:11" x14ac:dyDescent="0.25">
      <c r="A2762" s="24" t="s">
        <v>7</v>
      </c>
      <c r="B2762" s="24" t="s">
        <v>13518</v>
      </c>
      <c r="C2762" s="25" t="s">
        <v>13519</v>
      </c>
      <c r="D2762" s="24" t="s">
        <v>21278</v>
      </c>
      <c r="G2762" s="40">
        <v>3</v>
      </c>
      <c r="H2762" s="41">
        <v>249</v>
      </c>
      <c r="J2762" s="41">
        <v>83</v>
      </c>
    </row>
    <row r="2763" spans="1:11" x14ac:dyDescent="0.25">
      <c r="A2763" s="24" t="s">
        <v>7</v>
      </c>
      <c r="B2763" s="24" t="s">
        <v>13521</v>
      </c>
      <c r="C2763" s="25" t="s">
        <v>13522</v>
      </c>
      <c r="D2763" s="24" t="s">
        <v>21278</v>
      </c>
      <c r="G2763" s="40">
        <v>1</v>
      </c>
      <c r="H2763" s="41">
        <v>145</v>
      </c>
      <c r="J2763" s="41">
        <v>145</v>
      </c>
    </row>
    <row r="2764" spans="1:11" x14ac:dyDescent="0.25">
      <c r="A2764" s="24" t="s">
        <v>7</v>
      </c>
      <c r="B2764" s="24" t="s">
        <v>13527</v>
      </c>
      <c r="C2764" s="25" t="s">
        <v>13528</v>
      </c>
      <c r="D2764" s="24" t="s">
        <v>21846</v>
      </c>
      <c r="E2764" s="40">
        <v>10</v>
      </c>
      <c r="F2764" s="41">
        <v>10530.24</v>
      </c>
      <c r="G2764" s="40">
        <v>15</v>
      </c>
      <c r="H2764" s="41">
        <v>16275</v>
      </c>
      <c r="I2764" s="41">
        <v>1053.0239999999999</v>
      </c>
      <c r="J2764" s="41">
        <v>1085</v>
      </c>
      <c r="K2764" s="42">
        <v>3.0365879600085199E-2</v>
      </c>
    </row>
    <row r="2765" spans="1:11" x14ac:dyDescent="0.25">
      <c r="A2765" s="24" t="s">
        <v>7</v>
      </c>
      <c r="B2765" s="24" t="s">
        <v>13533</v>
      </c>
      <c r="C2765" s="25" t="s">
        <v>13534</v>
      </c>
      <c r="D2765" s="24" t="s">
        <v>21846</v>
      </c>
      <c r="G2765" s="40">
        <v>30</v>
      </c>
      <c r="H2765" s="41">
        <v>3160</v>
      </c>
      <c r="J2765" s="41">
        <v>105.33333333333333</v>
      </c>
    </row>
    <row r="2766" spans="1:11" x14ac:dyDescent="0.25">
      <c r="A2766" s="24" t="s">
        <v>7</v>
      </c>
      <c r="B2766" s="24" t="s">
        <v>13545</v>
      </c>
      <c r="C2766" s="25" t="s">
        <v>13546</v>
      </c>
      <c r="D2766" s="24" t="s">
        <v>21846</v>
      </c>
      <c r="G2766" s="40">
        <v>7</v>
      </c>
      <c r="H2766" s="41">
        <v>1218</v>
      </c>
      <c r="J2766" s="41">
        <v>174</v>
      </c>
    </row>
    <row r="2767" spans="1:11" x14ac:dyDescent="0.25">
      <c r="A2767" s="24" t="s">
        <v>7</v>
      </c>
      <c r="B2767" s="24" t="s">
        <v>13548</v>
      </c>
      <c r="C2767" s="25" t="s">
        <v>13549</v>
      </c>
      <c r="D2767" s="24" t="s">
        <v>21846</v>
      </c>
      <c r="G2767" s="40">
        <v>5</v>
      </c>
      <c r="H2767" s="41">
        <v>1425</v>
      </c>
      <c r="J2767" s="41">
        <v>285</v>
      </c>
    </row>
    <row r="2768" spans="1:11" x14ac:dyDescent="0.25">
      <c r="A2768" s="24" t="s">
        <v>7</v>
      </c>
      <c r="B2768" s="24" t="s">
        <v>13566</v>
      </c>
      <c r="C2768" s="25" t="s">
        <v>13567</v>
      </c>
      <c r="D2768" s="24" t="s">
        <v>21278</v>
      </c>
      <c r="E2768" s="40">
        <v>156</v>
      </c>
      <c r="F2768" s="41">
        <v>28754</v>
      </c>
      <c r="G2768" s="40">
        <v>161</v>
      </c>
      <c r="H2768" s="41">
        <v>30268</v>
      </c>
      <c r="I2768" s="41">
        <v>184.32051282051282</v>
      </c>
      <c r="J2768" s="41">
        <v>188</v>
      </c>
      <c r="K2768" s="42">
        <v>1.9962440008346682E-2</v>
      </c>
    </row>
    <row r="2769" spans="1:11" x14ac:dyDescent="0.25">
      <c r="A2769" s="24" t="s">
        <v>7</v>
      </c>
      <c r="B2769" s="24" t="s">
        <v>13569</v>
      </c>
      <c r="C2769" s="25" t="s">
        <v>13570</v>
      </c>
      <c r="D2769" s="24" t="s">
        <v>21846</v>
      </c>
      <c r="G2769" s="40">
        <v>9</v>
      </c>
      <c r="H2769" s="41">
        <v>1193</v>
      </c>
      <c r="J2769" s="41">
        <v>132.55555555555554</v>
      </c>
    </row>
    <row r="2770" spans="1:11" x14ac:dyDescent="0.25">
      <c r="A2770" s="24" t="s">
        <v>7</v>
      </c>
      <c r="B2770" s="24" t="s">
        <v>13572</v>
      </c>
      <c r="C2770" s="25" t="s">
        <v>13573</v>
      </c>
      <c r="D2770" s="24" t="s">
        <v>21846</v>
      </c>
      <c r="E2770" s="40">
        <v>6</v>
      </c>
      <c r="F2770" s="41">
        <v>444</v>
      </c>
      <c r="G2770" s="40">
        <v>3</v>
      </c>
      <c r="H2770" s="41">
        <v>422</v>
      </c>
      <c r="I2770" s="41">
        <v>74</v>
      </c>
      <c r="J2770" s="41">
        <v>140.66666666666666</v>
      </c>
      <c r="K2770" s="42">
        <v>0.9009009009009008</v>
      </c>
    </row>
    <row r="2771" spans="1:11" x14ac:dyDescent="0.25">
      <c r="A2771" s="24" t="s">
        <v>7</v>
      </c>
      <c r="B2771" s="24" t="s">
        <v>13575</v>
      </c>
      <c r="C2771" s="25" t="s">
        <v>13576</v>
      </c>
      <c r="D2771" s="24" t="s">
        <v>21846</v>
      </c>
      <c r="G2771" s="40">
        <v>1</v>
      </c>
      <c r="H2771" s="41">
        <v>154</v>
      </c>
      <c r="J2771" s="41">
        <v>154</v>
      </c>
    </row>
    <row r="2772" spans="1:11" x14ac:dyDescent="0.25">
      <c r="A2772" s="24" t="s">
        <v>7</v>
      </c>
      <c r="B2772" s="24" t="s">
        <v>13581</v>
      </c>
      <c r="C2772" s="25" t="s">
        <v>13582</v>
      </c>
      <c r="D2772" s="24" t="s">
        <v>21823</v>
      </c>
      <c r="E2772" s="40">
        <v>23</v>
      </c>
      <c r="F2772" s="41">
        <v>3406</v>
      </c>
      <c r="G2772" s="40">
        <v>45</v>
      </c>
      <c r="H2772" s="41">
        <v>5946</v>
      </c>
      <c r="I2772" s="41">
        <v>148.08695652173913</v>
      </c>
      <c r="J2772" s="41">
        <v>132.13333333333333</v>
      </c>
      <c r="K2772" s="42">
        <v>-0.10773145429633982</v>
      </c>
    </row>
    <row r="2773" spans="1:11" x14ac:dyDescent="0.25">
      <c r="A2773" s="24" t="s">
        <v>7</v>
      </c>
      <c r="B2773" s="24" t="s">
        <v>13584</v>
      </c>
      <c r="C2773" s="25" t="s">
        <v>13585</v>
      </c>
      <c r="D2773" s="24" t="s">
        <v>21846</v>
      </c>
      <c r="E2773" s="40">
        <v>2</v>
      </c>
      <c r="F2773" s="41">
        <v>52</v>
      </c>
      <c r="G2773" s="40">
        <v>7</v>
      </c>
      <c r="H2773" s="41">
        <v>182</v>
      </c>
      <c r="I2773" s="41">
        <v>26</v>
      </c>
      <c r="J2773" s="41">
        <v>26</v>
      </c>
      <c r="K2773" s="42">
        <v>0</v>
      </c>
    </row>
    <row r="2774" spans="1:11" x14ac:dyDescent="0.25">
      <c r="A2774" s="24" t="s">
        <v>7</v>
      </c>
      <c r="B2774" s="24" t="s">
        <v>13587</v>
      </c>
      <c r="C2774" s="25" t="s">
        <v>13588</v>
      </c>
      <c r="D2774" s="24" t="s">
        <v>21823</v>
      </c>
      <c r="G2774" s="40">
        <v>3</v>
      </c>
      <c r="H2774" s="41">
        <v>75</v>
      </c>
      <c r="J2774" s="41">
        <v>25</v>
      </c>
    </row>
    <row r="2775" spans="1:11" x14ac:dyDescent="0.25">
      <c r="A2775" s="24" t="s">
        <v>7</v>
      </c>
      <c r="B2775" s="24" t="s">
        <v>13589</v>
      </c>
      <c r="C2775" s="25" t="s">
        <v>13590</v>
      </c>
      <c r="D2775" s="24" t="s">
        <v>21846</v>
      </c>
      <c r="G2775" s="40">
        <v>5</v>
      </c>
      <c r="H2775" s="41">
        <v>1240</v>
      </c>
      <c r="J2775" s="41">
        <v>248</v>
      </c>
    </row>
    <row r="2776" spans="1:11" x14ac:dyDescent="0.25">
      <c r="A2776" s="24" t="s">
        <v>7</v>
      </c>
      <c r="B2776" s="24" t="s">
        <v>13592</v>
      </c>
      <c r="C2776" s="25" t="s">
        <v>13593</v>
      </c>
      <c r="D2776" s="24" t="s">
        <v>21846</v>
      </c>
      <c r="G2776" s="40">
        <v>1</v>
      </c>
      <c r="H2776" s="41">
        <v>123</v>
      </c>
      <c r="J2776" s="41">
        <v>123</v>
      </c>
    </row>
    <row r="2777" spans="1:11" x14ac:dyDescent="0.25">
      <c r="A2777" s="24" t="s">
        <v>7</v>
      </c>
      <c r="B2777" s="24" t="s">
        <v>13595</v>
      </c>
      <c r="C2777" s="25" t="s">
        <v>13596</v>
      </c>
      <c r="D2777" s="24" t="s">
        <v>21846</v>
      </c>
      <c r="E2777" s="40">
        <v>66</v>
      </c>
      <c r="F2777" s="41">
        <v>10548</v>
      </c>
      <c r="G2777" s="40">
        <v>81</v>
      </c>
      <c r="H2777" s="41">
        <v>10734</v>
      </c>
      <c r="I2777" s="41">
        <v>159.81818181818181</v>
      </c>
      <c r="J2777" s="41">
        <v>132.5185185185185</v>
      </c>
      <c r="K2777" s="42">
        <v>-0.17081700585682388</v>
      </c>
    </row>
    <row r="2778" spans="1:11" x14ac:dyDescent="0.25">
      <c r="A2778" s="24" t="s">
        <v>7</v>
      </c>
      <c r="B2778" s="24" t="s">
        <v>13597</v>
      </c>
      <c r="C2778" s="25" t="s">
        <v>13598</v>
      </c>
      <c r="D2778" s="24" t="s">
        <v>21846</v>
      </c>
      <c r="E2778" s="40">
        <v>21</v>
      </c>
      <c r="F2778" s="41">
        <v>7257</v>
      </c>
      <c r="G2778" s="40">
        <v>27</v>
      </c>
      <c r="H2778" s="41">
        <v>8227</v>
      </c>
      <c r="I2778" s="41">
        <v>345.57142857142856</v>
      </c>
      <c r="J2778" s="41">
        <v>304.7037037037037</v>
      </c>
      <c r="K2778" s="42">
        <v>-0.11826129560730633</v>
      </c>
    </row>
    <row r="2779" spans="1:11" x14ac:dyDescent="0.25">
      <c r="A2779" s="24" t="s">
        <v>7</v>
      </c>
      <c r="B2779" s="24" t="s">
        <v>13604</v>
      </c>
      <c r="C2779" s="25" t="s">
        <v>13605</v>
      </c>
      <c r="D2779" s="24" t="s">
        <v>21846</v>
      </c>
      <c r="E2779" s="40">
        <v>15</v>
      </c>
      <c r="F2779" s="41">
        <v>2586</v>
      </c>
      <c r="G2779" s="40">
        <v>19</v>
      </c>
      <c r="H2779" s="41">
        <v>3109</v>
      </c>
      <c r="I2779" s="41">
        <v>172.4</v>
      </c>
      <c r="J2779" s="41">
        <v>163.63157894736841</v>
      </c>
      <c r="K2779" s="42">
        <v>-5.0860910978141501E-2</v>
      </c>
    </row>
    <row r="2780" spans="1:11" x14ac:dyDescent="0.25">
      <c r="A2780" s="24" t="s">
        <v>7</v>
      </c>
      <c r="B2780" s="24" t="s">
        <v>13607</v>
      </c>
      <c r="C2780" s="25" t="s">
        <v>13608</v>
      </c>
      <c r="D2780" s="24" t="s">
        <v>21846</v>
      </c>
      <c r="E2780" s="40">
        <v>5</v>
      </c>
      <c r="F2780" s="41">
        <v>1025</v>
      </c>
      <c r="G2780" s="40">
        <v>11</v>
      </c>
      <c r="H2780" s="41">
        <v>2012</v>
      </c>
      <c r="I2780" s="41">
        <v>205</v>
      </c>
      <c r="J2780" s="41">
        <v>182.90909090909091</v>
      </c>
      <c r="K2780" s="42">
        <v>-0.10776053215077606</v>
      </c>
    </row>
    <row r="2781" spans="1:11" x14ac:dyDescent="0.25">
      <c r="A2781" s="24" t="s">
        <v>7</v>
      </c>
      <c r="B2781" s="24" t="s">
        <v>13610</v>
      </c>
      <c r="C2781" s="25" t="s">
        <v>13611</v>
      </c>
      <c r="D2781" s="24" t="s">
        <v>21846</v>
      </c>
      <c r="E2781" s="40">
        <v>38</v>
      </c>
      <c r="F2781" s="41">
        <v>2562</v>
      </c>
      <c r="G2781" s="40">
        <v>40</v>
      </c>
      <c r="H2781" s="41">
        <v>2661</v>
      </c>
      <c r="I2781" s="41">
        <v>67.421052631578945</v>
      </c>
      <c r="J2781" s="41">
        <v>66.525000000000006</v>
      </c>
      <c r="K2781" s="42">
        <v>-1.3290398126463583E-2</v>
      </c>
    </row>
    <row r="2782" spans="1:11" x14ac:dyDescent="0.25">
      <c r="A2782" s="24" t="s">
        <v>7</v>
      </c>
      <c r="B2782" s="24" t="s">
        <v>13613</v>
      </c>
      <c r="C2782" s="25" t="s">
        <v>13614</v>
      </c>
      <c r="D2782" s="24" t="s">
        <v>21823</v>
      </c>
      <c r="E2782" s="40">
        <v>907</v>
      </c>
      <c r="F2782" s="41">
        <v>25617</v>
      </c>
      <c r="G2782" s="40">
        <v>828</v>
      </c>
      <c r="H2782" s="41">
        <v>24012</v>
      </c>
      <c r="I2782" s="41">
        <v>28.243660418963618</v>
      </c>
      <c r="J2782" s="41">
        <v>29</v>
      </c>
      <c r="K2782" s="42">
        <v>2.6779092009212579E-2</v>
      </c>
    </row>
    <row r="2783" spans="1:11" x14ac:dyDescent="0.25">
      <c r="A2783" s="24" t="s">
        <v>7</v>
      </c>
      <c r="B2783" s="24" t="s">
        <v>13616</v>
      </c>
      <c r="C2783" s="25" t="s">
        <v>13617</v>
      </c>
      <c r="D2783" s="24" t="s">
        <v>21846</v>
      </c>
      <c r="G2783" s="40">
        <v>6</v>
      </c>
      <c r="H2783" s="41">
        <v>330</v>
      </c>
      <c r="J2783" s="41">
        <v>55</v>
      </c>
    </row>
    <row r="2784" spans="1:11" x14ac:dyDescent="0.25">
      <c r="A2784" s="24" t="s">
        <v>7</v>
      </c>
      <c r="B2784" s="24" t="s">
        <v>13619</v>
      </c>
      <c r="C2784" s="25" t="s">
        <v>13620</v>
      </c>
      <c r="D2784" s="24" t="s">
        <v>21846</v>
      </c>
      <c r="E2784" s="40">
        <v>103</v>
      </c>
      <c r="F2784" s="41">
        <v>7010</v>
      </c>
      <c r="G2784" s="40">
        <v>60</v>
      </c>
      <c r="H2784" s="41">
        <v>4182</v>
      </c>
      <c r="I2784" s="41">
        <v>68.05825242718447</v>
      </c>
      <c r="J2784" s="41">
        <v>69.7</v>
      </c>
      <c r="K2784" s="42">
        <v>2.4122681883024227E-2</v>
      </c>
    </row>
    <row r="2785" spans="1:11" x14ac:dyDescent="0.25">
      <c r="A2785" s="24" t="s">
        <v>7</v>
      </c>
      <c r="B2785" s="24" t="s">
        <v>13622</v>
      </c>
      <c r="C2785" s="25" t="s">
        <v>13623</v>
      </c>
      <c r="D2785" s="24" t="s">
        <v>21846</v>
      </c>
      <c r="E2785" s="40">
        <v>21</v>
      </c>
      <c r="F2785" s="41">
        <v>347</v>
      </c>
      <c r="G2785" s="40">
        <v>12</v>
      </c>
      <c r="H2785" s="41">
        <v>243</v>
      </c>
      <c r="I2785" s="41">
        <v>16.523809523809526</v>
      </c>
      <c r="J2785" s="41">
        <v>20.25</v>
      </c>
      <c r="K2785" s="42">
        <v>0.22550432276657048</v>
      </c>
    </row>
    <row r="2786" spans="1:11" x14ac:dyDescent="0.25">
      <c r="A2786" s="24" t="s">
        <v>7</v>
      </c>
      <c r="B2786" s="24" t="s">
        <v>13625</v>
      </c>
      <c r="C2786" s="25" t="s">
        <v>13626</v>
      </c>
      <c r="D2786" s="24" t="s">
        <v>21846</v>
      </c>
      <c r="E2786" s="40">
        <v>40</v>
      </c>
      <c r="F2786" s="41">
        <v>6220</v>
      </c>
      <c r="G2786" s="40">
        <v>31</v>
      </c>
      <c r="H2786" s="41">
        <v>4195</v>
      </c>
      <c r="I2786" s="41">
        <v>155.5</v>
      </c>
      <c r="J2786" s="41">
        <v>135.32258064516128</v>
      </c>
      <c r="K2786" s="42">
        <v>-0.12975832382532937</v>
      </c>
    </row>
    <row r="2787" spans="1:11" x14ac:dyDescent="0.25">
      <c r="A2787" s="24" t="s">
        <v>7</v>
      </c>
      <c r="B2787" s="24" t="s">
        <v>13631</v>
      </c>
      <c r="C2787" s="25" t="s">
        <v>13632</v>
      </c>
      <c r="D2787" s="24" t="s">
        <v>21846</v>
      </c>
      <c r="E2787" s="40">
        <v>101</v>
      </c>
      <c r="F2787" s="41">
        <v>8566</v>
      </c>
      <c r="G2787" s="40">
        <v>76</v>
      </c>
      <c r="H2787" s="41">
        <v>6068</v>
      </c>
      <c r="I2787" s="41">
        <v>84.811881188118818</v>
      </c>
      <c r="J2787" s="41">
        <v>79.84210526315789</v>
      </c>
      <c r="K2787" s="42">
        <v>-5.8597638153286676E-2</v>
      </c>
    </row>
    <row r="2788" spans="1:11" x14ac:dyDescent="0.25">
      <c r="A2788" s="24" t="s">
        <v>7</v>
      </c>
      <c r="B2788" s="24" t="s">
        <v>13634</v>
      </c>
      <c r="C2788" s="25" t="s">
        <v>13635</v>
      </c>
      <c r="D2788" s="24" t="s">
        <v>21846</v>
      </c>
      <c r="E2788" s="40">
        <v>18</v>
      </c>
      <c r="F2788" s="41">
        <v>20471</v>
      </c>
      <c r="G2788" s="40">
        <v>10</v>
      </c>
      <c r="H2788" s="41">
        <v>7180</v>
      </c>
      <c r="I2788" s="41">
        <v>1137.2777777777778</v>
      </c>
      <c r="J2788" s="41">
        <v>718</v>
      </c>
      <c r="K2788" s="42">
        <v>-0.36866787162327197</v>
      </c>
    </row>
    <row r="2789" spans="1:11" x14ac:dyDescent="0.25">
      <c r="A2789" s="24" t="s">
        <v>7</v>
      </c>
      <c r="B2789" s="24" t="s">
        <v>13640</v>
      </c>
      <c r="C2789" s="25" t="s">
        <v>13641</v>
      </c>
      <c r="D2789" s="24" t="s">
        <v>21846</v>
      </c>
      <c r="E2789" s="40">
        <v>38</v>
      </c>
      <c r="F2789" s="41">
        <v>2602</v>
      </c>
      <c r="G2789" s="40">
        <v>23</v>
      </c>
      <c r="H2789" s="41">
        <v>2531</v>
      </c>
      <c r="I2789" s="41">
        <v>68.473684210526315</v>
      </c>
      <c r="J2789" s="41">
        <v>110.04347826086956</v>
      </c>
      <c r="K2789" s="42">
        <v>0.60709153493967849</v>
      </c>
    </row>
    <row r="2790" spans="1:11" x14ac:dyDescent="0.25">
      <c r="A2790" s="24" t="s">
        <v>7</v>
      </c>
      <c r="B2790" s="24" t="s">
        <v>13643</v>
      </c>
      <c r="C2790" s="25" t="s">
        <v>13644</v>
      </c>
      <c r="D2790" s="24" t="s">
        <v>21846</v>
      </c>
      <c r="E2790" s="40">
        <v>3</v>
      </c>
      <c r="F2790" s="41">
        <v>2841</v>
      </c>
      <c r="G2790" s="40">
        <v>4</v>
      </c>
      <c r="H2790" s="41">
        <v>3788</v>
      </c>
      <c r="I2790" s="41">
        <v>947</v>
      </c>
      <c r="J2790" s="41">
        <v>947</v>
      </c>
      <c r="K2790" s="42">
        <v>0</v>
      </c>
    </row>
    <row r="2791" spans="1:11" x14ac:dyDescent="0.25">
      <c r="A2791" s="24" t="s">
        <v>7</v>
      </c>
      <c r="B2791" s="24" t="s">
        <v>13649</v>
      </c>
      <c r="C2791" s="25" t="s">
        <v>13650</v>
      </c>
      <c r="D2791" s="24" t="s">
        <v>21846</v>
      </c>
      <c r="E2791" s="40">
        <v>298</v>
      </c>
      <c r="F2791" s="41">
        <v>9630</v>
      </c>
      <c r="G2791" s="40">
        <v>225</v>
      </c>
      <c r="H2791" s="41">
        <v>8073</v>
      </c>
      <c r="I2791" s="41">
        <v>32.31543624161074</v>
      </c>
      <c r="J2791" s="41">
        <v>35.880000000000003</v>
      </c>
      <c r="K2791" s="42">
        <v>0.11030529595015577</v>
      </c>
    </row>
    <row r="2792" spans="1:11" x14ac:dyDescent="0.25">
      <c r="A2792" s="24" t="s">
        <v>7</v>
      </c>
      <c r="B2792" s="24" t="s">
        <v>13652</v>
      </c>
      <c r="C2792" s="25" t="s">
        <v>13653</v>
      </c>
      <c r="D2792" s="24" t="s">
        <v>21823</v>
      </c>
      <c r="E2792" s="40">
        <v>3830</v>
      </c>
      <c r="F2792" s="41">
        <v>89272</v>
      </c>
      <c r="G2792" s="40">
        <v>4162</v>
      </c>
      <c r="H2792" s="41">
        <v>85676</v>
      </c>
      <c r="I2792" s="41">
        <v>23.308616187989557</v>
      </c>
      <c r="J2792" s="41">
        <v>20.585295530994713</v>
      </c>
      <c r="K2792" s="42">
        <v>-0.11683750914385531</v>
      </c>
    </row>
    <row r="2793" spans="1:11" x14ac:dyDescent="0.25">
      <c r="A2793" s="24" t="s">
        <v>7</v>
      </c>
      <c r="B2793" s="24" t="s">
        <v>13655</v>
      </c>
      <c r="C2793" s="25" t="s">
        <v>13656</v>
      </c>
      <c r="D2793" s="24" t="s">
        <v>21823</v>
      </c>
      <c r="E2793" s="40">
        <v>7</v>
      </c>
      <c r="F2793" s="41">
        <v>181</v>
      </c>
      <c r="G2793" s="40">
        <v>1</v>
      </c>
      <c r="H2793" s="41">
        <v>27</v>
      </c>
      <c r="I2793" s="41">
        <v>25.857142857142858</v>
      </c>
      <c r="J2793" s="41">
        <v>27</v>
      </c>
      <c r="K2793" s="42">
        <v>4.4198895027624287E-2</v>
      </c>
    </row>
    <row r="2794" spans="1:11" x14ac:dyDescent="0.25">
      <c r="A2794" s="24" t="s">
        <v>7</v>
      </c>
      <c r="B2794" s="24" t="s">
        <v>13664</v>
      </c>
      <c r="C2794" s="25" t="s">
        <v>13665</v>
      </c>
      <c r="D2794" s="24" t="s">
        <v>21823</v>
      </c>
      <c r="E2794" s="40">
        <v>8</v>
      </c>
      <c r="F2794" s="41">
        <v>216</v>
      </c>
      <c r="G2794" s="40">
        <v>18</v>
      </c>
      <c r="H2794" s="41">
        <v>486</v>
      </c>
      <c r="I2794" s="41">
        <v>27</v>
      </c>
      <c r="J2794" s="41">
        <v>27</v>
      </c>
      <c r="K2794" s="42">
        <v>0</v>
      </c>
    </row>
    <row r="2795" spans="1:11" x14ac:dyDescent="0.25">
      <c r="A2795" s="24" t="s">
        <v>7</v>
      </c>
      <c r="B2795" s="24" t="s">
        <v>13667</v>
      </c>
      <c r="C2795" s="25" t="s">
        <v>13668</v>
      </c>
      <c r="D2795" s="24" t="s">
        <v>21846</v>
      </c>
      <c r="G2795" s="40">
        <v>19</v>
      </c>
      <c r="H2795" s="41">
        <v>6819</v>
      </c>
      <c r="J2795" s="41">
        <v>358.89473684210526</v>
      </c>
    </row>
    <row r="2796" spans="1:11" x14ac:dyDescent="0.25">
      <c r="A2796" s="24" t="s">
        <v>7</v>
      </c>
      <c r="B2796" s="24" t="s">
        <v>13670</v>
      </c>
      <c r="C2796" s="25" t="s">
        <v>13671</v>
      </c>
      <c r="D2796" s="24" t="s">
        <v>21846</v>
      </c>
      <c r="G2796" s="40">
        <v>6</v>
      </c>
      <c r="H2796" s="41">
        <v>2628</v>
      </c>
      <c r="J2796" s="41">
        <v>438</v>
      </c>
    </row>
    <row r="2797" spans="1:11" x14ac:dyDescent="0.25">
      <c r="A2797" s="24" t="s">
        <v>7</v>
      </c>
      <c r="B2797" s="24" t="s">
        <v>13679</v>
      </c>
      <c r="C2797" s="25" t="s">
        <v>13680</v>
      </c>
      <c r="D2797" s="24" t="s">
        <v>21823</v>
      </c>
      <c r="G2797" s="40">
        <v>3</v>
      </c>
      <c r="H2797" s="41">
        <v>78</v>
      </c>
      <c r="J2797" s="41">
        <v>26</v>
      </c>
    </row>
    <row r="2798" spans="1:11" x14ac:dyDescent="0.25">
      <c r="A2798" s="24" t="s">
        <v>7</v>
      </c>
      <c r="B2798" s="24" t="s">
        <v>13682</v>
      </c>
      <c r="C2798" s="25" t="s">
        <v>13683</v>
      </c>
      <c r="D2798" s="24" t="s">
        <v>21823</v>
      </c>
      <c r="G2798" s="40">
        <v>12</v>
      </c>
      <c r="H2798" s="41">
        <v>308</v>
      </c>
      <c r="J2798" s="41">
        <v>25.666666666666668</v>
      </c>
    </row>
    <row r="2799" spans="1:11" x14ac:dyDescent="0.25">
      <c r="A2799" s="24" t="s">
        <v>7</v>
      </c>
      <c r="B2799" s="24" t="s">
        <v>13685</v>
      </c>
      <c r="C2799" s="25" t="s">
        <v>13686</v>
      </c>
      <c r="D2799" s="24" t="s">
        <v>21823</v>
      </c>
      <c r="E2799" s="40">
        <v>15</v>
      </c>
      <c r="F2799" s="41">
        <v>1010</v>
      </c>
      <c r="G2799" s="40">
        <v>18</v>
      </c>
      <c r="H2799" s="41">
        <v>1206</v>
      </c>
      <c r="I2799" s="41">
        <v>67.333333333333329</v>
      </c>
      <c r="J2799" s="41">
        <v>67</v>
      </c>
      <c r="K2799" s="42">
        <v>-4.9504950495048803E-3</v>
      </c>
    </row>
    <row r="2800" spans="1:11" x14ac:dyDescent="0.25">
      <c r="A2800" s="24" t="s">
        <v>7</v>
      </c>
      <c r="B2800" s="24" t="s">
        <v>13691</v>
      </c>
      <c r="C2800" s="25" t="s">
        <v>13692</v>
      </c>
      <c r="D2800" s="24" t="s">
        <v>21278</v>
      </c>
      <c r="G2800" s="40">
        <v>1</v>
      </c>
      <c r="H2800" s="41">
        <v>819</v>
      </c>
      <c r="J2800" s="41">
        <v>819</v>
      </c>
    </row>
    <row r="2801" spans="1:11" x14ac:dyDescent="0.25">
      <c r="A2801" s="24" t="s">
        <v>7</v>
      </c>
      <c r="B2801" s="24" t="s">
        <v>13694</v>
      </c>
      <c r="C2801" s="25" t="s">
        <v>13695</v>
      </c>
      <c r="D2801" s="24" t="s">
        <v>21846</v>
      </c>
      <c r="G2801" s="40">
        <v>75</v>
      </c>
      <c r="H2801" s="41">
        <v>5256</v>
      </c>
      <c r="J2801" s="41">
        <v>70.08</v>
      </c>
    </row>
    <row r="2802" spans="1:11" x14ac:dyDescent="0.25">
      <c r="A2802" s="24" t="s">
        <v>7</v>
      </c>
      <c r="B2802" s="24" t="s">
        <v>13697</v>
      </c>
      <c r="C2802" s="25" t="s">
        <v>13698</v>
      </c>
      <c r="D2802" s="24" t="s">
        <v>21823</v>
      </c>
      <c r="E2802" s="40">
        <v>1</v>
      </c>
      <c r="F2802" s="41">
        <v>26</v>
      </c>
      <c r="G2802" s="40">
        <v>8</v>
      </c>
      <c r="H2802" s="41">
        <v>208</v>
      </c>
      <c r="I2802" s="41">
        <v>26</v>
      </c>
      <c r="J2802" s="41">
        <v>26</v>
      </c>
      <c r="K2802" s="42">
        <v>0</v>
      </c>
    </row>
    <row r="2803" spans="1:11" x14ac:dyDescent="0.25">
      <c r="A2803" s="24" t="s">
        <v>7</v>
      </c>
      <c r="B2803" s="24" t="s">
        <v>13700</v>
      </c>
      <c r="C2803" s="25" t="s">
        <v>13701</v>
      </c>
      <c r="D2803" s="24" t="s">
        <v>21846</v>
      </c>
      <c r="G2803" s="40">
        <v>590</v>
      </c>
      <c r="H2803" s="41">
        <v>11505</v>
      </c>
      <c r="J2803" s="41">
        <v>19.5</v>
      </c>
    </row>
    <row r="2804" spans="1:11" x14ac:dyDescent="0.25">
      <c r="A2804" s="24" t="s">
        <v>7</v>
      </c>
      <c r="B2804" s="24" t="s">
        <v>13703</v>
      </c>
      <c r="C2804" s="25" t="s">
        <v>13704</v>
      </c>
      <c r="D2804" s="24" t="s">
        <v>21846</v>
      </c>
      <c r="E2804" s="40">
        <v>1</v>
      </c>
      <c r="F2804" s="41">
        <v>406</v>
      </c>
      <c r="G2804" s="40">
        <v>2</v>
      </c>
      <c r="H2804" s="41">
        <v>812</v>
      </c>
      <c r="I2804" s="41">
        <v>406</v>
      </c>
      <c r="J2804" s="41">
        <v>406</v>
      </c>
      <c r="K2804" s="42">
        <v>0</v>
      </c>
    </row>
    <row r="2805" spans="1:11" x14ac:dyDescent="0.25">
      <c r="A2805" s="24" t="s">
        <v>7</v>
      </c>
      <c r="B2805" s="24" t="s">
        <v>13706</v>
      </c>
      <c r="C2805" s="25" t="s">
        <v>13707</v>
      </c>
      <c r="D2805" s="24" t="s">
        <v>21846</v>
      </c>
      <c r="G2805" s="40">
        <v>1</v>
      </c>
      <c r="H2805" s="41">
        <v>636</v>
      </c>
      <c r="J2805" s="41">
        <v>636</v>
      </c>
    </row>
    <row r="2806" spans="1:11" x14ac:dyDescent="0.25">
      <c r="A2806" s="24" t="s">
        <v>7</v>
      </c>
      <c r="B2806" s="24" t="s">
        <v>13709</v>
      </c>
      <c r="C2806" s="25" t="s">
        <v>13710</v>
      </c>
      <c r="D2806" s="24" t="s">
        <v>21823</v>
      </c>
      <c r="E2806" s="40">
        <v>28</v>
      </c>
      <c r="F2806" s="41">
        <v>840</v>
      </c>
      <c r="G2806" s="40">
        <v>32</v>
      </c>
      <c r="H2806" s="41">
        <v>959</v>
      </c>
      <c r="I2806" s="41">
        <v>30</v>
      </c>
      <c r="J2806" s="41">
        <v>29.96875</v>
      </c>
      <c r="K2806" s="42">
        <v>-1.0416666666666667E-3</v>
      </c>
    </row>
    <row r="2807" spans="1:11" x14ac:dyDescent="0.25">
      <c r="A2807" s="24" t="s">
        <v>7</v>
      </c>
      <c r="B2807" s="24" t="s">
        <v>13712</v>
      </c>
      <c r="C2807" s="25" t="s">
        <v>13713</v>
      </c>
      <c r="D2807" s="24" t="s">
        <v>21823</v>
      </c>
      <c r="E2807" s="40">
        <v>277</v>
      </c>
      <c r="F2807" s="41">
        <v>4917</v>
      </c>
      <c r="G2807" s="40">
        <v>351</v>
      </c>
      <c r="H2807" s="41">
        <v>4924</v>
      </c>
      <c r="I2807" s="41">
        <v>17.750902527075812</v>
      </c>
      <c r="J2807" s="41">
        <v>14.028490028490028</v>
      </c>
      <c r="K2807" s="42">
        <v>-0.2097027175326952</v>
      </c>
    </row>
    <row r="2808" spans="1:11" x14ac:dyDescent="0.25">
      <c r="A2808" s="24" t="s">
        <v>7</v>
      </c>
      <c r="B2808" s="24" t="s">
        <v>13715</v>
      </c>
      <c r="C2808" s="25" t="s">
        <v>13716</v>
      </c>
      <c r="D2808" s="24" t="s">
        <v>21846</v>
      </c>
      <c r="E2808" s="40">
        <v>3</v>
      </c>
      <c r="F2808" s="41">
        <v>770</v>
      </c>
      <c r="G2808" s="40">
        <v>0</v>
      </c>
      <c r="H2808" s="41">
        <v>0</v>
      </c>
      <c r="I2808" s="41">
        <v>256.66666666666669</v>
      </c>
    </row>
    <row r="2809" spans="1:11" x14ac:dyDescent="0.25">
      <c r="A2809" s="24" t="s">
        <v>7</v>
      </c>
      <c r="B2809" s="24" t="s">
        <v>13718</v>
      </c>
      <c r="C2809" s="25" t="s">
        <v>13719</v>
      </c>
      <c r="D2809" s="24" t="s">
        <v>21823</v>
      </c>
      <c r="E2809" s="40">
        <v>146</v>
      </c>
      <c r="F2809" s="41">
        <v>7878</v>
      </c>
      <c r="G2809" s="40">
        <v>127</v>
      </c>
      <c r="H2809" s="41">
        <v>5725</v>
      </c>
      <c r="I2809" s="41">
        <v>53.958904109589042</v>
      </c>
      <c r="J2809" s="41">
        <v>45.078740157480318</v>
      </c>
      <c r="K2809" s="42">
        <v>-0.16457272620054247</v>
      </c>
    </row>
    <row r="2810" spans="1:11" x14ac:dyDescent="0.25">
      <c r="A2810" s="24" t="s">
        <v>7</v>
      </c>
      <c r="B2810" s="24" t="s">
        <v>13721</v>
      </c>
      <c r="C2810" s="25" t="s">
        <v>13722</v>
      </c>
      <c r="D2810" s="24" t="s">
        <v>21823</v>
      </c>
      <c r="E2810" s="40">
        <v>532</v>
      </c>
      <c r="F2810" s="41">
        <v>30660</v>
      </c>
      <c r="G2810" s="40">
        <v>422</v>
      </c>
      <c r="H2810" s="41">
        <v>22644</v>
      </c>
      <c r="I2810" s="41">
        <v>57.631578947368418</v>
      </c>
      <c r="J2810" s="41">
        <v>53.658767772511851</v>
      </c>
      <c r="K2810" s="42">
        <v>-6.8934623125365094E-2</v>
      </c>
    </row>
    <row r="2811" spans="1:11" x14ac:dyDescent="0.25">
      <c r="A2811" s="24" t="s">
        <v>7</v>
      </c>
      <c r="B2811" s="24" t="s">
        <v>13724</v>
      </c>
      <c r="C2811" s="25" t="s">
        <v>13725</v>
      </c>
      <c r="D2811" s="24" t="s">
        <v>21823</v>
      </c>
      <c r="E2811" s="40">
        <v>960</v>
      </c>
      <c r="F2811" s="41">
        <v>73572</v>
      </c>
      <c r="G2811" s="40">
        <v>1125</v>
      </c>
      <c r="H2811" s="41">
        <v>76700</v>
      </c>
      <c r="I2811" s="41">
        <v>76.637500000000003</v>
      </c>
      <c r="J2811" s="41">
        <v>68.177777777777777</v>
      </c>
      <c r="K2811" s="42">
        <v>-0.11038619764765585</v>
      </c>
    </row>
    <row r="2812" spans="1:11" x14ac:dyDescent="0.25">
      <c r="A2812" s="24" t="s">
        <v>7</v>
      </c>
      <c r="B2812" s="24" t="s">
        <v>13727</v>
      </c>
      <c r="C2812" s="25" t="s">
        <v>13728</v>
      </c>
      <c r="D2812" s="24" t="s">
        <v>21846</v>
      </c>
      <c r="E2812" s="40">
        <v>36</v>
      </c>
      <c r="F2812" s="41">
        <v>603</v>
      </c>
      <c r="G2812" s="40">
        <v>12</v>
      </c>
      <c r="H2812" s="41">
        <v>204</v>
      </c>
      <c r="I2812" s="41">
        <v>16.75</v>
      </c>
      <c r="J2812" s="41">
        <v>17</v>
      </c>
      <c r="K2812" s="42">
        <v>1.4925373134328358E-2</v>
      </c>
    </row>
    <row r="2813" spans="1:11" x14ac:dyDescent="0.25">
      <c r="A2813" s="24" t="s">
        <v>7</v>
      </c>
      <c r="B2813" s="24" t="s">
        <v>13730</v>
      </c>
      <c r="C2813" s="25" t="s">
        <v>13731</v>
      </c>
      <c r="D2813" s="24" t="s">
        <v>21846</v>
      </c>
      <c r="E2813" s="40">
        <v>19</v>
      </c>
      <c r="F2813" s="41">
        <v>322</v>
      </c>
      <c r="G2813" s="40">
        <v>50</v>
      </c>
      <c r="H2813" s="41">
        <v>850</v>
      </c>
      <c r="I2813" s="41">
        <v>16.94736842105263</v>
      </c>
      <c r="J2813" s="41">
        <v>17</v>
      </c>
      <c r="K2813" s="42">
        <v>3.1055900621118899E-3</v>
      </c>
    </row>
    <row r="2814" spans="1:11" x14ac:dyDescent="0.25">
      <c r="A2814" s="24" t="s">
        <v>7</v>
      </c>
      <c r="B2814" s="24" t="s">
        <v>13736</v>
      </c>
      <c r="C2814" s="25" t="s">
        <v>13737</v>
      </c>
      <c r="D2814" s="24" t="s">
        <v>21846</v>
      </c>
      <c r="G2814" s="40">
        <v>39</v>
      </c>
      <c r="H2814" s="41">
        <v>653</v>
      </c>
      <c r="J2814" s="41">
        <v>16.743589743589745</v>
      </c>
    </row>
    <row r="2815" spans="1:11" x14ac:dyDescent="0.25">
      <c r="A2815" s="24" t="s">
        <v>7</v>
      </c>
      <c r="B2815" s="24" t="s">
        <v>13742</v>
      </c>
      <c r="C2815" s="25" t="s">
        <v>13743</v>
      </c>
      <c r="D2815" s="24" t="s">
        <v>21846</v>
      </c>
      <c r="E2815" s="40">
        <v>647</v>
      </c>
      <c r="F2815" s="41">
        <v>13912</v>
      </c>
      <c r="G2815" s="40">
        <v>656</v>
      </c>
      <c r="H2815" s="41">
        <v>14844</v>
      </c>
      <c r="I2815" s="41">
        <v>21.502318392581145</v>
      </c>
      <c r="J2815" s="41">
        <v>22.628048780487806</v>
      </c>
      <c r="K2815" s="42">
        <v>5.2353907488183533E-2</v>
      </c>
    </row>
    <row r="2816" spans="1:11" x14ac:dyDescent="0.25">
      <c r="A2816" s="24" t="s">
        <v>7</v>
      </c>
      <c r="B2816" s="24" t="s">
        <v>13748</v>
      </c>
      <c r="C2816" s="25" t="s">
        <v>13749</v>
      </c>
      <c r="D2816" s="24" t="s">
        <v>21846</v>
      </c>
      <c r="E2816" s="40">
        <v>45</v>
      </c>
      <c r="F2816" s="41">
        <v>10485</v>
      </c>
      <c r="G2816" s="40">
        <v>58</v>
      </c>
      <c r="H2816" s="41">
        <v>13054</v>
      </c>
      <c r="I2816" s="41">
        <v>233</v>
      </c>
      <c r="J2816" s="41">
        <v>225.06896551724137</v>
      </c>
      <c r="K2816" s="42">
        <v>-3.4038774604114308E-2</v>
      </c>
    </row>
    <row r="2817" spans="1:11" x14ac:dyDescent="0.25">
      <c r="A2817" s="24" t="s">
        <v>7</v>
      </c>
      <c r="B2817" s="24" t="s">
        <v>13754</v>
      </c>
      <c r="C2817" s="25" t="s">
        <v>13755</v>
      </c>
      <c r="D2817" s="24" t="s">
        <v>21846</v>
      </c>
      <c r="E2817" s="40">
        <v>113</v>
      </c>
      <c r="F2817" s="41">
        <v>20810</v>
      </c>
      <c r="G2817" s="40">
        <v>97</v>
      </c>
      <c r="H2817" s="41">
        <v>16542</v>
      </c>
      <c r="I2817" s="41">
        <v>184.15929203539824</v>
      </c>
      <c r="J2817" s="41">
        <v>170.53608247422682</v>
      </c>
      <c r="K2817" s="42">
        <v>-7.3975140817509402E-2</v>
      </c>
    </row>
    <row r="2818" spans="1:11" x14ac:dyDescent="0.25">
      <c r="A2818" s="24" t="s">
        <v>7</v>
      </c>
      <c r="B2818" s="24" t="s">
        <v>13757</v>
      </c>
      <c r="C2818" s="25" t="s">
        <v>13758</v>
      </c>
      <c r="D2818" s="24" t="s">
        <v>21846</v>
      </c>
      <c r="G2818" s="40">
        <v>10</v>
      </c>
      <c r="H2818" s="41">
        <v>1640</v>
      </c>
      <c r="J2818" s="41">
        <v>164</v>
      </c>
    </row>
    <row r="2819" spans="1:11" x14ac:dyDescent="0.25">
      <c r="A2819" s="24" t="s">
        <v>7</v>
      </c>
      <c r="B2819" s="24" t="s">
        <v>13760</v>
      </c>
      <c r="C2819" s="25" t="s">
        <v>13761</v>
      </c>
      <c r="D2819" s="24" t="s">
        <v>21823</v>
      </c>
      <c r="E2819" s="40">
        <v>5</v>
      </c>
      <c r="F2819" s="41">
        <v>340</v>
      </c>
      <c r="G2819" s="40">
        <v>12</v>
      </c>
      <c r="H2819" s="41">
        <v>828</v>
      </c>
      <c r="I2819" s="41">
        <v>68</v>
      </c>
      <c r="J2819" s="41">
        <v>69</v>
      </c>
      <c r="K2819" s="42">
        <v>1.4705882352941176E-2</v>
      </c>
    </row>
    <row r="2820" spans="1:11" x14ac:dyDescent="0.25">
      <c r="A2820" s="24" t="s">
        <v>7</v>
      </c>
      <c r="B2820" s="24" t="s">
        <v>13763</v>
      </c>
      <c r="C2820" s="25" t="s">
        <v>13764</v>
      </c>
      <c r="D2820" s="24" t="s">
        <v>21846</v>
      </c>
      <c r="E2820" s="40">
        <v>14</v>
      </c>
      <c r="F2820" s="41">
        <v>6608</v>
      </c>
      <c r="G2820" s="40">
        <v>17</v>
      </c>
      <c r="H2820" s="41">
        <v>7428</v>
      </c>
      <c r="I2820" s="41">
        <v>472</v>
      </c>
      <c r="J2820" s="41">
        <v>436.94117647058823</v>
      </c>
      <c r="K2820" s="42">
        <v>-7.427716849451646E-2</v>
      </c>
    </row>
    <row r="2821" spans="1:11" x14ac:dyDescent="0.25">
      <c r="A2821" s="24" t="s">
        <v>7</v>
      </c>
      <c r="B2821" s="24" t="s">
        <v>13766</v>
      </c>
      <c r="C2821" s="25" t="s">
        <v>13767</v>
      </c>
      <c r="D2821" s="24" t="s">
        <v>21823</v>
      </c>
      <c r="E2821" s="40">
        <v>95</v>
      </c>
      <c r="F2821" s="41">
        <v>9034</v>
      </c>
      <c r="G2821" s="40">
        <v>24</v>
      </c>
      <c r="H2821" s="41">
        <v>2288</v>
      </c>
      <c r="I2821" s="41">
        <v>95.094736842105263</v>
      </c>
      <c r="J2821" s="41">
        <v>95.333333333333329</v>
      </c>
      <c r="K2821" s="42">
        <v>2.5090399232528481E-3</v>
      </c>
    </row>
    <row r="2822" spans="1:11" x14ac:dyDescent="0.25">
      <c r="A2822" s="24" t="s">
        <v>7</v>
      </c>
      <c r="B2822" s="24" t="s">
        <v>13769</v>
      </c>
      <c r="C2822" s="25" t="s">
        <v>13770</v>
      </c>
      <c r="D2822" s="24" t="s">
        <v>21823</v>
      </c>
      <c r="E2822" s="40">
        <v>100</v>
      </c>
      <c r="F2822" s="41">
        <v>1194</v>
      </c>
      <c r="G2822" s="40">
        <v>237</v>
      </c>
      <c r="H2822" s="41">
        <v>2610</v>
      </c>
      <c r="I2822" s="41">
        <v>11.94</v>
      </c>
      <c r="J2822" s="41">
        <v>11.012658227848101</v>
      </c>
      <c r="K2822" s="42">
        <v>-7.7666815088098681E-2</v>
      </c>
    </row>
    <row r="2823" spans="1:11" x14ac:dyDescent="0.25">
      <c r="A2823" s="24" t="s">
        <v>7</v>
      </c>
      <c r="B2823" s="24" t="s">
        <v>13775</v>
      </c>
      <c r="C2823" s="25" t="s">
        <v>13776</v>
      </c>
      <c r="D2823" s="24" t="s">
        <v>21823</v>
      </c>
      <c r="E2823" s="40">
        <v>51</v>
      </c>
      <c r="F2823" s="41">
        <v>2052</v>
      </c>
      <c r="G2823" s="40">
        <v>29</v>
      </c>
      <c r="H2823" s="41">
        <v>877</v>
      </c>
      <c r="I2823" s="41">
        <v>40.235294117647058</v>
      </c>
      <c r="J2823" s="41">
        <v>30.241379310344829</v>
      </c>
      <c r="K2823" s="42">
        <v>-0.24838677152651739</v>
      </c>
    </row>
    <row r="2824" spans="1:11" x14ac:dyDescent="0.25">
      <c r="A2824" s="24" t="s">
        <v>7</v>
      </c>
      <c r="B2824" s="24" t="s">
        <v>13787</v>
      </c>
      <c r="C2824" s="25" t="s">
        <v>13788</v>
      </c>
      <c r="D2824" s="24" t="s">
        <v>21823</v>
      </c>
      <c r="E2824" s="40">
        <v>6</v>
      </c>
      <c r="F2824" s="41">
        <v>705</v>
      </c>
      <c r="G2824" s="40">
        <v>10</v>
      </c>
      <c r="H2824" s="41">
        <v>1016</v>
      </c>
      <c r="I2824" s="41">
        <v>117.5</v>
      </c>
      <c r="J2824" s="41">
        <v>101.6</v>
      </c>
      <c r="K2824" s="42">
        <v>-0.13531914893617025</v>
      </c>
    </row>
    <row r="2825" spans="1:11" x14ac:dyDescent="0.25">
      <c r="A2825" s="24" t="s">
        <v>7</v>
      </c>
      <c r="B2825" s="24" t="s">
        <v>13802</v>
      </c>
      <c r="C2825" s="25" t="s">
        <v>13803</v>
      </c>
      <c r="D2825" s="24" t="s">
        <v>21846</v>
      </c>
      <c r="E2825" s="40">
        <v>417</v>
      </c>
      <c r="F2825" s="41">
        <v>49812</v>
      </c>
      <c r="G2825" s="40">
        <v>528</v>
      </c>
      <c r="H2825" s="41">
        <v>61378</v>
      </c>
      <c r="I2825" s="41">
        <v>119.45323741007195</v>
      </c>
      <c r="J2825" s="41">
        <v>116.24621212121212</v>
      </c>
      <c r="K2825" s="42">
        <v>-2.6847537650657408E-2</v>
      </c>
    </row>
    <row r="2826" spans="1:11" x14ac:dyDescent="0.25">
      <c r="A2826" s="24" t="s">
        <v>7</v>
      </c>
      <c r="B2826" s="24" t="s">
        <v>13805</v>
      </c>
      <c r="C2826" s="25" t="s">
        <v>13806</v>
      </c>
      <c r="D2826" s="24" t="s">
        <v>21846</v>
      </c>
      <c r="G2826" s="40">
        <v>2</v>
      </c>
      <c r="H2826" s="41">
        <v>802</v>
      </c>
      <c r="J2826" s="41">
        <v>401</v>
      </c>
    </row>
    <row r="2827" spans="1:11" x14ac:dyDescent="0.25">
      <c r="A2827" s="24" t="s">
        <v>7</v>
      </c>
      <c r="B2827" s="24" t="s">
        <v>13808</v>
      </c>
      <c r="C2827" s="25" t="s">
        <v>13809</v>
      </c>
      <c r="D2827" s="24" t="s">
        <v>21846</v>
      </c>
      <c r="E2827" s="40">
        <v>45</v>
      </c>
      <c r="F2827" s="41">
        <v>2460</v>
      </c>
      <c r="G2827" s="40">
        <v>29</v>
      </c>
      <c r="H2827" s="41">
        <v>1616</v>
      </c>
      <c r="I2827" s="41">
        <v>54.666666666666664</v>
      </c>
      <c r="J2827" s="41">
        <v>55.724137931034484</v>
      </c>
      <c r="K2827" s="42">
        <v>1.9343986543313776E-2</v>
      </c>
    </row>
    <row r="2828" spans="1:11" x14ac:dyDescent="0.25">
      <c r="A2828" s="24" t="s">
        <v>7</v>
      </c>
      <c r="B2828" s="24" t="s">
        <v>13811</v>
      </c>
      <c r="C2828" s="25" t="s">
        <v>13812</v>
      </c>
      <c r="D2828" s="24" t="s">
        <v>21846</v>
      </c>
      <c r="G2828" s="40">
        <v>3</v>
      </c>
      <c r="H2828" s="41">
        <v>42</v>
      </c>
      <c r="J2828" s="41">
        <v>14</v>
      </c>
    </row>
    <row r="2829" spans="1:11" x14ac:dyDescent="0.25">
      <c r="A2829" s="24" t="s">
        <v>7</v>
      </c>
      <c r="B2829" s="24" t="s">
        <v>13814</v>
      </c>
      <c r="C2829" s="25" t="s">
        <v>13815</v>
      </c>
      <c r="D2829" s="24" t="s">
        <v>21846</v>
      </c>
      <c r="G2829" s="40">
        <v>16</v>
      </c>
      <c r="H2829" s="41">
        <v>5624</v>
      </c>
      <c r="J2829" s="41">
        <v>351.5</v>
      </c>
    </row>
    <row r="2830" spans="1:11" x14ac:dyDescent="0.25">
      <c r="A2830" s="24" t="s">
        <v>7</v>
      </c>
      <c r="B2830" s="24" t="s">
        <v>13817</v>
      </c>
      <c r="C2830" s="25" t="s">
        <v>13818</v>
      </c>
      <c r="D2830" s="24" t="s">
        <v>21846</v>
      </c>
      <c r="E2830" s="40">
        <v>153</v>
      </c>
      <c r="F2830" s="41">
        <v>459</v>
      </c>
      <c r="G2830" s="40">
        <v>225</v>
      </c>
      <c r="H2830" s="41">
        <v>830</v>
      </c>
      <c r="I2830" s="41">
        <v>3</v>
      </c>
      <c r="J2830" s="41">
        <v>3.6888888888888891</v>
      </c>
      <c r="K2830" s="42">
        <v>0.22962962962962971</v>
      </c>
    </row>
    <row r="2831" spans="1:11" x14ac:dyDescent="0.25">
      <c r="A2831" s="24" t="s">
        <v>7</v>
      </c>
      <c r="B2831" s="24" t="s">
        <v>13823</v>
      </c>
      <c r="C2831" s="25" t="s">
        <v>13824</v>
      </c>
      <c r="D2831" s="24" t="s">
        <v>21846</v>
      </c>
      <c r="E2831" s="40">
        <v>27</v>
      </c>
      <c r="F2831" s="41">
        <v>1023</v>
      </c>
      <c r="G2831" s="40">
        <v>22</v>
      </c>
      <c r="H2831" s="41">
        <v>1303</v>
      </c>
      <c r="I2831" s="41">
        <v>37.888888888888886</v>
      </c>
      <c r="J2831" s="41">
        <v>59.227272727272727</v>
      </c>
      <c r="K2831" s="42">
        <v>0.56318315115969086</v>
      </c>
    </row>
    <row r="2832" spans="1:11" x14ac:dyDescent="0.25">
      <c r="A2832" s="24" t="s">
        <v>7</v>
      </c>
      <c r="B2832" s="24" t="s">
        <v>13828</v>
      </c>
      <c r="C2832" s="25" t="s">
        <v>13829</v>
      </c>
      <c r="D2832" s="24" t="s">
        <v>21846</v>
      </c>
      <c r="E2832" s="40">
        <v>59</v>
      </c>
      <c r="F2832" s="41">
        <v>2572</v>
      </c>
      <c r="G2832" s="40">
        <v>43</v>
      </c>
      <c r="H2832" s="41">
        <v>2348</v>
      </c>
      <c r="I2832" s="41">
        <v>43.593220338983052</v>
      </c>
      <c r="J2832" s="41">
        <v>54.604651162790695</v>
      </c>
      <c r="K2832" s="42">
        <v>0.25259503056168386</v>
      </c>
    </row>
    <row r="2833" spans="1:11" x14ac:dyDescent="0.25">
      <c r="A2833" s="24" t="s">
        <v>7</v>
      </c>
      <c r="B2833" s="24" t="s">
        <v>13830</v>
      </c>
      <c r="C2833" s="25" t="s">
        <v>13831</v>
      </c>
      <c r="D2833" s="24" t="s">
        <v>21846</v>
      </c>
      <c r="E2833" s="40">
        <v>8</v>
      </c>
      <c r="F2833" s="41">
        <v>4816</v>
      </c>
      <c r="G2833" s="40">
        <v>9</v>
      </c>
      <c r="H2833" s="41">
        <v>5625</v>
      </c>
      <c r="I2833" s="41">
        <v>602</v>
      </c>
      <c r="J2833" s="41">
        <v>625</v>
      </c>
      <c r="K2833" s="42">
        <v>3.8205980066445183E-2</v>
      </c>
    </row>
    <row r="2834" spans="1:11" x14ac:dyDescent="0.25">
      <c r="A2834" s="24" t="s">
        <v>7</v>
      </c>
      <c r="B2834" s="24" t="s">
        <v>13839</v>
      </c>
      <c r="C2834" s="25" t="s">
        <v>13840</v>
      </c>
      <c r="D2834" s="24" t="s">
        <v>21278</v>
      </c>
      <c r="E2834" s="40">
        <v>136</v>
      </c>
      <c r="F2834" s="41">
        <v>74846</v>
      </c>
      <c r="G2834" s="40">
        <v>139</v>
      </c>
      <c r="H2834" s="41">
        <v>78257</v>
      </c>
      <c r="I2834" s="41">
        <v>550.33823529411768</v>
      </c>
      <c r="J2834" s="41">
        <v>563</v>
      </c>
      <c r="K2834" s="42">
        <v>2.3007241535953762E-2</v>
      </c>
    </row>
    <row r="2835" spans="1:11" x14ac:dyDescent="0.25">
      <c r="A2835" s="24" t="s">
        <v>7</v>
      </c>
      <c r="B2835" s="24" t="s">
        <v>13842</v>
      </c>
      <c r="C2835" s="25" t="s">
        <v>13843</v>
      </c>
      <c r="D2835" s="24" t="s">
        <v>21278</v>
      </c>
      <c r="E2835" s="40">
        <v>22</v>
      </c>
      <c r="F2835" s="41">
        <v>16833</v>
      </c>
      <c r="G2835" s="40">
        <v>24</v>
      </c>
      <c r="H2835" s="41">
        <v>19200</v>
      </c>
      <c r="I2835" s="41">
        <v>765.13636363636363</v>
      </c>
      <c r="J2835" s="41">
        <v>800</v>
      </c>
      <c r="K2835" s="42">
        <v>4.5565258717994432E-2</v>
      </c>
    </row>
    <row r="2836" spans="1:11" x14ac:dyDescent="0.25">
      <c r="A2836" s="24" t="s">
        <v>7</v>
      </c>
      <c r="B2836" s="24" t="s">
        <v>13848</v>
      </c>
      <c r="C2836" s="25" t="s">
        <v>13849</v>
      </c>
      <c r="D2836" s="24" t="s">
        <v>21846</v>
      </c>
      <c r="E2836" s="40">
        <v>11</v>
      </c>
      <c r="F2836" s="41">
        <v>1595</v>
      </c>
      <c r="G2836" s="40">
        <v>6</v>
      </c>
      <c r="H2836" s="41">
        <v>888</v>
      </c>
      <c r="I2836" s="41">
        <v>145</v>
      </c>
      <c r="J2836" s="41">
        <v>148</v>
      </c>
      <c r="K2836" s="42">
        <v>2.0689655172413793E-2</v>
      </c>
    </row>
    <row r="2837" spans="1:11" x14ac:dyDescent="0.25">
      <c r="A2837" s="24" t="s">
        <v>7</v>
      </c>
      <c r="B2837" s="24" t="s">
        <v>13860</v>
      </c>
      <c r="C2837" s="25" t="s">
        <v>13861</v>
      </c>
      <c r="D2837" s="24" t="s">
        <v>21823</v>
      </c>
      <c r="E2837" s="40">
        <v>1</v>
      </c>
      <c r="F2837" s="41">
        <v>296</v>
      </c>
      <c r="G2837" s="40">
        <v>0</v>
      </c>
      <c r="H2837" s="41">
        <v>0</v>
      </c>
      <c r="I2837" s="41">
        <v>296</v>
      </c>
    </row>
    <row r="2838" spans="1:11" x14ac:dyDescent="0.25">
      <c r="A2838" s="24" t="s">
        <v>7</v>
      </c>
      <c r="B2838" s="24" t="s">
        <v>13866</v>
      </c>
      <c r="C2838" s="25" t="s">
        <v>13867</v>
      </c>
      <c r="D2838" s="24" t="s">
        <v>21846</v>
      </c>
      <c r="G2838" s="40">
        <v>1</v>
      </c>
      <c r="H2838" s="41">
        <v>418</v>
      </c>
      <c r="J2838" s="41">
        <v>418</v>
      </c>
    </row>
    <row r="2839" spans="1:11" x14ac:dyDescent="0.25">
      <c r="A2839" s="24" t="s">
        <v>7</v>
      </c>
      <c r="B2839" s="24" t="s">
        <v>13869</v>
      </c>
      <c r="C2839" s="25" t="s">
        <v>13870</v>
      </c>
      <c r="D2839" s="24" t="s">
        <v>21846</v>
      </c>
      <c r="G2839" s="40">
        <v>1</v>
      </c>
      <c r="H2839" s="41">
        <v>279</v>
      </c>
      <c r="J2839" s="41">
        <v>279</v>
      </c>
    </row>
    <row r="2840" spans="1:11" x14ac:dyDescent="0.25">
      <c r="A2840" s="24" t="s">
        <v>7</v>
      </c>
      <c r="B2840" s="24" t="s">
        <v>13881</v>
      </c>
      <c r="C2840" s="25" t="s">
        <v>13882</v>
      </c>
      <c r="D2840" s="24" t="s">
        <v>21278</v>
      </c>
      <c r="E2840" s="40">
        <v>309</v>
      </c>
      <c r="F2840" s="41">
        <v>83384</v>
      </c>
      <c r="G2840" s="40">
        <v>255</v>
      </c>
      <c r="H2840" s="41">
        <v>77940</v>
      </c>
      <c r="I2840" s="41">
        <v>269.85113268608416</v>
      </c>
      <c r="J2840" s="41">
        <v>305.64705882352939</v>
      </c>
      <c r="K2840" s="42">
        <v>0.13265064252699052</v>
      </c>
    </row>
    <row r="2841" spans="1:11" x14ac:dyDescent="0.25">
      <c r="A2841" s="24" t="s">
        <v>7</v>
      </c>
      <c r="B2841" s="24" t="s">
        <v>13887</v>
      </c>
      <c r="C2841" s="25" t="s">
        <v>13888</v>
      </c>
      <c r="D2841" s="24" t="s">
        <v>21278</v>
      </c>
      <c r="E2841" s="40">
        <v>248</v>
      </c>
      <c r="F2841" s="41">
        <v>159460</v>
      </c>
      <c r="G2841" s="40">
        <v>118</v>
      </c>
      <c r="H2841" s="41">
        <v>77844</v>
      </c>
      <c r="I2841" s="41">
        <v>642.98387096774195</v>
      </c>
      <c r="J2841" s="41">
        <v>659.69491525423734</v>
      </c>
      <c r="K2841" s="42">
        <v>2.5989834334948312E-2</v>
      </c>
    </row>
    <row r="2842" spans="1:11" x14ac:dyDescent="0.25">
      <c r="A2842" s="24" t="s">
        <v>7</v>
      </c>
      <c r="B2842" s="24" t="s">
        <v>13893</v>
      </c>
      <c r="C2842" s="25" t="s">
        <v>13894</v>
      </c>
      <c r="D2842" s="24" t="s">
        <v>21846</v>
      </c>
      <c r="E2842" s="40">
        <v>5</v>
      </c>
      <c r="F2842" s="41">
        <v>8928</v>
      </c>
      <c r="G2842" s="40">
        <v>4</v>
      </c>
      <c r="H2842" s="41">
        <v>7360</v>
      </c>
      <c r="I2842" s="41">
        <v>1785.6</v>
      </c>
      <c r="J2842" s="41">
        <v>1840</v>
      </c>
      <c r="K2842" s="42">
        <v>3.0465949820788582E-2</v>
      </c>
    </row>
    <row r="2843" spans="1:11" x14ac:dyDescent="0.25">
      <c r="A2843" s="24" t="s">
        <v>7</v>
      </c>
      <c r="B2843" s="24" t="s">
        <v>13902</v>
      </c>
      <c r="C2843" s="25" t="s">
        <v>13903</v>
      </c>
      <c r="D2843" s="24" t="s">
        <v>21846</v>
      </c>
      <c r="G2843" s="40">
        <v>18</v>
      </c>
      <c r="H2843" s="41">
        <v>543</v>
      </c>
      <c r="J2843" s="41">
        <v>30.166666666666668</v>
      </c>
    </row>
    <row r="2844" spans="1:11" x14ac:dyDescent="0.25">
      <c r="A2844" s="24" t="s">
        <v>7</v>
      </c>
      <c r="B2844" s="24" t="s">
        <v>13905</v>
      </c>
      <c r="C2844" s="25" t="s">
        <v>13906</v>
      </c>
      <c r="D2844" s="24" t="s">
        <v>21846</v>
      </c>
      <c r="E2844" s="40">
        <v>7</v>
      </c>
      <c r="F2844" s="41">
        <v>183</v>
      </c>
      <c r="G2844" s="40">
        <v>18</v>
      </c>
      <c r="H2844" s="41">
        <v>430</v>
      </c>
      <c r="I2844" s="41">
        <v>26.142857142857142</v>
      </c>
      <c r="J2844" s="41">
        <v>23.888888888888889</v>
      </c>
      <c r="K2844" s="42">
        <v>-8.6217364905889465E-2</v>
      </c>
    </row>
    <row r="2845" spans="1:11" x14ac:dyDescent="0.25">
      <c r="A2845" s="24" t="s">
        <v>7</v>
      </c>
      <c r="B2845" s="24" t="s">
        <v>13908</v>
      </c>
      <c r="C2845" s="25" t="s">
        <v>13909</v>
      </c>
      <c r="D2845" s="24" t="s">
        <v>21846</v>
      </c>
      <c r="G2845" s="40">
        <v>2</v>
      </c>
      <c r="H2845" s="41">
        <v>638</v>
      </c>
      <c r="J2845" s="41">
        <v>319</v>
      </c>
    </row>
    <row r="2846" spans="1:11" x14ac:dyDescent="0.25">
      <c r="A2846" s="24" t="s">
        <v>7</v>
      </c>
      <c r="B2846" s="24" t="s">
        <v>13914</v>
      </c>
      <c r="C2846" s="25" t="s">
        <v>13915</v>
      </c>
      <c r="D2846" s="24" t="s">
        <v>21846</v>
      </c>
      <c r="G2846" s="40">
        <v>11</v>
      </c>
      <c r="H2846" s="41">
        <v>1925</v>
      </c>
      <c r="J2846" s="41">
        <v>175</v>
      </c>
    </row>
    <row r="2847" spans="1:11" x14ac:dyDescent="0.25">
      <c r="A2847" s="24" t="s">
        <v>7</v>
      </c>
      <c r="B2847" s="24" t="s">
        <v>13916</v>
      </c>
      <c r="C2847" s="25" t="s">
        <v>13917</v>
      </c>
      <c r="D2847" s="24" t="s">
        <v>21846</v>
      </c>
      <c r="G2847" s="40">
        <v>3</v>
      </c>
      <c r="H2847" s="41">
        <v>129</v>
      </c>
      <c r="J2847" s="41">
        <v>43</v>
      </c>
    </row>
    <row r="2848" spans="1:11" x14ac:dyDescent="0.25">
      <c r="A2848" s="24" t="s">
        <v>7</v>
      </c>
      <c r="B2848" s="24" t="s">
        <v>13918</v>
      </c>
      <c r="C2848" s="25" t="s">
        <v>13919</v>
      </c>
      <c r="D2848" s="24" t="s">
        <v>21846</v>
      </c>
      <c r="E2848" s="40">
        <v>68</v>
      </c>
      <c r="F2848" s="41">
        <v>2370</v>
      </c>
      <c r="G2848" s="40">
        <v>53</v>
      </c>
      <c r="H2848" s="41">
        <v>1840</v>
      </c>
      <c r="I2848" s="41">
        <v>34.852941176470587</v>
      </c>
      <c r="J2848" s="41">
        <v>34.716981132075475</v>
      </c>
      <c r="K2848" s="42">
        <v>-3.9009632991002696E-3</v>
      </c>
    </row>
    <row r="2849" spans="1:11" x14ac:dyDescent="0.25">
      <c r="A2849" s="24" t="s">
        <v>7</v>
      </c>
      <c r="B2849" s="24" t="s">
        <v>13921</v>
      </c>
      <c r="C2849" s="25" t="s">
        <v>13922</v>
      </c>
      <c r="D2849" s="24" t="s">
        <v>21846</v>
      </c>
      <c r="G2849" s="40">
        <v>7</v>
      </c>
      <c r="H2849" s="41">
        <v>1312</v>
      </c>
      <c r="J2849" s="41">
        <v>187.42857142857142</v>
      </c>
    </row>
    <row r="2850" spans="1:11" x14ac:dyDescent="0.25">
      <c r="A2850" s="24" t="s">
        <v>7</v>
      </c>
      <c r="B2850" s="24" t="s">
        <v>13930</v>
      </c>
      <c r="C2850" s="25" t="s">
        <v>13931</v>
      </c>
      <c r="D2850" s="24" t="s">
        <v>21823</v>
      </c>
      <c r="E2850" s="40">
        <v>35</v>
      </c>
      <c r="F2850" s="41">
        <v>919</v>
      </c>
      <c r="G2850" s="40">
        <v>23</v>
      </c>
      <c r="H2850" s="41">
        <v>623</v>
      </c>
      <c r="I2850" s="41">
        <v>26.257142857142856</v>
      </c>
      <c r="J2850" s="41">
        <v>27.086956521739129</v>
      </c>
      <c r="K2850" s="42">
        <v>3.1603349576571869E-2</v>
      </c>
    </row>
    <row r="2851" spans="1:11" x14ac:dyDescent="0.25">
      <c r="A2851" s="24" t="s">
        <v>7</v>
      </c>
      <c r="B2851" s="24" t="s">
        <v>13933</v>
      </c>
      <c r="C2851" s="25" t="s">
        <v>13934</v>
      </c>
      <c r="D2851" s="24" t="s">
        <v>21823</v>
      </c>
      <c r="E2851" s="40">
        <v>15</v>
      </c>
      <c r="F2851" s="41">
        <v>459</v>
      </c>
      <c r="G2851" s="40">
        <v>43</v>
      </c>
      <c r="H2851" s="41">
        <v>1333</v>
      </c>
      <c r="I2851" s="41">
        <v>30.6</v>
      </c>
      <c r="J2851" s="41">
        <v>31</v>
      </c>
      <c r="K2851" s="42">
        <v>1.3071895424836555E-2</v>
      </c>
    </row>
    <row r="2852" spans="1:11" x14ac:dyDescent="0.25">
      <c r="A2852" s="24" t="s">
        <v>7</v>
      </c>
      <c r="B2852" s="24" t="s">
        <v>13939</v>
      </c>
      <c r="C2852" s="25" t="s">
        <v>13940</v>
      </c>
      <c r="D2852" s="24" t="s">
        <v>21823</v>
      </c>
      <c r="E2852" s="40">
        <v>6</v>
      </c>
      <c r="F2852" s="41">
        <v>412</v>
      </c>
      <c r="G2852" s="40">
        <v>1</v>
      </c>
      <c r="H2852" s="41">
        <v>72</v>
      </c>
      <c r="I2852" s="41">
        <v>68.666666666666671</v>
      </c>
      <c r="J2852" s="41">
        <v>72</v>
      </c>
      <c r="K2852" s="42">
        <v>4.8543689320388279E-2</v>
      </c>
    </row>
    <row r="2853" spans="1:11" x14ac:dyDescent="0.25">
      <c r="A2853" s="24" t="s">
        <v>7</v>
      </c>
      <c r="B2853" s="24" t="s">
        <v>13945</v>
      </c>
      <c r="C2853" s="25" t="s">
        <v>13946</v>
      </c>
      <c r="D2853" s="24" t="s">
        <v>21823</v>
      </c>
      <c r="E2853" s="40">
        <v>1316</v>
      </c>
      <c r="F2853" s="41">
        <v>64020</v>
      </c>
      <c r="G2853" s="40">
        <v>1258</v>
      </c>
      <c r="H2853" s="41">
        <v>53149</v>
      </c>
      <c r="I2853" s="41">
        <v>48.647416413373861</v>
      </c>
      <c r="J2853" s="41">
        <v>42.248807631160574</v>
      </c>
      <c r="K2853" s="42">
        <v>-0.13153028986867676</v>
      </c>
    </row>
    <row r="2854" spans="1:11" x14ac:dyDescent="0.25">
      <c r="A2854" s="24" t="s">
        <v>7</v>
      </c>
      <c r="B2854" s="24" t="s">
        <v>13951</v>
      </c>
      <c r="C2854" s="25" t="s">
        <v>13952</v>
      </c>
      <c r="D2854" s="24" t="s">
        <v>21823</v>
      </c>
      <c r="E2854" s="40">
        <v>226</v>
      </c>
      <c r="F2854" s="41">
        <v>10806</v>
      </c>
      <c r="G2854" s="40">
        <v>224</v>
      </c>
      <c r="H2854" s="41">
        <v>11221</v>
      </c>
      <c r="I2854" s="41">
        <v>47.814159292035399</v>
      </c>
      <c r="J2854" s="41">
        <v>50.09375</v>
      </c>
      <c r="K2854" s="42">
        <v>4.7676059596520444E-2</v>
      </c>
    </row>
    <row r="2855" spans="1:11" x14ac:dyDescent="0.25">
      <c r="A2855" s="24" t="s">
        <v>7</v>
      </c>
      <c r="B2855" s="24" t="s">
        <v>13954</v>
      </c>
      <c r="C2855" s="25" t="s">
        <v>13955</v>
      </c>
      <c r="D2855" s="24" t="s">
        <v>21823</v>
      </c>
      <c r="E2855" s="40">
        <v>10</v>
      </c>
      <c r="F2855" s="41">
        <v>260</v>
      </c>
      <c r="G2855" s="40">
        <v>22</v>
      </c>
      <c r="H2855" s="41">
        <v>594</v>
      </c>
      <c r="I2855" s="41">
        <v>26</v>
      </c>
      <c r="J2855" s="41">
        <v>27</v>
      </c>
      <c r="K2855" s="42">
        <v>3.8461538461538464E-2</v>
      </c>
    </row>
    <row r="2856" spans="1:11" x14ac:dyDescent="0.25">
      <c r="A2856" s="24" t="s">
        <v>7</v>
      </c>
      <c r="B2856" s="24" t="s">
        <v>13957</v>
      </c>
      <c r="C2856" s="25" t="s">
        <v>13958</v>
      </c>
      <c r="D2856" s="24" t="s">
        <v>21846</v>
      </c>
      <c r="E2856" s="40">
        <v>97</v>
      </c>
      <c r="F2856" s="41">
        <v>3875</v>
      </c>
      <c r="G2856" s="40">
        <v>39</v>
      </c>
      <c r="H2856" s="41">
        <v>1599</v>
      </c>
      <c r="I2856" s="41">
        <v>39.948453608247419</v>
      </c>
      <c r="J2856" s="41">
        <v>41</v>
      </c>
      <c r="K2856" s="42">
        <v>2.6322580645161377E-2</v>
      </c>
    </row>
    <row r="2857" spans="1:11" x14ac:dyDescent="0.25">
      <c r="A2857" s="24" t="s">
        <v>7</v>
      </c>
      <c r="B2857" s="24" t="s">
        <v>13960</v>
      </c>
      <c r="C2857" s="25" t="s">
        <v>13961</v>
      </c>
      <c r="D2857" s="24" t="s">
        <v>21846</v>
      </c>
      <c r="G2857" s="40">
        <v>8</v>
      </c>
      <c r="H2857" s="41">
        <v>336</v>
      </c>
      <c r="J2857" s="41">
        <v>42</v>
      </c>
    </row>
    <row r="2858" spans="1:11" x14ac:dyDescent="0.25">
      <c r="A2858" s="24" t="s">
        <v>7</v>
      </c>
      <c r="B2858" s="24" t="s">
        <v>13963</v>
      </c>
      <c r="C2858" s="25" t="s">
        <v>13964</v>
      </c>
      <c r="D2858" s="24" t="s">
        <v>21823</v>
      </c>
      <c r="E2858" s="40">
        <v>33</v>
      </c>
      <c r="F2858" s="41">
        <v>974</v>
      </c>
      <c r="G2858" s="40">
        <v>14</v>
      </c>
      <c r="H2858" s="41">
        <v>364</v>
      </c>
      <c r="I2858" s="41">
        <v>29.515151515151516</v>
      </c>
      <c r="J2858" s="41">
        <v>26</v>
      </c>
      <c r="K2858" s="42">
        <v>-0.11909650924024642</v>
      </c>
    </row>
    <row r="2859" spans="1:11" x14ac:dyDescent="0.25">
      <c r="A2859" s="24" t="s">
        <v>7</v>
      </c>
      <c r="B2859" s="24" t="s">
        <v>13966</v>
      </c>
      <c r="C2859" s="25" t="s">
        <v>13967</v>
      </c>
      <c r="D2859" s="24" t="s">
        <v>21823</v>
      </c>
      <c r="E2859" s="40">
        <v>31</v>
      </c>
      <c r="F2859" s="41">
        <v>544</v>
      </c>
      <c r="G2859" s="40">
        <v>25</v>
      </c>
      <c r="H2859" s="41">
        <v>450</v>
      </c>
      <c r="I2859" s="41">
        <v>17.548387096774192</v>
      </c>
      <c r="J2859" s="41">
        <v>18</v>
      </c>
      <c r="K2859" s="42">
        <v>2.5735294117647141E-2</v>
      </c>
    </row>
    <row r="2860" spans="1:11" x14ac:dyDescent="0.25">
      <c r="A2860" s="24" t="s">
        <v>7</v>
      </c>
      <c r="B2860" s="24" t="s">
        <v>13969</v>
      </c>
      <c r="C2860" s="25" t="s">
        <v>13970</v>
      </c>
      <c r="D2860" s="24" t="s">
        <v>21823</v>
      </c>
      <c r="E2860" s="40">
        <v>368</v>
      </c>
      <c r="F2860" s="41">
        <v>9364</v>
      </c>
      <c r="G2860" s="40">
        <v>503</v>
      </c>
      <c r="H2860" s="41">
        <v>11230</v>
      </c>
      <c r="I2860" s="41">
        <v>25.445652173913043</v>
      </c>
      <c r="J2860" s="41">
        <v>22.326043737574551</v>
      </c>
      <c r="K2860" s="42">
        <v>-0.12259887917263616</v>
      </c>
    </row>
    <row r="2861" spans="1:11" x14ac:dyDescent="0.25">
      <c r="A2861" s="24" t="s">
        <v>7</v>
      </c>
      <c r="B2861" s="24" t="s">
        <v>13972</v>
      </c>
      <c r="C2861" s="25" t="s">
        <v>13973</v>
      </c>
      <c r="D2861" s="24" t="s">
        <v>21823</v>
      </c>
      <c r="E2861" s="40">
        <v>264</v>
      </c>
      <c r="F2861" s="41">
        <v>5634</v>
      </c>
      <c r="G2861" s="40">
        <v>322</v>
      </c>
      <c r="H2861" s="41">
        <v>6674</v>
      </c>
      <c r="I2861" s="41">
        <v>21.34090909090909</v>
      </c>
      <c r="J2861" s="41">
        <v>20.726708074534162</v>
      </c>
      <c r="K2861" s="42">
        <v>-2.8780452311498207E-2</v>
      </c>
    </row>
    <row r="2862" spans="1:11" x14ac:dyDescent="0.25">
      <c r="A2862" s="24" t="s">
        <v>7</v>
      </c>
      <c r="B2862" s="24" t="s">
        <v>13978</v>
      </c>
      <c r="C2862" s="25" t="s">
        <v>13979</v>
      </c>
      <c r="D2862" s="24" t="s">
        <v>21823</v>
      </c>
      <c r="E2862" s="40">
        <v>1166</v>
      </c>
      <c r="F2862" s="41">
        <v>19438</v>
      </c>
      <c r="G2862" s="40">
        <v>1296</v>
      </c>
      <c r="H2862" s="41">
        <v>19134</v>
      </c>
      <c r="I2862" s="41">
        <v>16.670668953687823</v>
      </c>
      <c r="J2862" s="41">
        <v>14.763888888888889</v>
      </c>
      <c r="K2862" s="42">
        <v>-0.11437933715174177</v>
      </c>
    </row>
    <row r="2863" spans="1:11" x14ac:dyDescent="0.25">
      <c r="A2863" s="24" t="s">
        <v>7</v>
      </c>
      <c r="B2863" s="24" t="s">
        <v>13981</v>
      </c>
      <c r="C2863" s="25" t="s">
        <v>13982</v>
      </c>
      <c r="D2863" s="24" t="s">
        <v>21846</v>
      </c>
      <c r="E2863" s="40">
        <v>81</v>
      </c>
      <c r="F2863" s="41">
        <v>123946</v>
      </c>
      <c r="G2863" s="40">
        <v>71</v>
      </c>
      <c r="H2863" s="41">
        <v>159462</v>
      </c>
      <c r="I2863" s="41">
        <v>1530.1975308641975</v>
      </c>
      <c r="J2863" s="41">
        <v>2245.9436619718308</v>
      </c>
      <c r="K2863" s="42">
        <v>0.46774754021685494</v>
      </c>
    </row>
    <row r="2864" spans="1:11" x14ac:dyDescent="0.25">
      <c r="A2864" s="24" t="s">
        <v>7</v>
      </c>
      <c r="B2864" s="24" t="s">
        <v>13987</v>
      </c>
      <c r="C2864" s="25" t="s">
        <v>13988</v>
      </c>
      <c r="D2864" s="24" t="s">
        <v>21823</v>
      </c>
      <c r="E2864" s="40">
        <v>27</v>
      </c>
      <c r="F2864" s="41">
        <v>442</v>
      </c>
      <c r="G2864" s="40">
        <v>23</v>
      </c>
      <c r="H2864" s="41">
        <v>343</v>
      </c>
      <c r="I2864" s="41">
        <v>16.37037037037037</v>
      </c>
      <c r="J2864" s="41">
        <v>14.913043478260869</v>
      </c>
      <c r="K2864" s="42">
        <v>-8.9022230965964996E-2</v>
      </c>
    </row>
    <row r="2865" spans="1:11" x14ac:dyDescent="0.25">
      <c r="A2865" s="24" t="s">
        <v>7</v>
      </c>
      <c r="B2865" s="24" t="s">
        <v>13990</v>
      </c>
      <c r="C2865" s="25" t="s">
        <v>13991</v>
      </c>
      <c r="D2865" s="24" t="s">
        <v>21823</v>
      </c>
      <c r="E2865" s="40">
        <v>51</v>
      </c>
      <c r="F2865" s="41">
        <v>2079</v>
      </c>
      <c r="G2865" s="40">
        <v>144</v>
      </c>
      <c r="H2865" s="41">
        <v>4162</v>
      </c>
      <c r="I2865" s="41">
        <v>40.764705882352942</v>
      </c>
      <c r="J2865" s="41">
        <v>28.902777777777779</v>
      </c>
      <c r="K2865" s="42">
        <v>-0.29098524931858266</v>
      </c>
    </row>
    <row r="2866" spans="1:11" x14ac:dyDescent="0.25">
      <c r="A2866" s="24" t="s">
        <v>7</v>
      </c>
      <c r="B2866" s="24" t="s">
        <v>13996</v>
      </c>
      <c r="C2866" s="25" t="s">
        <v>13997</v>
      </c>
      <c r="D2866" s="24" t="s">
        <v>21846</v>
      </c>
      <c r="E2866" s="40">
        <v>166</v>
      </c>
      <c r="F2866" s="41">
        <v>73056</v>
      </c>
      <c r="G2866" s="40">
        <v>162</v>
      </c>
      <c r="H2866" s="41">
        <v>65152</v>
      </c>
      <c r="I2866" s="41">
        <v>440.09638554216866</v>
      </c>
      <c r="J2866" s="41">
        <v>402.17283950617286</v>
      </c>
      <c r="K2866" s="42">
        <v>-8.6171000903078498E-2</v>
      </c>
    </row>
    <row r="2867" spans="1:11" x14ac:dyDescent="0.25">
      <c r="A2867" s="24" t="s">
        <v>7</v>
      </c>
      <c r="B2867" s="24" t="s">
        <v>13998</v>
      </c>
      <c r="C2867" s="25" t="s">
        <v>13999</v>
      </c>
      <c r="D2867" s="24" t="s">
        <v>21846</v>
      </c>
      <c r="G2867" s="40">
        <v>18</v>
      </c>
      <c r="H2867" s="41">
        <v>2178</v>
      </c>
      <c r="J2867" s="41">
        <v>121</v>
      </c>
    </row>
    <row r="2868" spans="1:11" x14ac:dyDescent="0.25">
      <c r="A2868" s="24" t="s">
        <v>7</v>
      </c>
      <c r="B2868" s="24" t="s">
        <v>14001</v>
      </c>
      <c r="C2868" s="25" t="s">
        <v>14002</v>
      </c>
      <c r="D2868" s="24" t="s">
        <v>21846</v>
      </c>
      <c r="E2868" s="40">
        <v>449</v>
      </c>
      <c r="F2868" s="41">
        <v>11921</v>
      </c>
      <c r="G2868" s="40">
        <v>294</v>
      </c>
      <c r="H2868" s="41">
        <v>6990</v>
      </c>
      <c r="I2868" s="41">
        <v>26.550111358574611</v>
      </c>
      <c r="J2868" s="41">
        <v>23.775510204081634</v>
      </c>
      <c r="K2868" s="42">
        <v>-0.10450431325957107</v>
      </c>
    </row>
    <row r="2869" spans="1:11" x14ac:dyDescent="0.25">
      <c r="A2869" s="24" t="s">
        <v>7</v>
      </c>
      <c r="B2869" s="24" t="s">
        <v>14007</v>
      </c>
      <c r="C2869" s="25" t="s">
        <v>14008</v>
      </c>
      <c r="D2869" s="24" t="s">
        <v>21846</v>
      </c>
      <c r="E2869" s="40">
        <v>67</v>
      </c>
      <c r="F2869" s="41">
        <v>69677.289999999994</v>
      </c>
      <c r="G2869" s="40">
        <v>64</v>
      </c>
      <c r="H2869" s="41">
        <v>59908</v>
      </c>
      <c r="I2869" s="41">
        <v>1039.9595522388058</v>
      </c>
      <c r="J2869" s="41">
        <v>936.0625</v>
      </c>
      <c r="K2869" s="42">
        <v>-9.9904897277147131E-2</v>
      </c>
    </row>
    <row r="2870" spans="1:11" x14ac:dyDescent="0.25">
      <c r="A2870" s="24" t="s">
        <v>7</v>
      </c>
      <c r="B2870" s="24" t="s">
        <v>14010</v>
      </c>
      <c r="C2870" s="25" t="s">
        <v>14011</v>
      </c>
      <c r="D2870" s="24" t="s">
        <v>21888</v>
      </c>
      <c r="E2870" s="40">
        <v>128</v>
      </c>
      <c r="F2870" s="41">
        <v>8810</v>
      </c>
      <c r="G2870" s="40">
        <v>79</v>
      </c>
      <c r="H2870" s="41">
        <v>5530</v>
      </c>
      <c r="I2870" s="41">
        <v>68.828125</v>
      </c>
      <c r="J2870" s="41">
        <v>70</v>
      </c>
      <c r="K2870" s="42">
        <v>1.70261066969353E-2</v>
      </c>
    </row>
    <row r="2871" spans="1:11" x14ac:dyDescent="0.25">
      <c r="A2871" s="24" t="s">
        <v>7</v>
      </c>
      <c r="B2871" s="24" t="s">
        <v>14013</v>
      </c>
      <c r="C2871" s="25" t="s">
        <v>14014</v>
      </c>
      <c r="D2871" s="24" t="s">
        <v>21846</v>
      </c>
      <c r="E2871" s="40">
        <v>40</v>
      </c>
      <c r="F2871" s="41">
        <v>5520</v>
      </c>
      <c r="G2871" s="40">
        <v>48</v>
      </c>
      <c r="H2871" s="41">
        <v>6624</v>
      </c>
      <c r="I2871" s="41">
        <v>138</v>
      </c>
      <c r="J2871" s="41">
        <v>138</v>
      </c>
      <c r="K2871" s="42">
        <v>0</v>
      </c>
    </row>
    <row r="2872" spans="1:11" x14ac:dyDescent="0.25">
      <c r="A2872" s="24" t="s">
        <v>7</v>
      </c>
      <c r="B2872" s="24" t="s">
        <v>14016</v>
      </c>
      <c r="C2872" s="25" t="s">
        <v>14017</v>
      </c>
      <c r="D2872" s="24" t="s">
        <v>21846</v>
      </c>
      <c r="G2872" s="40">
        <v>8</v>
      </c>
      <c r="H2872" s="41">
        <v>1464</v>
      </c>
      <c r="J2872" s="41">
        <v>183</v>
      </c>
    </row>
    <row r="2873" spans="1:11" x14ac:dyDescent="0.25">
      <c r="A2873" s="24" t="s">
        <v>7</v>
      </c>
      <c r="B2873" s="24" t="s">
        <v>14019</v>
      </c>
      <c r="C2873" s="25" t="s">
        <v>14020</v>
      </c>
      <c r="D2873" s="24" t="s">
        <v>21823</v>
      </c>
      <c r="G2873" s="40">
        <v>84</v>
      </c>
      <c r="H2873" s="41">
        <v>5499</v>
      </c>
      <c r="J2873" s="41">
        <v>65.464285714285708</v>
      </c>
    </row>
    <row r="2874" spans="1:11" x14ac:dyDescent="0.25">
      <c r="A2874" s="24" t="s">
        <v>7</v>
      </c>
      <c r="B2874" s="24" t="s">
        <v>14022</v>
      </c>
      <c r="C2874" s="25" t="s">
        <v>14023</v>
      </c>
      <c r="D2874" s="24" t="s">
        <v>21823</v>
      </c>
      <c r="E2874" s="40">
        <v>7</v>
      </c>
      <c r="F2874" s="41">
        <v>561</v>
      </c>
      <c r="G2874" s="40">
        <v>6</v>
      </c>
      <c r="H2874" s="41">
        <v>486</v>
      </c>
      <c r="I2874" s="41">
        <v>80.142857142857139</v>
      </c>
      <c r="J2874" s="41">
        <v>81</v>
      </c>
      <c r="K2874" s="42">
        <v>1.0695187165775452E-2</v>
      </c>
    </row>
    <row r="2875" spans="1:11" x14ac:dyDescent="0.25">
      <c r="A2875" s="24" t="s">
        <v>7</v>
      </c>
      <c r="B2875" s="24" t="s">
        <v>14031</v>
      </c>
      <c r="C2875" s="25" t="s">
        <v>14032</v>
      </c>
      <c r="D2875" s="24" t="s">
        <v>21823</v>
      </c>
      <c r="E2875" s="40">
        <v>12</v>
      </c>
      <c r="F2875" s="41">
        <v>318</v>
      </c>
      <c r="G2875" s="40">
        <v>17</v>
      </c>
      <c r="H2875" s="41">
        <v>429</v>
      </c>
      <c r="I2875" s="41">
        <v>26.5</v>
      </c>
      <c r="J2875" s="41">
        <v>25.235294117647058</v>
      </c>
      <c r="K2875" s="42">
        <v>-4.7724750277469509E-2</v>
      </c>
    </row>
    <row r="2876" spans="1:11" x14ac:dyDescent="0.25">
      <c r="A2876" s="24" t="s">
        <v>7</v>
      </c>
      <c r="B2876" s="24" t="s">
        <v>14034</v>
      </c>
      <c r="C2876" s="25" t="s">
        <v>14035</v>
      </c>
      <c r="D2876" s="24" t="s">
        <v>21846</v>
      </c>
      <c r="G2876" s="40">
        <v>11</v>
      </c>
      <c r="H2876" s="41">
        <v>308</v>
      </c>
      <c r="J2876" s="41">
        <v>28</v>
      </c>
    </row>
    <row r="2877" spans="1:11" x14ac:dyDescent="0.25">
      <c r="A2877" s="24" t="s">
        <v>7</v>
      </c>
      <c r="B2877" s="24" t="s">
        <v>14037</v>
      </c>
      <c r="C2877" s="25" t="s">
        <v>14038</v>
      </c>
      <c r="D2877" s="24" t="s">
        <v>21846</v>
      </c>
      <c r="G2877" s="40">
        <v>1</v>
      </c>
      <c r="H2877" s="41">
        <v>30</v>
      </c>
      <c r="J2877" s="41">
        <v>30</v>
      </c>
    </row>
    <row r="2878" spans="1:11" x14ac:dyDescent="0.25">
      <c r="A2878" s="24" t="s">
        <v>7</v>
      </c>
      <c r="B2878" s="24" t="s">
        <v>14040</v>
      </c>
      <c r="C2878" s="25" t="s">
        <v>14041</v>
      </c>
      <c r="D2878" s="24" t="s">
        <v>21846</v>
      </c>
      <c r="G2878" s="40">
        <v>1</v>
      </c>
      <c r="H2878" s="41">
        <v>40</v>
      </c>
      <c r="J2878" s="41">
        <v>40</v>
      </c>
    </row>
    <row r="2879" spans="1:11" x14ac:dyDescent="0.25">
      <c r="A2879" s="24" t="s">
        <v>7</v>
      </c>
      <c r="B2879" s="24" t="s">
        <v>14043</v>
      </c>
      <c r="C2879" s="25" t="s">
        <v>14044</v>
      </c>
      <c r="D2879" s="24" t="s">
        <v>21846</v>
      </c>
      <c r="G2879" s="40">
        <v>1</v>
      </c>
      <c r="H2879" s="41">
        <v>40</v>
      </c>
      <c r="J2879" s="41">
        <v>40</v>
      </c>
    </row>
    <row r="2880" spans="1:11" x14ac:dyDescent="0.25">
      <c r="A2880" s="24" t="s">
        <v>7</v>
      </c>
      <c r="B2880" s="24" t="s">
        <v>14046</v>
      </c>
      <c r="C2880" s="25" t="s">
        <v>14047</v>
      </c>
      <c r="D2880" s="24" t="s">
        <v>21823</v>
      </c>
      <c r="E2880" s="40">
        <v>515</v>
      </c>
      <c r="F2880" s="41">
        <v>48271</v>
      </c>
      <c r="G2880" s="40">
        <v>637</v>
      </c>
      <c r="H2880" s="41">
        <v>53214</v>
      </c>
      <c r="I2880" s="41">
        <v>93.730097087378638</v>
      </c>
      <c r="J2880" s="41">
        <v>83.538461538461533</v>
      </c>
      <c r="K2880" s="42">
        <v>-0.10873386314127136</v>
      </c>
    </row>
    <row r="2881" spans="1:11" x14ac:dyDescent="0.25">
      <c r="A2881" s="24" t="s">
        <v>7</v>
      </c>
      <c r="B2881" s="24" t="s">
        <v>14049</v>
      </c>
      <c r="C2881" s="25" t="s">
        <v>14050</v>
      </c>
      <c r="D2881" s="24" t="s">
        <v>21823</v>
      </c>
      <c r="E2881" s="40">
        <v>8</v>
      </c>
      <c r="F2881" s="41">
        <v>684</v>
      </c>
      <c r="G2881" s="40">
        <v>13</v>
      </c>
      <c r="H2881" s="41">
        <v>1059</v>
      </c>
      <c r="I2881" s="41">
        <v>85.5</v>
      </c>
      <c r="J2881" s="41">
        <v>81.461538461538467</v>
      </c>
      <c r="K2881" s="42">
        <v>-4.7233468286099804E-2</v>
      </c>
    </row>
    <row r="2882" spans="1:11" x14ac:dyDescent="0.25">
      <c r="A2882" s="24" t="s">
        <v>7</v>
      </c>
      <c r="B2882" s="24" t="s">
        <v>14052</v>
      </c>
      <c r="C2882" s="25" t="s">
        <v>14053</v>
      </c>
      <c r="D2882" s="24" t="s">
        <v>21823</v>
      </c>
      <c r="G2882" s="40">
        <v>15</v>
      </c>
      <c r="H2882" s="41">
        <v>360</v>
      </c>
      <c r="J2882" s="41">
        <v>24</v>
      </c>
    </row>
    <row r="2883" spans="1:11" x14ac:dyDescent="0.25">
      <c r="A2883" s="24" t="s">
        <v>7</v>
      </c>
      <c r="B2883" s="24" t="s">
        <v>14058</v>
      </c>
      <c r="C2883" s="25" t="s">
        <v>14059</v>
      </c>
      <c r="D2883" s="24" t="s">
        <v>21823</v>
      </c>
      <c r="G2883" s="40">
        <v>36</v>
      </c>
      <c r="H2883" s="41">
        <v>432</v>
      </c>
      <c r="J2883" s="41">
        <v>12</v>
      </c>
    </row>
    <row r="2884" spans="1:11" x14ac:dyDescent="0.25">
      <c r="A2884" s="24" t="s">
        <v>7</v>
      </c>
      <c r="B2884" s="24" t="s">
        <v>14061</v>
      </c>
      <c r="C2884" s="25" t="s">
        <v>14062</v>
      </c>
      <c r="E2884" s="40">
        <v>81</v>
      </c>
      <c r="F2884" s="41">
        <v>1515</v>
      </c>
      <c r="G2884" s="40">
        <v>55</v>
      </c>
      <c r="H2884" s="41">
        <v>935</v>
      </c>
      <c r="I2884" s="41">
        <v>18.703703703703702</v>
      </c>
      <c r="J2884" s="41">
        <v>17</v>
      </c>
      <c r="K2884" s="42">
        <v>-9.1089108910891031E-2</v>
      </c>
    </row>
    <row r="2885" spans="1:11" x14ac:dyDescent="0.25">
      <c r="A2885" s="24" t="s">
        <v>7</v>
      </c>
      <c r="B2885" s="24" t="s">
        <v>14079</v>
      </c>
      <c r="C2885" s="25" t="s">
        <v>14080</v>
      </c>
      <c r="D2885" s="24" t="s">
        <v>22162</v>
      </c>
      <c r="E2885" s="40">
        <v>8597</v>
      </c>
      <c r="F2885" s="41">
        <v>209343</v>
      </c>
      <c r="G2885" s="40">
        <v>10557</v>
      </c>
      <c r="H2885" s="41">
        <v>237600</v>
      </c>
      <c r="I2885" s="41">
        <v>24.350703733860648</v>
      </c>
      <c r="J2885" s="41">
        <v>22.506393861892583</v>
      </c>
      <c r="K2885" s="42">
        <v>-7.5739489590334788E-2</v>
      </c>
    </row>
    <row r="2886" spans="1:11" x14ac:dyDescent="0.25">
      <c r="A2886" s="24" t="s">
        <v>7</v>
      </c>
      <c r="B2886" s="24" t="s">
        <v>14087</v>
      </c>
      <c r="C2886" s="25" t="s">
        <v>14088</v>
      </c>
      <c r="D2886" s="24" t="s">
        <v>22163</v>
      </c>
      <c r="E2886" s="40">
        <v>69870</v>
      </c>
      <c r="F2886" s="41">
        <v>1236210</v>
      </c>
      <c r="G2886" s="40">
        <v>68730</v>
      </c>
      <c r="H2886" s="41">
        <v>1017990</v>
      </c>
      <c r="I2886" s="41">
        <v>17.693001288106483</v>
      </c>
      <c r="J2886" s="41">
        <v>14.811436054124837</v>
      </c>
      <c r="K2886" s="42">
        <v>-0.16286469361863895</v>
      </c>
    </row>
    <row r="2887" spans="1:11" x14ac:dyDescent="0.25">
      <c r="A2887" s="24" t="s">
        <v>7</v>
      </c>
      <c r="B2887" s="24" t="s">
        <v>14089</v>
      </c>
      <c r="C2887" s="25" t="s">
        <v>14090</v>
      </c>
      <c r="D2887" s="24" t="s">
        <v>21888</v>
      </c>
      <c r="E2887" s="40">
        <v>479</v>
      </c>
      <c r="F2887" s="41">
        <v>223047</v>
      </c>
      <c r="G2887" s="40">
        <v>425</v>
      </c>
      <c r="H2887" s="41">
        <v>203150</v>
      </c>
      <c r="I2887" s="41">
        <v>465.65135699373695</v>
      </c>
      <c r="J2887" s="41">
        <v>478</v>
      </c>
      <c r="K2887" s="42">
        <v>2.651907445515967E-2</v>
      </c>
    </row>
    <row r="2888" spans="1:11" x14ac:dyDescent="0.25">
      <c r="A2888" s="24" t="s">
        <v>7</v>
      </c>
      <c r="B2888" s="24" t="s">
        <v>14092</v>
      </c>
      <c r="C2888" s="25" t="s">
        <v>14093</v>
      </c>
      <c r="D2888" s="24" t="s">
        <v>22164</v>
      </c>
      <c r="E2888" s="40">
        <v>2480</v>
      </c>
      <c r="F2888" s="41">
        <v>34490</v>
      </c>
      <c r="G2888" s="40">
        <v>1075</v>
      </c>
      <c r="H2888" s="41">
        <v>14895</v>
      </c>
      <c r="I2888" s="41">
        <v>13.90725806451613</v>
      </c>
      <c r="J2888" s="41">
        <v>13.855813953488372</v>
      </c>
      <c r="K2888" s="42">
        <v>-3.6990836575482482E-3</v>
      </c>
    </row>
    <row r="2889" spans="1:11" x14ac:dyDescent="0.25">
      <c r="A2889" s="24" t="s">
        <v>7</v>
      </c>
      <c r="B2889" s="24" t="s">
        <v>14095</v>
      </c>
      <c r="C2889" s="25" t="s">
        <v>14096</v>
      </c>
      <c r="D2889" s="24" t="s">
        <v>22164</v>
      </c>
      <c r="E2889" s="40">
        <v>2900</v>
      </c>
      <c r="F2889" s="41">
        <v>278600</v>
      </c>
      <c r="G2889" s="40">
        <v>2200</v>
      </c>
      <c r="H2889" s="41">
        <v>177350</v>
      </c>
      <c r="I2889" s="41">
        <v>96.068965517241381</v>
      </c>
      <c r="J2889" s="41">
        <v>80.61363636363636</v>
      </c>
      <c r="K2889" s="42">
        <v>-0.16087743914377087</v>
      </c>
    </row>
    <row r="2890" spans="1:11" x14ac:dyDescent="0.25">
      <c r="A2890" s="24" t="s">
        <v>7</v>
      </c>
      <c r="B2890" s="24" t="s">
        <v>14098</v>
      </c>
      <c r="C2890" s="25" t="s">
        <v>14099</v>
      </c>
      <c r="D2890" s="24" t="s">
        <v>22165</v>
      </c>
      <c r="E2890" s="40">
        <v>637056</v>
      </c>
      <c r="F2890" s="41">
        <v>9988115</v>
      </c>
      <c r="G2890" s="40">
        <v>738759</v>
      </c>
      <c r="H2890" s="41">
        <v>10581164</v>
      </c>
      <c r="I2890" s="41">
        <v>15.67855102220213</v>
      </c>
      <c r="J2890" s="41">
        <v>14.322890144147143</v>
      </c>
      <c r="K2890" s="42">
        <v>-8.6465954419847779E-2</v>
      </c>
    </row>
    <row r="2891" spans="1:11" x14ac:dyDescent="0.25">
      <c r="A2891" s="24" t="s">
        <v>7</v>
      </c>
      <c r="B2891" s="24" t="s">
        <v>14101</v>
      </c>
      <c r="C2891" s="25" t="s">
        <v>14102</v>
      </c>
      <c r="D2891" s="24" t="s">
        <v>22166</v>
      </c>
      <c r="E2891" s="40">
        <v>1510</v>
      </c>
      <c r="F2891" s="41">
        <v>26230</v>
      </c>
      <c r="G2891" s="40">
        <v>440</v>
      </c>
      <c r="H2891" s="41">
        <v>5680</v>
      </c>
      <c r="I2891" s="41">
        <v>17.370860927152318</v>
      </c>
      <c r="J2891" s="41">
        <v>12.909090909090908</v>
      </c>
      <c r="K2891" s="42">
        <v>-0.25685370672027175</v>
      </c>
    </row>
    <row r="2892" spans="1:11" x14ac:dyDescent="0.25">
      <c r="A2892" s="24" t="s">
        <v>7</v>
      </c>
      <c r="B2892" s="24" t="s">
        <v>14106</v>
      </c>
      <c r="C2892" s="25" t="s">
        <v>14107</v>
      </c>
      <c r="D2892" s="24" t="s">
        <v>22167</v>
      </c>
      <c r="E2892" s="40">
        <v>66</v>
      </c>
      <c r="F2892" s="41">
        <v>38646</v>
      </c>
      <c r="G2892" s="40">
        <v>46</v>
      </c>
      <c r="H2892" s="41">
        <v>28708</v>
      </c>
      <c r="I2892" s="41">
        <v>585.5454545454545</v>
      </c>
      <c r="J2892" s="41">
        <v>624.08695652173913</v>
      </c>
      <c r="K2892" s="42">
        <v>6.582153729842119E-2</v>
      </c>
    </row>
    <row r="2893" spans="1:11" x14ac:dyDescent="0.25">
      <c r="A2893" s="24" t="s">
        <v>7</v>
      </c>
      <c r="B2893" s="24" t="s">
        <v>14112</v>
      </c>
      <c r="C2893" s="25" t="s">
        <v>14113</v>
      </c>
      <c r="D2893" s="24" t="s">
        <v>22168</v>
      </c>
      <c r="E2893" s="40">
        <v>65</v>
      </c>
      <c r="F2893" s="41">
        <v>30617</v>
      </c>
      <c r="G2893" s="40">
        <v>20</v>
      </c>
      <c r="H2893" s="41">
        <v>14180</v>
      </c>
      <c r="I2893" s="41">
        <v>471.03076923076924</v>
      </c>
      <c r="J2893" s="41">
        <v>709</v>
      </c>
      <c r="K2893" s="42">
        <v>0.50520952412058662</v>
      </c>
    </row>
    <row r="2894" spans="1:11" x14ac:dyDescent="0.25">
      <c r="A2894" s="24" t="s">
        <v>7</v>
      </c>
      <c r="B2894" s="24" t="s">
        <v>14114</v>
      </c>
      <c r="C2894" s="25" t="s">
        <v>14115</v>
      </c>
      <c r="D2894" s="24" t="s">
        <v>22169</v>
      </c>
      <c r="G2894" s="40">
        <v>501</v>
      </c>
      <c r="H2894" s="41">
        <v>11022</v>
      </c>
      <c r="J2894" s="41">
        <v>22</v>
      </c>
    </row>
    <row r="2895" spans="1:11" x14ac:dyDescent="0.25">
      <c r="A2895" s="24" t="s">
        <v>7</v>
      </c>
      <c r="B2895" s="24" t="s">
        <v>14129</v>
      </c>
      <c r="C2895" s="25" t="s">
        <v>14130</v>
      </c>
      <c r="D2895" s="24" t="s">
        <v>21846</v>
      </c>
      <c r="E2895" s="40">
        <v>136</v>
      </c>
      <c r="F2895" s="41">
        <v>25824</v>
      </c>
      <c r="G2895" s="40">
        <v>91</v>
      </c>
      <c r="H2895" s="41">
        <v>17654</v>
      </c>
      <c r="I2895" s="41">
        <v>189.88235294117646</v>
      </c>
      <c r="J2895" s="41">
        <v>194</v>
      </c>
      <c r="K2895" s="42">
        <v>2.16852540272615E-2</v>
      </c>
    </row>
    <row r="2896" spans="1:11" x14ac:dyDescent="0.25">
      <c r="A2896" s="24" t="s">
        <v>7</v>
      </c>
      <c r="B2896" s="24" t="s">
        <v>14135</v>
      </c>
      <c r="C2896" s="25" t="s">
        <v>14136</v>
      </c>
      <c r="D2896" s="24" t="s">
        <v>21846</v>
      </c>
      <c r="E2896" s="40">
        <v>1247</v>
      </c>
      <c r="F2896" s="41">
        <v>235785</v>
      </c>
      <c r="G2896" s="40">
        <v>1326</v>
      </c>
      <c r="H2896" s="41">
        <v>255918</v>
      </c>
      <c r="I2896" s="41">
        <v>189.08179631114675</v>
      </c>
      <c r="J2896" s="41">
        <v>193</v>
      </c>
      <c r="K2896" s="42">
        <v>2.072226816803447E-2</v>
      </c>
    </row>
    <row r="2897" spans="1:11" x14ac:dyDescent="0.25">
      <c r="A2897" s="24" t="s">
        <v>7</v>
      </c>
      <c r="B2897" s="24" t="s">
        <v>14147</v>
      </c>
      <c r="C2897" s="25" t="s">
        <v>14148</v>
      </c>
      <c r="D2897" s="24" t="s">
        <v>22170</v>
      </c>
      <c r="G2897" s="40">
        <v>124</v>
      </c>
      <c r="H2897" s="41">
        <v>20557</v>
      </c>
      <c r="J2897" s="41">
        <v>165.78225806451613</v>
      </c>
    </row>
    <row r="2898" spans="1:11" x14ac:dyDescent="0.25">
      <c r="A2898" s="24" t="s">
        <v>7</v>
      </c>
      <c r="B2898" s="24" t="s">
        <v>14150</v>
      </c>
      <c r="C2898" s="25" t="s">
        <v>14151</v>
      </c>
      <c r="D2898" s="24" t="s">
        <v>22170</v>
      </c>
      <c r="E2898" s="40">
        <v>419</v>
      </c>
      <c r="F2898" s="41">
        <v>157629</v>
      </c>
      <c r="G2898" s="40">
        <v>572</v>
      </c>
      <c r="H2898" s="41">
        <v>186735</v>
      </c>
      <c r="I2898" s="41">
        <v>376.20286396181382</v>
      </c>
      <c r="J2898" s="41">
        <v>326.45979020979019</v>
      </c>
      <c r="K2898" s="42">
        <v>-0.1322240698227985</v>
      </c>
    </row>
    <row r="2899" spans="1:11" x14ac:dyDescent="0.25">
      <c r="A2899" s="24" t="s">
        <v>7</v>
      </c>
      <c r="B2899" s="24" t="s">
        <v>14153</v>
      </c>
      <c r="C2899" s="25" t="s">
        <v>14154</v>
      </c>
      <c r="D2899" s="24" t="s">
        <v>21846</v>
      </c>
      <c r="E2899" s="40">
        <v>20</v>
      </c>
      <c r="F2899" s="41">
        <v>4080</v>
      </c>
      <c r="G2899" s="40">
        <v>67</v>
      </c>
      <c r="H2899" s="41">
        <v>11829</v>
      </c>
      <c r="I2899" s="41">
        <v>204</v>
      </c>
      <c r="J2899" s="41">
        <v>176.55223880597015</v>
      </c>
      <c r="K2899" s="42">
        <v>-0.13454784899034242</v>
      </c>
    </row>
    <row r="2900" spans="1:11" x14ac:dyDescent="0.25">
      <c r="A2900" s="24" t="s">
        <v>7</v>
      </c>
      <c r="B2900" s="24" t="s">
        <v>14156</v>
      </c>
      <c r="C2900" s="25" t="s">
        <v>14157</v>
      </c>
      <c r="D2900" s="24" t="s">
        <v>21846</v>
      </c>
      <c r="E2900" s="40">
        <v>27</v>
      </c>
      <c r="F2900" s="41">
        <v>5757</v>
      </c>
      <c r="G2900" s="40">
        <v>4</v>
      </c>
      <c r="H2900" s="41">
        <v>860</v>
      </c>
      <c r="I2900" s="41">
        <v>213.22222222222223</v>
      </c>
      <c r="J2900" s="41">
        <v>215</v>
      </c>
      <c r="K2900" s="42">
        <v>8.3376758728504127E-3</v>
      </c>
    </row>
    <row r="2901" spans="1:11" x14ac:dyDescent="0.25">
      <c r="A2901" s="24" t="s">
        <v>7</v>
      </c>
      <c r="B2901" s="24" t="s">
        <v>14162</v>
      </c>
      <c r="C2901" s="25" t="s">
        <v>14163</v>
      </c>
      <c r="D2901" s="24" t="s">
        <v>21846</v>
      </c>
      <c r="G2901" s="40">
        <v>7</v>
      </c>
      <c r="H2901" s="41">
        <v>1778</v>
      </c>
      <c r="J2901" s="41">
        <v>254</v>
      </c>
    </row>
    <row r="2902" spans="1:11" x14ac:dyDescent="0.25">
      <c r="A2902" s="24" t="s">
        <v>7</v>
      </c>
      <c r="B2902" s="24" t="s">
        <v>14168</v>
      </c>
      <c r="C2902" s="25" t="s">
        <v>14169</v>
      </c>
      <c r="D2902" s="24" t="s">
        <v>21846</v>
      </c>
      <c r="E2902" s="40">
        <v>1</v>
      </c>
      <c r="F2902" s="41">
        <v>268</v>
      </c>
      <c r="G2902" s="40">
        <v>2</v>
      </c>
      <c r="H2902" s="41">
        <v>536</v>
      </c>
      <c r="I2902" s="41">
        <v>268</v>
      </c>
      <c r="J2902" s="41">
        <v>268</v>
      </c>
      <c r="K2902" s="42">
        <v>0</v>
      </c>
    </row>
    <row r="2903" spans="1:11" x14ac:dyDescent="0.25">
      <c r="A2903" s="24" t="s">
        <v>7</v>
      </c>
      <c r="B2903" s="24" t="s">
        <v>14171</v>
      </c>
      <c r="C2903" s="25" t="s">
        <v>14172</v>
      </c>
      <c r="D2903" s="24" t="s">
        <v>21846</v>
      </c>
      <c r="E2903" s="40">
        <v>91</v>
      </c>
      <c r="F2903" s="41">
        <v>18218</v>
      </c>
      <c r="G2903" s="40">
        <v>53</v>
      </c>
      <c r="H2903" s="41">
        <v>10035</v>
      </c>
      <c r="I2903" s="41">
        <v>200.19780219780219</v>
      </c>
      <c r="J2903" s="41">
        <v>189.33962264150944</v>
      </c>
      <c r="K2903" s="42">
        <v>-5.4237256538733153E-2</v>
      </c>
    </row>
    <row r="2904" spans="1:11" x14ac:dyDescent="0.25">
      <c r="A2904" s="24" t="s">
        <v>7</v>
      </c>
      <c r="B2904" s="24" t="s">
        <v>14174</v>
      </c>
      <c r="C2904" s="25" t="s">
        <v>14175</v>
      </c>
      <c r="D2904" s="24" t="s">
        <v>21846</v>
      </c>
      <c r="E2904" s="40">
        <v>56</v>
      </c>
      <c r="F2904" s="41">
        <v>10346</v>
      </c>
      <c r="G2904" s="40">
        <v>78</v>
      </c>
      <c r="H2904" s="41">
        <v>14741</v>
      </c>
      <c r="I2904" s="41">
        <v>184.75</v>
      </c>
      <c r="J2904" s="41">
        <v>188.98717948717947</v>
      </c>
      <c r="K2904" s="42">
        <v>2.2934665695152772E-2</v>
      </c>
    </row>
    <row r="2905" spans="1:11" x14ac:dyDescent="0.25">
      <c r="A2905" s="24" t="s">
        <v>7</v>
      </c>
      <c r="B2905" s="24" t="s">
        <v>14177</v>
      </c>
      <c r="C2905" s="25" t="s">
        <v>14178</v>
      </c>
      <c r="D2905" s="24" t="s">
        <v>22171</v>
      </c>
      <c r="E2905" s="40">
        <v>3437</v>
      </c>
      <c r="F2905" s="41">
        <v>987774</v>
      </c>
      <c r="G2905" s="40">
        <v>2936</v>
      </c>
      <c r="H2905" s="41">
        <v>748080</v>
      </c>
      <c r="I2905" s="41">
        <v>287.39423916205993</v>
      </c>
      <c r="J2905" s="41">
        <v>254.79564032697547</v>
      </c>
      <c r="K2905" s="42">
        <v>-0.11342815684173231</v>
      </c>
    </row>
    <row r="2906" spans="1:11" x14ac:dyDescent="0.25">
      <c r="A2906" s="24" t="s">
        <v>7</v>
      </c>
      <c r="B2906" s="24" t="s">
        <v>14183</v>
      </c>
      <c r="C2906" s="25" t="s">
        <v>14184</v>
      </c>
      <c r="D2906" s="24" t="s">
        <v>21846</v>
      </c>
      <c r="E2906" s="40">
        <v>80</v>
      </c>
      <c r="F2906" s="41">
        <v>28071</v>
      </c>
      <c r="G2906" s="40">
        <v>14</v>
      </c>
      <c r="H2906" s="41">
        <v>5040</v>
      </c>
      <c r="I2906" s="41">
        <v>350.88749999999999</v>
      </c>
      <c r="J2906" s="41">
        <v>360</v>
      </c>
      <c r="K2906" s="42">
        <v>2.5969862135299809E-2</v>
      </c>
    </row>
    <row r="2907" spans="1:11" x14ac:dyDescent="0.25">
      <c r="A2907" s="24" t="s">
        <v>7</v>
      </c>
      <c r="B2907" s="24" t="s">
        <v>14186</v>
      </c>
      <c r="C2907" s="25" t="s">
        <v>14187</v>
      </c>
      <c r="D2907" s="24" t="s">
        <v>21846</v>
      </c>
      <c r="E2907" s="40">
        <v>13</v>
      </c>
      <c r="F2907" s="41">
        <v>5385</v>
      </c>
      <c r="G2907" s="40">
        <v>26</v>
      </c>
      <c r="H2907" s="41">
        <v>10088</v>
      </c>
      <c r="I2907" s="41">
        <v>414.23076923076923</v>
      </c>
      <c r="J2907" s="41">
        <v>388</v>
      </c>
      <c r="K2907" s="42">
        <v>-6.3324048282265538E-2</v>
      </c>
    </row>
    <row r="2908" spans="1:11" x14ac:dyDescent="0.25">
      <c r="A2908" s="24" t="s">
        <v>7</v>
      </c>
      <c r="B2908" s="24" t="s">
        <v>14189</v>
      </c>
      <c r="C2908" s="25" t="s">
        <v>14190</v>
      </c>
      <c r="D2908" s="24" t="s">
        <v>21846</v>
      </c>
      <c r="E2908" s="40">
        <v>4817</v>
      </c>
      <c r="F2908" s="41">
        <v>2753015</v>
      </c>
      <c r="G2908" s="40">
        <v>3983</v>
      </c>
      <c r="H2908" s="41">
        <v>1952781</v>
      </c>
      <c r="I2908" s="41">
        <v>571.52065600996468</v>
      </c>
      <c r="J2908" s="41">
        <v>490.27893547577202</v>
      </c>
      <c r="K2908" s="42">
        <v>-0.14215010372744286</v>
      </c>
    </row>
    <row r="2909" spans="1:11" x14ac:dyDescent="0.25">
      <c r="A2909" s="24" t="s">
        <v>7</v>
      </c>
      <c r="B2909" s="24" t="s">
        <v>14195</v>
      </c>
      <c r="C2909" s="25" t="s">
        <v>14196</v>
      </c>
      <c r="D2909" s="24" t="s">
        <v>21846</v>
      </c>
      <c r="E2909" s="40">
        <v>23</v>
      </c>
      <c r="F2909" s="41">
        <v>5217</v>
      </c>
      <c r="G2909" s="40">
        <v>5</v>
      </c>
      <c r="H2909" s="41">
        <v>728</v>
      </c>
      <c r="I2909" s="41">
        <v>226.82608695652175</v>
      </c>
      <c r="J2909" s="41">
        <v>145.6</v>
      </c>
      <c r="K2909" s="42">
        <v>-0.35809852405597092</v>
      </c>
    </row>
    <row r="2910" spans="1:11" x14ac:dyDescent="0.25">
      <c r="A2910" s="24" t="s">
        <v>7</v>
      </c>
      <c r="B2910" s="24" t="s">
        <v>14201</v>
      </c>
      <c r="C2910" s="25" t="s">
        <v>14202</v>
      </c>
      <c r="D2910" s="24" t="s">
        <v>22172</v>
      </c>
      <c r="E2910" s="40">
        <v>630</v>
      </c>
      <c r="F2910" s="41">
        <v>252750</v>
      </c>
      <c r="G2910" s="40">
        <v>564</v>
      </c>
      <c r="H2910" s="41">
        <v>220908</v>
      </c>
      <c r="I2910" s="41">
        <v>401.1904761904762</v>
      </c>
      <c r="J2910" s="41">
        <v>391.68085106382978</v>
      </c>
      <c r="K2910" s="42">
        <v>-2.370351663615133E-2</v>
      </c>
    </row>
    <row r="2911" spans="1:11" x14ac:dyDescent="0.25">
      <c r="A2911" s="24" t="s">
        <v>7</v>
      </c>
      <c r="B2911" s="24" t="s">
        <v>14204</v>
      </c>
      <c r="C2911" s="25" t="s">
        <v>14205</v>
      </c>
      <c r="D2911" s="24" t="s">
        <v>22172</v>
      </c>
      <c r="E2911" s="40">
        <v>4086</v>
      </c>
      <c r="F2911" s="41">
        <v>1286004</v>
      </c>
      <c r="G2911" s="40">
        <v>3737</v>
      </c>
      <c r="H2911" s="41">
        <v>1068300</v>
      </c>
      <c r="I2911" s="41">
        <v>314.73421439060206</v>
      </c>
      <c r="J2911" s="41">
        <v>285.87101953438588</v>
      </c>
      <c r="K2911" s="42">
        <v>-9.1706568706239888E-2</v>
      </c>
    </row>
    <row r="2912" spans="1:11" x14ac:dyDescent="0.25">
      <c r="A2912" s="24" t="s">
        <v>7</v>
      </c>
      <c r="B2912" s="24" t="s">
        <v>14207</v>
      </c>
      <c r="C2912" s="25" t="s">
        <v>14208</v>
      </c>
      <c r="D2912" s="24" t="s">
        <v>21846</v>
      </c>
      <c r="E2912" s="40">
        <v>1779</v>
      </c>
      <c r="F2912" s="41">
        <v>1011717</v>
      </c>
      <c r="G2912" s="40">
        <v>1839</v>
      </c>
      <c r="H2912" s="41">
        <v>893816</v>
      </c>
      <c r="I2912" s="41">
        <v>568.69983136593589</v>
      </c>
      <c r="J2912" s="41">
        <v>486.03371397498643</v>
      </c>
      <c r="K2912" s="42">
        <v>-0.14535984157476756</v>
      </c>
    </row>
    <row r="2913" spans="1:11" x14ac:dyDescent="0.25">
      <c r="A2913" s="24" t="s">
        <v>7</v>
      </c>
      <c r="B2913" s="24" t="s">
        <v>14213</v>
      </c>
      <c r="C2913" s="25" t="s">
        <v>14214</v>
      </c>
      <c r="D2913" s="24" t="s">
        <v>21846</v>
      </c>
      <c r="G2913" s="40">
        <v>1</v>
      </c>
      <c r="H2913" s="41">
        <v>93</v>
      </c>
      <c r="J2913" s="41">
        <v>93</v>
      </c>
    </row>
    <row r="2914" spans="1:11" x14ac:dyDescent="0.25">
      <c r="A2914" s="24" t="s">
        <v>7</v>
      </c>
      <c r="B2914" s="24" t="s">
        <v>14216</v>
      </c>
      <c r="C2914" s="25" t="s">
        <v>14217</v>
      </c>
      <c r="D2914" s="24" t="s">
        <v>22173</v>
      </c>
      <c r="E2914" s="40">
        <v>449</v>
      </c>
      <c r="F2914" s="41">
        <v>83659</v>
      </c>
      <c r="G2914" s="40">
        <v>363</v>
      </c>
      <c r="H2914" s="41">
        <v>62821</v>
      </c>
      <c r="I2914" s="41">
        <v>186.32293986636972</v>
      </c>
      <c r="J2914" s="41">
        <v>173.06060606060606</v>
      </c>
      <c r="K2914" s="42">
        <v>-7.1179285896172353E-2</v>
      </c>
    </row>
    <row r="2915" spans="1:11" x14ac:dyDescent="0.25">
      <c r="A2915" s="24" t="s">
        <v>7</v>
      </c>
      <c r="B2915" s="24" t="s">
        <v>14219</v>
      </c>
      <c r="C2915" s="25" t="s">
        <v>14220</v>
      </c>
      <c r="D2915" s="24" t="s">
        <v>22173</v>
      </c>
      <c r="E2915" s="40">
        <v>433</v>
      </c>
      <c r="F2915" s="41">
        <v>87711</v>
      </c>
      <c r="G2915" s="40">
        <v>340</v>
      </c>
      <c r="H2915" s="41">
        <v>62892</v>
      </c>
      <c r="I2915" s="41">
        <v>202.56581986143186</v>
      </c>
      <c r="J2915" s="41">
        <v>184.97647058823529</v>
      </c>
      <c r="K2915" s="42">
        <v>-8.6832760261473671E-2</v>
      </c>
    </row>
    <row r="2916" spans="1:11" x14ac:dyDescent="0.25">
      <c r="A2916" s="24" t="s">
        <v>7</v>
      </c>
      <c r="B2916" s="24" t="s">
        <v>14225</v>
      </c>
      <c r="C2916" s="25" t="s">
        <v>14226</v>
      </c>
      <c r="D2916" s="24" t="s">
        <v>22173</v>
      </c>
      <c r="E2916" s="40">
        <v>6183</v>
      </c>
      <c r="F2916" s="41">
        <v>1832572</v>
      </c>
      <c r="G2916" s="40">
        <v>6284</v>
      </c>
      <c r="H2916" s="41">
        <v>1658973</v>
      </c>
      <c r="I2916" s="41">
        <v>296.38880802199577</v>
      </c>
      <c r="J2916" s="41">
        <v>263.99952259707192</v>
      </c>
      <c r="K2916" s="42">
        <v>-0.10927971822242412</v>
      </c>
    </row>
    <row r="2917" spans="1:11" x14ac:dyDescent="0.25">
      <c r="A2917" s="24" t="s">
        <v>7</v>
      </c>
      <c r="B2917" s="24" t="s">
        <v>14228</v>
      </c>
      <c r="C2917" s="25" t="s">
        <v>14229</v>
      </c>
      <c r="D2917" s="24" t="s">
        <v>22173</v>
      </c>
      <c r="E2917" s="40">
        <v>276</v>
      </c>
      <c r="F2917" s="41">
        <v>64656</v>
      </c>
      <c r="G2917" s="40">
        <v>270</v>
      </c>
      <c r="H2917" s="41">
        <v>52974</v>
      </c>
      <c r="I2917" s="41">
        <v>234.2608695652174</v>
      </c>
      <c r="J2917" s="41">
        <v>196.2</v>
      </c>
      <c r="K2917" s="42">
        <v>-0.16247216035634754</v>
      </c>
    </row>
    <row r="2918" spans="1:11" x14ac:dyDescent="0.25">
      <c r="A2918" s="24" t="s">
        <v>7</v>
      </c>
      <c r="B2918" s="24" t="s">
        <v>14231</v>
      </c>
      <c r="C2918" s="25" t="s">
        <v>14232</v>
      </c>
      <c r="D2918" s="24" t="s">
        <v>22174</v>
      </c>
      <c r="E2918" s="40">
        <v>2189</v>
      </c>
      <c r="F2918" s="41">
        <v>544435</v>
      </c>
      <c r="G2918" s="40">
        <v>2506</v>
      </c>
      <c r="H2918" s="41">
        <v>544236</v>
      </c>
      <c r="I2918" s="41">
        <v>248.71402466879854</v>
      </c>
      <c r="J2918" s="41">
        <v>217.17318435754191</v>
      </c>
      <c r="K2918" s="42">
        <v>-0.12681568863379608</v>
      </c>
    </row>
    <row r="2919" spans="1:11" x14ac:dyDescent="0.25">
      <c r="A2919" s="24" t="s">
        <v>7</v>
      </c>
      <c r="B2919" s="24" t="s">
        <v>14233</v>
      </c>
      <c r="C2919" s="25" t="s">
        <v>14234</v>
      </c>
      <c r="D2919" s="24" t="s">
        <v>22175</v>
      </c>
      <c r="E2919" s="40">
        <v>326</v>
      </c>
      <c r="F2919" s="41">
        <v>134131</v>
      </c>
      <c r="G2919" s="40">
        <v>381</v>
      </c>
      <c r="H2919" s="41">
        <v>130482</v>
      </c>
      <c r="I2919" s="41">
        <v>411.44478527607362</v>
      </c>
      <c r="J2919" s="41">
        <v>342.4724409448819</v>
      </c>
      <c r="K2919" s="42">
        <v>-0.16763450844300348</v>
      </c>
    </row>
    <row r="2920" spans="1:11" x14ac:dyDescent="0.25">
      <c r="A2920" s="24" t="s">
        <v>7</v>
      </c>
      <c r="B2920" s="24" t="s">
        <v>14239</v>
      </c>
      <c r="C2920" s="25" t="s">
        <v>14240</v>
      </c>
      <c r="D2920" s="24" t="s">
        <v>21846</v>
      </c>
      <c r="E2920" s="40">
        <v>429</v>
      </c>
      <c r="F2920" s="41">
        <v>116910</v>
      </c>
      <c r="G2920" s="40">
        <v>562</v>
      </c>
      <c r="H2920" s="41">
        <v>134988</v>
      </c>
      <c r="I2920" s="41">
        <v>272.51748251748251</v>
      </c>
      <c r="J2920" s="41">
        <v>240.19217081850533</v>
      </c>
      <c r="K2920" s="42">
        <v>-0.11861738704012667</v>
      </c>
    </row>
    <row r="2921" spans="1:11" x14ac:dyDescent="0.25">
      <c r="A2921" s="24" t="s">
        <v>7</v>
      </c>
      <c r="B2921" s="24" t="s">
        <v>14245</v>
      </c>
      <c r="C2921" s="25" t="s">
        <v>14246</v>
      </c>
      <c r="D2921" s="24" t="s">
        <v>21846</v>
      </c>
      <c r="E2921" s="40">
        <v>223</v>
      </c>
      <c r="F2921" s="41">
        <v>55559</v>
      </c>
      <c r="G2921" s="40">
        <v>224</v>
      </c>
      <c r="H2921" s="41">
        <v>49651</v>
      </c>
      <c r="I2921" s="41">
        <v>249.14349775784754</v>
      </c>
      <c r="J2921" s="41">
        <v>221.65625</v>
      </c>
      <c r="K2921" s="42">
        <v>-0.11032697222772191</v>
      </c>
    </row>
    <row r="2922" spans="1:11" x14ac:dyDescent="0.25">
      <c r="A2922" s="24" t="s">
        <v>7</v>
      </c>
      <c r="B2922" s="24" t="s">
        <v>14251</v>
      </c>
      <c r="C2922" s="25" t="s">
        <v>14252</v>
      </c>
      <c r="D2922" s="24" t="s">
        <v>21846</v>
      </c>
      <c r="E2922" s="40">
        <v>309</v>
      </c>
      <c r="F2922" s="41">
        <v>11790</v>
      </c>
      <c r="G2922" s="40">
        <v>322</v>
      </c>
      <c r="H2922" s="41">
        <v>12558</v>
      </c>
      <c r="I2922" s="41">
        <v>38.155339805825243</v>
      </c>
      <c r="J2922" s="41">
        <v>39</v>
      </c>
      <c r="K2922" s="42">
        <v>2.2137404580152675E-2</v>
      </c>
    </row>
    <row r="2923" spans="1:11" x14ac:dyDescent="0.25">
      <c r="A2923" s="24" t="s">
        <v>7</v>
      </c>
      <c r="B2923" s="24" t="s">
        <v>14254</v>
      </c>
      <c r="C2923" s="25" t="s">
        <v>14255</v>
      </c>
      <c r="D2923" s="24" t="s">
        <v>22176</v>
      </c>
      <c r="E2923" s="40">
        <v>283</v>
      </c>
      <c r="F2923" s="41">
        <v>15524</v>
      </c>
      <c r="G2923" s="40">
        <v>394</v>
      </c>
      <c r="H2923" s="41">
        <v>25543</v>
      </c>
      <c r="I2923" s="41">
        <v>54.85512367491166</v>
      </c>
      <c r="J2923" s="41">
        <v>64.829949238578678</v>
      </c>
      <c r="K2923" s="42">
        <v>0.18183945081923256</v>
      </c>
    </row>
    <row r="2924" spans="1:11" x14ac:dyDescent="0.25">
      <c r="A2924" s="24" t="s">
        <v>7</v>
      </c>
      <c r="B2924" s="24" t="s">
        <v>14257</v>
      </c>
      <c r="C2924" s="25" t="s">
        <v>14258</v>
      </c>
      <c r="D2924" s="24" t="s">
        <v>22176</v>
      </c>
      <c r="E2924" s="40">
        <v>104</v>
      </c>
      <c r="F2924" s="41">
        <v>29573</v>
      </c>
      <c r="G2924" s="40">
        <v>321</v>
      </c>
      <c r="H2924" s="41">
        <v>87985</v>
      </c>
      <c r="I2924" s="41">
        <v>284.35576923076923</v>
      </c>
      <c r="J2924" s="41">
        <v>274.09657320872276</v>
      </c>
      <c r="K2924" s="42">
        <v>-3.6078733516817119E-2</v>
      </c>
    </row>
    <row r="2925" spans="1:11" x14ac:dyDescent="0.25">
      <c r="A2925" s="24" t="s">
        <v>7</v>
      </c>
      <c r="B2925" s="24" t="s">
        <v>14260</v>
      </c>
      <c r="C2925" s="25" t="s">
        <v>14261</v>
      </c>
      <c r="D2925" s="24" t="s">
        <v>22176</v>
      </c>
      <c r="E2925" s="40">
        <v>16659</v>
      </c>
      <c r="F2925" s="41">
        <v>4485664</v>
      </c>
      <c r="G2925" s="40">
        <v>14256</v>
      </c>
      <c r="H2925" s="41">
        <v>3542553</v>
      </c>
      <c r="I2925" s="41">
        <v>269.2637013025992</v>
      </c>
      <c r="J2925" s="41">
        <v>248.4955808080808</v>
      </c>
      <c r="K2925" s="42">
        <v>-7.7129298877085306E-2</v>
      </c>
    </row>
    <row r="2926" spans="1:11" x14ac:dyDescent="0.25">
      <c r="A2926" s="24" t="s">
        <v>7</v>
      </c>
      <c r="B2926" s="24" t="s">
        <v>14263</v>
      </c>
      <c r="C2926" s="25" t="s">
        <v>14264</v>
      </c>
      <c r="D2926" s="24" t="s">
        <v>21846</v>
      </c>
      <c r="E2926" s="40">
        <v>306</v>
      </c>
      <c r="F2926" s="41">
        <v>170556</v>
      </c>
      <c r="G2926" s="40">
        <v>361</v>
      </c>
      <c r="H2926" s="41">
        <v>196455</v>
      </c>
      <c r="I2926" s="41">
        <v>557.37254901960785</v>
      </c>
      <c r="J2926" s="41">
        <v>544.196675900277</v>
      </c>
      <c r="K2926" s="42">
        <v>-2.3639257337855241E-2</v>
      </c>
    </row>
    <row r="2927" spans="1:11" x14ac:dyDescent="0.25">
      <c r="A2927" s="24" t="s">
        <v>7</v>
      </c>
      <c r="B2927" s="24" t="s">
        <v>14266</v>
      </c>
      <c r="C2927" s="25" t="s">
        <v>14267</v>
      </c>
      <c r="D2927" s="24" t="s">
        <v>21846</v>
      </c>
      <c r="E2927" s="40">
        <v>119</v>
      </c>
      <c r="F2927" s="41">
        <v>30735</v>
      </c>
      <c r="G2927" s="40">
        <v>105</v>
      </c>
      <c r="H2927" s="41">
        <v>27825</v>
      </c>
      <c r="I2927" s="41">
        <v>258.27731092436977</v>
      </c>
      <c r="J2927" s="41">
        <v>265</v>
      </c>
      <c r="K2927" s="42">
        <v>2.6028957214901484E-2</v>
      </c>
    </row>
    <row r="2928" spans="1:11" x14ac:dyDescent="0.25">
      <c r="A2928" s="24" t="s">
        <v>7</v>
      </c>
      <c r="B2928" s="24" t="s">
        <v>14275</v>
      </c>
      <c r="C2928" s="25" t="s">
        <v>14276</v>
      </c>
      <c r="D2928" s="24" t="s">
        <v>21846</v>
      </c>
      <c r="E2928" s="40">
        <v>71</v>
      </c>
      <c r="F2928" s="41">
        <v>13337</v>
      </c>
      <c r="G2928" s="40">
        <v>117</v>
      </c>
      <c r="H2928" s="41">
        <v>22347</v>
      </c>
      <c r="I2928" s="41">
        <v>187.8450704225352</v>
      </c>
      <c r="J2928" s="41">
        <v>191</v>
      </c>
      <c r="K2928" s="42">
        <v>1.6795381270150764E-2</v>
      </c>
    </row>
    <row r="2929" spans="1:11" x14ac:dyDescent="0.25">
      <c r="A2929" s="24" t="s">
        <v>7</v>
      </c>
      <c r="B2929" s="24" t="s">
        <v>14278</v>
      </c>
      <c r="C2929" s="25" t="s">
        <v>14279</v>
      </c>
      <c r="D2929" s="24" t="s">
        <v>21846</v>
      </c>
      <c r="E2929" s="40">
        <v>456</v>
      </c>
      <c r="F2929" s="41">
        <v>97672</v>
      </c>
      <c r="G2929" s="40">
        <v>342</v>
      </c>
      <c r="H2929" s="41">
        <v>68700</v>
      </c>
      <c r="I2929" s="41">
        <v>214.19298245614036</v>
      </c>
      <c r="J2929" s="41">
        <v>200.87719298245614</v>
      </c>
      <c r="K2929" s="42">
        <v>-6.2167253665328895E-2</v>
      </c>
    </row>
    <row r="2930" spans="1:11" x14ac:dyDescent="0.25">
      <c r="A2930" s="24" t="s">
        <v>7</v>
      </c>
      <c r="B2930" s="24" t="s">
        <v>14281</v>
      </c>
      <c r="C2930" s="25" t="s">
        <v>14282</v>
      </c>
      <c r="D2930" s="24" t="s">
        <v>21846</v>
      </c>
      <c r="E2930" s="40">
        <v>1414</v>
      </c>
      <c r="F2930" s="41">
        <v>337600</v>
      </c>
      <c r="G2930" s="40">
        <v>1404</v>
      </c>
      <c r="H2930" s="41">
        <v>297636</v>
      </c>
      <c r="I2930" s="41">
        <v>238.75530410183876</v>
      </c>
      <c r="J2930" s="41">
        <v>211.991452991453</v>
      </c>
      <c r="K2930" s="42">
        <v>-0.11209740956778869</v>
      </c>
    </row>
    <row r="2931" spans="1:11" x14ac:dyDescent="0.25">
      <c r="A2931" s="24" t="s">
        <v>7</v>
      </c>
      <c r="B2931" s="24" t="s">
        <v>14284</v>
      </c>
      <c r="C2931" s="25" t="s">
        <v>14285</v>
      </c>
      <c r="D2931" s="24" t="s">
        <v>22177</v>
      </c>
      <c r="E2931" s="40">
        <v>13</v>
      </c>
      <c r="F2931" s="41">
        <v>2743</v>
      </c>
      <c r="G2931" s="40">
        <v>0</v>
      </c>
      <c r="H2931" s="41">
        <v>0</v>
      </c>
      <c r="I2931" s="41">
        <v>211</v>
      </c>
    </row>
    <row r="2932" spans="1:11" x14ac:dyDescent="0.25">
      <c r="A2932" s="24" t="s">
        <v>7</v>
      </c>
      <c r="B2932" s="24" t="s">
        <v>14287</v>
      </c>
      <c r="C2932" s="25" t="s">
        <v>14288</v>
      </c>
      <c r="D2932" s="24" t="s">
        <v>22177</v>
      </c>
      <c r="E2932" s="40">
        <v>5204</v>
      </c>
      <c r="F2932" s="41">
        <v>1728031</v>
      </c>
      <c r="G2932" s="40">
        <v>4424</v>
      </c>
      <c r="H2932" s="41">
        <v>1342892</v>
      </c>
      <c r="I2932" s="41">
        <v>332.05822444273633</v>
      </c>
      <c r="J2932" s="41">
        <v>303.5470162748644</v>
      </c>
      <c r="K2932" s="42">
        <v>-8.5862074989167161E-2</v>
      </c>
    </row>
    <row r="2933" spans="1:11" x14ac:dyDescent="0.25">
      <c r="A2933" s="24" t="s">
        <v>7</v>
      </c>
      <c r="B2933" s="24" t="s">
        <v>14290</v>
      </c>
      <c r="C2933" s="25" t="s">
        <v>14291</v>
      </c>
      <c r="D2933" s="24" t="s">
        <v>22177</v>
      </c>
      <c r="E2933" s="40">
        <v>12170</v>
      </c>
      <c r="F2933" s="41">
        <v>2711673</v>
      </c>
      <c r="G2933" s="40">
        <v>12957</v>
      </c>
      <c r="H2933" s="41">
        <v>2722126</v>
      </c>
      <c r="I2933" s="41">
        <v>222.81618734593263</v>
      </c>
      <c r="J2933" s="41">
        <v>210.08921818322142</v>
      </c>
      <c r="K2933" s="42">
        <v>-5.711869193305958E-2</v>
      </c>
    </row>
    <row r="2934" spans="1:11" x14ac:dyDescent="0.25">
      <c r="A2934" s="24" t="s">
        <v>7</v>
      </c>
      <c r="B2934" s="24" t="s">
        <v>14293</v>
      </c>
      <c r="C2934" s="25" t="s">
        <v>14294</v>
      </c>
      <c r="D2934" s="24" t="s">
        <v>22177</v>
      </c>
      <c r="E2934" s="40">
        <v>88511</v>
      </c>
      <c r="F2934" s="41">
        <v>19714844</v>
      </c>
      <c r="G2934" s="40">
        <v>86315</v>
      </c>
      <c r="H2934" s="41">
        <v>18118235</v>
      </c>
      <c r="I2934" s="41">
        <v>222.73891380732337</v>
      </c>
      <c r="J2934" s="41">
        <v>209.90830099055785</v>
      </c>
      <c r="K2934" s="42">
        <v>-5.7603822329242535E-2</v>
      </c>
    </row>
    <row r="2935" spans="1:11" x14ac:dyDescent="0.25">
      <c r="A2935" s="24" t="s">
        <v>7</v>
      </c>
      <c r="B2935" s="24" t="s">
        <v>14295</v>
      </c>
      <c r="C2935" s="25" t="s">
        <v>14296</v>
      </c>
      <c r="D2935" s="24" t="s">
        <v>22177</v>
      </c>
      <c r="E2935" s="40">
        <v>19856</v>
      </c>
      <c r="F2935" s="41">
        <v>6387616</v>
      </c>
      <c r="G2935" s="40">
        <v>18427</v>
      </c>
      <c r="H2935" s="41">
        <v>5504771</v>
      </c>
      <c r="I2935" s="41">
        <v>321.69701853344077</v>
      </c>
      <c r="J2935" s="41">
        <v>298.73397731589517</v>
      </c>
      <c r="K2935" s="42">
        <v>-7.138095753025625E-2</v>
      </c>
    </row>
    <row r="2936" spans="1:11" x14ac:dyDescent="0.25">
      <c r="A2936" s="24" t="s">
        <v>7</v>
      </c>
      <c r="B2936" s="24" t="s">
        <v>14298</v>
      </c>
      <c r="C2936" s="25" t="s">
        <v>14299</v>
      </c>
      <c r="D2936" s="24" t="s">
        <v>22178</v>
      </c>
      <c r="E2936" s="40">
        <v>6817</v>
      </c>
      <c r="F2936" s="41">
        <v>1717043</v>
      </c>
      <c r="G2936" s="40">
        <v>7069</v>
      </c>
      <c r="H2936" s="41">
        <v>1658937</v>
      </c>
      <c r="I2936" s="41">
        <v>251.87663194953791</v>
      </c>
      <c r="J2936" s="41">
        <v>234.67774791342481</v>
      </c>
      <c r="K2936" s="42">
        <v>-6.8282968145924716E-2</v>
      </c>
    </row>
    <row r="2937" spans="1:11" x14ac:dyDescent="0.25">
      <c r="A2937" s="24" t="s">
        <v>7</v>
      </c>
      <c r="B2937" s="24" t="s">
        <v>14301</v>
      </c>
      <c r="C2937" s="25" t="s">
        <v>14302</v>
      </c>
      <c r="D2937" s="24" t="s">
        <v>22179</v>
      </c>
      <c r="E2937" s="40">
        <v>44243</v>
      </c>
      <c r="F2937" s="41">
        <v>16141582</v>
      </c>
      <c r="G2937" s="40">
        <v>46164</v>
      </c>
      <c r="H2937" s="41">
        <v>15305748</v>
      </c>
      <c r="I2937" s="41">
        <v>364.83922880455663</v>
      </c>
      <c r="J2937" s="41">
        <v>331.55159864829739</v>
      </c>
      <c r="K2937" s="42">
        <v>-9.1239174760155334E-2</v>
      </c>
    </row>
    <row r="2938" spans="1:11" x14ac:dyDescent="0.25">
      <c r="A2938" s="24" t="s">
        <v>7</v>
      </c>
      <c r="B2938" s="24" t="s">
        <v>14304</v>
      </c>
      <c r="C2938" s="25" t="s">
        <v>14305</v>
      </c>
      <c r="D2938" s="24" t="s">
        <v>21846</v>
      </c>
      <c r="E2938" s="40">
        <v>1674</v>
      </c>
      <c r="F2938" s="41">
        <v>997587</v>
      </c>
      <c r="G2938" s="40">
        <v>1150</v>
      </c>
      <c r="H2938" s="41">
        <v>610390</v>
      </c>
      <c r="I2938" s="41">
        <v>595.93010752688167</v>
      </c>
      <c r="J2938" s="41">
        <v>530.77391304347827</v>
      </c>
      <c r="K2938" s="42">
        <v>-0.10933529563358113</v>
      </c>
    </row>
    <row r="2939" spans="1:11" x14ac:dyDescent="0.25">
      <c r="A2939" s="24" t="s">
        <v>7</v>
      </c>
      <c r="B2939" s="24" t="s">
        <v>14307</v>
      </c>
      <c r="C2939" s="25" t="s">
        <v>14308</v>
      </c>
      <c r="D2939" s="24" t="s">
        <v>21846</v>
      </c>
      <c r="E2939" s="40">
        <v>389</v>
      </c>
      <c r="F2939" s="41">
        <v>69087</v>
      </c>
      <c r="G2939" s="40">
        <v>728</v>
      </c>
      <c r="H2939" s="41">
        <v>115416</v>
      </c>
      <c r="I2939" s="41">
        <v>177.60154241645245</v>
      </c>
      <c r="J2939" s="41">
        <v>158.53846153846155</v>
      </c>
      <c r="K2939" s="42">
        <v>-0.10733623491450577</v>
      </c>
    </row>
    <row r="2940" spans="1:11" x14ac:dyDescent="0.25">
      <c r="A2940" s="24" t="s">
        <v>7</v>
      </c>
      <c r="B2940" s="24" t="s">
        <v>14310</v>
      </c>
      <c r="C2940" s="25" t="s">
        <v>14311</v>
      </c>
      <c r="D2940" s="24" t="s">
        <v>21846</v>
      </c>
      <c r="E2940" s="40">
        <v>90</v>
      </c>
      <c r="F2940" s="41">
        <v>37630</v>
      </c>
      <c r="G2940" s="40">
        <v>124</v>
      </c>
      <c r="H2940" s="41">
        <v>46820</v>
      </c>
      <c r="I2940" s="41">
        <v>418.11111111111109</v>
      </c>
      <c r="J2940" s="41">
        <v>377.58064516129031</v>
      </c>
      <c r="K2940" s="42">
        <v>-9.693706977103031E-2</v>
      </c>
    </row>
    <row r="2941" spans="1:11" x14ac:dyDescent="0.25">
      <c r="A2941" s="24" t="s">
        <v>7</v>
      </c>
      <c r="B2941" s="24" t="s">
        <v>14316</v>
      </c>
      <c r="C2941" s="25" t="s">
        <v>14317</v>
      </c>
      <c r="D2941" s="24" t="s">
        <v>22180</v>
      </c>
      <c r="E2941" s="40">
        <v>7</v>
      </c>
      <c r="F2941" s="41">
        <v>483</v>
      </c>
      <c r="G2941" s="40">
        <v>35</v>
      </c>
      <c r="H2941" s="41">
        <v>3471</v>
      </c>
      <c r="I2941" s="41">
        <v>69</v>
      </c>
      <c r="J2941" s="41">
        <v>99.171428571428578</v>
      </c>
      <c r="K2941" s="42">
        <v>0.43726708074534171</v>
      </c>
    </row>
    <row r="2942" spans="1:11" x14ac:dyDescent="0.25">
      <c r="A2942" s="24" t="s">
        <v>7</v>
      </c>
      <c r="B2942" s="24" t="s">
        <v>14322</v>
      </c>
      <c r="C2942" s="25" t="s">
        <v>14323</v>
      </c>
      <c r="D2942" s="24" t="s">
        <v>22180</v>
      </c>
      <c r="E2942" s="40">
        <v>1703</v>
      </c>
      <c r="F2942" s="41">
        <v>444461</v>
      </c>
      <c r="G2942" s="40">
        <v>1591</v>
      </c>
      <c r="H2942" s="41">
        <v>387683</v>
      </c>
      <c r="I2942" s="41">
        <v>260.98708162066941</v>
      </c>
      <c r="J2942" s="41">
        <v>243.67253299811441</v>
      </c>
      <c r="K2942" s="42">
        <v>-6.6342550424471847E-2</v>
      </c>
    </row>
    <row r="2943" spans="1:11" x14ac:dyDescent="0.25">
      <c r="A2943" s="24" t="s">
        <v>7</v>
      </c>
      <c r="B2943" s="24" t="s">
        <v>14343</v>
      </c>
      <c r="C2943" s="25" t="s">
        <v>14344</v>
      </c>
      <c r="D2943" s="24" t="s">
        <v>21846</v>
      </c>
      <c r="G2943" s="40">
        <v>9</v>
      </c>
      <c r="H2943" s="41">
        <v>702</v>
      </c>
      <c r="J2943" s="41">
        <v>78</v>
      </c>
    </row>
    <row r="2944" spans="1:11" x14ac:dyDescent="0.25">
      <c r="A2944" s="24" t="s">
        <v>7</v>
      </c>
      <c r="B2944" s="24" t="s">
        <v>14346</v>
      </c>
      <c r="C2944" s="25" t="s">
        <v>14347</v>
      </c>
      <c r="D2944" s="24" t="s">
        <v>21846</v>
      </c>
      <c r="E2944" s="40">
        <v>94</v>
      </c>
      <c r="F2944" s="41">
        <v>18673</v>
      </c>
      <c r="G2944" s="40">
        <v>147</v>
      </c>
      <c r="H2944" s="41">
        <v>33988</v>
      </c>
      <c r="I2944" s="41">
        <v>198.64893617021278</v>
      </c>
      <c r="J2944" s="41">
        <v>231.21088435374151</v>
      </c>
      <c r="K2944" s="42">
        <v>0.16391705292409897</v>
      </c>
    </row>
    <row r="2945" spans="1:11" x14ac:dyDescent="0.25">
      <c r="A2945" s="24" t="s">
        <v>7</v>
      </c>
      <c r="B2945" s="24" t="s">
        <v>14355</v>
      </c>
      <c r="C2945" s="25" t="s">
        <v>14356</v>
      </c>
      <c r="D2945" s="24" t="s">
        <v>21846</v>
      </c>
      <c r="E2945" s="40">
        <v>1518</v>
      </c>
      <c r="F2945" s="41">
        <v>344509</v>
      </c>
      <c r="G2945" s="40">
        <v>1382</v>
      </c>
      <c r="H2945" s="41">
        <v>320624</v>
      </c>
      <c r="I2945" s="41">
        <v>226.94927536231884</v>
      </c>
      <c r="J2945" s="41">
        <v>232</v>
      </c>
      <c r="K2945" s="42">
        <v>2.2254861266323943E-2</v>
      </c>
    </row>
    <row r="2946" spans="1:11" x14ac:dyDescent="0.25">
      <c r="A2946" s="24" t="s">
        <v>7</v>
      </c>
      <c r="B2946" s="24" t="s">
        <v>14362</v>
      </c>
      <c r="C2946" s="25" t="s">
        <v>14363</v>
      </c>
      <c r="D2946" s="24" t="s">
        <v>21846</v>
      </c>
      <c r="E2946" s="40">
        <v>115</v>
      </c>
      <c r="F2946" s="41">
        <v>50530</v>
      </c>
      <c r="G2946" s="40">
        <v>172</v>
      </c>
      <c r="H2946" s="41">
        <v>77056</v>
      </c>
      <c r="I2946" s="41">
        <v>439.39130434782606</v>
      </c>
      <c r="J2946" s="41">
        <v>448</v>
      </c>
      <c r="K2946" s="42">
        <v>1.9592321393231794E-2</v>
      </c>
    </row>
    <row r="2947" spans="1:11" x14ac:dyDescent="0.25">
      <c r="A2947" s="24" t="s">
        <v>7</v>
      </c>
      <c r="B2947" s="24" t="s">
        <v>14365</v>
      </c>
      <c r="C2947" s="25" t="s">
        <v>14366</v>
      </c>
      <c r="D2947" s="24" t="s">
        <v>21846</v>
      </c>
      <c r="G2947" s="40">
        <v>9</v>
      </c>
      <c r="H2947" s="41">
        <v>639</v>
      </c>
      <c r="J2947" s="41">
        <v>71</v>
      </c>
    </row>
    <row r="2948" spans="1:11" x14ac:dyDescent="0.25">
      <c r="A2948" s="24" t="s">
        <v>7</v>
      </c>
      <c r="B2948" s="24" t="s">
        <v>14368</v>
      </c>
      <c r="C2948" s="25" t="s">
        <v>14369</v>
      </c>
      <c r="D2948" s="24" t="s">
        <v>21846</v>
      </c>
      <c r="E2948" s="40">
        <v>1493</v>
      </c>
      <c r="F2948" s="41">
        <v>141519.26</v>
      </c>
      <c r="G2948" s="40">
        <v>1356</v>
      </c>
      <c r="H2948" s="41">
        <v>131532</v>
      </c>
      <c r="I2948" s="41">
        <v>94.788519758874756</v>
      </c>
      <c r="J2948" s="41">
        <v>97</v>
      </c>
      <c r="K2948" s="42">
        <v>2.3330675980075002E-2</v>
      </c>
    </row>
    <row r="2949" spans="1:11" x14ac:dyDescent="0.25">
      <c r="A2949" s="24" t="s">
        <v>7</v>
      </c>
      <c r="B2949" s="24" t="s">
        <v>14374</v>
      </c>
      <c r="C2949" s="25" t="s">
        <v>14375</v>
      </c>
      <c r="D2949" s="24" t="s">
        <v>21846</v>
      </c>
      <c r="E2949" s="40">
        <v>58</v>
      </c>
      <c r="F2949" s="41">
        <v>12610</v>
      </c>
      <c r="G2949" s="40">
        <v>117</v>
      </c>
      <c r="H2949" s="41">
        <v>25857</v>
      </c>
      <c r="I2949" s="41">
        <v>217.41379310344828</v>
      </c>
      <c r="J2949" s="41">
        <v>221</v>
      </c>
      <c r="K2949" s="42">
        <v>1.6494845360824701E-2</v>
      </c>
    </row>
    <row r="2950" spans="1:11" x14ac:dyDescent="0.25">
      <c r="A2950" s="24" t="s">
        <v>7</v>
      </c>
      <c r="B2950" s="24" t="s">
        <v>14377</v>
      </c>
      <c r="C2950" s="25" t="s">
        <v>14378</v>
      </c>
      <c r="D2950" s="24" t="s">
        <v>21846</v>
      </c>
      <c r="E2950" s="40">
        <v>39</v>
      </c>
      <c r="F2950" s="41">
        <v>32799</v>
      </c>
      <c r="G2950" s="40">
        <v>35</v>
      </c>
      <c r="H2950" s="41">
        <v>28029</v>
      </c>
      <c r="I2950" s="41">
        <v>841</v>
      </c>
      <c r="J2950" s="41">
        <v>800.82857142857142</v>
      </c>
      <c r="K2950" s="42">
        <v>-4.7766264650925774E-2</v>
      </c>
    </row>
    <row r="2951" spans="1:11" x14ac:dyDescent="0.25">
      <c r="A2951" s="24" t="s">
        <v>7</v>
      </c>
      <c r="B2951" s="24" t="s">
        <v>14380</v>
      </c>
      <c r="C2951" s="25" t="s">
        <v>14381</v>
      </c>
      <c r="D2951" s="24" t="s">
        <v>21846</v>
      </c>
      <c r="E2951" s="40">
        <v>134</v>
      </c>
      <c r="F2951" s="41">
        <v>139374</v>
      </c>
      <c r="G2951" s="40">
        <v>90</v>
      </c>
      <c r="H2951" s="41">
        <v>81030</v>
      </c>
      <c r="I2951" s="41">
        <v>1040.1044776119404</v>
      </c>
      <c r="J2951" s="41">
        <v>900.33333333333337</v>
      </c>
      <c r="K2951" s="42">
        <v>-0.13438183114019359</v>
      </c>
    </row>
    <row r="2952" spans="1:11" x14ac:dyDescent="0.25">
      <c r="A2952" s="24" t="s">
        <v>7</v>
      </c>
      <c r="B2952" s="24" t="s">
        <v>14383</v>
      </c>
      <c r="C2952" s="25" t="s">
        <v>14384</v>
      </c>
      <c r="D2952" s="24" t="s">
        <v>21846</v>
      </c>
      <c r="E2952" s="40">
        <v>1184</v>
      </c>
      <c r="F2952" s="41">
        <v>1635413</v>
      </c>
      <c r="G2952" s="40">
        <v>1091</v>
      </c>
      <c r="H2952" s="41">
        <v>1545947</v>
      </c>
      <c r="I2952" s="41">
        <v>1381.2609797297298</v>
      </c>
      <c r="J2952" s="41">
        <v>1417</v>
      </c>
      <c r="K2952" s="42">
        <v>2.5874198138329533E-2</v>
      </c>
    </row>
    <row r="2953" spans="1:11" x14ac:dyDescent="0.25">
      <c r="A2953" s="24" t="s">
        <v>7</v>
      </c>
      <c r="B2953" s="24" t="s">
        <v>14389</v>
      </c>
      <c r="C2953" s="25" t="s">
        <v>14390</v>
      </c>
      <c r="D2953" s="24" t="s">
        <v>21846</v>
      </c>
      <c r="G2953" s="40">
        <v>6</v>
      </c>
      <c r="H2953" s="41">
        <v>586</v>
      </c>
      <c r="J2953" s="41">
        <v>97.666666666666671</v>
      </c>
    </row>
    <row r="2954" spans="1:11" x14ac:dyDescent="0.25">
      <c r="A2954" s="24" t="s">
        <v>7</v>
      </c>
      <c r="B2954" s="24" t="s">
        <v>14392</v>
      </c>
      <c r="C2954" s="25" t="s">
        <v>14393</v>
      </c>
      <c r="D2954" s="24" t="s">
        <v>21846</v>
      </c>
      <c r="E2954" s="40">
        <v>35</v>
      </c>
      <c r="F2954" s="41">
        <v>3934</v>
      </c>
      <c r="G2954" s="40">
        <v>30</v>
      </c>
      <c r="H2954" s="41">
        <v>2600</v>
      </c>
      <c r="I2954" s="41">
        <v>112.4</v>
      </c>
      <c r="J2954" s="41">
        <v>86.666666666666671</v>
      </c>
      <c r="K2954" s="42">
        <v>-0.22894424673784103</v>
      </c>
    </row>
    <row r="2955" spans="1:11" x14ac:dyDescent="0.25">
      <c r="A2955" s="24" t="s">
        <v>7</v>
      </c>
      <c r="B2955" s="24" t="s">
        <v>14395</v>
      </c>
      <c r="C2955" s="25" t="s">
        <v>14396</v>
      </c>
      <c r="D2955" s="24" t="s">
        <v>21846</v>
      </c>
      <c r="E2955" s="40">
        <v>164</v>
      </c>
      <c r="F2955" s="41">
        <v>20513</v>
      </c>
      <c r="G2955" s="40">
        <v>160</v>
      </c>
      <c r="H2955" s="41">
        <v>17470</v>
      </c>
      <c r="I2955" s="41">
        <v>125.07926829268293</v>
      </c>
      <c r="J2955" s="41">
        <v>109.1875</v>
      </c>
      <c r="K2955" s="42">
        <v>-0.1270535757812119</v>
      </c>
    </row>
    <row r="2956" spans="1:11" x14ac:dyDescent="0.25">
      <c r="A2956" s="24" t="s">
        <v>7</v>
      </c>
      <c r="B2956" s="24" t="s">
        <v>14401</v>
      </c>
      <c r="C2956" s="25" t="s">
        <v>14402</v>
      </c>
      <c r="D2956" s="24" t="s">
        <v>21166</v>
      </c>
      <c r="E2956" s="40">
        <v>15</v>
      </c>
      <c r="F2956" s="41">
        <v>6875</v>
      </c>
      <c r="G2956" s="40">
        <v>22</v>
      </c>
      <c r="H2956" s="41">
        <v>9756</v>
      </c>
      <c r="I2956" s="41">
        <v>458.33333333333331</v>
      </c>
      <c r="J2956" s="41">
        <v>443.45454545454544</v>
      </c>
      <c r="K2956" s="42">
        <v>-3.2462809917355367E-2</v>
      </c>
    </row>
    <row r="2957" spans="1:11" x14ac:dyDescent="0.25">
      <c r="A2957" s="24" t="s">
        <v>7</v>
      </c>
      <c r="B2957" s="24" t="s">
        <v>14404</v>
      </c>
      <c r="C2957" s="25" t="s">
        <v>14405</v>
      </c>
      <c r="D2957" s="24" t="s">
        <v>22181</v>
      </c>
      <c r="E2957" s="40">
        <v>4588</v>
      </c>
      <c r="F2957" s="41">
        <v>4403884</v>
      </c>
      <c r="G2957" s="40">
        <v>5040</v>
      </c>
      <c r="H2957" s="41">
        <v>4410663</v>
      </c>
      <c r="I2957" s="41">
        <v>959.87009590235402</v>
      </c>
      <c r="J2957" s="41">
        <v>875.13154761904764</v>
      </c>
      <c r="K2957" s="42">
        <v>-8.8281267064211882E-2</v>
      </c>
    </row>
    <row r="2958" spans="1:11" x14ac:dyDescent="0.25">
      <c r="A2958" s="24" t="s">
        <v>7</v>
      </c>
      <c r="B2958" s="24" t="s">
        <v>14407</v>
      </c>
      <c r="C2958" s="25" t="s">
        <v>14408</v>
      </c>
      <c r="D2958" s="24" t="s">
        <v>21166</v>
      </c>
      <c r="E2958" s="40">
        <v>75275</v>
      </c>
      <c r="F2958" s="41">
        <v>50213825</v>
      </c>
      <c r="G2958" s="40">
        <v>80771</v>
      </c>
      <c r="H2958" s="41">
        <v>50383233</v>
      </c>
      <c r="I2958" s="41">
        <v>667.07173696446364</v>
      </c>
      <c r="J2958" s="41">
        <v>623.77874484654149</v>
      </c>
      <c r="K2958" s="42">
        <v>-6.4900054550247666E-2</v>
      </c>
    </row>
    <row r="2959" spans="1:11" x14ac:dyDescent="0.25">
      <c r="A2959" s="24" t="s">
        <v>7</v>
      </c>
      <c r="B2959" s="24" t="s">
        <v>14410</v>
      </c>
      <c r="C2959" s="25" t="s">
        <v>14411</v>
      </c>
      <c r="D2959" s="24" t="s">
        <v>21116</v>
      </c>
      <c r="E2959" s="40">
        <v>10032</v>
      </c>
      <c r="F2959" s="41">
        <v>14897728</v>
      </c>
      <c r="G2959" s="40">
        <v>9757</v>
      </c>
      <c r="H2959" s="41">
        <v>14811126</v>
      </c>
      <c r="I2959" s="41">
        <v>1485.0207336523126</v>
      </c>
      <c r="J2959" s="41">
        <v>1518</v>
      </c>
      <c r="K2959" s="42">
        <v>2.22079500981626E-2</v>
      </c>
    </row>
    <row r="2960" spans="1:11" x14ac:dyDescent="0.25">
      <c r="A2960" s="24" t="s">
        <v>7</v>
      </c>
      <c r="B2960" s="24" t="s">
        <v>14412</v>
      </c>
      <c r="C2960" s="25" t="s">
        <v>5280</v>
      </c>
      <c r="D2960" s="24" t="s">
        <v>22182</v>
      </c>
      <c r="E2960" s="40">
        <v>163</v>
      </c>
      <c r="F2960" s="41">
        <v>483882</v>
      </c>
      <c r="G2960" s="40">
        <v>133</v>
      </c>
      <c r="H2960" s="41">
        <v>356587</v>
      </c>
      <c r="I2960" s="41">
        <v>2968.6012269938651</v>
      </c>
      <c r="J2960" s="41">
        <v>2681.1052631578946</v>
      </c>
      <c r="K2960" s="42">
        <v>-9.6845598937888161E-2</v>
      </c>
    </row>
    <row r="2961" spans="1:11" x14ac:dyDescent="0.25">
      <c r="A2961" s="24" t="s">
        <v>7</v>
      </c>
      <c r="B2961" s="24" t="s">
        <v>14413</v>
      </c>
      <c r="C2961" s="25" t="s">
        <v>14414</v>
      </c>
      <c r="D2961" s="24" t="s">
        <v>21166</v>
      </c>
      <c r="E2961" s="40">
        <v>185</v>
      </c>
      <c r="F2961" s="41">
        <v>86390</v>
      </c>
      <c r="G2961" s="40">
        <v>221</v>
      </c>
      <c r="H2961" s="41">
        <v>99267</v>
      </c>
      <c r="I2961" s="41">
        <v>466.97297297297297</v>
      </c>
      <c r="J2961" s="41">
        <v>449.17194570135746</v>
      </c>
      <c r="K2961" s="42">
        <v>-3.8120037565098616E-2</v>
      </c>
    </row>
    <row r="2962" spans="1:11" x14ac:dyDescent="0.25">
      <c r="A2962" s="24" t="s">
        <v>7</v>
      </c>
      <c r="B2962" s="24" t="s">
        <v>14416</v>
      </c>
      <c r="C2962" s="25" t="s">
        <v>14417</v>
      </c>
      <c r="D2962" s="24" t="s">
        <v>22183</v>
      </c>
      <c r="E2962" s="40">
        <v>8</v>
      </c>
      <c r="F2962" s="41">
        <v>1450</v>
      </c>
      <c r="G2962" s="40">
        <v>18</v>
      </c>
      <c r="H2962" s="41">
        <v>2722</v>
      </c>
      <c r="I2962" s="41">
        <v>181.25</v>
      </c>
      <c r="J2962" s="41">
        <v>151.22222222222223</v>
      </c>
      <c r="K2962" s="42">
        <v>-0.16567049808429116</v>
      </c>
    </row>
    <row r="2963" spans="1:11" x14ac:dyDescent="0.25">
      <c r="A2963" s="24" t="s">
        <v>7</v>
      </c>
      <c r="B2963" s="24" t="s">
        <v>14424</v>
      </c>
      <c r="C2963" s="25" t="s">
        <v>14425</v>
      </c>
      <c r="D2963" s="24" t="s">
        <v>22184</v>
      </c>
      <c r="E2963" s="40">
        <v>52</v>
      </c>
      <c r="F2963" s="41">
        <v>314390</v>
      </c>
      <c r="G2963" s="40">
        <v>77</v>
      </c>
      <c r="H2963" s="41">
        <v>432357</v>
      </c>
      <c r="I2963" s="41">
        <v>6045.9615384615381</v>
      </c>
      <c r="J2963" s="41">
        <v>5615.0259740259744</v>
      </c>
      <c r="K2963" s="42">
        <v>-7.1276597063040542E-2</v>
      </c>
    </row>
    <row r="2964" spans="1:11" x14ac:dyDescent="0.25">
      <c r="A2964" s="24" t="s">
        <v>7</v>
      </c>
      <c r="B2964" s="24" t="s">
        <v>14427</v>
      </c>
      <c r="C2964" s="25" t="s">
        <v>317</v>
      </c>
      <c r="D2964" s="24" t="s">
        <v>22184</v>
      </c>
      <c r="E2964" s="40">
        <v>165</v>
      </c>
      <c r="F2964" s="41">
        <v>1177407</v>
      </c>
      <c r="G2964" s="40">
        <v>270</v>
      </c>
      <c r="H2964" s="41">
        <v>1860734</v>
      </c>
      <c r="I2964" s="41">
        <v>7135.8</v>
      </c>
      <c r="J2964" s="41">
        <v>6891.6074074074077</v>
      </c>
      <c r="K2964" s="42">
        <v>-3.4220773086772682E-2</v>
      </c>
    </row>
    <row r="2965" spans="1:11" x14ac:dyDescent="0.25">
      <c r="A2965" s="24" t="s">
        <v>7</v>
      </c>
      <c r="B2965" s="24" t="s">
        <v>14428</v>
      </c>
      <c r="C2965" s="25" t="s">
        <v>307</v>
      </c>
      <c r="D2965" s="24" t="s">
        <v>22184</v>
      </c>
      <c r="E2965" s="40">
        <v>65</v>
      </c>
      <c r="F2965" s="41">
        <v>391845</v>
      </c>
      <c r="G2965" s="40">
        <v>69</v>
      </c>
      <c r="H2965" s="41">
        <v>377673</v>
      </c>
      <c r="I2965" s="41">
        <v>6028.3846153846152</v>
      </c>
      <c r="J2965" s="41">
        <v>5473.521739130435</v>
      </c>
      <c r="K2965" s="42">
        <v>-9.2041717915302523E-2</v>
      </c>
    </row>
    <row r="2966" spans="1:11" x14ac:dyDescent="0.25">
      <c r="A2966" s="24" t="s">
        <v>7</v>
      </c>
      <c r="B2966" s="24" t="s">
        <v>14429</v>
      </c>
      <c r="C2966" s="25" t="s">
        <v>14430</v>
      </c>
      <c r="D2966" s="24" t="s">
        <v>22185</v>
      </c>
      <c r="E2966" s="40">
        <v>40</v>
      </c>
      <c r="F2966" s="41">
        <v>527330</v>
      </c>
      <c r="G2966" s="40">
        <v>43</v>
      </c>
      <c r="H2966" s="41">
        <v>508892</v>
      </c>
      <c r="I2966" s="41">
        <v>13183.25</v>
      </c>
      <c r="J2966" s="41">
        <v>11834.697674418605</v>
      </c>
      <c r="K2966" s="42">
        <v>-0.10229285840603759</v>
      </c>
    </row>
    <row r="2967" spans="1:11" x14ac:dyDescent="0.25">
      <c r="A2967" s="24" t="s">
        <v>7</v>
      </c>
      <c r="B2967" s="24" t="s">
        <v>14431</v>
      </c>
      <c r="C2967" s="25" t="s">
        <v>14432</v>
      </c>
      <c r="D2967" s="24" t="s">
        <v>22185</v>
      </c>
      <c r="E2967" s="40">
        <v>988</v>
      </c>
      <c r="F2967" s="41">
        <v>12956396</v>
      </c>
      <c r="G2967" s="40">
        <v>863</v>
      </c>
      <c r="H2967" s="41">
        <v>10257384</v>
      </c>
      <c r="I2967" s="41">
        <v>13113.761133603239</v>
      </c>
      <c r="J2967" s="41">
        <v>11885.728852838934</v>
      </c>
      <c r="K2967" s="42">
        <v>-9.3644551570910048E-2</v>
      </c>
    </row>
    <row r="2968" spans="1:11" x14ac:dyDescent="0.25">
      <c r="A2968" s="24" t="s">
        <v>7</v>
      </c>
      <c r="B2968" s="24" t="s">
        <v>14434</v>
      </c>
      <c r="C2968" s="25" t="s">
        <v>14435</v>
      </c>
      <c r="D2968" s="24" t="s">
        <v>22186</v>
      </c>
      <c r="G2968" s="40">
        <v>8</v>
      </c>
      <c r="H2968" s="41">
        <v>82548</v>
      </c>
      <c r="J2968" s="41">
        <v>10318.5</v>
      </c>
    </row>
    <row r="2969" spans="1:11" x14ac:dyDescent="0.25">
      <c r="A2969" s="24" t="s">
        <v>7</v>
      </c>
      <c r="B2969" s="24" t="s">
        <v>14437</v>
      </c>
      <c r="C2969" s="25" t="s">
        <v>14438</v>
      </c>
      <c r="D2969" s="24" t="s">
        <v>22186</v>
      </c>
      <c r="E2969" s="40">
        <v>4440</v>
      </c>
      <c r="F2969" s="41">
        <v>49690440</v>
      </c>
      <c r="G2969" s="40">
        <v>4029</v>
      </c>
      <c r="H2969" s="41">
        <v>39650772</v>
      </c>
      <c r="I2969" s="41">
        <v>11191.54054054054</v>
      </c>
      <c r="J2969" s="41">
        <v>9841.3432613551759</v>
      </c>
      <c r="K2969" s="42">
        <v>-0.12064445232489422</v>
      </c>
    </row>
    <row r="2970" spans="1:11" x14ac:dyDescent="0.25">
      <c r="A2970" s="24" t="s">
        <v>7</v>
      </c>
      <c r="B2970" s="24" t="s">
        <v>14440</v>
      </c>
      <c r="C2970" s="25" t="s">
        <v>14441</v>
      </c>
      <c r="E2970" s="40">
        <v>122</v>
      </c>
      <c r="F2970" s="41">
        <v>965885</v>
      </c>
      <c r="G2970" s="40">
        <v>125</v>
      </c>
      <c r="H2970" s="41">
        <v>1007375</v>
      </c>
      <c r="I2970" s="41">
        <v>7917.0901639344265</v>
      </c>
      <c r="J2970" s="41">
        <v>8059</v>
      </c>
      <c r="K2970" s="42">
        <v>1.7924494116794403E-2</v>
      </c>
    </row>
    <row r="2971" spans="1:11" x14ac:dyDescent="0.25">
      <c r="A2971" s="24" t="s">
        <v>7</v>
      </c>
      <c r="B2971" s="24" t="s">
        <v>14443</v>
      </c>
      <c r="C2971" s="25" t="s">
        <v>14444</v>
      </c>
      <c r="E2971" s="40">
        <v>23</v>
      </c>
      <c r="F2971" s="41">
        <v>127609</v>
      </c>
      <c r="G2971" s="40">
        <v>29</v>
      </c>
      <c r="H2971" s="41">
        <v>166257</v>
      </c>
      <c r="I2971" s="41">
        <v>5548.217391304348</v>
      </c>
      <c r="J2971" s="41">
        <v>5733</v>
      </c>
      <c r="K2971" s="42">
        <v>3.3304860942409989E-2</v>
      </c>
    </row>
    <row r="2972" spans="1:11" x14ac:dyDescent="0.25">
      <c r="A2972" s="24" t="s">
        <v>7</v>
      </c>
      <c r="B2972" s="24" t="s">
        <v>14446</v>
      </c>
      <c r="C2972" s="25" t="s">
        <v>14447</v>
      </c>
      <c r="G2972" s="40">
        <v>1</v>
      </c>
      <c r="H2972" s="41">
        <v>2925</v>
      </c>
      <c r="J2972" s="41">
        <v>2925</v>
      </c>
    </row>
    <row r="2973" spans="1:11" x14ac:dyDescent="0.25">
      <c r="A2973" s="24" t="s">
        <v>7</v>
      </c>
      <c r="B2973" s="24" t="s">
        <v>14449</v>
      </c>
      <c r="C2973" s="25" t="s">
        <v>14450</v>
      </c>
      <c r="E2973" s="40">
        <v>88</v>
      </c>
      <c r="F2973" s="41">
        <v>448286</v>
      </c>
      <c r="G2973" s="40">
        <v>61</v>
      </c>
      <c r="H2973" s="41">
        <v>321287</v>
      </c>
      <c r="I2973" s="41">
        <v>5094.159090909091</v>
      </c>
      <c r="J2973" s="41">
        <v>5267</v>
      </c>
      <c r="K2973" s="42">
        <v>3.3929232677353281E-2</v>
      </c>
    </row>
    <row r="2974" spans="1:11" x14ac:dyDescent="0.25">
      <c r="A2974" s="24" t="s">
        <v>7</v>
      </c>
      <c r="B2974" s="24" t="s">
        <v>14452</v>
      </c>
      <c r="C2974" s="25" t="s">
        <v>14453</v>
      </c>
      <c r="E2974" s="40">
        <v>201</v>
      </c>
      <c r="F2974" s="41">
        <v>1307114</v>
      </c>
      <c r="G2974" s="40">
        <v>126</v>
      </c>
      <c r="H2974" s="41">
        <v>843948</v>
      </c>
      <c r="I2974" s="41">
        <v>6503.0547263681592</v>
      </c>
      <c r="J2974" s="41">
        <v>6698</v>
      </c>
      <c r="K2974" s="42">
        <v>2.9977492399285755E-2</v>
      </c>
    </row>
    <row r="2975" spans="1:11" x14ac:dyDescent="0.25">
      <c r="A2975" s="24" t="s">
        <v>7</v>
      </c>
      <c r="B2975" s="24" t="s">
        <v>14455</v>
      </c>
      <c r="C2975" s="25" t="s">
        <v>14456</v>
      </c>
      <c r="D2975" s="24" t="s">
        <v>22187</v>
      </c>
      <c r="E2975" s="40">
        <v>6714</v>
      </c>
      <c r="F2975" s="41">
        <v>4928260</v>
      </c>
      <c r="G2975" s="40">
        <v>6605</v>
      </c>
      <c r="H2975" s="41">
        <v>4387800</v>
      </c>
      <c r="I2975" s="41">
        <v>734.0274054215073</v>
      </c>
      <c r="J2975" s="41">
        <v>664.31491294473881</v>
      </c>
      <c r="K2975" s="42">
        <v>-9.4972601788262723E-2</v>
      </c>
    </row>
    <row r="2976" spans="1:11" x14ac:dyDescent="0.25">
      <c r="A2976" s="24" t="s">
        <v>7</v>
      </c>
      <c r="B2976" s="24" t="s">
        <v>14458</v>
      </c>
      <c r="C2976" s="25" t="s">
        <v>14459</v>
      </c>
      <c r="D2976" s="24" t="s">
        <v>21350</v>
      </c>
      <c r="E2976" s="40">
        <v>7</v>
      </c>
      <c r="F2976" s="41">
        <v>2087</v>
      </c>
      <c r="G2976" s="40">
        <v>3</v>
      </c>
      <c r="H2976" s="41">
        <v>648</v>
      </c>
      <c r="I2976" s="41">
        <v>298.14285714285717</v>
      </c>
      <c r="J2976" s="41">
        <v>216</v>
      </c>
      <c r="K2976" s="42">
        <v>-0.27551509343555347</v>
      </c>
    </row>
    <row r="2977" spans="1:11" x14ac:dyDescent="0.25">
      <c r="A2977" s="24" t="s">
        <v>7</v>
      </c>
      <c r="B2977" s="24" t="s">
        <v>14461</v>
      </c>
      <c r="C2977" s="25" t="s">
        <v>14462</v>
      </c>
      <c r="D2977" s="24" t="s">
        <v>22188</v>
      </c>
      <c r="E2977" s="40">
        <v>60</v>
      </c>
      <c r="F2977" s="41">
        <v>120282</v>
      </c>
      <c r="G2977" s="40">
        <v>115</v>
      </c>
      <c r="H2977" s="41">
        <v>181270</v>
      </c>
      <c r="I2977" s="41">
        <v>2004.7</v>
      </c>
      <c r="J2977" s="41">
        <v>1576.2608695652175</v>
      </c>
      <c r="K2977" s="42">
        <v>-0.21371732949308253</v>
      </c>
    </row>
    <row r="2978" spans="1:11" x14ac:dyDescent="0.25">
      <c r="A2978" s="24" t="s">
        <v>7</v>
      </c>
      <c r="B2978" s="24" t="s">
        <v>14464</v>
      </c>
      <c r="C2978" s="25" t="s">
        <v>14465</v>
      </c>
      <c r="D2978" s="24" t="s">
        <v>22189</v>
      </c>
      <c r="E2978" s="40">
        <v>76</v>
      </c>
      <c r="F2978" s="41">
        <v>73561</v>
      </c>
      <c r="G2978" s="40">
        <v>83</v>
      </c>
      <c r="H2978" s="41">
        <v>78075</v>
      </c>
      <c r="I2978" s="41">
        <v>967.90789473684208</v>
      </c>
      <c r="J2978" s="41">
        <v>940.6626506024096</v>
      </c>
      <c r="K2978" s="42">
        <v>-2.8148591702354082E-2</v>
      </c>
    </row>
    <row r="2979" spans="1:11" x14ac:dyDescent="0.25">
      <c r="A2979" s="24" t="s">
        <v>7</v>
      </c>
      <c r="B2979" s="24" t="s">
        <v>14466</v>
      </c>
      <c r="C2979" s="25" t="s">
        <v>14467</v>
      </c>
      <c r="D2979" s="24" t="s">
        <v>22190</v>
      </c>
      <c r="E2979" s="40">
        <v>53</v>
      </c>
      <c r="F2979" s="41">
        <v>148596</v>
      </c>
      <c r="G2979" s="40">
        <v>84</v>
      </c>
      <c r="H2979" s="41">
        <v>175784</v>
      </c>
      <c r="I2979" s="41">
        <v>2803.6981132075471</v>
      </c>
      <c r="J2979" s="41">
        <v>2092.6666666666665</v>
      </c>
      <c r="K2979" s="42">
        <v>-0.2536048525307994</v>
      </c>
    </row>
    <row r="2980" spans="1:11" x14ac:dyDescent="0.25">
      <c r="A2980" s="24" t="s">
        <v>7</v>
      </c>
      <c r="B2980" s="24" t="s">
        <v>14469</v>
      </c>
      <c r="C2980" s="25" t="s">
        <v>14470</v>
      </c>
      <c r="D2980" s="24" t="s">
        <v>22191</v>
      </c>
      <c r="G2980" s="40">
        <v>6</v>
      </c>
      <c r="H2980" s="41">
        <v>1974</v>
      </c>
      <c r="J2980" s="41">
        <v>329</v>
      </c>
    </row>
    <row r="2981" spans="1:11" x14ac:dyDescent="0.25">
      <c r="A2981" s="24" t="s">
        <v>7</v>
      </c>
      <c r="B2981" s="24" t="s">
        <v>14474</v>
      </c>
      <c r="C2981" s="25" t="s">
        <v>14475</v>
      </c>
      <c r="D2981" s="24" t="s">
        <v>21349</v>
      </c>
      <c r="E2981" s="40">
        <v>1132</v>
      </c>
      <c r="F2981" s="41">
        <v>1856700</v>
      </c>
      <c r="G2981" s="40">
        <v>975</v>
      </c>
      <c r="H2981" s="41">
        <v>1357975</v>
      </c>
      <c r="I2981" s="41">
        <v>1640.1943462897527</v>
      </c>
      <c r="J2981" s="41">
        <v>1392.7948717948718</v>
      </c>
      <c r="K2981" s="42">
        <v>-0.15083546352572047</v>
      </c>
    </row>
    <row r="2982" spans="1:11" x14ac:dyDescent="0.25">
      <c r="A2982" s="24" t="s">
        <v>7</v>
      </c>
      <c r="B2982" s="24" t="s">
        <v>14477</v>
      </c>
      <c r="C2982" s="25" t="s">
        <v>14478</v>
      </c>
      <c r="D2982" s="24" t="s">
        <v>22184</v>
      </c>
      <c r="E2982" s="40">
        <v>727</v>
      </c>
      <c r="F2982" s="41">
        <v>5173742</v>
      </c>
      <c r="G2982" s="40">
        <v>806</v>
      </c>
      <c r="H2982" s="41">
        <v>4948126</v>
      </c>
      <c r="I2982" s="41">
        <v>7116.5639614855572</v>
      </c>
      <c r="J2982" s="41">
        <v>6139.1141439205958</v>
      </c>
      <c r="K2982" s="42">
        <v>-0.13734856074572852</v>
      </c>
    </row>
    <row r="2983" spans="1:11" x14ac:dyDescent="0.25">
      <c r="A2983" s="24" t="s">
        <v>7</v>
      </c>
      <c r="B2983" s="24" t="s">
        <v>14480</v>
      </c>
      <c r="C2983" s="25" t="s">
        <v>14481</v>
      </c>
      <c r="D2983" s="24" t="s">
        <v>22181</v>
      </c>
      <c r="E2983" s="40">
        <v>46</v>
      </c>
      <c r="F2983" s="41">
        <v>44469</v>
      </c>
      <c r="G2983" s="40">
        <v>45</v>
      </c>
      <c r="H2983" s="41">
        <v>39129</v>
      </c>
      <c r="I2983" s="41">
        <v>966.71739130434787</v>
      </c>
      <c r="J2983" s="41">
        <v>869.5333333333333</v>
      </c>
      <c r="K2983" s="42">
        <v>-0.10052995719864782</v>
      </c>
    </row>
    <row r="2984" spans="1:11" x14ac:dyDescent="0.25">
      <c r="A2984" s="24" t="s">
        <v>7</v>
      </c>
      <c r="B2984" s="24" t="s">
        <v>14483</v>
      </c>
      <c r="C2984" s="25" t="s">
        <v>14484</v>
      </c>
      <c r="D2984" s="24" t="s">
        <v>21166</v>
      </c>
      <c r="E2984" s="40">
        <v>395</v>
      </c>
      <c r="F2984" s="41">
        <v>185685</v>
      </c>
      <c r="G2984" s="40">
        <v>297</v>
      </c>
      <c r="H2984" s="41">
        <v>137610</v>
      </c>
      <c r="I2984" s="41">
        <v>470.08860759493672</v>
      </c>
      <c r="J2984" s="41">
        <v>463.33333333333331</v>
      </c>
      <c r="K2984" s="42">
        <v>-1.4370214790281092E-2</v>
      </c>
    </row>
    <row r="2985" spans="1:11" x14ac:dyDescent="0.25">
      <c r="A2985" s="24" t="s">
        <v>7</v>
      </c>
      <c r="B2985" s="24" t="s">
        <v>14485</v>
      </c>
      <c r="C2985" s="25" t="s">
        <v>14486</v>
      </c>
      <c r="D2985" s="24" t="s">
        <v>22192</v>
      </c>
      <c r="E2985" s="40">
        <v>31815</v>
      </c>
      <c r="F2985" s="41">
        <v>7863640</v>
      </c>
      <c r="G2985" s="40">
        <v>8141</v>
      </c>
      <c r="H2985" s="41">
        <v>2075955</v>
      </c>
      <c r="I2985" s="41">
        <v>247.16768819739116</v>
      </c>
      <c r="J2985" s="41">
        <v>255</v>
      </c>
      <c r="K2985" s="42">
        <v>3.1688251242427211E-2</v>
      </c>
    </row>
    <row r="2986" spans="1:11" x14ac:dyDescent="0.25">
      <c r="A2986" s="24" t="s">
        <v>7</v>
      </c>
      <c r="B2986" s="24" t="s">
        <v>14487</v>
      </c>
      <c r="C2986" s="25" t="s">
        <v>4189</v>
      </c>
      <c r="D2986" s="24" t="s">
        <v>21496</v>
      </c>
      <c r="E2986" s="40">
        <v>217</v>
      </c>
      <c r="F2986" s="41">
        <v>333271</v>
      </c>
      <c r="G2986" s="40">
        <v>216</v>
      </c>
      <c r="H2986" s="41">
        <v>279961</v>
      </c>
      <c r="I2986" s="41">
        <v>1535.8110599078341</v>
      </c>
      <c r="J2986" s="41">
        <v>1296.1157407407406</v>
      </c>
      <c r="K2986" s="42">
        <v>-0.1560708380244884</v>
      </c>
    </row>
    <row r="2987" spans="1:11" x14ac:dyDescent="0.25">
      <c r="A2987" s="24" t="s">
        <v>7</v>
      </c>
      <c r="B2987" s="24" t="s">
        <v>14488</v>
      </c>
      <c r="C2987" s="25" t="s">
        <v>14489</v>
      </c>
      <c r="D2987" s="24" t="s">
        <v>22193</v>
      </c>
      <c r="E2987" s="40">
        <v>55</v>
      </c>
      <c r="F2987" s="41">
        <v>26832</v>
      </c>
      <c r="G2987" s="40">
        <v>77</v>
      </c>
      <c r="H2987" s="41">
        <v>34146</v>
      </c>
      <c r="I2987" s="41">
        <v>487.85454545454547</v>
      </c>
      <c r="J2987" s="41">
        <v>443.45454545454544</v>
      </c>
      <c r="K2987" s="42">
        <v>-9.1010733452593987E-2</v>
      </c>
    </row>
    <row r="2988" spans="1:11" x14ac:dyDescent="0.25">
      <c r="A2988" s="24" t="s">
        <v>7</v>
      </c>
      <c r="B2988" s="24" t="s">
        <v>14491</v>
      </c>
      <c r="C2988" s="25" t="s">
        <v>14492</v>
      </c>
      <c r="D2988" s="24" t="s">
        <v>22194</v>
      </c>
      <c r="E2988" s="40">
        <v>6</v>
      </c>
      <c r="F2988" s="41">
        <v>1850</v>
      </c>
      <c r="G2988" s="40">
        <v>10</v>
      </c>
      <c r="H2988" s="41">
        <v>3160</v>
      </c>
      <c r="I2988" s="41">
        <v>308.33333333333331</v>
      </c>
      <c r="J2988" s="41">
        <v>316</v>
      </c>
      <c r="K2988" s="42">
        <v>2.4864864864864927E-2</v>
      </c>
    </row>
    <row r="2989" spans="1:11" x14ac:dyDescent="0.25">
      <c r="A2989" s="24" t="s">
        <v>7</v>
      </c>
      <c r="B2989" s="24" t="s">
        <v>14494</v>
      </c>
      <c r="C2989" s="25" t="s">
        <v>14495</v>
      </c>
      <c r="D2989" s="24" t="s">
        <v>22195</v>
      </c>
      <c r="E2989" s="40">
        <v>57</v>
      </c>
      <c r="F2989" s="41">
        <v>44668</v>
      </c>
      <c r="G2989" s="40">
        <v>68</v>
      </c>
      <c r="H2989" s="41">
        <v>49832</v>
      </c>
      <c r="I2989" s="41">
        <v>783.64912280701753</v>
      </c>
      <c r="J2989" s="41">
        <v>732.82352941176475</v>
      </c>
      <c r="K2989" s="42">
        <v>-6.4857589852453851E-2</v>
      </c>
    </row>
    <row r="2990" spans="1:11" x14ac:dyDescent="0.25">
      <c r="A2990" s="24" t="s">
        <v>7</v>
      </c>
      <c r="B2990" s="24" t="s">
        <v>14497</v>
      </c>
      <c r="C2990" s="25" t="s">
        <v>14498</v>
      </c>
      <c r="D2990" s="24" t="s">
        <v>22196</v>
      </c>
      <c r="E2990" s="40">
        <v>697</v>
      </c>
      <c r="F2990" s="41">
        <v>164284</v>
      </c>
      <c r="G2990" s="40">
        <v>1058</v>
      </c>
      <c r="H2990" s="41">
        <v>254684</v>
      </c>
      <c r="I2990" s="41">
        <v>235.7015781922525</v>
      </c>
      <c r="J2990" s="41">
        <v>240.72211720226844</v>
      </c>
      <c r="K2990" s="42">
        <v>2.1300404725847367E-2</v>
      </c>
    </row>
    <row r="2991" spans="1:11" x14ac:dyDescent="0.25">
      <c r="A2991" s="24" t="s">
        <v>7</v>
      </c>
      <c r="B2991" s="24" t="s">
        <v>14500</v>
      </c>
      <c r="C2991" s="25" t="s">
        <v>14501</v>
      </c>
      <c r="D2991" s="24" t="s">
        <v>22197</v>
      </c>
      <c r="E2991" s="40">
        <v>386</v>
      </c>
      <c r="F2991" s="41">
        <v>315132</v>
      </c>
      <c r="G2991" s="40">
        <v>290</v>
      </c>
      <c r="H2991" s="41">
        <v>249400</v>
      </c>
      <c r="I2991" s="41">
        <v>816.40414507772016</v>
      </c>
      <c r="J2991" s="41">
        <v>860</v>
      </c>
      <c r="K2991" s="42">
        <v>5.3399845144257073E-2</v>
      </c>
    </row>
    <row r="2992" spans="1:11" x14ac:dyDescent="0.25">
      <c r="A2992" s="24" t="s">
        <v>7</v>
      </c>
      <c r="B2992" s="24" t="s">
        <v>14503</v>
      </c>
      <c r="C2992" s="25" t="s">
        <v>14504</v>
      </c>
      <c r="D2992" s="24" t="s">
        <v>22197</v>
      </c>
      <c r="E2992" s="40">
        <v>1166</v>
      </c>
      <c r="F2992" s="41">
        <v>955680</v>
      </c>
      <c r="G2992" s="40">
        <v>785</v>
      </c>
      <c r="H2992" s="41">
        <v>671630</v>
      </c>
      <c r="I2992" s="41">
        <v>819.62264150943395</v>
      </c>
      <c r="J2992" s="41">
        <v>855.57961783439487</v>
      </c>
      <c r="K2992" s="42">
        <v>4.3870159880822483E-2</v>
      </c>
    </row>
    <row r="2993" spans="1:11" x14ac:dyDescent="0.25">
      <c r="A2993" s="24" t="s">
        <v>7</v>
      </c>
      <c r="B2993" s="24" t="s">
        <v>14506</v>
      </c>
      <c r="C2993" s="25" t="s">
        <v>14507</v>
      </c>
      <c r="D2993" s="24" t="s">
        <v>22184</v>
      </c>
      <c r="E2993" s="40">
        <v>183</v>
      </c>
      <c r="F2993" s="41">
        <v>1300775</v>
      </c>
      <c r="G2993" s="40">
        <v>177</v>
      </c>
      <c r="H2993" s="41">
        <v>1087805</v>
      </c>
      <c r="I2993" s="41">
        <v>7108.0601092896177</v>
      </c>
      <c r="J2993" s="41">
        <v>6145.7909604519773</v>
      </c>
      <c r="K2993" s="42">
        <v>-0.13537718224695908</v>
      </c>
    </row>
    <row r="2994" spans="1:11" x14ac:dyDescent="0.25">
      <c r="A2994" s="24" t="s">
        <v>7</v>
      </c>
      <c r="B2994" s="24" t="s">
        <v>14509</v>
      </c>
      <c r="C2994" s="25" t="s">
        <v>14510</v>
      </c>
      <c r="D2994" s="24" t="s">
        <v>22184</v>
      </c>
      <c r="E2994" s="40">
        <v>1650</v>
      </c>
      <c r="F2994" s="41">
        <v>11738496</v>
      </c>
      <c r="G2994" s="40">
        <v>1778</v>
      </c>
      <c r="H2994" s="41">
        <v>10601562</v>
      </c>
      <c r="I2994" s="41">
        <v>7114.24</v>
      </c>
      <c r="J2994" s="41">
        <v>5962.6332958380199</v>
      </c>
      <c r="K2994" s="42">
        <v>-0.16187346844666189</v>
      </c>
    </row>
    <row r="2995" spans="1:11" x14ac:dyDescent="0.25">
      <c r="A2995" s="24" t="s">
        <v>7</v>
      </c>
      <c r="B2995" s="24" t="s">
        <v>14512</v>
      </c>
      <c r="C2995" s="25" t="s">
        <v>14513</v>
      </c>
      <c r="D2995" s="24" t="s">
        <v>22184</v>
      </c>
      <c r="E2995" s="40">
        <v>6</v>
      </c>
      <c r="F2995" s="41">
        <v>42560</v>
      </c>
      <c r="G2995" s="40">
        <v>11</v>
      </c>
      <c r="H2995" s="41">
        <v>60695</v>
      </c>
      <c r="I2995" s="41">
        <v>7093.333333333333</v>
      </c>
      <c r="J2995" s="41">
        <v>5517.727272727273</v>
      </c>
      <c r="K2995" s="42">
        <v>-0.22212491455912503</v>
      </c>
    </row>
    <row r="2996" spans="1:11" x14ac:dyDescent="0.25">
      <c r="A2996" s="24" t="s">
        <v>7</v>
      </c>
      <c r="B2996" s="24" t="s">
        <v>14515</v>
      </c>
      <c r="C2996" s="25" t="s">
        <v>14516</v>
      </c>
      <c r="D2996" s="24" t="s">
        <v>22198</v>
      </c>
      <c r="E2996" s="40">
        <v>330</v>
      </c>
      <c r="F2996" s="41">
        <v>210948</v>
      </c>
      <c r="G2996" s="40">
        <v>372</v>
      </c>
      <c r="H2996" s="41">
        <v>262050</v>
      </c>
      <c r="I2996" s="41">
        <v>639.23636363636365</v>
      </c>
      <c r="J2996" s="41">
        <v>704.43548387096769</v>
      </c>
      <c r="K2996" s="42">
        <v>0.10199532433310263</v>
      </c>
    </row>
    <row r="2997" spans="1:11" x14ac:dyDescent="0.25">
      <c r="A2997" s="24" t="s">
        <v>7</v>
      </c>
      <c r="B2997" s="24" t="s">
        <v>14518</v>
      </c>
      <c r="C2997" s="25" t="s">
        <v>14519</v>
      </c>
      <c r="D2997" s="24" t="s">
        <v>22199</v>
      </c>
      <c r="E2997" s="40">
        <v>7596</v>
      </c>
      <c r="F2997" s="41">
        <v>3662640</v>
      </c>
      <c r="G2997" s="40">
        <v>9438</v>
      </c>
      <c r="H2997" s="41">
        <v>5352461</v>
      </c>
      <c r="I2997" s="41">
        <v>482.18009478672985</v>
      </c>
      <c r="J2997" s="41">
        <v>567.11813943632126</v>
      </c>
      <c r="K2997" s="42">
        <v>0.1761541912823254</v>
      </c>
    </row>
    <row r="2998" spans="1:11" x14ac:dyDescent="0.25">
      <c r="A2998" s="24" t="s">
        <v>7</v>
      </c>
      <c r="B2998" s="24" t="s">
        <v>14520</v>
      </c>
      <c r="C2998" s="25" t="s">
        <v>14521</v>
      </c>
      <c r="D2998" s="24" t="s">
        <v>22200</v>
      </c>
      <c r="E2998" s="40">
        <v>92</v>
      </c>
      <c r="F2998" s="41">
        <v>66988</v>
      </c>
      <c r="G2998" s="40">
        <v>65</v>
      </c>
      <c r="H2998" s="41">
        <v>40846</v>
      </c>
      <c r="I2998" s="41">
        <v>728.13043478260875</v>
      </c>
      <c r="J2998" s="41">
        <v>628.4</v>
      </c>
      <c r="K2998" s="42">
        <v>-0.13696781513106834</v>
      </c>
    </row>
    <row r="2999" spans="1:11" x14ac:dyDescent="0.25">
      <c r="A2999" s="24" t="s">
        <v>7</v>
      </c>
      <c r="B2999" s="24" t="s">
        <v>14523</v>
      </c>
      <c r="C2999" s="25" t="s">
        <v>14524</v>
      </c>
      <c r="D2999" s="24" t="s">
        <v>22201</v>
      </c>
      <c r="E2999" s="40">
        <v>56</v>
      </c>
      <c r="F2999" s="41">
        <v>68029</v>
      </c>
      <c r="G2999" s="40">
        <v>101</v>
      </c>
      <c r="H2999" s="41">
        <v>87423</v>
      </c>
      <c r="I2999" s="41">
        <v>1214.8035714285713</v>
      </c>
      <c r="J2999" s="41">
        <v>865.57425742574253</v>
      </c>
      <c r="K2999" s="42">
        <v>-0.28747801061544953</v>
      </c>
    </row>
    <row r="3000" spans="1:11" x14ac:dyDescent="0.25">
      <c r="A3000" s="24" t="s">
        <v>7</v>
      </c>
      <c r="B3000" s="24" t="s">
        <v>14526</v>
      </c>
      <c r="C3000" s="25" t="s">
        <v>14527</v>
      </c>
      <c r="D3000" s="24" t="s">
        <v>22202</v>
      </c>
      <c r="E3000" s="40">
        <v>487</v>
      </c>
      <c r="F3000" s="41">
        <v>644089</v>
      </c>
      <c r="G3000" s="40">
        <v>140</v>
      </c>
      <c r="H3000" s="41">
        <v>172014</v>
      </c>
      <c r="I3000" s="41">
        <v>1322.564681724846</v>
      </c>
      <c r="J3000" s="41">
        <v>1228.6714285714286</v>
      </c>
      <c r="K3000" s="42">
        <v>-7.0993316584686703E-2</v>
      </c>
    </row>
    <row r="3001" spans="1:11" x14ac:dyDescent="0.25">
      <c r="A3001" s="24" t="s">
        <v>7</v>
      </c>
      <c r="B3001" s="24" t="s">
        <v>14529</v>
      </c>
      <c r="C3001" s="25" t="s">
        <v>14530</v>
      </c>
      <c r="D3001" s="24" t="s">
        <v>22203</v>
      </c>
      <c r="E3001" s="40">
        <v>150</v>
      </c>
      <c r="F3001" s="41">
        <v>207156</v>
      </c>
      <c r="G3001" s="40">
        <v>134</v>
      </c>
      <c r="H3001" s="41">
        <v>180724</v>
      </c>
      <c r="I3001" s="41">
        <v>1381.04</v>
      </c>
      <c r="J3001" s="41">
        <v>1348.686567164179</v>
      </c>
      <c r="K3001" s="42">
        <v>-2.3426861521622089E-2</v>
      </c>
    </row>
    <row r="3002" spans="1:11" x14ac:dyDescent="0.25">
      <c r="A3002" s="24" t="s">
        <v>7</v>
      </c>
      <c r="B3002" s="24" t="s">
        <v>14534</v>
      </c>
      <c r="C3002" s="25" t="s">
        <v>14535</v>
      </c>
      <c r="D3002" s="24" t="s">
        <v>22185</v>
      </c>
      <c r="E3002" s="40">
        <v>9</v>
      </c>
      <c r="F3002" s="41">
        <v>119040</v>
      </c>
      <c r="G3002" s="40">
        <v>9</v>
      </c>
      <c r="H3002" s="41">
        <v>111204</v>
      </c>
      <c r="I3002" s="41">
        <v>13226.666666666666</v>
      </c>
      <c r="J3002" s="41">
        <v>12356</v>
      </c>
      <c r="K3002" s="42">
        <v>-6.5826612903225765E-2</v>
      </c>
    </row>
    <row r="3003" spans="1:11" x14ac:dyDescent="0.25">
      <c r="A3003" s="24" t="s">
        <v>7</v>
      </c>
      <c r="B3003" s="24" t="s">
        <v>14537</v>
      </c>
      <c r="C3003" s="25" t="s">
        <v>320</v>
      </c>
      <c r="D3003" s="24" t="s">
        <v>22185</v>
      </c>
      <c r="G3003" s="40">
        <v>3</v>
      </c>
      <c r="H3003" s="41">
        <v>40296</v>
      </c>
      <c r="J3003" s="41">
        <v>13432</v>
      </c>
    </row>
    <row r="3004" spans="1:11" x14ac:dyDescent="0.25">
      <c r="A3004" s="24" t="s">
        <v>7</v>
      </c>
      <c r="B3004" s="24" t="s">
        <v>14538</v>
      </c>
      <c r="C3004" s="25" t="s">
        <v>14539</v>
      </c>
      <c r="D3004" s="24" t="s">
        <v>22186</v>
      </c>
      <c r="G3004" s="40">
        <v>9</v>
      </c>
      <c r="H3004" s="41">
        <v>102816</v>
      </c>
      <c r="J3004" s="41">
        <v>11424</v>
      </c>
    </row>
    <row r="3005" spans="1:11" x14ac:dyDescent="0.25">
      <c r="A3005" s="24" t="s">
        <v>7</v>
      </c>
      <c r="B3005" s="24" t="s">
        <v>14541</v>
      </c>
      <c r="C3005" s="25" t="s">
        <v>14542</v>
      </c>
      <c r="D3005" s="24" t="s">
        <v>21473</v>
      </c>
      <c r="E3005" s="40">
        <v>116</v>
      </c>
      <c r="F3005" s="41">
        <v>14507</v>
      </c>
      <c r="G3005" s="40">
        <v>144</v>
      </c>
      <c r="H3005" s="41">
        <v>16797</v>
      </c>
      <c r="I3005" s="41">
        <v>125.06034482758621</v>
      </c>
      <c r="J3005" s="41">
        <v>116.64583333333333</v>
      </c>
      <c r="K3005" s="42">
        <v>-6.7283610211162456E-2</v>
      </c>
    </row>
    <row r="3006" spans="1:11" x14ac:dyDescent="0.25">
      <c r="A3006" s="24" t="s">
        <v>7</v>
      </c>
      <c r="B3006" s="24" t="s">
        <v>14544</v>
      </c>
      <c r="C3006" s="25" t="s">
        <v>14545</v>
      </c>
      <c r="D3006" s="24" t="s">
        <v>22204</v>
      </c>
      <c r="E3006" s="40">
        <v>41</v>
      </c>
      <c r="F3006" s="41">
        <v>185181</v>
      </c>
      <c r="G3006" s="40">
        <v>13</v>
      </c>
      <c r="H3006" s="41">
        <v>50453</v>
      </c>
      <c r="I3006" s="41">
        <v>4516.6097560975613</v>
      </c>
      <c r="J3006" s="41">
        <v>3881</v>
      </c>
      <c r="K3006" s="42">
        <v>-0.14072718043427787</v>
      </c>
    </row>
    <row r="3007" spans="1:11" x14ac:dyDescent="0.25">
      <c r="A3007" s="24" t="s">
        <v>7</v>
      </c>
      <c r="B3007" s="24" t="s">
        <v>14547</v>
      </c>
      <c r="C3007" s="25" t="s">
        <v>14548</v>
      </c>
      <c r="D3007" s="24" t="s">
        <v>22205</v>
      </c>
      <c r="E3007" s="40">
        <v>363</v>
      </c>
      <c r="F3007" s="41">
        <v>1659218</v>
      </c>
      <c r="G3007" s="40">
        <v>114</v>
      </c>
      <c r="H3007" s="41">
        <v>463581</v>
      </c>
      <c r="I3007" s="41">
        <v>4570.848484848485</v>
      </c>
      <c r="J3007" s="41">
        <v>4066.5</v>
      </c>
      <c r="K3007" s="42">
        <v>-0.1103402325673902</v>
      </c>
    </row>
    <row r="3008" spans="1:11" x14ac:dyDescent="0.25">
      <c r="A3008" s="24" t="s">
        <v>7</v>
      </c>
      <c r="B3008" s="24" t="s">
        <v>14549</v>
      </c>
      <c r="C3008" s="25" t="s">
        <v>14550</v>
      </c>
      <c r="D3008" s="24" t="s">
        <v>22206</v>
      </c>
      <c r="E3008" s="40">
        <v>3940</v>
      </c>
      <c r="F3008" s="41">
        <v>21320427</v>
      </c>
      <c r="G3008" s="40">
        <v>4414</v>
      </c>
      <c r="H3008" s="41">
        <v>20876734</v>
      </c>
      <c r="I3008" s="41">
        <v>5411.2758883248734</v>
      </c>
      <c r="J3008" s="41">
        <v>4729.6633439057541</v>
      </c>
      <c r="K3008" s="42">
        <v>-0.12596152154979495</v>
      </c>
    </row>
    <row r="3009" spans="1:11" x14ac:dyDescent="0.25">
      <c r="A3009" s="24" t="s">
        <v>7</v>
      </c>
      <c r="B3009" s="24" t="s">
        <v>14598</v>
      </c>
      <c r="C3009" s="25" t="s">
        <v>14599</v>
      </c>
      <c r="D3009" s="24" t="s">
        <v>21228</v>
      </c>
      <c r="E3009" s="40">
        <v>560</v>
      </c>
      <c r="F3009" s="41">
        <v>572572</v>
      </c>
      <c r="G3009" s="40">
        <v>580</v>
      </c>
      <c r="H3009" s="41">
        <v>562499</v>
      </c>
      <c r="I3009" s="41">
        <v>1022.45</v>
      </c>
      <c r="J3009" s="41">
        <v>969.82586206896553</v>
      </c>
      <c r="K3009" s="42">
        <v>-5.1468666371005438E-2</v>
      </c>
    </row>
    <row r="3010" spans="1:11" x14ac:dyDescent="0.25">
      <c r="A3010" s="24" t="s">
        <v>7</v>
      </c>
      <c r="B3010" s="24" t="s">
        <v>14601</v>
      </c>
      <c r="C3010" s="25" t="s">
        <v>14602</v>
      </c>
      <c r="D3010" s="24" t="s">
        <v>22207</v>
      </c>
      <c r="E3010" s="40">
        <v>6710</v>
      </c>
      <c r="F3010" s="41">
        <v>7955600</v>
      </c>
      <c r="G3010" s="40">
        <v>7400</v>
      </c>
      <c r="H3010" s="41">
        <v>8081220</v>
      </c>
      <c r="I3010" s="41">
        <v>1185.6333830104322</v>
      </c>
      <c r="J3010" s="41">
        <v>1092.0567567567568</v>
      </c>
      <c r="K3010" s="42">
        <v>-7.8925431414621369E-2</v>
      </c>
    </row>
    <row r="3011" spans="1:11" x14ac:dyDescent="0.25">
      <c r="A3011" s="24" t="s">
        <v>7</v>
      </c>
      <c r="B3011" s="24" t="s">
        <v>14604</v>
      </c>
      <c r="C3011" s="25" t="s">
        <v>14605</v>
      </c>
      <c r="D3011" s="24" t="s">
        <v>22208</v>
      </c>
      <c r="E3011" s="40">
        <v>1204</v>
      </c>
      <c r="F3011" s="41">
        <v>1300986</v>
      </c>
      <c r="G3011" s="40">
        <v>1365</v>
      </c>
      <c r="H3011" s="41">
        <v>1381972</v>
      </c>
      <c r="I3011" s="41">
        <v>1080.5531561461794</v>
      </c>
      <c r="J3011" s="41">
        <v>1012.4336996336997</v>
      </c>
      <c r="K3011" s="42">
        <v>-6.3041282259013981E-2</v>
      </c>
    </row>
    <row r="3012" spans="1:11" x14ac:dyDescent="0.25">
      <c r="A3012" s="24" t="s">
        <v>7</v>
      </c>
      <c r="B3012" s="24" t="s">
        <v>14610</v>
      </c>
      <c r="C3012" s="25" t="s">
        <v>14611</v>
      </c>
      <c r="D3012" s="24" t="s">
        <v>21172</v>
      </c>
      <c r="E3012" s="40">
        <v>17293</v>
      </c>
      <c r="F3012" s="41">
        <v>5557805</v>
      </c>
      <c r="G3012" s="40">
        <v>17641</v>
      </c>
      <c r="H3012" s="41">
        <v>5442317</v>
      </c>
      <c r="I3012" s="41">
        <v>321.39044700167699</v>
      </c>
      <c r="J3012" s="41">
        <v>308.50388299982995</v>
      </c>
      <c r="K3012" s="42">
        <v>-4.0096288243999342E-2</v>
      </c>
    </row>
    <row r="3013" spans="1:11" x14ac:dyDescent="0.25">
      <c r="A3013" s="24" t="s">
        <v>7</v>
      </c>
      <c r="B3013" s="24" t="s">
        <v>14613</v>
      </c>
      <c r="C3013" s="25" t="s">
        <v>14614</v>
      </c>
      <c r="D3013" s="24" t="s">
        <v>22209</v>
      </c>
      <c r="E3013" s="40">
        <v>231</v>
      </c>
      <c r="F3013" s="41">
        <v>98362</v>
      </c>
      <c r="G3013" s="40">
        <v>358</v>
      </c>
      <c r="H3013" s="41">
        <v>132648</v>
      </c>
      <c r="I3013" s="41">
        <v>425.8095238095238</v>
      </c>
      <c r="J3013" s="41">
        <v>370.52513966480444</v>
      </c>
      <c r="K3013" s="42">
        <v>-0.12983360177131587</v>
      </c>
    </row>
    <row r="3014" spans="1:11" x14ac:dyDescent="0.25">
      <c r="A3014" s="24" t="s">
        <v>7</v>
      </c>
      <c r="B3014" s="24" t="s">
        <v>14616</v>
      </c>
      <c r="C3014" s="25" t="s">
        <v>14617</v>
      </c>
      <c r="D3014" s="24" t="s">
        <v>22209</v>
      </c>
      <c r="G3014" s="40">
        <v>2</v>
      </c>
      <c r="H3014" s="41">
        <v>990</v>
      </c>
      <c r="J3014" s="41">
        <v>495</v>
      </c>
    </row>
    <row r="3015" spans="1:11" x14ac:dyDescent="0.25">
      <c r="A3015" s="24" t="s">
        <v>7</v>
      </c>
      <c r="B3015" s="24" t="s">
        <v>14622</v>
      </c>
      <c r="C3015" s="25" t="s">
        <v>14623</v>
      </c>
      <c r="D3015" s="24" t="s">
        <v>22210</v>
      </c>
      <c r="E3015" s="40">
        <v>21937</v>
      </c>
      <c r="F3015" s="41">
        <v>11454175</v>
      </c>
      <c r="G3015" s="40">
        <v>23522</v>
      </c>
      <c r="H3015" s="41">
        <v>10915338</v>
      </c>
      <c r="I3015" s="41">
        <v>522.13953594383918</v>
      </c>
      <c r="J3015" s="41">
        <v>464.0480401326418</v>
      </c>
      <c r="K3015" s="42">
        <v>-0.11125665040129358</v>
      </c>
    </row>
    <row r="3016" spans="1:11" x14ac:dyDescent="0.25">
      <c r="A3016" s="24" t="s">
        <v>7</v>
      </c>
      <c r="B3016" s="24" t="s">
        <v>14625</v>
      </c>
      <c r="C3016" s="25" t="s">
        <v>14626</v>
      </c>
      <c r="D3016" s="24" t="s">
        <v>22211</v>
      </c>
      <c r="E3016" s="40">
        <v>40</v>
      </c>
      <c r="F3016" s="41">
        <v>16481</v>
      </c>
      <c r="G3016" s="40">
        <v>36</v>
      </c>
      <c r="H3016" s="41">
        <v>13044</v>
      </c>
      <c r="I3016" s="41">
        <v>412.02499999999998</v>
      </c>
      <c r="J3016" s="41">
        <v>362.33333333333331</v>
      </c>
      <c r="K3016" s="42">
        <v>-0.12060352324899379</v>
      </c>
    </row>
    <row r="3017" spans="1:11" x14ac:dyDescent="0.25">
      <c r="A3017" s="24" t="s">
        <v>7</v>
      </c>
      <c r="B3017" s="24" t="s">
        <v>14628</v>
      </c>
      <c r="C3017" s="25" t="s">
        <v>14629</v>
      </c>
      <c r="D3017" s="24" t="s">
        <v>21170</v>
      </c>
      <c r="E3017" s="40">
        <v>18604</v>
      </c>
      <c r="F3017" s="41">
        <v>7531498</v>
      </c>
      <c r="G3017" s="40">
        <v>19101</v>
      </c>
      <c r="H3017" s="41">
        <v>7176787</v>
      </c>
      <c r="I3017" s="41">
        <v>404.83218662653195</v>
      </c>
      <c r="J3017" s="41">
        <v>375.72833883042773</v>
      </c>
      <c r="K3017" s="42">
        <v>-7.1891140965412575E-2</v>
      </c>
    </row>
    <row r="3018" spans="1:11" x14ac:dyDescent="0.25">
      <c r="A3018" s="24" t="s">
        <v>7</v>
      </c>
      <c r="B3018" s="24" t="s">
        <v>14631</v>
      </c>
      <c r="C3018" s="25" t="s">
        <v>14632</v>
      </c>
      <c r="D3018" s="24" t="s">
        <v>22212</v>
      </c>
      <c r="E3018" s="40">
        <v>185</v>
      </c>
      <c r="F3018" s="41">
        <v>51481</v>
      </c>
      <c r="G3018" s="40">
        <v>132</v>
      </c>
      <c r="H3018" s="41">
        <v>33132</v>
      </c>
      <c r="I3018" s="41">
        <v>278.2756756756757</v>
      </c>
      <c r="J3018" s="41">
        <v>251</v>
      </c>
      <c r="K3018" s="42">
        <v>-9.8016744041491119E-2</v>
      </c>
    </row>
    <row r="3019" spans="1:11" x14ac:dyDescent="0.25">
      <c r="A3019" s="24" t="s">
        <v>7</v>
      </c>
      <c r="B3019" s="24" t="s">
        <v>14634</v>
      </c>
      <c r="C3019" s="25" t="s">
        <v>14635</v>
      </c>
      <c r="D3019" s="24" t="s">
        <v>22213</v>
      </c>
      <c r="E3019" s="40">
        <v>913</v>
      </c>
      <c r="F3019" s="41">
        <v>930795</v>
      </c>
      <c r="G3019" s="40">
        <v>754</v>
      </c>
      <c r="H3019" s="41">
        <v>689469</v>
      </c>
      <c r="I3019" s="41">
        <v>1019.4906900328587</v>
      </c>
      <c r="J3019" s="41">
        <v>914.41511936339521</v>
      </c>
      <c r="K3019" s="42">
        <v>-0.10306672900178894</v>
      </c>
    </row>
    <row r="3020" spans="1:11" x14ac:dyDescent="0.25">
      <c r="A3020" s="24" t="s">
        <v>7</v>
      </c>
      <c r="B3020" s="24" t="s">
        <v>14637</v>
      </c>
      <c r="C3020" s="25" t="s">
        <v>14638</v>
      </c>
      <c r="D3020" s="24" t="s">
        <v>22214</v>
      </c>
      <c r="E3020" s="40">
        <v>308</v>
      </c>
      <c r="F3020" s="41">
        <v>313818</v>
      </c>
      <c r="G3020" s="40">
        <v>138</v>
      </c>
      <c r="H3020" s="41">
        <v>130767</v>
      </c>
      <c r="I3020" s="41">
        <v>1018.8896103896104</v>
      </c>
      <c r="J3020" s="41">
        <v>947.58695652173913</v>
      </c>
      <c r="K3020" s="42">
        <v>-6.9980744862641275E-2</v>
      </c>
    </row>
    <row r="3021" spans="1:11" x14ac:dyDescent="0.25">
      <c r="A3021" s="24" t="s">
        <v>7</v>
      </c>
      <c r="B3021" s="24" t="s">
        <v>14640</v>
      </c>
      <c r="C3021" s="25" t="s">
        <v>14641</v>
      </c>
      <c r="D3021" s="24" t="s">
        <v>22215</v>
      </c>
      <c r="E3021" s="40">
        <v>420</v>
      </c>
      <c r="F3021" s="41">
        <v>236022</v>
      </c>
      <c r="G3021" s="40">
        <v>291</v>
      </c>
      <c r="H3021" s="41">
        <v>162753</v>
      </c>
      <c r="I3021" s="41">
        <v>561.95714285714291</v>
      </c>
      <c r="J3021" s="41">
        <v>559.28865979381442</v>
      </c>
      <c r="K3021" s="42">
        <v>-4.748552620509815E-3</v>
      </c>
    </row>
    <row r="3022" spans="1:11" x14ac:dyDescent="0.25">
      <c r="A3022" s="24" t="s">
        <v>7</v>
      </c>
      <c r="B3022" s="24" t="s">
        <v>14643</v>
      </c>
      <c r="C3022" s="25" t="s">
        <v>14644</v>
      </c>
      <c r="D3022" s="24" t="s">
        <v>22216</v>
      </c>
      <c r="E3022" s="40">
        <v>41</v>
      </c>
      <c r="F3022" s="41">
        <v>41601</v>
      </c>
      <c r="G3022" s="40">
        <v>24</v>
      </c>
      <c r="H3022" s="41">
        <v>23148</v>
      </c>
      <c r="I3022" s="41">
        <v>1014.6585365853658</v>
      </c>
      <c r="J3022" s="41">
        <v>964.5</v>
      </c>
      <c r="K3022" s="42">
        <v>-4.943390783875385E-2</v>
      </c>
    </row>
    <row r="3023" spans="1:11" x14ac:dyDescent="0.25">
      <c r="A3023" s="24" t="s">
        <v>7</v>
      </c>
      <c r="B3023" s="24" t="s">
        <v>14646</v>
      </c>
      <c r="C3023" s="25" t="s">
        <v>14647</v>
      </c>
      <c r="D3023" s="24" t="s">
        <v>22217</v>
      </c>
      <c r="E3023" s="40">
        <v>139</v>
      </c>
      <c r="F3023" s="41">
        <v>77147</v>
      </c>
      <c r="G3023" s="40">
        <v>177</v>
      </c>
      <c r="H3023" s="41">
        <v>92145</v>
      </c>
      <c r="I3023" s="41">
        <v>555.01438848920861</v>
      </c>
      <c r="J3023" s="41">
        <v>520.59322033898309</v>
      </c>
      <c r="K3023" s="42">
        <v>-6.2018514950436809E-2</v>
      </c>
    </row>
    <row r="3024" spans="1:11" x14ac:dyDescent="0.25">
      <c r="A3024" s="24" t="s">
        <v>7</v>
      </c>
      <c r="B3024" s="24" t="s">
        <v>14669</v>
      </c>
      <c r="C3024" s="25" t="s">
        <v>14670</v>
      </c>
      <c r="D3024" s="24" t="s">
        <v>22218</v>
      </c>
      <c r="E3024" s="40">
        <v>27</v>
      </c>
      <c r="F3024" s="41">
        <v>30747</v>
      </c>
      <c r="G3024" s="40">
        <v>41</v>
      </c>
      <c r="H3024" s="41">
        <v>42821</v>
      </c>
      <c r="I3024" s="41">
        <v>1138.7777777777778</v>
      </c>
      <c r="J3024" s="41">
        <v>1044.4146341463415</v>
      </c>
      <c r="K3024" s="42">
        <v>-8.2863527435157236E-2</v>
      </c>
    </row>
    <row r="3025" spans="1:11" x14ac:dyDescent="0.25">
      <c r="A3025" s="24" t="s">
        <v>7</v>
      </c>
      <c r="B3025" s="24" t="s">
        <v>14672</v>
      </c>
      <c r="C3025" s="25" t="s">
        <v>14673</v>
      </c>
      <c r="D3025" s="24" t="s">
        <v>22219</v>
      </c>
      <c r="E3025" s="40">
        <v>1322</v>
      </c>
      <c r="F3025" s="41">
        <v>1504838</v>
      </c>
      <c r="G3025" s="40">
        <v>1813</v>
      </c>
      <c r="H3025" s="41">
        <v>1923242</v>
      </c>
      <c r="I3025" s="41">
        <v>1138.304084720121</v>
      </c>
      <c r="J3025" s="41">
        <v>1060.8063982349697</v>
      </c>
      <c r="K3025" s="42">
        <v>-6.8081708152884196E-2</v>
      </c>
    </row>
    <row r="3026" spans="1:11" x14ac:dyDescent="0.25">
      <c r="A3026" s="24" t="s">
        <v>7</v>
      </c>
      <c r="B3026" s="24" t="s">
        <v>14675</v>
      </c>
      <c r="C3026" s="25" t="s">
        <v>14676</v>
      </c>
      <c r="D3026" s="24" t="s">
        <v>22220</v>
      </c>
      <c r="E3026" s="40">
        <v>886</v>
      </c>
      <c r="F3026" s="41">
        <v>970134</v>
      </c>
      <c r="G3026" s="40">
        <v>1015</v>
      </c>
      <c r="H3026" s="41">
        <v>1032828</v>
      </c>
      <c r="I3026" s="41">
        <v>1094.9593679458239</v>
      </c>
      <c r="J3026" s="41">
        <v>1017.5645320197044</v>
      </c>
      <c r="K3026" s="42">
        <v>-7.0682838278569665E-2</v>
      </c>
    </row>
    <row r="3027" spans="1:11" x14ac:dyDescent="0.25">
      <c r="A3027" s="24" t="s">
        <v>7</v>
      </c>
      <c r="B3027" s="24" t="s">
        <v>14678</v>
      </c>
      <c r="C3027" s="25" t="s">
        <v>14679</v>
      </c>
      <c r="D3027" s="24" t="s">
        <v>21172</v>
      </c>
      <c r="E3027" s="40">
        <v>4424</v>
      </c>
      <c r="F3027" s="41">
        <v>1817864</v>
      </c>
      <c r="G3027" s="40">
        <v>4656</v>
      </c>
      <c r="H3027" s="41">
        <v>1742192</v>
      </c>
      <c r="I3027" s="41">
        <v>410.90958408679927</v>
      </c>
      <c r="J3027" s="41">
        <v>374.18213058419246</v>
      </c>
      <c r="K3027" s="42">
        <v>-8.9380863637506719E-2</v>
      </c>
    </row>
    <row r="3028" spans="1:11" x14ac:dyDescent="0.25">
      <c r="A3028" s="24" t="s">
        <v>7</v>
      </c>
      <c r="B3028" s="24" t="s">
        <v>14681</v>
      </c>
      <c r="C3028" s="25" t="s">
        <v>14682</v>
      </c>
      <c r="D3028" s="24" t="s">
        <v>22209</v>
      </c>
      <c r="E3028" s="40">
        <v>366</v>
      </c>
      <c r="F3028" s="41">
        <v>156180</v>
      </c>
      <c r="G3028" s="40">
        <v>277</v>
      </c>
      <c r="H3028" s="41">
        <v>107418</v>
      </c>
      <c r="I3028" s="41">
        <v>426.72131147540983</v>
      </c>
      <c r="J3028" s="41">
        <v>387.79061371841158</v>
      </c>
      <c r="K3028" s="42">
        <v>-9.1232138424006667E-2</v>
      </c>
    </row>
    <row r="3029" spans="1:11" x14ac:dyDescent="0.25">
      <c r="A3029" s="24" t="s">
        <v>7</v>
      </c>
      <c r="B3029" s="24" t="s">
        <v>14687</v>
      </c>
      <c r="C3029" s="25" t="s">
        <v>14688</v>
      </c>
      <c r="D3029" s="24" t="s">
        <v>22210</v>
      </c>
      <c r="E3029" s="40">
        <v>1426</v>
      </c>
      <c r="F3029" s="41">
        <v>701758</v>
      </c>
      <c r="G3029" s="40">
        <v>1562</v>
      </c>
      <c r="H3029" s="41">
        <v>617098</v>
      </c>
      <c r="I3029" s="41">
        <v>492.11640953716687</v>
      </c>
      <c r="J3029" s="41">
        <v>395.06914212548014</v>
      </c>
      <c r="K3029" s="42">
        <v>-0.19720388414391468</v>
      </c>
    </row>
    <row r="3030" spans="1:11" x14ac:dyDescent="0.25">
      <c r="A3030" s="24" t="s">
        <v>7</v>
      </c>
      <c r="B3030" s="24" t="s">
        <v>14690</v>
      </c>
      <c r="C3030" s="25" t="s">
        <v>14691</v>
      </c>
      <c r="D3030" s="24" t="s">
        <v>22211</v>
      </c>
      <c r="E3030" s="40">
        <v>9039</v>
      </c>
      <c r="F3030" s="41">
        <v>3697038</v>
      </c>
      <c r="G3030" s="40">
        <v>12580</v>
      </c>
      <c r="H3030" s="41">
        <v>4601135</v>
      </c>
      <c r="I3030" s="41">
        <v>409.00962495851309</v>
      </c>
      <c r="J3030" s="41">
        <v>365.75</v>
      </c>
      <c r="K3030" s="42">
        <v>-0.10576676517796134</v>
      </c>
    </row>
    <row r="3031" spans="1:11" x14ac:dyDescent="0.25">
      <c r="A3031" s="24" t="s">
        <v>7</v>
      </c>
      <c r="B3031" s="24" t="s">
        <v>14693</v>
      </c>
      <c r="C3031" s="25" t="s">
        <v>14694</v>
      </c>
      <c r="D3031" s="24" t="s">
        <v>22221</v>
      </c>
      <c r="E3031" s="40">
        <v>1038</v>
      </c>
      <c r="F3031" s="41">
        <v>1024944</v>
      </c>
      <c r="G3031" s="40">
        <v>1104</v>
      </c>
      <c r="H3031" s="41">
        <v>1031034</v>
      </c>
      <c r="I3031" s="41">
        <v>987.4219653179191</v>
      </c>
      <c r="J3031" s="41">
        <v>933.90760869565213</v>
      </c>
      <c r="K3031" s="42">
        <v>-5.4196036245797934E-2</v>
      </c>
    </row>
    <row r="3032" spans="1:11" x14ac:dyDescent="0.25">
      <c r="A3032" s="24" t="s">
        <v>7</v>
      </c>
      <c r="B3032" s="24" t="s">
        <v>14696</v>
      </c>
      <c r="C3032" s="25" t="s">
        <v>14697</v>
      </c>
      <c r="D3032" s="24" t="s">
        <v>22221</v>
      </c>
      <c r="E3032" s="40">
        <v>27</v>
      </c>
      <c r="F3032" s="41">
        <v>27649</v>
      </c>
      <c r="G3032" s="40">
        <v>19</v>
      </c>
      <c r="H3032" s="41">
        <v>17556</v>
      </c>
      <c r="I3032" s="41">
        <v>1024.037037037037</v>
      </c>
      <c r="J3032" s="41">
        <v>924</v>
      </c>
      <c r="K3032" s="42">
        <v>-9.7688885673984524E-2</v>
      </c>
    </row>
    <row r="3033" spans="1:11" x14ac:dyDescent="0.25">
      <c r="A3033" s="24" t="s">
        <v>7</v>
      </c>
      <c r="B3033" s="24" t="s">
        <v>14703</v>
      </c>
      <c r="C3033" s="25" t="s">
        <v>14704</v>
      </c>
      <c r="D3033" s="24" t="s">
        <v>22222</v>
      </c>
      <c r="E3033" s="40">
        <v>409</v>
      </c>
      <c r="F3033" s="41">
        <v>185928</v>
      </c>
      <c r="G3033" s="40">
        <v>578</v>
      </c>
      <c r="H3033" s="41">
        <v>266951</v>
      </c>
      <c r="I3033" s="41">
        <v>454.5916870415648</v>
      </c>
      <c r="J3033" s="41">
        <v>461.85294117647061</v>
      </c>
      <c r="K3033" s="42">
        <v>1.5973134445465324E-2</v>
      </c>
    </row>
    <row r="3034" spans="1:11" x14ac:dyDescent="0.25">
      <c r="A3034" s="24" t="s">
        <v>7</v>
      </c>
      <c r="B3034" s="24" t="s">
        <v>14706</v>
      </c>
      <c r="C3034" s="25" t="s">
        <v>14707</v>
      </c>
      <c r="D3034" s="24" t="s">
        <v>22222</v>
      </c>
      <c r="E3034" s="40">
        <v>189</v>
      </c>
      <c r="F3034" s="41">
        <v>85463</v>
      </c>
      <c r="G3034" s="40">
        <v>538</v>
      </c>
      <c r="H3034" s="41">
        <v>246451</v>
      </c>
      <c r="I3034" s="41">
        <v>452.18518518518516</v>
      </c>
      <c r="J3034" s="41">
        <v>458.08736059479554</v>
      </c>
      <c r="K3034" s="42">
        <v>1.3052562540706057E-2</v>
      </c>
    </row>
    <row r="3035" spans="1:11" x14ac:dyDescent="0.25">
      <c r="A3035" s="24" t="s">
        <v>7</v>
      </c>
      <c r="B3035" s="24" t="s">
        <v>14709</v>
      </c>
      <c r="C3035" s="25" t="s">
        <v>14710</v>
      </c>
      <c r="D3035" s="24" t="s">
        <v>22222</v>
      </c>
      <c r="E3035" s="40">
        <v>30</v>
      </c>
      <c r="F3035" s="41">
        <v>14554</v>
      </c>
      <c r="G3035" s="40">
        <v>114</v>
      </c>
      <c r="H3035" s="41">
        <v>55107</v>
      </c>
      <c r="I3035" s="41">
        <v>485.13333333333333</v>
      </c>
      <c r="J3035" s="41">
        <v>483.39473684210526</v>
      </c>
      <c r="K3035" s="42">
        <v>-3.5837498101444253E-3</v>
      </c>
    </row>
    <row r="3036" spans="1:11" x14ac:dyDescent="0.25">
      <c r="A3036" s="24" t="s">
        <v>7</v>
      </c>
      <c r="B3036" s="24" t="s">
        <v>14712</v>
      </c>
      <c r="C3036" s="25" t="s">
        <v>14713</v>
      </c>
      <c r="D3036" s="24" t="s">
        <v>22223</v>
      </c>
      <c r="E3036" s="40">
        <v>1190</v>
      </c>
      <c r="F3036" s="41">
        <v>1005696</v>
      </c>
      <c r="G3036" s="40">
        <v>1267</v>
      </c>
      <c r="H3036" s="41">
        <v>980721</v>
      </c>
      <c r="I3036" s="41">
        <v>845.12268907563021</v>
      </c>
      <c r="J3036" s="41">
        <v>774.04972375690613</v>
      </c>
      <c r="K3036" s="42">
        <v>-8.4097807617094678E-2</v>
      </c>
    </row>
    <row r="3037" spans="1:11" x14ac:dyDescent="0.25">
      <c r="A3037" s="24" t="s">
        <v>7</v>
      </c>
      <c r="B3037" s="24" t="s">
        <v>14715</v>
      </c>
      <c r="C3037" s="25" t="s">
        <v>14716</v>
      </c>
      <c r="D3037" s="24" t="s">
        <v>22223</v>
      </c>
      <c r="E3037" s="40">
        <v>1964</v>
      </c>
      <c r="F3037" s="41">
        <v>1649024</v>
      </c>
      <c r="G3037" s="40">
        <v>2861</v>
      </c>
      <c r="H3037" s="41">
        <v>2096235</v>
      </c>
      <c r="I3037" s="41">
        <v>839.62525458248467</v>
      </c>
      <c r="J3037" s="41">
        <v>732.69311429570075</v>
      </c>
      <c r="K3037" s="42">
        <v>-0.12735698420595676</v>
      </c>
    </row>
    <row r="3038" spans="1:11" x14ac:dyDescent="0.25">
      <c r="A3038" s="24" t="s">
        <v>7</v>
      </c>
      <c r="B3038" s="24" t="s">
        <v>14718</v>
      </c>
      <c r="C3038" s="25" t="s">
        <v>14719</v>
      </c>
      <c r="D3038" s="24" t="s">
        <v>22223</v>
      </c>
      <c r="E3038" s="40">
        <v>293</v>
      </c>
      <c r="F3038" s="41">
        <v>245344</v>
      </c>
      <c r="G3038" s="40">
        <v>640</v>
      </c>
      <c r="H3038" s="41">
        <v>459495</v>
      </c>
      <c r="I3038" s="41">
        <v>837.3515358361775</v>
      </c>
      <c r="J3038" s="41">
        <v>717.9609375</v>
      </c>
      <c r="K3038" s="42">
        <v>-0.14258121377535218</v>
      </c>
    </row>
    <row r="3039" spans="1:11" x14ac:dyDescent="0.25">
      <c r="A3039" s="24" t="s">
        <v>7</v>
      </c>
      <c r="B3039" s="24" t="s">
        <v>14733</v>
      </c>
      <c r="C3039" s="25" t="s">
        <v>14734</v>
      </c>
      <c r="D3039" s="24" t="s">
        <v>22224</v>
      </c>
      <c r="E3039" s="40">
        <v>8</v>
      </c>
      <c r="F3039" s="41">
        <v>9406</v>
      </c>
      <c r="G3039" s="40">
        <v>8</v>
      </c>
      <c r="H3039" s="41">
        <v>8615</v>
      </c>
      <c r="I3039" s="41">
        <v>1175.75</v>
      </c>
      <c r="J3039" s="41">
        <v>1076.875</v>
      </c>
      <c r="K3039" s="42">
        <v>-8.4095258345736765E-2</v>
      </c>
    </row>
    <row r="3040" spans="1:11" x14ac:dyDescent="0.25">
      <c r="A3040" s="24" t="s">
        <v>7</v>
      </c>
      <c r="B3040" s="24" t="s">
        <v>14745</v>
      </c>
      <c r="C3040" s="25" t="s">
        <v>14746</v>
      </c>
      <c r="D3040" s="24" t="s">
        <v>22225</v>
      </c>
      <c r="E3040" s="40">
        <v>2092</v>
      </c>
      <c r="F3040" s="41">
        <v>3323112</v>
      </c>
      <c r="G3040" s="40">
        <v>2254</v>
      </c>
      <c r="H3040" s="41">
        <v>3193036</v>
      </c>
      <c r="I3040" s="41">
        <v>1588.4856596558318</v>
      </c>
      <c r="J3040" s="41">
        <v>1416.608695652174</v>
      </c>
      <c r="K3040" s="42">
        <v>-0.10820177252396311</v>
      </c>
    </row>
    <row r="3041" spans="1:11" x14ac:dyDescent="0.25">
      <c r="A3041" s="24" t="s">
        <v>7</v>
      </c>
      <c r="B3041" s="24" t="s">
        <v>14748</v>
      </c>
      <c r="C3041" s="25" t="s">
        <v>14749</v>
      </c>
      <c r="D3041" s="24" t="s">
        <v>22226</v>
      </c>
      <c r="E3041" s="40">
        <v>416</v>
      </c>
      <c r="F3041" s="41">
        <v>875357</v>
      </c>
      <c r="G3041" s="40">
        <v>503</v>
      </c>
      <c r="H3041" s="41">
        <v>917038</v>
      </c>
      <c r="I3041" s="41">
        <v>2104.2235576923076</v>
      </c>
      <c r="J3041" s="41">
        <v>1823.1371769383697</v>
      </c>
      <c r="K3041" s="42">
        <v>-0.13358199499591386</v>
      </c>
    </row>
    <row r="3042" spans="1:11" x14ac:dyDescent="0.25">
      <c r="A3042" s="24" t="s">
        <v>7</v>
      </c>
      <c r="B3042" s="24" t="s">
        <v>14754</v>
      </c>
      <c r="C3042" s="25" t="s">
        <v>190</v>
      </c>
      <c r="D3042" s="24" t="s">
        <v>21241</v>
      </c>
      <c r="E3042" s="40">
        <v>8</v>
      </c>
      <c r="F3042" s="41">
        <v>1688</v>
      </c>
      <c r="G3042" s="40">
        <v>3</v>
      </c>
      <c r="H3042" s="41">
        <v>633</v>
      </c>
      <c r="I3042" s="41">
        <v>211</v>
      </c>
      <c r="J3042" s="41">
        <v>211</v>
      </c>
      <c r="K3042" s="42">
        <v>0</v>
      </c>
    </row>
    <row r="3043" spans="1:11" x14ac:dyDescent="0.25">
      <c r="A3043" s="24" t="s">
        <v>7</v>
      </c>
      <c r="B3043" s="24" t="s">
        <v>14760</v>
      </c>
      <c r="C3043" s="25" t="s">
        <v>14761</v>
      </c>
      <c r="E3043" s="40">
        <v>852</v>
      </c>
      <c r="F3043" s="41">
        <v>1190277</v>
      </c>
      <c r="G3043" s="40">
        <v>855</v>
      </c>
      <c r="H3043" s="41">
        <v>1109900</v>
      </c>
      <c r="I3043" s="41">
        <v>1397.0387323943662</v>
      </c>
      <c r="J3043" s="41">
        <v>1298.1286549707602</v>
      </c>
      <c r="K3043" s="42">
        <v>-7.0799810434808319E-2</v>
      </c>
    </row>
    <row r="3044" spans="1:11" x14ac:dyDescent="0.25">
      <c r="A3044" s="24" t="s">
        <v>7</v>
      </c>
      <c r="B3044" s="24" t="s">
        <v>14763</v>
      </c>
      <c r="C3044" s="25" t="s">
        <v>14764</v>
      </c>
      <c r="E3044" s="40">
        <v>2339</v>
      </c>
      <c r="F3044" s="41">
        <v>4267560</v>
      </c>
      <c r="G3044" s="40">
        <v>2172</v>
      </c>
      <c r="H3044" s="41">
        <v>3801060</v>
      </c>
      <c r="I3044" s="41">
        <v>1824.5233005557932</v>
      </c>
      <c r="J3044" s="41">
        <v>1750.0276243093922</v>
      </c>
      <c r="K3044" s="42">
        <v>-4.0830213691273681E-2</v>
      </c>
    </row>
    <row r="3045" spans="1:11" x14ac:dyDescent="0.25">
      <c r="A3045" s="24" t="s">
        <v>7</v>
      </c>
      <c r="B3045" s="24" t="s">
        <v>14766</v>
      </c>
      <c r="C3045" s="25" t="s">
        <v>14767</v>
      </c>
      <c r="E3045" s="40">
        <v>221</v>
      </c>
      <c r="F3045" s="41">
        <v>797337</v>
      </c>
      <c r="G3045" s="40">
        <v>301</v>
      </c>
      <c r="H3045" s="41">
        <v>877899</v>
      </c>
      <c r="I3045" s="41">
        <v>3607.8597285067872</v>
      </c>
      <c r="J3045" s="41">
        <v>2916.607973421927</v>
      </c>
      <c r="K3045" s="42">
        <v>-0.19159607276942386</v>
      </c>
    </row>
    <row r="3046" spans="1:11" x14ac:dyDescent="0.25">
      <c r="A3046" s="24" t="s">
        <v>7</v>
      </c>
      <c r="B3046" s="24" t="s">
        <v>14769</v>
      </c>
      <c r="C3046" s="25" t="s">
        <v>14770</v>
      </c>
      <c r="E3046" s="40">
        <v>499</v>
      </c>
      <c r="F3046" s="41">
        <v>0</v>
      </c>
      <c r="G3046" s="40">
        <v>347</v>
      </c>
      <c r="H3046" s="41">
        <v>0</v>
      </c>
      <c r="I3046" s="41">
        <v>0</v>
      </c>
      <c r="J3046" s="41">
        <v>0</v>
      </c>
    </row>
    <row r="3047" spans="1:11" x14ac:dyDescent="0.25">
      <c r="A3047" s="24" t="s">
        <v>7</v>
      </c>
      <c r="B3047" s="24" t="s">
        <v>14773</v>
      </c>
      <c r="C3047" s="25" t="s">
        <v>14774</v>
      </c>
      <c r="D3047" s="24" t="s">
        <v>22227</v>
      </c>
      <c r="E3047" s="40">
        <v>660</v>
      </c>
      <c r="F3047" s="41">
        <v>491106</v>
      </c>
      <c r="G3047" s="40">
        <v>824</v>
      </c>
      <c r="H3047" s="41">
        <v>590648</v>
      </c>
      <c r="I3047" s="41">
        <v>744.1</v>
      </c>
      <c r="J3047" s="41">
        <v>716.80582524271847</v>
      </c>
      <c r="K3047" s="42">
        <v>-3.6680788546272748E-2</v>
      </c>
    </row>
    <row r="3048" spans="1:11" x14ac:dyDescent="0.25">
      <c r="A3048" s="24" t="s">
        <v>7</v>
      </c>
      <c r="B3048" s="24" t="s">
        <v>14775</v>
      </c>
      <c r="C3048" s="25" t="s">
        <v>14776</v>
      </c>
      <c r="D3048" s="24" t="s">
        <v>22228</v>
      </c>
      <c r="E3048" s="40">
        <v>397</v>
      </c>
      <c r="F3048" s="41">
        <v>7081863</v>
      </c>
      <c r="G3048" s="40">
        <v>367</v>
      </c>
      <c r="H3048" s="41">
        <v>6121153</v>
      </c>
      <c r="I3048" s="41">
        <v>17838.445843828715</v>
      </c>
      <c r="J3048" s="41">
        <v>16678.891008174385</v>
      </c>
      <c r="K3048" s="42">
        <v>-6.5003131203578604E-2</v>
      </c>
    </row>
    <row r="3049" spans="1:11" x14ac:dyDescent="0.25">
      <c r="A3049" s="24" t="s">
        <v>7</v>
      </c>
      <c r="B3049" s="24" t="s">
        <v>14778</v>
      </c>
      <c r="C3049" s="25" t="s">
        <v>14779</v>
      </c>
      <c r="D3049" s="24" t="s">
        <v>21103</v>
      </c>
      <c r="E3049" s="40">
        <v>2184</v>
      </c>
      <c r="F3049" s="41">
        <v>3298376</v>
      </c>
      <c r="G3049" s="40">
        <v>1836</v>
      </c>
      <c r="H3049" s="41">
        <v>2645564</v>
      </c>
      <c r="I3049" s="41">
        <v>1510.2454212454213</v>
      </c>
      <c r="J3049" s="41">
        <v>1440.9389978213508</v>
      </c>
      <c r="K3049" s="42">
        <v>-4.5890834992181016E-2</v>
      </c>
    </row>
    <row r="3050" spans="1:11" x14ac:dyDescent="0.25">
      <c r="A3050" s="24" t="s">
        <v>7</v>
      </c>
      <c r="B3050" s="24" t="s">
        <v>14780</v>
      </c>
      <c r="C3050" s="25" t="s">
        <v>14781</v>
      </c>
      <c r="D3050" s="24" t="s">
        <v>21105</v>
      </c>
      <c r="E3050" s="40">
        <v>9532</v>
      </c>
      <c r="F3050" s="41">
        <v>22332316</v>
      </c>
      <c r="G3050" s="40">
        <v>9082</v>
      </c>
      <c r="H3050" s="41">
        <v>20411828</v>
      </c>
      <c r="I3050" s="41">
        <v>2342.8783046579942</v>
      </c>
      <c r="J3050" s="41">
        <v>2247.5036335608897</v>
      </c>
      <c r="K3050" s="42">
        <v>-4.0708333380989239E-2</v>
      </c>
    </row>
    <row r="3051" spans="1:11" x14ac:dyDescent="0.25">
      <c r="A3051" s="24" t="s">
        <v>7</v>
      </c>
      <c r="B3051" s="24" t="s">
        <v>14783</v>
      </c>
      <c r="C3051" s="25" t="s">
        <v>14784</v>
      </c>
      <c r="D3051" s="24" t="s">
        <v>21107</v>
      </c>
      <c r="E3051" s="40">
        <v>10632</v>
      </c>
      <c r="F3051" s="41">
        <v>41522464</v>
      </c>
      <c r="G3051" s="40">
        <v>11114</v>
      </c>
      <c r="H3051" s="41">
        <v>41998989</v>
      </c>
      <c r="I3051" s="41">
        <v>3905.4236267870579</v>
      </c>
      <c r="J3051" s="41">
        <v>3778.9264891128305</v>
      </c>
      <c r="K3051" s="42">
        <v>-3.2390119424328609E-2</v>
      </c>
    </row>
    <row r="3052" spans="1:11" x14ac:dyDescent="0.25">
      <c r="A3052" s="24" t="s">
        <v>7</v>
      </c>
      <c r="B3052" s="24" t="s">
        <v>14785</v>
      </c>
      <c r="C3052" s="25" t="s">
        <v>14786</v>
      </c>
      <c r="D3052" s="24" t="s">
        <v>21109</v>
      </c>
      <c r="E3052" s="40">
        <v>21465</v>
      </c>
      <c r="F3052" s="41">
        <v>218209222</v>
      </c>
      <c r="G3052" s="40">
        <v>23634</v>
      </c>
      <c r="H3052" s="41">
        <v>221418540</v>
      </c>
      <c r="I3052" s="41">
        <v>10165.81514092709</v>
      </c>
      <c r="J3052" s="41">
        <v>9368.6443259710595</v>
      </c>
      <c r="K3052" s="42">
        <v>-7.8416812021955717E-2</v>
      </c>
    </row>
    <row r="3053" spans="1:11" x14ac:dyDescent="0.25">
      <c r="A3053" s="24" t="s">
        <v>7</v>
      </c>
      <c r="B3053" s="24" t="s">
        <v>14787</v>
      </c>
      <c r="C3053" s="25" t="s">
        <v>14788</v>
      </c>
      <c r="D3053" s="24" t="s">
        <v>22182</v>
      </c>
      <c r="E3053" s="40">
        <v>78</v>
      </c>
      <c r="F3053" s="41">
        <v>227004</v>
      </c>
      <c r="G3053" s="40">
        <v>95</v>
      </c>
      <c r="H3053" s="41">
        <v>248605</v>
      </c>
      <c r="I3053" s="41">
        <v>2910.3076923076924</v>
      </c>
      <c r="J3053" s="41">
        <v>2616.8947368421054</v>
      </c>
      <c r="K3053" s="42">
        <v>-0.10081853415056907</v>
      </c>
    </row>
    <row r="3054" spans="1:11" x14ac:dyDescent="0.25">
      <c r="A3054" s="24" t="s">
        <v>7</v>
      </c>
      <c r="B3054" s="24" t="s">
        <v>14793</v>
      </c>
      <c r="C3054" s="25" t="s">
        <v>214</v>
      </c>
      <c r="D3054" s="24" t="s">
        <v>21246</v>
      </c>
      <c r="E3054" s="40">
        <v>1877</v>
      </c>
      <c r="F3054" s="41">
        <v>2215434</v>
      </c>
      <c r="G3054" s="40">
        <v>1780</v>
      </c>
      <c r="H3054" s="41">
        <v>1982136</v>
      </c>
      <c r="I3054" s="41">
        <v>1180.3058071390517</v>
      </c>
      <c r="J3054" s="41">
        <v>1113.5595505617978</v>
      </c>
      <c r="K3054" s="42">
        <v>-5.6549968807694383E-2</v>
      </c>
    </row>
    <row r="3055" spans="1:11" x14ac:dyDescent="0.25">
      <c r="A3055" s="24" t="s">
        <v>7</v>
      </c>
      <c r="B3055" s="24" t="s">
        <v>14795</v>
      </c>
      <c r="C3055" s="25" t="s">
        <v>217</v>
      </c>
      <c r="D3055" s="24" t="s">
        <v>21247</v>
      </c>
      <c r="E3055" s="40">
        <v>10084</v>
      </c>
      <c r="F3055" s="41">
        <v>5591850</v>
      </c>
      <c r="G3055" s="40">
        <v>8657</v>
      </c>
      <c r="H3055" s="41">
        <v>4538772</v>
      </c>
      <c r="I3055" s="41">
        <v>554.52697342324473</v>
      </c>
      <c r="J3055" s="41">
        <v>524.28924569712376</v>
      </c>
      <c r="K3055" s="42">
        <v>-5.4528867260424337E-2</v>
      </c>
    </row>
    <row r="3056" spans="1:11" x14ac:dyDescent="0.25">
      <c r="A3056" s="24" t="s">
        <v>7</v>
      </c>
      <c r="B3056" s="24" t="s">
        <v>14796</v>
      </c>
      <c r="C3056" s="25" t="s">
        <v>220</v>
      </c>
      <c r="D3056" s="24" t="s">
        <v>21248</v>
      </c>
      <c r="E3056" s="40">
        <v>3289</v>
      </c>
      <c r="F3056" s="41">
        <v>4146405</v>
      </c>
      <c r="G3056" s="40">
        <v>4082</v>
      </c>
      <c r="H3056" s="41">
        <v>4790581</v>
      </c>
      <c r="I3056" s="41">
        <v>1260.6886591669199</v>
      </c>
      <c r="J3056" s="41">
        <v>1173.5867221950025</v>
      </c>
      <c r="K3056" s="42">
        <v>-6.9090759513515079E-2</v>
      </c>
    </row>
    <row r="3057" spans="1:11" x14ac:dyDescent="0.25">
      <c r="A3057" s="24" t="s">
        <v>7</v>
      </c>
      <c r="B3057" s="24" t="s">
        <v>14797</v>
      </c>
      <c r="C3057" s="25" t="s">
        <v>223</v>
      </c>
      <c r="D3057" s="24" t="s">
        <v>21249</v>
      </c>
      <c r="E3057" s="40">
        <v>1376</v>
      </c>
      <c r="F3057" s="41">
        <v>865360</v>
      </c>
      <c r="G3057" s="40">
        <v>1301</v>
      </c>
      <c r="H3057" s="41">
        <v>734222</v>
      </c>
      <c r="I3057" s="41">
        <v>628.89534883720933</v>
      </c>
      <c r="J3057" s="41">
        <v>564.35203689469643</v>
      </c>
      <c r="K3057" s="42">
        <v>-0.10262965382372394</v>
      </c>
    </row>
    <row r="3058" spans="1:11" x14ac:dyDescent="0.25">
      <c r="A3058" s="24" t="s">
        <v>7</v>
      </c>
      <c r="B3058" s="24" t="s">
        <v>14798</v>
      </c>
      <c r="C3058" s="25" t="s">
        <v>226</v>
      </c>
      <c r="D3058" s="24" t="s">
        <v>21250</v>
      </c>
      <c r="E3058" s="40">
        <v>228</v>
      </c>
      <c r="F3058" s="41">
        <v>143904</v>
      </c>
      <c r="G3058" s="40">
        <v>309</v>
      </c>
      <c r="H3058" s="41">
        <v>179028</v>
      </c>
      <c r="I3058" s="41">
        <v>631.15789473684208</v>
      </c>
      <c r="J3058" s="41">
        <v>579.37864077669906</v>
      </c>
      <c r="K3058" s="42">
        <v>-8.2038511110967105E-2</v>
      </c>
    </row>
    <row r="3059" spans="1:11" x14ac:dyDescent="0.25">
      <c r="A3059" s="24" t="s">
        <v>7</v>
      </c>
      <c r="B3059" s="24" t="s">
        <v>14799</v>
      </c>
      <c r="C3059" s="25" t="s">
        <v>229</v>
      </c>
      <c r="D3059" s="24" t="s">
        <v>21251</v>
      </c>
      <c r="E3059" s="40">
        <v>260</v>
      </c>
      <c r="F3059" s="41">
        <v>132522</v>
      </c>
      <c r="G3059" s="40">
        <v>273</v>
      </c>
      <c r="H3059" s="41">
        <v>126798</v>
      </c>
      <c r="I3059" s="41">
        <v>509.7</v>
      </c>
      <c r="J3059" s="41">
        <v>464.46153846153845</v>
      </c>
      <c r="K3059" s="42">
        <v>-8.8755074629118177E-2</v>
      </c>
    </row>
    <row r="3060" spans="1:11" x14ac:dyDescent="0.25">
      <c r="A3060" s="24" t="s">
        <v>7</v>
      </c>
      <c r="B3060" s="24" t="s">
        <v>14800</v>
      </c>
      <c r="C3060" s="25" t="s">
        <v>232</v>
      </c>
      <c r="D3060" s="24" t="s">
        <v>21252</v>
      </c>
      <c r="E3060" s="40">
        <v>7898</v>
      </c>
      <c r="F3060" s="41">
        <v>6002332</v>
      </c>
      <c r="G3060" s="40">
        <v>8415</v>
      </c>
      <c r="H3060" s="41">
        <v>6083801</v>
      </c>
      <c r="I3060" s="41">
        <v>759.98126107875407</v>
      </c>
      <c r="J3060" s="41">
        <v>722.97100415923944</v>
      </c>
      <c r="K3060" s="42">
        <v>-4.8698907216449636E-2</v>
      </c>
    </row>
    <row r="3061" spans="1:11" x14ac:dyDescent="0.25">
      <c r="A3061" s="24" t="s">
        <v>7</v>
      </c>
      <c r="B3061" s="24" t="s">
        <v>14801</v>
      </c>
      <c r="C3061" s="25" t="s">
        <v>235</v>
      </c>
      <c r="D3061" s="24" t="s">
        <v>21253</v>
      </c>
      <c r="E3061" s="40">
        <v>10050</v>
      </c>
      <c r="F3061" s="41">
        <v>6196163</v>
      </c>
      <c r="G3061" s="40">
        <v>10591</v>
      </c>
      <c r="H3061" s="41">
        <v>5862821</v>
      </c>
      <c r="I3061" s="41">
        <v>616.53363184079603</v>
      </c>
      <c r="J3061" s="41">
        <v>553.56632990274761</v>
      </c>
      <c r="K3061" s="42">
        <v>-0.10213117125507941</v>
      </c>
    </row>
    <row r="3062" spans="1:11" x14ac:dyDescent="0.25">
      <c r="A3062" s="24" t="s">
        <v>7</v>
      </c>
      <c r="B3062" s="24" t="s">
        <v>14802</v>
      </c>
      <c r="C3062" s="25" t="s">
        <v>238</v>
      </c>
      <c r="D3062" s="24" t="s">
        <v>21254</v>
      </c>
      <c r="E3062" s="40">
        <v>1630</v>
      </c>
      <c r="F3062" s="41">
        <v>542180</v>
      </c>
      <c r="G3062" s="40">
        <v>1728</v>
      </c>
      <c r="H3062" s="41">
        <v>563328</v>
      </c>
      <c r="I3062" s="41">
        <v>332.62576687116564</v>
      </c>
      <c r="J3062" s="41">
        <v>326</v>
      </c>
      <c r="K3062" s="42">
        <v>-1.991958390202514E-2</v>
      </c>
    </row>
    <row r="3063" spans="1:11" x14ac:dyDescent="0.25">
      <c r="A3063" s="24" t="s">
        <v>7</v>
      </c>
      <c r="B3063" s="24" t="s">
        <v>14809</v>
      </c>
      <c r="C3063" s="25" t="s">
        <v>241</v>
      </c>
      <c r="D3063" s="24" t="s">
        <v>21255</v>
      </c>
      <c r="E3063" s="40">
        <v>3938</v>
      </c>
      <c r="F3063" s="41">
        <v>3824108</v>
      </c>
      <c r="G3063" s="40">
        <v>5130</v>
      </c>
      <c r="H3063" s="41">
        <v>4316094</v>
      </c>
      <c r="I3063" s="41">
        <v>971.07872016251906</v>
      </c>
      <c r="J3063" s="41">
        <v>841.34385964912281</v>
      </c>
      <c r="K3063" s="42">
        <v>-0.13359870607779761</v>
      </c>
    </row>
    <row r="3064" spans="1:11" x14ac:dyDescent="0.25">
      <c r="A3064" s="24" t="s">
        <v>7</v>
      </c>
      <c r="B3064" s="24" t="s">
        <v>14810</v>
      </c>
      <c r="C3064" s="25" t="s">
        <v>14811</v>
      </c>
      <c r="D3064" s="24" t="s">
        <v>21503</v>
      </c>
      <c r="E3064" s="40">
        <v>11</v>
      </c>
      <c r="F3064" s="41">
        <v>36886</v>
      </c>
      <c r="G3064" s="40">
        <v>10</v>
      </c>
      <c r="H3064" s="41">
        <v>30882</v>
      </c>
      <c r="I3064" s="41">
        <v>3353.2727272727275</v>
      </c>
      <c r="J3064" s="41">
        <v>3088.2</v>
      </c>
      <c r="K3064" s="42">
        <v>-7.9048961665672726E-2</v>
      </c>
    </row>
    <row r="3065" spans="1:11" x14ac:dyDescent="0.25">
      <c r="A3065" s="24" t="s">
        <v>7</v>
      </c>
      <c r="B3065" s="24" t="s">
        <v>14819</v>
      </c>
      <c r="C3065" s="25" t="s">
        <v>14820</v>
      </c>
      <c r="D3065" s="24" t="s">
        <v>22229</v>
      </c>
      <c r="E3065" s="40">
        <v>546</v>
      </c>
      <c r="F3065" s="41">
        <v>3956379</v>
      </c>
      <c r="G3065" s="40">
        <v>390</v>
      </c>
      <c r="H3065" s="41">
        <v>2692480</v>
      </c>
      <c r="I3065" s="41">
        <v>7246.1153846153848</v>
      </c>
      <c r="J3065" s="41">
        <v>6903.7948717948721</v>
      </c>
      <c r="K3065" s="42">
        <v>-4.7241935112889828E-2</v>
      </c>
    </row>
    <row r="3066" spans="1:11" x14ac:dyDescent="0.25">
      <c r="A3066" s="24" t="s">
        <v>7</v>
      </c>
      <c r="B3066" s="24" t="s">
        <v>14822</v>
      </c>
      <c r="C3066" s="25" t="s">
        <v>202</v>
      </c>
      <c r="D3066" s="24" t="s">
        <v>21244</v>
      </c>
      <c r="E3066" s="40">
        <v>387</v>
      </c>
      <c r="F3066" s="41">
        <v>181251</v>
      </c>
      <c r="G3066" s="40">
        <v>533</v>
      </c>
      <c r="H3066" s="41">
        <v>214961</v>
      </c>
      <c r="I3066" s="41">
        <v>468.3488372093023</v>
      </c>
      <c r="J3066" s="41">
        <v>403.30393996247653</v>
      </c>
      <c r="K3066" s="42">
        <v>-0.13888130401775203</v>
      </c>
    </row>
    <row r="3067" spans="1:11" x14ac:dyDescent="0.25">
      <c r="A3067" s="24" t="s">
        <v>7</v>
      </c>
      <c r="B3067" s="24" t="s">
        <v>14823</v>
      </c>
      <c r="C3067" s="25" t="s">
        <v>205</v>
      </c>
      <c r="D3067" s="24" t="s">
        <v>21258</v>
      </c>
      <c r="E3067" s="40">
        <v>78</v>
      </c>
      <c r="F3067" s="41">
        <v>17484</v>
      </c>
      <c r="G3067" s="40">
        <v>29</v>
      </c>
      <c r="H3067" s="41">
        <v>5540</v>
      </c>
      <c r="I3067" s="41">
        <v>224.15384615384616</v>
      </c>
      <c r="J3067" s="41">
        <v>191.0344827586207</v>
      </c>
      <c r="K3067" s="42">
        <v>-0.14775282228480818</v>
      </c>
    </row>
    <row r="3068" spans="1:11" x14ac:dyDescent="0.25">
      <c r="A3068" s="24" t="s">
        <v>7</v>
      </c>
      <c r="B3068" s="24" t="s">
        <v>14824</v>
      </c>
      <c r="C3068" s="25" t="s">
        <v>14825</v>
      </c>
      <c r="D3068" s="24" t="s">
        <v>22230</v>
      </c>
      <c r="G3068" s="40">
        <v>2</v>
      </c>
      <c r="H3068" s="41">
        <v>1434</v>
      </c>
      <c r="J3068" s="41">
        <v>717</v>
      </c>
    </row>
    <row r="3069" spans="1:11" x14ac:dyDescent="0.25">
      <c r="A3069" s="24" t="s">
        <v>7</v>
      </c>
      <c r="B3069" s="24" t="s">
        <v>14826</v>
      </c>
      <c r="C3069" s="25" t="s">
        <v>5282</v>
      </c>
      <c r="D3069" s="24" t="s">
        <v>21560</v>
      </c>
      <c r="E3069" s="40">
        <v>103</v>
      </c>
      <c r="F3069" s="41">
        <v>63469</v>
      </c>
      <c r="G3069" s="40">
        <v>132</v>
      </c>
      <c r="H3069" s="41">
        <v>74196</v>
      </c>
      <c r="I3069" s="41">
        <v>616.20388349514565</v>
      </c>
      <c r="J3069" s="41">
        <v>562.09090909090912</v>
      </c>
      <c r="K3069" s="42">
        <v>-8.7816672133425172E-2</v>
      </c>
    </row>
    <row r="3070" spans="1:11" x14ac:dyDescent="0.25">
      <c r="A3070" s="24" t="s">
        <v>7</v>
      </c>
      <c r="B3070" s="24" t="s">
        <v>14827</v>
      </c>
      <c r="C3070" s="25" t="s">
        <v>5285</v>
      </c>
      <c r="D3070" s="24" t="s">
        <v>21561</v>
      </c>
      <c r="E3070" s="40">
        <v>6</v>
      </c>
      <c r="F3070" s="41">
        <v>2208</v>
      </c>
      <c r="G3070" s="40">
        <v>12</v>
      </c>
      <c r="H3070" s="41">
        <v>4416</v>
      </c>
      <c r="I3070" s="41">
        <v>368</v>
      </c>
      <c r="J3070" s="41">
        <v>368</v>
      </c>
      <c r="K3070" s="42">
        <v>0</v>
      </c>
    </row>
    <row r="3071" spans="1:11" x14ac:dyDescent="0.25">
      <c r="A3071" s="24" t="s">
        <v>7</v>
      </c>
      <c r="B3071" s="24" t="s">
        <v>14831</v>
      </c>
      <c r="C3071" s="25" t="s">
        <v>14832</v>
      </c>
      <c r="G3071" s="40">
        <v>50</v>
      </c>
      <c r="H3071" s="41">
        <v>98200</v>
      </c>
      <c r="J3071" s="41">
        <v>1964</v>
      </c>
    </row>
    <row r="3072" spans="1:11" x14ac:dyDescent="0.25">
      <c r="A3072" s="24" t="s">
        <v>7</v>
      </c>
      <c r="B3072" s="24" t="s">
        <v>14834</v>
      </c>
      <c r="C3072" s="25" t="s">
        <v>14835</v>
      </c>
      <c r="G3072" s="40">
        <v>7</v>
      </c>
      <c r="H3072" s="41">
        <v>21826</v>
      </c>
      <c r="J3072" s="41">
        <v>3118</v>
      </c>
    </row>
    <row r="3073" spans="1:11" x14ac:dyDescent="0.25">
      <c r="A3073" s="24" t="s">
        <v>7</v>
      </c>
      <c r="B3073" s="24" t="s">
        <v>14840</v>
      </c>
      <c r="C3073" s="25" t="s">
        <v>14841</v>
      </c>
      <c r="G3073" s="40">
        <v>9</v>
      </c>
      <c r="H3073" s="41">
        <v>57168</v>
      </c>
      <c r="J3073" s="41">
        <v>6352</v>
      </c>
    </row>
    <row r="3074" spans="1:11" x14ac:dyDescent="0.25">
      <c r="A3074" s="24" t="s">
        <v>7</v>
      </c>
      <c r="B3074" s="24" t="s">
        <v>14843</v>
      </c>
      <c r="C3074" s="25" t="s">
        <v>14844</v>
      </c>
      <c r="G3074" s="40">
        <v>11</v>
      </c>
      <c r="H3074" s="41">
        <v>91476</v>
      </c>
      <c r="J3074" s="41">
        <v>8316</v>
      </c>
    </row>
    <row r="3075" spans="1:11" x14ac:dyDescent="0.25">
      <c r="A3075" s="24" t="s">
        <v>7</v>
      </c>
      <c r="B3075" s="24" t="s">
        <v>14855</v>
      </c>
      <c r="C3075" s="25" t="s">
        <v>202</v>
      </c>
      <c r="D3075" s="24" t="s">
        <v>21244</v>
      </c>
      <c r="E3075" s="40">
        <v>10</v>
      </c>
      <c r="F3075" s="41">
        <v>4565</v>
      </c>
      <c r="G3075" s="40">
        <v>5</v>
      </c>
      <c r="H3075" s="41">
        <v>1943</v>
      </c>
      <c r="I3075" s="41">
        <v>456.5</v>
      </c>
      <c r="J3075" s="41">
        <v>388.6</v>
      </c>
      <c r="K3075" s="42">
        <v>-0.14874041621029568</v>
      </c>
    </row>
    <row r="3076" spans="1:11" x14ac:dyDescent="0.25">
      <c r="A3076" s="24" t="s">
        <v>7</v>
      </c>
      <c r="B3076" s="24" t="s">
        <v>14857</v>
      </c>
      <c r="C3076" s="25" t="s">
        <v>214</v>
      </c>
      <c r="D3076" s="24" t="s">
        <v>21246</v>
      </c>
      <c r="G3076" s="40">
        <v>36</v>
      </c>
      <c r="H3076" s="41">
        <v>39953</v>
      </c>
      <c r="J3076" s="41">
        <v>1109.8055555555557</v>
      </c>
    </row>
    <row r="3077" spans="1:11" x14ac:dyDescent="0.25">
      <c r="A3077" s="24" t="s">
        <v>7</v>
      </c>
      <c r="B3077" s="24" t="s">
        <v>14858</v>
      </c>
      <c r="C3077" s="25" t="s">
        <v>217</v>
      </c>
      <c r="D3077" s="24" t="s">
        <v>21247</v>
      </c>
      <c r="G3077" s="40">
        <v>90</v>
      </c>
      <c r="H3077" s="41">
        <v>49916</v>
      </c>
      <c r="J3077" s="41">
        <v>554.62222222222226</v>
      </c>
    </row>
    <row r="3078" spans="1:11" x14ac:dyDescent="0.25">
      <c r="A3078" s="24" t="s">
        <v>7</v>
      </c>
      <c r="B3078" s="24" t="s">
        <v>14859</v>
      </c>
      <c r="C3078" s="25" t="s">
        <v>220</v>
      </c>
      <c r="D3078" s="24" t="s">
        <v>21248</v>
      </c>
      <c r="G3078" s="40">
        <v>9</v>
      </c>
      <c r="H3078" s="41">
        <v>11556</v>
      </c>
      <c r="J3078" s="41">
        <v>1284</v>
      </c>
    </row>
    <row r="3079" spans="1:11" x14ac:dyDescent="0.25">
      <c r="A3079" s="24" t="s">
        <v>7</v>
      </c>
      <c r="B3079" s="24" t="s">
        <v>14863</v>
      </c>
      <c r="C3079" s="25" t="s">
        <v>241</v>
      </c>
      <c r="D3079" s="24" t="s">
        <v>21255</v>
      </c>
      <c r="G3079" s="40">
        <v>97</v>
      </c>
      <c r="H3079" s="41">
        <v>85712</v>
      </c>
      <c r="J3079" s="41">
        <v>883.62886597938143</v>
      </c>
    </row>
    <row r="3080" spans="1:11" x14ac:dyDescent="0.25">
      <c r="A3080" s="24" t="s">
        <v>7</v>
      </c>
      <c r="B3080" s="24" t="s">
        <v>14864</v>
      </c>
      <c r="C3080" s="25" t="s">
        <v>232</v>
      </c>
      <c r="D3080" s="24" t="s">
        <v>21252</v>
      </c>
      <c r="G3080" s="40">
        <v>40</v>
      </c>
      <c r="H3080" s="41">
        <v>29237</v>
      </c>
      <c r="J3080" s="41">
        <v>730.92499999999995</v>
      </c>
    </row>
    <row r="3081" spans="1:11" x14ac:dyDescent="0.25">
      <c r="A3081" s="24" t="s">
        <v>7</v>
      </c>
      <c r="B3081" s="24" t="s">
        <v>14865</v>
      </c>
      <c r="C3081" s="25" t="s">
        <v>235</v>
      </c>
      <c r="D3081" s="24" t="s">
        <v>21253</v>
      </c>
      <c r="G3081" s="40">
        <v>13</v>
      </c>
      <c r="H3081" s="41">
        <v>7291</v>
      </c>
      <c r="J3081" s="41">
        <v>560.84615384615381</v>
      </c>
    </row>
    <row r="3082" spans="1:11" x14ac:dyDescent="0.25">
      <c r="A3082" s="24" t="s">
        <v>7</v>
      </c>
      <c r="B3082" s="24" t="s">
        <v>14866</v>
      </c>
      <c r="C3082" s="25" t="s">
        <v>238</v>
      </c>
      <c r="D3082" s="24" t="s">
        <v>21254</v>
      </c>
      <c r="G3082" s="40">
        <v>8</v>
      </c>
      <c r="H3082" s="41">
        <v>1576</v>
      </c>
      <c r="J3082" s="41">
        <v>197</v>
      </c>
    </row>
    <row r="3083" spans="1:11" x14ac:dyDescent="0.25">
      <c r="A3083" s="24" t="s">
        <v>7</v>
      </c>
      <c r="B3083" s="24" t="s">
        <v>14867</v>
      </c>
      <c r="C3083" s="25" t="s">
        <v>14761</v>
      </c>
      <c r="G3083" s="40">
        <v>1</v>
      </c>
      <c r="H3083" s="41">
        <v>1122</v>
      </c>
      <c r="J3083" s="41">
        <v>1122</v>
      </c>
    </row>
    <row r="3084" spans="1:11" x14ac:dyDescent="0.25">
      <c r="A3084" s="24" t="s">
        <v>7</v>
      </c>
      <c r="B3084" s="24" t="s">
        <v>14871</v>
      </c>
      <c r="C3084" s="25" t="s">
        <v>196</v>
      </c>
      <c r="D3084" s="24" t="s">
        <v>21243</v>
      </c>
      <c r="G3084" s="40">
        <v>10</v>
      </c>
      <c r="H3084" s="41">
        <v>22060</v>
      </c>
      <c r="J3084" s="41">
        <v>2206</v>
      </c>
    </row>
    <row r="3085" spans="1:11" x14ac:dyDescent="0.25">
      <c r="A3085" s="24" t="s">
        <v>7</v>
      </c>
      <c r="B3085" s="24" t="s">
        <v>14872</v>
      </c>
      <c r="C3085" s="25" t="s">
        <v>14873</v>
      </c>
      <c r="D3085" s="24" t="s">
        <v>22227</v>
      </c>
      <c r="E3085" s="40">
        <v>13</v>
      </c>
      <c r="F3085" s="41">
        <v>9888</v>
      </c>
      <c r="G3085" s="40">
        <v>19</v>
      </c>
      <c r="H3085" s="41">
        <v>14243</v>
      </c>
      <c r="I3085" s="41">
        <v>760.61538461538464</v>
      </c>
      <c r="J3085" s="41">
        <v>749.63157894736844</v>
      </c>
      <c r="K3085" s="42">
        <v>-1.4440683018225185E-2</v>
      </c>
    </row>
    <row r="3086" spans="1:11" x14ac:dyDescent="0.25">
      <c r="A3086" s="24" t="s">
        <v>7</v>
      </c>
      <c r="B3086" s="24" t="s">
        <v>14875</v>
      </c>
      <c r="C3086" s="25" t="s">
        <v>14876</v>
      </c>
      <c r="D3086" s="24" t="s">
        <v>21103</v>
      </c>
      <c r="E3086" s="40">
        <v>300</v>
      </c>
      <c r="F3086" s="41">
        <v>452165</v>
      </c>
      <c r="G3086" s="40">
        <v>605</v>
      </c>
      <c r="H3086" s="41">
        <v>879485</v>
      </c>
      <c r="I3086" s="41">
        <v>1507.2166666666667</v>
      </c>
      <c r="J3086" s="41">
        <v>1453.6942148760331</v>
      </c>
      <c r="K3086" s="42">
        <v>-3.5510788179514273E-2</v>
      </c>
    </row>
    <row r="3087" spans="1:11" x14ac:dyDescent="0.25">
      <c r="A3087" s="24" t="s">
        <v>7</v>
      </c>
      <c r="B3087" s="24" t="s">
        <v>14877</v>
      </c>
      <c r="C3087" s="25" t="s">
        <v>14878</v>
      </c>
      <c r="D3087" s="24" t="s">
        <v>21105</v>
      </c>
      <c r="E3087" s="40">
        <v>437</v>
      </c>
      <c r="F3087" s="41">
        <v>1023864</v>
      </c>
      <c r="G3087" s="40">
        <v>350</v>
      </c>
      <c r="H3087" s="41">
        <v>786268</v>
      </c>
      <c r="I3087" s="41">
        <v>2342.9382151029749</v>
      </c>
      <c r="J3087" s="41">
        <v>2246.48</v>
      </c>
      <c r="K3087" s="42">
        <v>-4.1169764734378819E-2</v>
      </c>
    </row>
    <row r="3088" spans="1:11" x14ac:dyDescent="0.25">
      <c r="A3088" s="24" t="s">
        <v>7</v>
      </c>
      <c r="B3088" s="24" t="s">
        <v>14879</v>
      </c>
      <c r="C3088" s="25" t="s">
        <v>14880</v>
      </c>
      <c r="D3088" s="24" t="s">
        <v>21107</v>
      </c>
      <c r="E3088" s="40">
        <v>1267</v>
      </c>
      <c r="F3088" s="41">
        <v>4942283</v>
      </c>
      <c r="G3088" s="40">
        <v>576</v>
      </c>
      <c r="H3088" s="41">
        <v>2187701</v>
      </c>
      <c r="I3088" s="41">
        <v>3900.7758484609312</v>
      </c>
      <c r="J3088" s="41">
        <v>3798.0920138888887</v>
      </c>
      <c r="K3088" s="42">
        <v>-2.6323951583261805E-2</v>
      </c>
    </row>
    <row r="3089" spans="1:11" x14ac:dyDescent="0.25">
      <c r="A3089" s="24" t="s">
        <v>7</v>
      </c>
      <c r="B3089" s="24" t="s">
        <v>14881</v>
      </c>
      <c r="C3089" s="25" t="s">
        <v>14882</v>
      </c>
      <c r="D3089" s="24" t="s">
        <v>21109</v>
      </c>
      <c r="E3089" s="40">
        <v>51</v>
      </c>
      <c r="F3089" s="41">
        <v>521108</v>
      </c>
      <c r="G3089" s="40">
        <v>694</v>
      </c>
      <c r="H3089" s="41">
        <v>6609995</v>
      </c>
      <c r="I3089" s="41">
        <v>10217.803921568628</v>
      </c>
      <c r="J3089" s="41">
        <v>9524.4884726224791</v>
      </c>
      <c r="K3089" s="42">
        <v>-6.7853665451794207E-2</v>
      </c>
    </row>
    <row r="3090" spans="1:11" x14ac:dyDescent="0.25">
      <c r="A3090" s="24" t="s">
        <v>7</v>
      </c>
      <c r="B3090" s="24" t="s">
        <v>14896</v>
      </c>
      <c r="C3090" s="25" t="s">
        <v>14897</v>
      </c>
      <c r="D3090" s="24" t="s">
        <v>22231</v>
      </c>
      <c r="G3090" s="40">
        <v>4</v>
      </c>
      <c r="H3090" s="41">
        <v>3820</v>
      </c>
      <c r="J3090" s="41">
        <v>955</v>
      </c>
    </row>
    <row r="3091" spans="1:11" x14ac:dyDescent="0.25">
      <c r="A3091" s="24" t="s">
        <v>7</v>
      </c>
      <c r="B3091" s="24" t="s">
        <v>14899</v>
      </c>
      <c r="C3091" s="25" t="s">
        <v>14900</v>
      </c>
      <c r="D3091" s="24" t="s">
        <v>22232</v>
      </c>
      <c r="G3091" s="40">
        <v>13</v>
      </c>
      <c r="H3091" s="41">
        <v>10090</v>
      </c>
      <c r="J3091" s="41">
        <v>776.15384615384619</v>
      </c>
    </row>
    <row r="3092" spans="1:11" x14ac:dyDescent="0.25">
      <c r="A3092" s="24" t="s">
        <v>7</v>
      </c>
      <c r="B3092" s="24" t="s">
        <v>14902</v>
      </c>
      <c r="C3092" s="25" t="s">
        <v>14903</v>
      </c>
      <c r="D3092" s="24" t="s">
        <v>21111</v>
      </c>
      <c r="G3092" s="40">
        <v>3</v>
      </c>
      <c r="H3092" s="41">
        <v>2865</v>
      </c>
      <c r="J3092" s="41">
        <v>955</v>
      </c>
    </row>
    <row r="3093" spans="1:11" x14ac:dyDescent="0.25">
      <c r="A3093" s="24" t="s">
        <v>7</v>
      </c>
      <c r="B3093" s="24" t="s">
        <v>14914</v>
      </c>
      <c r="C3093" s="25" t="s">
        <v>14915</v>
      </c>
      <c r="D3093" s="24" t="s">
        <v>22233</v>
      </c>
      <c r="G3093" s="40">
        <v>3</v>
      </c>
      <c r="H3093" s="41">
        <v>1658</v>
      </c>
      <c r="J3093" s="41">
        <v>552.66666666666663</v>
      </c>
    </row>
    <row r="3094" spans="1:11" x14ac:dyDescent="0.25">
      <c r="A3094" s="24" t="s">
        <v>7</v>
      </c>
      <c r="B3094" s="24" t="s">
        <v>14922</v>
      </c>
      <c r="C3094" s="25" t="s">
        <v>14923</v>
      </c>
      <c r="D3094" s="24" t="s">
        <v>22234</v>
      </c>
      <c r="E3094" s="40">
        <v>359</v>
      </c>
      <c r="F3094" s="41">
        <v>136697</v>
      </c>
      <c r="G3094" s="40">
        <v>163</v>
      </c>
      <c r="H3094" s="41">
        <v>66740</v>
      </c>
      <c r="I3094" s="41">
        <v>380.7715877437326</v>
      </c>
      <c r="J3094" s="41">
        <v>409.44785276073617</v>
      </c>
      <c r="K3094" s="42">
        <v>7.531093689769551E-2</v>
      </c>
    </row>
    <row r="3095" spans="1:11" x14ac:dyDescent="0.25">
      <c r="A3095" s="24" t="s">
        <v>7</v>
      </c>
      <c r="B3095" s="24" t="s">
        <v>14925</v>
      </c>
      <c r="C3095" s="25" t="s">
        <v>14926</v>
      </c>
      <c r="D3095" s="24" t="s">
        <v>22234</v>
      </c>
      <c r="E3095" s="40">
        <v>16672</v>
      </c>
      <c r="F3095" s="41">
        <v>3327483</v>
      </c>
      <c r="G3095" s="40">
        <v>19746</v>
      </c>
      <c r="H3095" s="41">
        <v>4973456</v>
      </c>
      <c r="I3095" s="41">
        <v>199.58511276391556</v>
      </c>
      <c r="J3095" s="41">
        <v>251.87156892535197</v>
      </c>
      <c r="K3095" s="42">
        <v>0.26197573274558206</v>
      </c>
    </row>
    <row r="3096" spans="1:11" x14ac:dyDescent="0.25">
      <c r="A3096" s="24" t="s">
        <v>7</v>
      </c>
      <c r="B3096" s="24" t="s">
        <v>14931</v>
      </c>
      <c r="C3096" s="25" t="s">
        <v>14932</v>
      </c>
      <c r="D3096" s="24" t="s">
        <v>22234</v>
      </c>
      <c r="E3096" s="40">
        <v>3890</v>
      </c>
      <c r="F3096" s="41">
        <v>1195335</v>
      </c>
      <c r="G3096" s="40">
        <v>4528</v>
      </c>
      <c r="H3096" s="41">
        <v>1573195</v>
      </c>
      <c r="I3096" s="41">
        <v>307.28406169665811</v>
      </c>
      <c r="J3096" s="41">
        <v>347.43705830388694</v>
      </c>
      <c r="K3096" s="42">
        <v>0.13067061267520833</v>
      </c>
    </row>
    <row r="3097" spans="1:11" x14ac:dyDescent="0.25">
      <c r="A3097" s="24" t="s">
        <v>7</v>
      </c>
      <c r="B3097" s="24" t="s">
        <v>14934</v>
      </c>
      <c r="C3097" s="25" t="s">
        <v>14935</v>
      </c>
      <c r="D3097" s="24" t="s">
        <v>22234</v>
      </c>
      <c r="E3097" s="40">
        <v>21416</v>
      </c>
      <c r="F3097" s="41">
        <v>4236223</v>
      </c>
      <c r="G3097" s="40">
        <v>17335</v>
      </c>
      <c r="H3097" s="41">
        <v>4342436</v>
      </c>
      <c r="I3097" s="41">
        <v>197.80645311916325</v>
      </c>
      <c r="J3097" s="41">
        <v>250.50106720507642</v>
      </c>
      <c r="K3097" s="42">
        <v>0.26639481804048476</v>
      </c>
    </row>
    <row r="3098" spans="1:11" x14ac:dyDescent="0.25">
      <c r="A3098" s="24" t="s">
        <v>7</v>
      </c>
      <c r="B3098" s="24" t="s">
        <v>14937</v>
      </c>
      <c r="C3098" s="25" t="s">
        <v>14938</v>
      </c>
      <c r="D3098" s="24" t="s">
        <v>22234</v>
      </c>
      <c r="E3098" s="40">
        <v>11329</v>
      </c>
      <c r="F3098" s="41">
        <v>1829001</v>
      </c>
      <c r="G3098" s="40">
        <v>7923</v>
      </c>
      <c r="H3098" s="41">
        <v>1711930</v>
      </c>
      <c r="I3098" s="41">
        <v>161.44416982964074</v>
      </c>
      <c r="J3098" s="41">
        <v>216.0709327275022</v>
      </c>
      <c r="K3098" s="42">
        <v>0.33836318125024123</v>
      </c>
    </row>
    <row r="3099" spans="1:11" x14ac:dyDescent="0.25">
      <c r="A3099" s="24" t="s">
        <v>7</v>
      </c>
      <c r="B3099" s="24" t="s">
        <v>14940</v>
      </c>
      <c r="C3099" s="25" t="s">
        <v>14941</v>
      </c>
      <c r="D3099" s="24" t="s">
        <v>22234</v>
      </c>
      <c r="E3099" s="40">
        <v>15079</v>
      </c>
      <c r="F3099" s="41">
        <v>3246324</v>
      </c>
      <c r="G3099" s="40">
        <v>15803</v>
      </c>
      <c r="H3099" s="41">
        <v>4268000</v>
      </c>
      <c r="I3099" s="41">
        <v>215.28775117713377</v>
      </c>
      <c r="J3099" s="41">
        <v>270.07530215781816</v>
      </c>
      <c r="K3099" s="42">
        <v>0.25448522120334871</v>
      </c>
    </row>
    <row r="3100" spans="1:11" x14ac:dyDescent="0.25">
      <c r="A3100" s="24" t="s">
        <v>7</v>
      </c>
      <c r="B3100" s="24" t="s">
        <v>14943</v>
      </c>
      <c r="C3100" s="25" t="s">
        <v>14944</v>
      </c>
      <c r="D3100" s="24" t="s">
        <v>22234</v>
      </c>
      <c r="E3100" s="40">
        <v>1570</v>
      </c>
      <c r="F3100" s="41">
        <v>305495</v>
      </c>
      <c r="G3100" s="40">
        <v>1663</v>
      </c>
      <c r="H3100" s="41">
        <v>449150</v>
      </c>
      <c r="I3100" s="41">
        <v>194.58280254777071</v>
      </c>
      <c r="J3100" s="41">
        <v>270.08418520745641</v>
      </c>
      <c r="K3100" s="42">
        <v>0.38801672949052046</v>
      </c>
    </row>
    <row r="3101" spans="1:11" x14ac:dyDescent="0.25">
      <c r="A3101" s="24" t="s">
        <v>7</v>
      </c>
      <c r="B3101" s="24" t="s">
        <v>14946</v>
      </c>
      <c r="C3101" s="25" t="s">
        <v>14947</v>
      </c>
      <c r="D3101" s="24" t="s">
        <v>22234</v>
      </c>
      <c r="E3101" s="40">
        <v>17586</v>
      </c>
      <c r="F3101" s="41">
        <v>3476193</v>
      </c>
      <c r="G3101" s="40">
        <v>16138</v>
      </c>
      <c r="H3101" s="41">
        <v>4010613</v>
      </c>
      <c r="I3101" s="41">
        <v>197.66820197884681</v>
      </c>
      <c r="J3101" s="41">
        <v>248.51982897508984</v>
      </c>
      <c r="K3101" s="42">
        <v>0.25725749760037198</v>
      </c>
    </row>
    <row r="3102" spans="1:11" x14ac:dyDescent="0.25">
      <c r="A3102" s="24" t="s">
        <v>7</v>
      </c>
      <c r="B3102" s="24" t="s">
        <v>14949</v>
      </c>
      <c r="C3102" s="25" t="s">
        <v>14950</v>
      </c>
      <c r="D3102" s="24" t="s">
        <v>22234</v>
      </c>
      <c r="E3102" s="40">
        <v>97</v>
      </c>
      <c r="F3102" s="41">
        <v>15945</v>
      </c>
      <c r="G3102" s="40">
        <v>18</v>
      </c>
      <c r="H3102" s="41">
        <v>2970</v>
      </c>
      <c r="I3102" s="41">
        <v>164.38144329896906</v>
      </c>
      <c r="J3102" s="41">
        <v>165</v>
      </c>
      <c r="K3102" s="42">
        <v>3.7629350893697818E-3</v>
      </c>
    </row>
    <row r="3103" spans="1:11" x14ac:dyDescent="0.25">
      <c r="A3103" s="24" t="s">
        <v>7</v>
      </c>
      <c r="B3103" s="24" t="s">
        <v>14952</v>
      </c>
      <c r="C3103" s="25" t="s">
        <v>190</v>
      </c>
      <c r="D3103" s="24" t="s">
        <v>21241</v>
      </c>
      <c r="E3103" s="40">
        <v>182</v>
      </c>
      <c r="F3103" s="41">
        <v>43826</v>
      </c>
      <c r="G3103" s="40">
        <v>192</v>
      </c>
      <c r="H3103" s="41">
        <v>45442</v>
      </c>
      <c r="I3103" s="41">
        <v>240.80219780219781</v>
      </c>
      <c r="J3103" s="41">
        <v>236.67708333333334</v>
      </c>
      <c r="K3103" s="42">
        <v>-1.7130717686609159E-2</v>
      </c>
    </row>
    <row r="3104" spans="1:11" x14ac:dyDescent="0.25">
      <c r="A3104" s="24" t="s">
        <v>7</v>
      </c>
      <c r="B3104" s="24" t="s">
        <v>14953</v>
      </c>
      <c r="C3104" s="25" t="s">
        <v>14757</v>
      </c>
      <c r="D3104" s="24" t="s">
        <v>22235</v>
      </c>
      <c r="E3104" s="40">
        <v>32</v>
      </c>
      <c r="F3104" s="41">
        <v>7254</v>
      </c>
      <c r="G3104" s="40">
        <v>25</v>
      </c>
      <c r="H3104" s="41">
        <v>5329</v>
      </c>
      <c r="I3104" s="41">
        <v>226.6875</v>
      </c>
      <c r="J3104" s="41">
        <v>213.16</v>
      </c>
      <c r="K3104" s="42">
        <v>-5.9674662255307431E-2</v>
      </c>
    </row>
    <row r="3105" spans="1:11" x14ac:dyDescent="0.25">
      <c r="A3105" s="24" t="s">
        <v>7</v>
      </c>
      <c r="B3105" s="24" t="s">
        <v>14954</v>
      </c>
      <c r="C3105" s="25" t="s">
        <v>312</v>
      </c>
      <c r="D3105" s="24" t="s">
        <v>21257</v>
      </c>
      <c r="E3105" s="40">
        <v>1346</v>
      </c>
      <c r="F3105" s="41">
        <v>340897</v>
      </c>
      <c r="G3105" s="40">
        <v>1243</v>
      </c>
      <c r="H3105" s="41">
        <v>287475</v>
      </c>
      <c r="I3105" s="41">
        <v>253.26671619613671</v>
      </c>
      <c r="J3105" s="41">
        <v>231.27514078841511</v>
      </c>
      <c r="K3105" s="42">
        <v>-8.6831683760177622E-2</v>
      </c>
    </row>
    <row r="3106" spans="1:11" x14ac:dyDescent="0.25">
      <c r="A3106" s="24" t="s">
        <v>7</v>
      </c>
      <c r="B3106" s="24" t="s">
        <v>14956</v>
      </c>
      <c r="C3106" s="25" t="s">
        <v>14957</v>
      </c>
      <c r="E3106" s="40">
        <v>1856</v>
      </c>
      <c r="F3106" s="41">
        <v>7892782</v>
      </c>
      <c r="G3106" s="40">
        <v>1738</v>
      </c>
      <c r="H3106" s="41">
        <v>6748902</v>
      </c>
      <c r="I3106" s="41">
        <v>4252.5765086206893</v>
      </c>
      <c r="J3106" s="41">
        <v>3883.1426927502876</v>
      </c>
      <c r="K3106" s="42">
        <v>-8.6872938116809226E-2</v>
      </c>
    </row>
    <row r="3107" spans="1:11" x14ac:dyDescent="0.25">
      <c r="A3107" s="24" t="s">
        <v>7</v>
      </c>
      <c r="B3107" s="24" t="s">
        <v>14959</v>
      </c>
      <c r="C3107" s="25" t="s">
        <v>14960</v>
      </c>
      <c r="E3107" s="40">
        <v>146</v>
      </c>
      <c r="F3107" s="41">
        <v>1349151</v>
      </c>
      <c r="G3107" s="40">
        <v>172</v>
      </c>
      <c r="H3107" s="41">
        <v>1460415</v>
      </c>
      <c r="I3107" s="41">
        <v>9240.7602739726026</v>
      </c>
      <c r="J3107" s="41">
        <v>8490.7848837209294</v>
      </c>
      <c r="K3107" s="42">
        <v>-8.1159489913837882E-2</v>
      </c>
    </row>
    <row r="3108" spans="1:11" x14ac:dyDescent="0.25">
      <c r="A3108" s="24" t="s">
        <v>7</v>
      </c>
      <c r="B3108" s="24" t="s">
        <v>14962</v>
      </c>
      <c r="C3108" s="25" t="s">
        <v>14963</v>
      </c>
      <c r="E3108" s="40">
        <v>25</v>
      </c>
      <c r="F3108" s="41">
        <v>347362</v>
      </c>
      <c r="G3108" s="40">
        <v>31</v>
      </c>
      <c r="H3108" s="41">
        <v>376745</v>
      </c>
      <c r="I3108" s="41">
        <v>13894.48</v>
      </c>
      <c r="J3108" s="41">
        <v>12153.064516129032</v>
      </c>
      <c r="K3108" s="42">
        <v>-0.12533146140560622</v>
      </c>
    </row>
    <row r="3109" spans="1:11" x14ac:dyDescent="0.25">
      <c r="A3109" s="24" t="s">
        <v>7</v>
      </c>
      <c r="B3109" s="24" t="s">
        <v>14965</v>
      </c>
      <c r="C3109" s="25" t="s">
        <v>14966</v>
      </c>
      <c r="E3109" s="40">
        <v>12</v>
      </c>
      <c r="F3109" s="41">
        <v>167072</v>
      </c>
      <c r="G3109" s="40">
        <v>13</v>
      </c>
      <c r="H3109" s="41">
        <v>172419</v>
      </c>
      <c r="I3109" s="41">
        <v>13922.666666666666</v>
      </c>
      <c r="J3109" s="41">
        <v>13263</v>
      </c>
      <c r="K3109" s="42">
        <v>-4.7380769967439146E-2</v>
      </c>
    </row>
    <row r="3110" spans="1:11" x14ac:dyDescent="0.25">
      <c r="A3110" s="24" t="s">
        <v>7</v>
      </c>
      <c r="B3110" s="24" t="s">
        <v>14968</v>
      </c>
      <c r="C3110" s="25" t="s">
        <v>14969</v>
      </c>
      <c r="G3110" s="40">
        <v>4</v>
      </c>
      <c r="H3110" s="41">
        <v>57100</v>
      </c>
      <c r="J3110" s="41">
        <v>14275</v>
      </c>
    </row>
    <row r="3111" spans="1:11" x14ac:dyDescent="0.25">
      <c r="A3111" s="24" t="s">
        <v>7</v>
      </c>
      <c r="B3111" s="24" t="s">
        <v>14971</v>
      </c>
      <c r="C3111" s="25" t="s">
        <v>14972</v>
      </c>
      <c r="E3111" s="40">
        <v>8</v>
      </c>
      <c r="F3111" s="41">
        <v>111029</v>
      </c>
      <c r="G3111" s="40">
        <v>2</v>
      </c>
      <c r="H3111" s="41">
        <v>15394</v>
      </c>
      <c r="I3111" s="41">
        <v>13878.625</v>
      </c>
      <c r="J3111" s="41">
        <v>7697</v>
      </c>
      <c r="K3111" s="42">
        <v>-0.44540615514865484</v>
      </c>
    </row>
    <row r="3112" spans="1:11" x14ac:dyDescent="0.25">
      <c r="A3112" s="24" t="s">
        <v>7</v>
      </c>
      <c r="B3112" s="24" t="s">
        <v>14977</v>
      </c>
      <c r="C3112" s="25" t="s">
        <v>202</v>
      </c>
      <c r="D3112" s="24" t="s">
        <v>21244</v>
      </c>
      <c r="E3112" s="40">
        <v>307</v>
      </c>
      <c r="F3112" s="41">
        <v>144391</v>
      </c>
      <c r="G3112" s="40">
        <v>268</v>
      </c>
      <c r="H3112" s="41">
        <v>113074</v>
      </c>
      <c r="I3112" s="41">
        <v>470.32899022801303</v>
      </c>
      <c r="J3112" s="41">
        <v>421.91791044776119</v>
      </c>
      <c r="K3112" s="42">
        <v>-0.10293024837100176</v>
      </c>
    </row>
    <row r="3113" spans="1:11" x14ac:dyDescent="0.25">
      <c r="A3113" s="24" t="s">
        <v>7</v>
      </c>
      <c r="B3113" s="24" t="s">
        <v>14978</v>
      </c>
      <c r="C3113" s="25" t="s">
        <v>205</v>
      </c>
      <c r="D3113" s="24" t="s">
        <v>21258</v>
      </c>
      <c r="E3113" s="40">
        <v>15</v>
      </c>
      <c r="F3113" s="41">
        <v>3395</v>
      </c>
      <c r="G3113" s="40">
        <v>7</v>
      </c>
      <c r="H3113" s="41">
        <v>1624</v>
      </c>
      <c r="I3113" s="41">
        <v>226.33333333333334</v>
      </c>
      <c r="J3113" s="41">
        <v>232</v>
      </c>
      <c r="K3113" s="42">
        <v>2.5036818851251797E-2</v>
      </c>
    </row>
    <row r="3114" spans="1:11" x14ac:dyDescent="0.25">
      <c r="A3114" s="24" t="s">
        <v>7</v>
      </c>
      <c r="B3114" s="24" t="s">
        <v>14979</v>
      </c>
      <c r="C3114" s="25" t="s">
        <v>214</v>
      </c>
      <c r="D3114" s="24" t="s">
        <v>21246</v>
      </c>
      <c r="E3114" s="40">
        <v>127</v>
      </c>
      <c r="F3114" s="41">
        <v>205267</v>
      </c>
      <c r="G3114" s="40">
        <v>74</v>
      </c>
      <c r="H3114" s="41">
        <v>118241</v>
      </c>
      <c r="I3114" s="41">
        <v>1616.275590551181</v>
      </c>
      <c r="J3114" s="41">
        <v>1597.8513513513512</v>
      </c>
      <c r="K3114" s="42">
        <v>-1.1399194114876646E-2</v>
      </c>
    </row>
    <row r="3115" spans="1:11" x14ac:dyDescent="0.25">
      <c r="A3115" s="24" t="s">
        <v>7</v>
      </c>
      <c r="B3115" s="24" t="s">
        <v>14980</v>
      </c>
      <c r="C3115" s="25" t="s">
        <v>217</v>
      </c>
      <c r="D3115" s="24" t="s">
        <v>21247</v>
      </c>
      <c r="E3115" s="40">
        <v>20881</v>
      </c>
      <c r="F3115" s="41">
        <v>6684832</v>
      </c>
      <c r="G3115" s="40">
        <v>14685</v>
      </c>
      <c r="H3115" s="41">
        <v>4707002</v>
      </c>
      <c r="I3115" s="41">
        <v>320.13945692256118</v>
      </c>
      <c r="J3115" s="41">
        <v>320.53129043241404</v>
      </c>
      <c r="K3115" s="42">
        <v>1.2239463189557408E-3</v>
      </c>
    </row>
    <row r="3116" spans="1:11" x14ac:dyDescent="0.25">
      <c r="A3116" s="24" t="s">
        <v>7</v>
      </c>
      <c r="B3116" s="24" t="s">
        <v>14981</v>
      </c>
      <c r="C3116" s="25" t="s">
        <v>220</v>
      </c>
      <c r="D3116" s="24" t="s">
        <v>21248</v>
      </c>
      <c r="E3116" s="40">
        <v>1258</v>
      </c>
      <c r="F3116" s="41">
        <v>1551022</v>
      </c>
      <c r="G3116" s="40">
        <v>841</v>
      </c>
      <c r="H3116" s="41">
        <v>985656</v>
      </c>
      <c r="I3116" s="41">
        <v>1232.926868044515</v>
      </c>
      <c r="J3116" s="41">
        <v>1172.0047562425684</v>
      </c>
      <c r="K3116" s="42">
        <v>-4.9412591598861147E-2</v>
      </c>
    </row>
    <row r="3117" spans="1:11" x14ac:dyDescent="0.25">
      <c r="A3117" s="24" t="s">
        <v>7</v>
      </c>
      <c r="B3117" s="24" t="s">
        <v>14982</v>
      </c>
      <c r="C3117" s="25" t="s">
        <v>223</v>
      </c>
      <c r="D3117" s="24" t="s">
        <v>21249</v>
      </c>
      <c r="E3117" s="40">
        <v>8844</v>
      </c>
      <c r="F3117" s="41">
        <v>5454385</v>
      </c>
      <c r="G3117" s="40">
        <v>6843</v>
      </c>
      <c r="H3117" s="41">
        <v>3979642</v>
      </c>
      <c r="I3117" s="41">
        <v>616.73281320669378</v>
      </c>
      <c r="J3117" s="41">
        <v>581.56393394709926</v>
      </c>
      <c r="K3117" s="42">
        <v>-5.7024498302164946E-2</v>
      </c>
    </row>
    <row r="3118" spans="1:11" x14ac:dyDescent="0.25">
      <c r="A3118" s="24" t="s">
        <v>7</v>
      </c>
      <c r="B3118" s="24" t="s">
        <v>14983</v>
      </c>
      <c r="C3118" s="25" t="s">
        <v>226</v>
      </c>
      <c r="D3118" s="24" t="s">
        <v>21250</v>
      </c>
      <c r="E3118" s="40">
        <v>872</v>
      </c>
      <c r="F3118" s="41">
        <v>432792</v>
      </c>
      <c r="G3118" s="40">
        <v>649</v>
      </c>
      <c r="H3118" s="41">
        <v>310372</v>
      </c>
      <c r="I3118" s="41">
        <v>496.32110091743118</v>
      </c>
      <c r="J3118" s="41">
        <v>478.23112480739599</v>
      </c>
      <c r="K3118" s="42">
        <v>-3.6448130205620002E-2</v>
      </c>
    </row>
    <row r="3119" spans="1:11" x14ac:dyDescent="0.25">
      <c r="A3119" s="24" t="s">
        <v>7</v>
      </c>
      <c r="B3119" s="24" t="s">
        <v>14984</v>
      </c>
      <c r="C3119" s="25" t="s">
        <v>229</v>
      </c>
      <c r="D3119" s="24" t="s">
        <v>21251</v>
      </c>
      <c r="E3119" s="40">
        <v>247</v>
      </c>
      <c r="F3119" s="41">
        <v>403191</v>
      </c>
      <c r="G3119" s="40">
        <v>163</v>
      </c>
      <c r="H3119" s="41">
        <v>244669</v>
      </c>
      <c r="I3119" s="41">
        <v>1632.3522267206479</v>
      </c>
      <c r="J3119" s="41">
        <v>1501.0368098159508</v>
      </c>
      <c r="K3119" s="42">
        <v>-8.0445515836068182E-2</v>
      </c>
    </row>
    <row r="3120" spans="1:11" x14ac:dyDescent="0.25">
      <c r="A3120" s="24" t="s">
        <v>7</v>
      </c>
      <c r="B3120" s="24" t="s">
        <v>14985</v>
      </c>
      <c r="C3120" s="25" t="s">
        <v>232</v>
      </c>
      <c r="D3120" s="24" t="s">
        <v>21252</v>
      </c>
      <c r="E3120" s="40">
        <v>516</v>
      </c>
      <c r="F3120" s="41">
        <v>834050</v>
      </c>
      <c r="G3120" s="40">
        <v>397</v>
      </c>
      <c r="H3120" s="41">
        <v>586273</v>
      </c>
      <c r="I3120" s="41">
        <v>1616.3759689922481</v>
      </c>
      <c r="J3120" s="41">
        <v>1476.7581863979849</v>
      </c>
      <c r="K3120" s="42">
        <v>-8.6377046722186684E-2</v>
      </c>
    </row>
    <row r="3121" spans="1:11" x14ac:dyDescent="0.25">
      <c r="A3121" s="24" t="s">
        <v>7</v>
      </c>
      <c r="B3121" s="24" t="s">
        <v>14986</v>
      </c>
      <c r="C3121" s="25" t="s">
        <v>235</v>
      </c>
      <c r="D3121" s="24" t="s">
        <v>21253</v>
      </c>
      <c r="E3121" s="40">
        <v>3102</v>
      </c>
      <c r="F3121" s="41">
        <v>1050436</v>
      </c>
      <c r="G3121" s="40">
        <v>2209</v>
      </c>
      <c r="H3121" s="41">
        <v>707941</v>
      </c>
      <c r="I3121" s="41">
        <v>338.63185041908446</v>
      </c>
      <c r="J3121" s="41">
        <v>320.480307831598</v>
      </c>
      <c r="K3121" s="42">
        <v>-5.3602585123113639E-2</v>
      </c>
    </row>
    <row r="3122" spans="1:11" x14ac:dyDescent="0.25">
      <c r="A3122" s="24" t="s">
        <v>7</v>
      </c>
      <c r="B3122" s="24" t="s">
        <v>14987</v>
      </c>
      <c r="C3122" s="25" t="s">
        <v>238</v>
      </c>
      <c r="D3122" s="24" t="s">
        <v>21254</v>
      </c>
      <c r="E3122" s="40">
        <v>6253</v>
      </c>
      <c r="F3122" s="41">
        <v>10134317</v>
      </c>
      <c r="G3122" s="40">
        <v>4625</v>
      </c>
      <c r="H3122" s="41">
        <v>6896685</v>
      </c>
      <c r="I3122" s="41">
        <v>1620.712777866624</v>
      </c>
      <c r="J3122" s="41">
        <v>1491.1751351351352</v>
      </c>
      <c r="K3122" s="42">
        <v>-7.9926341360744863E-2</v>
      </c>
    </row>
    <row r="3123" spans="1:11" x14ac:dyDescent="0.25">
      <c r="A3123" s="24" t="s">
        <v>7</v>
      </c>
      <c r="B3123" s="24" t="s">
        <v>14988</v>
      </c>
      <c r="C3123" s="25" t="s">
        <v>241</v>
      </c>
      <c r="D3123" s="24" t="s">
        <v>21255</v>
      </c>
      <c r="E3123" s="40">
        <v>1658</v>
      </c>
      <c r="F3123" s="41">
        <v>1588350</v>
      </c>
      <c r="G3123" s="40">
        <v>1756</v>
      </c>
      <c r="H3123" s="41">
        <v>1580084</v>
      </c>
      <c r="I3123" s="41">
        <v>957.99155609167667</v>
      </c>
      <c r="J3123" s="41">
        <v>899.82004555808658</v>
      </c>
      <c r="K3123" s="42">
        <v>-6.0722362492330019E-2</v>
      </c>
    </row>
    <row r="3124" spans="1:11" x14ac:dyDescent="0.25">
      <c r="A3124" s="24" t="s">
        <v>7</v>
      </c>
      <c r="B3124" s="24" t="s">
        <v>14989</v>
      </c>
      <c r="C3124" s="25" t="s">
        <v>14990</v>
      </c>
      <c r="G3124" s="40">
        <v>10</v>
      </c>
      <c r="H3124" s="41">
        <v>3290</v>
      </c>
      <c r="J3124" s="41">
        <v>329</v>
      </c>
    </row>
    <row r="3125" spans="1:11" x14ac:dyDescent="0.25">
      <c r="A3125" s="24" t="s">
        <v>7</v>
      </c>
      <c r="B3125" s="24" t="s">
        <v>14991</v>
      </c>
      <c r="C3125" s="25" t="s">
        <v>14992</v>
      </c>
      <c r="E3125" s="40">
        <v>33</v>
      </c>
      <c r="F3125" s="41">
        <v>40960.25</v>
      </c>
      <c r="G3125" s="40">
        <v>28</v>
      </c>
      <c r="H3125" s="41">
        <v>36652</v>
      </c>
      <c r="I3125" s="41">
        <v>1241.219696969697</v>
      </c>
      <c r="J3125" s="41">
        <v>1309</v>
      </c>
      <c r="K3125" s="42">
        <v>5.4607820997186272E-2</v>
      </c>
    </row>
    <row r="3126" spans="1:11" x14ac:dyDescent="0.25">
      <c r="A3126" s="24" t="s">
        <v>7</v>
      </c>
      <c r="B3126" s="24" t="s">
        <v>14993</v>
      </c>
      <c r="C3126" s="25" t="s">
        <v>14994</v>
      </c>
      <c r="E3126" s="40">
        <v>42</v>
      </c>
      <c r="F3126" s="41">
        <v>152760</v>
      </c>
      <c r="G3126" s="40">
        <v>46</v>
      </c>
      <c r="H3126" s="41">
        <v>176640</v>
      </c>
      <c r="I3126" s="41">
        <v>3637.1428571428573</v>
      </c>
      <c r="J3126" s="41">
        <v>3840</v>
      </c>
      <c r="K3126" s="42">
        <v>5.57737627651217E-2</v>
      </c>
    </row>
    <row r="3127" spans="1:11" x14ac:dyDescent="0.25">
      <c r="A3127" s="24" t="s">
        <v>7</v>
      </c>
      <c r="B3127" s="24" t="s">
        <v>14998</v>
      </c>
      <c r="C3127" s="25" t="s">
        <v>4992</v>
      </c>
      <c r="D3127" s="24" t="s">
        <v>21680</v>
      </c>
      <c r="E3127" s="40">
        <v>2</v>
      </c>
      <c r="F3127" s="41">
        <v>3904</v>
      </c>
      <c r="G3127" s="40">
        <v>0</v>
      </c>
      <c r="H3127" s="41">
        <v>0</v>
      </c>
      <c r="I3127" s="41">
        <v>1952</v>
      </c>
    </row>
    <row r="3128" spans="1:11" x14ac:dyDescent="0.25">
      <c r="A3128" s="24" t="s">
        <v>7</v>
      </c>
      <c r="B3128" s="24" t="s">
        <v>15000</v>
      </c>
      <c r="C3128" s="25" t="s">
        <v>5282</v>
      </c>
      <c r="D3128" s="24" t="s">
        <v>21560</v>
      </c>
      <c r="G3128" s="40">
        <v>2</v>
      </c>
      <c r="H3128" s="41">
        <v>1268</v>
      </c>
      <c r="J3128" s="41">
        <v>634</v>
      </c>
    </row>
    <row r="3129" spans="1:11" x14ac:dyDescent="0.25">
      <c r="A3129" s="24" t="s">
        <v>7</v>
      </c>
      <c r="B3129" s="24" t="s">
        <v>15002</v>
      </c>
      <c r="C3129" s="25" t="s">
        <v>15003</v>
      </c>
      <c r="E3129" s="40">
        <v>3090</v>
      </c>
      <c r="F3129" s="41">
        <v>0</v>
      </c>
      <c r="G3129" s="40">
        <v>3036</v>
      </c>
      <c r="H3129" s="41">
        <v>0</v>
      </c>
      <c r="I3129" s="41">
        <v>0</v>
      </c>
      <c r="J3129" s="41">
        <v>0</v>
      </c>
    </row>
    <row r="3130" spans="1:11" x14ac:dyDescent="0.25">
      <c r="A3130" s="24" t="s">
        <v>7</v>
      </c>
      <c r="B3130" s="24" t="s">
        <v>15004</v>
      </c>
      <c r="C3130" s="25" t="s">
        <v>436</v>
      </c>
      <c r="D3130" s="24" t="s">
        <v>22236</v>
      </c>
      <c r="E3130" s="40">
        <v>376</v>
      </c>
      <c r="F3130" s="41">
        <v>52016</v>
      </c>
      <c r="G3130" s="40">
        <v>356</v>
      </c>
      <c r="H3130" s="41">
        <v>52616</v>
      </c>
      <c r="I3130" s="41">
        <v>138.34042553191489</v>
      </c>
      <c r="J3130" s="41">
        <v>147.79775280898878</v>
      </c>
      <c r="K3130" s="42">
        <v>6.8362716398411669E-2</v>
      </c>
    </row>
    <row r="3131" spans="1:11" x14ac:dyDescent="0.25">
      <c r="A3131" s="24" t="s">
        <v>7</v>
      </c>
      <c r="B3131" s="24" t="s">
        <v>15005</v>
      </c>
      <c r="C3131" s="25" t="s">
        <v>439</v>
      </c>
      <c r="D3131" s="24" t="s">
        <v>22237</v>
      </c>
      <c r="E3131" s="40">
        <v>83</v>
      </c>
      <c r="F3131" s="41">
        <v>11334.5</v>
      </c>
      <c r="G3131" s="40">
        <v>76</v>
      </c>
      <c r="H3131" s="41">
        <v>9736</v>
      </c>
      <c r="I3131" s="41">
        <v>136.56024096385542</v>
      </c>
      <c r="J3131" s="41">
        <v>128.10526315789474</v>
      </c>
      <c r="K3131" s="42">
        <v>-6.1913905147535093E-2</v>
      </c>
    </row>
    <row r="3132" spans="1:11" x14ac:dyDescent="0.25">
      <c r="A3132" s="24" t="s">
        <v>7</v>
      </c>
      <c r="B3132" s="24" t="s">
        <v>15014</v>
      </c>
      <c r="C3132" s="25" t="s">
        <v>15015</v>
      </c>
      <c r="G3132" s="40">
        <v>35</v>
      </c>
      <c r="H3132" s="41">
        <v>140132</v>
      </c>
      <c r="J3132" s="41">
        <v>4003.7714285714287</v>
      </c>
    </row>
    <row r="3133" spans="1:11" x14ac:dyDescent="0.25">
      <c r="A3133" s="24" t="s">
        <v>7</v>
      </c>
      <c r="B3133" s="24" t="s">
        <v>15016</v>
      </c>
      <c r="C3133" s="25" t="s">
        <v>15017</v>
      </c>
      <c r="G3133" s="40">
        <v>3</v>
      </c>
      <c r="H3133" s="41">
        <v>13314</v>
      </c>
      <c r="J3133" s="41">
        <v>4438</v>
      </c>
    </row>
    <row r="3134" spans="1:11" x14ac:dyDescent="0.25">
      <c r="A3134" s="24" t="s">
        <v>7</v>
      </c>
      <c r="B3134" s="24" t="s">
        <v>15031</v>
      </c>
      <c r="C3134" s="25" t="s">
        <v>15032</v>
      </c>
      <c r="G3134" s="40">
        <v>2</v>
      </c>
      <c r="H3134" s="41">
        <v>752</v>
      </c>
      <c r="J3134" s="41">
        <v>376</v>
      </c>
    </row>
    <row r="3135" spans="1:11" x14ac:dyDescent="0.25">
      <c r="A3135" s="24" t="s">
        <v>7</v>
      </c>
      <c r="B3135" s="24" t="s">
        <v>15042</v>
      </c>
      <c r="C3135" s="25" t="s">
        <v>15043</v>
      </c>
      <c r="G3135" s="40">
        <v>9</v>
      </c>
      <c r="H3135" s="41">
        <v>1213</v>
      </c>
      <c r="J3135" s="41">
        <v>134.77777777777777</v>
      </c>
    </row>
    <row r="3136" spans="1:11" x14ac:dyDescent="0.25">
      <c r="A3136" s="24" t="s">
        <v>7</v>
      </c>
      <c r="B3136" s="24" t="s">
        <v>15045</v>
      </c>
      <c r="C3136" s="25" t="s">
        <v>15046</v>
      </c>
      <c r="E3136" s="40">
        <v>2299</v>
      </c>
      <c r="F3136" s="41">
        <v>9071298</v>
      </c>
      <c r="G3136" s="40">
        <v>2222</v>
      </c>
      <c r="H3136" s="41">
        <v>7716481</v>
      </c>
      <c r="I3136" s="41">
        <v>3945.7581557198782</v>
      </c>
      <c r="J3136" s="41">
        <v>3472.7637263726374</v>
      </c>
      <c r="K3136" s="42">
        <v>-0.11987415616478553</v>
      </c>
    </row>
    <row r="3137" spans="1:11" x14ac:dyDescent="0.25">
      <c r="A3137" s="24" t="s">
        <v>7</v>
      </c>
      <c r="B3137" s="24" t="s">
        <v>15048</v>
      </c>
      <c r="C3137" s="25" t="s">
        <v>15049</v>
      </c>
      <c r="E3137" s="40">
        <v>1331</v>
      </c>
      <c r="F3137" s="41">
        <v>2555993</v>
      </c>
      <c r="G3137" s="40">
        <v>1436</v>
      </c>
      <c r="H3137" s="41">
        <v>2561869</v>
      </c>
      <c r="I3137" s="41">
        <v>1920.3553719008264</v>
      </c>
      <c r="J3137" s="41">
        <v>1784.0313370473539</v>
      </c>
      <c r="K3137" s="42">
        <v>-7.0988962172420636E-2</v>
      </c>
    </row>
    <row r="3138" spans="1:11" x14ac:dyDescent="0.25">
      <c r="A3138" s="24" t="s">
        <v>7</v>
      </c>
      <c r="B3138" s="24" t="s">
        <v>15051</v>
      </c>
      <c r="C3138" s="25" t="s">
        <v>15052</v>
      </c>
      <c r="E3138" s="40">
        <v>275</v>
      </c>
      <c r="F3138" s="41">
        <v>1431342</v>
      </c>
      <c r="G3138" s="40">
        <v>239</v>
      </c>
      <c r="H3138" s="41">
        <v>1059694</v>
      </c>
      <c r="I3138" s="41">
        <v>5204.88</v>
      </c>
      <c r="J3138" s="41">
        <v>4433.8661087866112</v>
      </c>
      <c r="K3138" s="42">
        <v>-0.14813288514113465</v>
      </c>
    </row>
    <row r="3139" spans="1:11" x14ac:dyDescent="0.25">
      <c r="A3139" s="24" t="s">
        <v>7</v>
      </c>
      <c r="B3139" s="24" t="s">
        <v>15054</v>
      </c>
      <c r="C3139" s="25" t="s">
        <v>15055</v>
      </c>
      <c r="E3139" s="40">
        <v>99</v>
      </c>
      <c r="F3139" s="41">
        <v>218402</v>
      </c>
      <c r="G3139" s="40">
        <v>122</v>
      </c>
      <c r="H3139" s="41">
        <v>251372</v>
      </c>
      <c r="I3139" s="41">
        <v>2206.0808080808079</v>
      </c>
      <c r="J3139" s="41">
        <v>2060.4262295081967</v>
      </c>
      <c r="K3139" s="42">
        <v>-6.6024135670408268E-2</v>
      </c>
    </row>
    <row r="3140" spans="1:11" x14ac:dyDescent="0.25">
      <c r="A3140" s="24" t="s">
        <v>7</v>
      </c>
      <c r="B3140" s="24" t="s">
        <v>15057</v>
      </c>
      <c r="C3140" s="25" t="s">
        <v>15058</v>
      </c>
      <c r="E3140" s="40">
        <v>59</v>
      </c>
      <c r="F3140" s="41">
        <v>382632</v>
      </c>
      <c r="G3140" s="40">
        <v>78</v>
      </c>
      <c r="H3140" s="41">
        <v>447744</v>
      </c>
      <c r="I3140" s="41">
        <v>6485.2881355932204</v>
      </c>
      <c r="J3140" s="41">
        <v>5740.3076923076924</v>
      </c>
      <c r="K3140" s="42">
        <v>-0.1148723738575084</v>
      </c>
    </row>
    <row r="3141" spans="1:11" x14ac:dyDescent="0.25">
      <c r="A3141" s="24" t="s">
        <v>7</v>
      </c>
      <c r="B3141" s="24" t="s">
        <v>15060</v>
      </c>
      <c r="C3141" s="25" t="s">
        <v>15061</v>
      </c>
      <c r="E3141" s="40">
        <v>10</v>
      </c>
      <c r="F3141" s="41">
        <v>49256</v>
      </c>
      <c r="G3141" s="40">
        <v>26</v>
      </c>
      <c r="H3141" s="41">
        <v>128058</v>
      </c>
      <c r="I3141" s="41">
        <v>4925.6000000000004</v>
      </c>
      <c r="J3141" s="41">
        <v>4925.3076923076924</v>
      </c>
      <c r="K3141" s="42">
        <v>-5.9344585899786044E-5</v>
      </c>
    </row>
    <row r="3142" spans="1:11" x14ac:dyDescent="0.25">
      <c r="A3142" s="24" t="s">
        <v>7</v>
      </c>
      <c r="B3142" s="24" t="s">
        <v>15068</v>
      </c>
      <c r="C3142" s="25" t="s">
        <v>6323</v>
      </c>
      <c r="E3142" s="40">
        <v>10</v>
      </c>
      <c r="F3142" s="41">
        <v>11412</v>
      </c>
      <c r="G3142" s="40">
        <v>6</v>
      </c>
      <c r="H3142" s="41">
        <v>6173</v>
      </c>
      <c r="I3142" s="41">
        <v>1141.2</v>
      </c>
      <c r="J3142" s="41">
        <v>1028.8333333333333</v>
      </c>
      <c r="K3142" s="42">
        <v>-9.8463605561397466E-2</v>
      </c>
    </row>
    <row r="3143" spans="1:11" x14ac:dyDescent="0.25">
      <c r="A3143" s="24" t="s">
        <v>7</v>
      </c>
      <c r="B3143" s="24" t="s">
        <v>15070</v>
      </c>
      <c r="C3143" s="25" t="s">
        <v>15071</v>
      </c>
      <c r="E3143" s="40">
        <v>5</v>
      </c>
      <c r="F3143" s="41">
        <v>2151</v>
      </c>
      <c r="G3143" s="40">
        <v>5</v>
      </c>
      <c r="H3143" s="41">
        <v>2250</v>
      </c>
      <c r="I3143" s="41">
        <v>430.2</v>
      </c>
      <c r="J3143" s="41">
        <v>450</v>
      </c>
      <c r="K3143" s="42">
        <v>4.602510460251049E-2</v>
      </c>
    </row>
    <row r="3144" spans="1:11" x14ac:dyDescent="0.25">
      <c r="A3144" s="24" t="s">
        <v>7</v>
      </c>
      <c r="B3144" s="24" t="s">
        <v>15073</v>
      </c>
      <c r="C3144" s="25" t="s">
        <v>15074</v>
      </c>
      <c r="E3144" s="40">
        <v>24</v>
      </c>
      <c r="F3144" s="41">
        <v>12832</v>
      </c>
      <c r="G3144" s="40">
        <v>4</v>
      </c>
      <c r="H3144" s="41">
        <v>2152</v>
      </c>
      <c r="I3144" s="41">
        <v>534.66666666666663</v>
      </c>
      <c r="J3144" s="41">
        <v>538</v>
      </c>
      <c r="K3144" s="42">
        <v>6.2344139650873532E-3</v>
      </c>
    </row>
    <row r="3145" spans="1:11" x14ac:dyDescent="0.25">
      <c r="A3145" s="24" t="s">
        <v>7</v>
      </c>
      <c r="B3145" s="24" t="s">
        <v>15079</v>
      </c>
      <c r="C3145" s="25" t="s">
        <v>15080</v>
      </c>
      <c r="E3145" s="40">
        <v>5</v>
      </c>
      <c r="F3145" s="41">
        <v>5691</v>
      </c>
      <c r="G3145" s="40">
        <v>1</v>
      </c>
      <c r="H3145" s="41">
        <v>1173</v>
      </c>
      <c r="I3145" s="41">
        <v>1138.2</v>
      </c>
      <c r="J3145" s="41">
        <v>1173</v>
      </c>
      <c r="K3145" s="42">
        <v>3.0574591460200275E-2</v>
      </c>
    </row>
    <row r="3146" spans="1:11" x14ac:dyDescent="0.25">
      <c r="A3146" s="24" t="s">
        <v>7</v>
      </c>
      <c r="B3146" s="24" t="s">
        <v>15082</v>
      </c>
      <c r="C3146" s="25" t="s">
        <v>15083</v>
      </c>
      <c r="E3146" s="40">
        <v>265</v>
      </c>
      <c r="F3146" s="41">
        <v>170622</v>
      </c>
      <c r="G3146" s="40">
        <v>327</v>
      </c>
      <c r="H3146" s="41">
        <v>193682</v>
      </c>
      <c r="I3146" s="41">
        <v>643.85660377358488</v>
      </c>
      <c r="J3146" s="41">
        <v>592.29969418960241</v>
      </c>
      <c r="K3146" s="42">
        <v>-8.0075142946134478E-2</v>
      </c>
    </row>
    <row r="3147" spans="1:11" x14ac:dyDescent="0.25">
      <c r="A3147" s="24" t="s">
        <v>7</v>
      </c>
      <c r="B3147" s="24" t="s">
        <v>15085</v>
      </c>
      <c r="C3147" s="25" t="s">
        <v>15086</v>
      </c>
      <c r="E3147" s="40">
        <v>62</v>
      </c>
      <c r="F3147" s="41">
        <v>37336</v>
      </c>
      <c r="G3147" s="40">
        <v>134</v>
      </c>
      <c r="H3147" s="41">
        <v>71398</v>
      </c>
      <c r="I3147" s="41">
        <v>602.19354838709683</v>
      </c>
      <c r="J3147" s="41">
        <v>532.82089552238801</v>
      </c>
      <c r="K3147" s="42">
        <v>-0.11519992708409969</v>
      </c>
    </row>
    <row r="3148" spans="1:11" x14ac:dyDescent="0.25">
      <c r="A3148" s="24" t="s">
        <v>7</v>
      </c>
      <c r="B3148" s="24" t="s">
        <v>15107</v>
      </c>
      <c r="C3148" s="25" t="s">
        <v>14897</v>
      </c>
      <c r="D3148" s="24" t="s">
        <v>22231</v>
      </c>
      <c r="E3148" s="40">
        <v>2</v>
      </c>
      <c r="F3148" s="41">
        <v>1966</v>
      </c>
      <c r="G3148" s="40">
        <v>3</v>
      </c>
      <c r="H3148" s="41">
        <v>2146</v>
      </c>
      <c r="I3148" s="41">
        <v>983</v>
      </c>
      <c r="J3148" s="41">
        <v>715.33333333333337</v>
      </c>
      <c r="K3148" s="42">
        <v>-0.27229569345540855</v>
      </c>
    </row>
    <row r="3149" spans="1:11" x14ac:dyDescent="0.25">
      <c r="A3149" s="24" t="s">
        <v>7</v>
      </c>
      <c r="B3149" s="24" t="s">
        <v>15108</v>
      </c>
      <c r="C3149" s="25" t="s">
        <v>14915</v>
      </c>
      <c r="D3149" s="24" t="s">
        <v>22233</v>
      </c>
      <c r="E3149" s="40">
        <v>201</v>
      </c>
      <c r="F3149" s="41">
        <v>259568</v>
      </c>
      <c r="G3149" s="40">
        <v>192</v>
      </c>
      <c r="H3149" s="41">
        <v>212190</v>
      </c>
      <c r="I3149" s="41">
        <v>1291.3830845771145</v>
      </c>
      <c r="J3149" s="41">
        <v>1105.15625</v>
      </c>
      <c r="K3149" s="42">
        <v>-0.14420727420175061</v>
      </c>
    </row>
    <row r="3150" spans="1:11" x14ac:dyDescent="0.25">
      <c r="A3150" s="24" t="s">
        <v>7</v>
      </c>
      <c r="B3150" s="24" t="s">
        <v>15109</v>
      </c>
      <c r="C3150" s="25" t="s">
        <v>15110</v>
      </c>
      <c r="D3150" s="24" t="s">
        <v>22238</v>
      </c>
      <c r="E3150" s="40">
        <v>23</v>
      </c>
      <c r="F3150" s="41">
        <v>35525</v>
      </c>
      <c r="G3150" s="40">
        <v>20</v>
      </c>
      <c r="H3150" s="41">
        <v>25410</v>
      </c>
      <c r="I3150" s="41">
        <v>1544.5652173913043</v>
      </c>
      <c r="J3150" s="41">
        <v>1270.5</v>
      </c>
      <c r="K3150" s="42">
        <v>-0.17743842364532014</v>
      </c>
    </row>
    <row r="3151" spans="1:11" x14ac:dyDescent="0.25">
      <c r="A3151" s="24" t="s">
        <v>7</v>
      </c>
      <c r="B3151" s="24" t="s">
        <v>15112</v>
      </c>
      <c r="C3151" s="25" t="s">
        <v>15113</v>
      </c>
      <c r="D3151" s="24" t="s">
        <v>22239</v>
      </c>
      <c r="G3151" s="40">
        <v>1</v>
      </c>
      <c r="H3151" s="41">
        <v>2210</v>
      </c>
      <c r="J3151" s="41">
        <v>2210</v>
      </c>
    </row>
    <row r="3152" spans="1:11" x14ac:dyDescent="0.25">
      <c r="A3152" s="24" t="s">
        <v>7</v>
      </c>
      <c r="B3152" s="24" t="s">
        <v>15123</v>
      </c>
      <c r="C3152" s="25" t="s">
        <v>15124</v>
      </c>
      <c r="E3152" s="40">
        <v>7</v>
      </c>
      <c r="F3152" s="41">
        <v>12231</v>
      </c>
      <c r="G3152" s="40">
        <v>3</v>
      </c>
      <c r="H3152" s="41">
        <v>4221</v>
      </c>
      <c r="I3152" s="41">
        <v>1747.2857142857142</v>
      </c>
      <c r="J3152" s="41">
        <v>1407</v>
      </c>
      <c r="K3152" s="42">
        <v>-0.1947510424331616</v>
      </c>
    </row>
    <row r="3153" spans="1:11" x14ac:dyDescent="0.25">
      <c r="A3153" s="24" t="s">
        <v>7</v>
      </c>
      <c r="B3153" s="24" t="s">
        <v>15129</v>
      </c>
      <c r="C3153" s="25" t="s">
        <v>15130</v>
      </c>
      <c r="G3153" s="40">
        <v>1</v>
      </c>
      <c r="H3153" s="41">
        <v>2642</v>
      </c>
      <c r="J3153" s="41">
        <v>2642</v>
      </c>
    </row>
    <row r="3154" spans="1:11" x14ac:dyDescent="0.25">
      <c r="A3154" s="24" t="s">
        <v>7</v>
      </c>
      <c r="B3154" s="24" t="s">
        <v>15135</v>
      </c>
      <c r="C3154" s="25" t="s">
        <v>14894</v>
      </c>
      <c r="D3154" s="24" t="s">
        <v>22240</v>
      </c>
      <c r="E3154" s="40">
        <v>12</v>
      </c>
      <c r="F3154" s="41">
        <v>7702</v>
      </c>
      <c r="G3154" s="40">
        <v>17</v>
      </c>
      <c r="H3154" s="41">
        <v>9934</v>
      </c>
      <c r="I3154" s="41">
        <v>641.83333333333337</v>
      </c>
      <c r="J3154" s="41">
        <v>584.35294117647061</v>
      </c>
      <c r="K3154" s="42">
        <v>-8.9556570485893675E-2</v>
      </c>
    </row>
    <row r="3155" spans="1:11" x14ac:dyDescent="0.25">
      <c r="A3155" s="24" t="s">
        <v>7</v>
      </c>
      <c r="B3155" s="24" t="s">
        <v>15136</v>
      </c>
      <c r="C3155" s="25" t="s">
        <v>14900</v>
      </c>
      <c r="D3155" s="24" t="s">
        <v>22232</v>
      </c>
      <c r="E3155" s="40">
        <v>114</v>
      </c>
      <c r="F3155" s="41">
        <v>114570</v>
      </c>
      <c r="G3155" s="40">
        <v>91</v>
      </c>
      <c r="H3155" s="41">
        <v>80752</v>
      </c>
      <c r="I3155" s="41">
        <v>1005</v>
      </c>
      <c r="J3155" s="41">
        <v>887.38461538461536</v>
      </c>
      <c r="K3155" s="42">
        <v>-0.11703023344814392</v>
      </c>
    </row>
    <row r="3156" spans="1:11" x14ac:dyDescent="0.25">
      <c r="A3156" s="24" t="s">
        <v>7</v>
      </c>
      <c r="B3156" s="24" t="s">
        <v>15139</v>
      </c>
      <c r="C3156" s="25" t="s">
        <v>15140</v>
      </c>
      <c r="E3156" s="40">
        <v>96</v>
      </c>
      <c r="F3156" s="41">
        <v>84240</v>
      </c>
      <c r="G3156" s="40">
        <v>42</v>
      </c>
      <c r="H3156" s="41">
        <v>38368</v>
      </c>
      <c r="I3156" s="41">
        <v>877.5</v>
      </c>
      <c r="J3156" s="41">
        <v>913.52380952380952</v>
      </c>
      <c r="K3156" s="42">
        <v>4.1052774386107715E-2</v>
      </c>
    </row>
    <row r="3157" spans="1:11" x14ac:dyDescent="0.25">
      <c r="A3157" s="24" t="s">
        <v>7</v>
      </c>
      <c r="B3157" s="24" t="s">
        <v>15142</v>
      </c>
      <c r="C3157" s="25" t="s">
        <v>14903</v>
      </c>
      <c r="D3157" s="24" t="s">
        <v>21111</v>
      </c>
      <c r="E3157" s="40">
        <v>191</v>
      </c>
      <c r="F3157" s="41">
        <v>191977</v>
      </c>
      <c r="G3157" s="40">
        <v>171</v>
      </c>
      <c r="H3157" s="41">
        <v>148513</v>
      </c>
      <c r="I3157" s="41">
        <v>1005.1151832460733</v>
      </c>
      <c r="J3157" s="41">
        <v>868.49707602339186</v>
      </c>
      <c r="K3157" s="42">
        <v>-0.13592283700407945</v>
      </c>
    </row>
    <row r="3158" spans="1:11" x14ac:dyDescent="0.25">
      <c r="A3158" s="24" t="s">
        <v>7</v>
      </c>
      <c r="B3158" s="24" t="s">
        <v>15143</v>
      </c>
      <c r="C3158" s="25" t="s">
        <v>15144</v>
      </c>
      <c r="D3158" s="24" t="s">
        <v>22241</v>
      </c>
      <c r="E3158" s="40">
        <v>21</v>
      </c>
      <c r="F3158" s="41">
        <v>26670</v>
      </c>
      <c r="G3158" s="40">
        <v>9</v>
      </c>
      <c r="H3158" s="41">
        <v>10788</v>
      </c>
      <c r="I3158" s="41">
        <v>1270</v>
      </c>
      <c r="J3158" s="41">
        <v>1198.6666666666667</v>
      </c>
      <c r="K3158" s="42">
        <v>-5.6167979002624616E-2</v>
      </c>
    </row>
    <row r="3159" spans="1:11" x14ac:dyDescent="0.25">
      <c r="A3159" s="24" t="s">
        <v>7</v>
      </c>
      <c r="B3159" s="24" t="s">
        <v>15146</v>
      </c>
      <c r="C3159" s="25" t="s">
        <v>15147</v>
      </c>
      <c r="D3159" s="24" t="s">
        <v>22242</v>
      </c>
      <c r="G3159" s="40">
        <v>4</v>
      </c>
      <c r="H3159" s="41">
        <v>6536</v>
      </c>
      <c r="J3159" s="41">
        <v>1634</v>
      </c>
    </row>
    <row r="3160" spans="1:11" x14ac:dyDescent="0.25">
      <c r="A3160" s="24" t="s">
        <v>7</v>
      </c>
      <c r="B3160" s="24" t="s">
        <v>15149</v>
      </c>
      <c r="C3160" s="25" t="s">
        <v>15150</v>
      </c>
      <c r="D3160" s="24" t="s">
        <v>22213</v>
      </c>
      <c r="E3160" s="40">
        <v>563</v>
      </c>
      <c r="F3160" s="41">
        <v>645490</v>
      </c>
      <c r="G3160" s="40">
        <v>174</v>
      </c>
      <c r="H3160" s="41">
        <v>181192</v>
      </c>
      <c r="I3160" s="41">
        <v>1146.5186500888099</v>
      </c>
      <c r="J3160" s="41">
        <v>1041.3333333333333</v>
      </c>
      <c r="K3160" s="42">
        <v>-9.1743223494296325E-2</v>
      </c>
    </row>
    <row r="3161" spans="1:11" x14ac:dyDescent="0.25">
      <c r="A3161" s="24" t="s">
        <v>7</v>
      </c>
      <c r="B3161" s="24" t="s">
        <v>15152</v>
      </c>
      <c r="C3161" s="25" t="s">
        <v>15153</v>
      </c>
      <c r="D3161" s="24" t="s">
        <v>22214</v>
      </c>
      <c r="E3161" s="40">
        <v>1327</v>
      </c>
      <c r="F3161" s="41">
        <v>1247660</v>
      </c>
      <c r="G3161" s="40">
        <v>60</v>
      </c>
      <c r="H3161" s="41">
        <v>46392</v>
      </c>
      <c r="I3161" s="41">
        <v>940.2110022607385</v>
      </c>
      <c r="J3161" s="41">
        <v>773.2</v>
      </c>
      <c r="K3161" s="42">
        <v>-0.17763140599201699</v>
      </c>
    </row>
    <row r="3162" spans="1:11" x14ac:dyDescent="0.25">
      <c r="A3162" s="24" t="s">
        <v>7</v>
      </c>
      <c r="B3162" s="24" t="s">
        <v>15158</v>
      </c>
      <c r="C3162" s="25" t="s">
        <v>15159</v>
      </c>
      <c r="D3162" s="24" t="s">
        <v>22217</v>
      </c>
      <c r="E3162" s="40">
        <v>2</v>
      </c>
      <c r="F3162" s="41">
        <v>1076</v>
      </c>
      <c r="G3162" s="40">
        <v>3</v>
      </c>
      <c r="H3162" s="41">
        <v>1500</v>
      </c>
      <c r="I3162" s="41">
        <v>538</v>
      </c>
      <c r="J3162" s="41">
        <v>500</v>
      </c>
      <c r="K3162" s="42">
        <v>-7.0631970260223054E-2</v>
      </c>
    </row>
    <row r="3163" spans="1:11" x14ac:dyDescent="0.25">
      <c r="A3163" s="24" t="s">
        <v>7</v>
      </c>
      <c r="B3163" s="24" t="s">
        <v>15161</v>
      </c>
      <c r="C3163" s="25" t="s">
        <v>15162</v>
      </c>
      <c r="D3163" s="24" t="s">
        <v>22216</v>
      </c>
      <c r="E3163" s="40">
        <v>2</v>
      </c>
      <c r="F3163" s="41">
        <v>2094</v>
      </c>
      <c r="G3163" s="40">
        <v>3</v>
      </c>
      <c r="H3163" s="41">
        <v>3141</v>
      </c>
      <c r="I3163" s="41">
        <v>1047</v>
      </c>
      <c r="J3163" s="41">
        <v>1047</v>
      </c>
      <c r="K3163" s="42">
        <v>0</v>
      </c>
    </row>
    <row r="3164" spans="1:11" x14ac:dyDescent="0.25">
      <c r="A3164" s="24" t="s">
        <v>7</v>
      </c>
      <c r="B3164" s="24" t="s">
        <v>15175</v>
      </c>
      <c r="C3164" s="25" t="s">
        <v>4294</v>
      </c>
      <c r="G3164" s="40">
        <v>3</v>
      </c>
      <c r="H3164" s="41">
        <v>14316</v>
      </c>
      <c r="J3164" s="41">
        <v>4772</v>
      </c>
    </row>
    <row r="3165" spans="1:11" x14ac:dyDescent="0.25">
      <c r="A3165" s="24" t="s">
        <v>7</v>
      </c>
      <c r="B3165" s="24" t="s">
        <v>15176</v>
      </c>
      <c r="C3165" s="25" t="s">
        <v>15177</v>
      </c>
      <c r="G3165" s="40">
        <v>1</v>
      </c>
      <c r="H3165" s="41">
        <v>11026</v>
      </c>
      <c r="J3165" s="41">
        <v>11026</v>
      </c>
    </row>
    <row r="3166" spans="1:11" x14ac:dyDescent="0.25">
      <c r="A3166" s="24" t="s">
        <v>7</v>
      </c>
      <c r="B3166" s="24" t="s">
        <v>15204</v>
      </c>
      <c r="C3166" s="25" t="s">
        <v>15205</v>
      </c>
      <c r="D3166" s="24" t="s">
        <v>22243</v>
      </c>
      <c r="G3166" s="40">
        <v>4</v>
      </c>
      <c r="H3166" s="41">
        <v>236.76</v>
      </c>
      <c r="J3166" s="41">
        <v>59.19</v>
      </c>
    </row>
    <row r="3167" spans="1:11" x14ac:dyDescent="0.25">
      <c r="A3167" s="24" t="s">
        <v>7</v>
      </c>
      <c r="B3167" s="24" t="s">
        <v>15215</v>
      </c>
      <c r="C3167" s="25" t="s">
        <v>15216</v>
      </c>
      <c r="D3167" s="24" t="s">
        <v>22243</v>
      </c>
      <c r="G3167" s="40">
        <v>3</v>
      </c>
      <c r="H3167" s="41">
        <v>274.44</v>
      </c>
      <c r="J3167" s="41">
        <v>91.48</v>
      </c>
    </row>
    <row r="3168" spans="1:11" x14ac:dyDescent="0.25">
      <c r="A3168" s="24" t="s">
        <v>7</v>
      </c>
      <c r="B3168" s="24" t="s">
        <v>15222</v>
      </c>
      <c r="C3168" s="25" t="s">
        <v>3422</v>
      </c>
      <c r="D3168" s="24" t="s">
        <v>22244</v>
      </c>
      <c r="E3168" s="40">
        <v>88</v>
      </c>
      <c r="F3168" s="41">
        <v>4737.04</v>
      </c>
      <c r="G3168" s="40">
        <v>61</v>
      </c>
      <c r="H3168" s="41">
        <v>3283.63</v>
      </c>
      <c r="I3168" s="41">
        <v>53.83</v>
      </c>
      <c r="J3168" s="41">
        <v>53.83</v>
      </c>
      <c r="K3168" s="42">
        <v>0</v>
      </c>
    </row>
    <row r="3169" spans="1:11" x14ac:dyDescent="0.25">
      <c r="A3169" s="24" t="s">
        <v>7</v>
      </c>
      <c r="B3169" s="24" t="s">
        <v>15223</v>
      </c>
      <c r="C3169" s="25" t="s">
        <v>15224</v>
      </c>
      <c r="D3169" s="24" t="s">
        <v>22243</v>
      </c>
      <c r="G3169" s="40">
        <v>4</v>
      </c>
      <c r="H3169" s="41">
        <v>301.36</v>
      </c>
      <c r="J3169" s="41">
        <v>75.34</v>
      </c>
    </row>
    <row r="3170" spans="1:11" x14ac:dyDescent="0.25">
      <c r="A3170" s="24" t="s">
        <v>7</v>
      </c>
      <c r="B3170" s="24" t="s">
        <v>15242</v>
      </c>
      <c r="C3170" s="25" t="s">
        <v>15243</v>
      </c>
      <c r="D3170" s="24" t="s">
        <v>21448</v>
      </c>
      <c r="G3170" s="40">
        <v>1</v>
      </c>
      <c r="H3170" s="41">
        <v>153.80000000000001</v>
      </c>
      <c r="J3170" s="41">
        <v>153.80000000000001</v>
      </c>
    </row>
    <row r="3171" spans="1:11" x14ac:dyDescent="0.25">
      <c r="A3171" s="24" t="s">
        <v>7</v>
      </c>
      <c r="B3171" s="24" t="s">
        <v>15245</v>
      </c>
      <c r="C3171" s="25" t="s">
        <v>3861</v>
      </c>
      <c r="D3171" s="24" t="s">
        <v>21448</v>
      </c>
      <c r="G3171" s="40">
        <v>2</v>
      </c>
      <c r="H3171" s="41">
        <v>969.66</v>
      </c>
      <c r="J3171" s="41">
        <v>484.83</v>
      </c>
    </row>
    <row r="3172" spans="1:11" x14ac:dyDescent="0.25">
      <c r="A3172" s="24" t="s">
        <v>7</v>
      </c>
      <c r="B3172" s="24" t="s">
        <v>15246</v>
      </c>
      <c r="C3172" s="25" t="s">
        <v>15247</v>
      </c>
      <c r="D3172" s="24" t="s">
        <v>21448</v>
      </c>
      <c r="G3172" s="40">
        <v>3</v>
      </c>
      <c r="H3172" s="41">
        <v>402</v>
      </c>
      <c r="J3172" s="41">
        <v>134</v>
      </c>
    </row>
    <row r="3173" spans="1:11" x14ac:dyDescent="0.25">
      <c r="A3173" s="24" t="s">
        <v>7</v>
      </c>
      <c r="B3173" s="24" t="s">
        <v>15249</v>
      </c>
      <c r="C3173" s="25" t="s">
        <v>15250</v>
      </c>
      <c r="D3173" s="24" t="s">
        <v>22245</v>
      </c>
      <c r="E3173" s="40">
        <v>288</v>
      </c>
      <c r="F3173" s="41">
        <v>43057.2</v>
      </c>
      <c r="G3173" s="40">
        <v>237</v>
      </c>
      <c r="H3173" s="41">
        <v>40147.800000000003</v>
      </c>
      <c r="I3173" s="41">
        <v>149.50416666666666</v>
      </c>
      <c r="J3173" s="41">
        <v>169.4</v>
      </c>
      <c r="K3173" s="42">
        <v>0.13307878821660496</v>
      </c>
    </row>
    <row r="3174" spans="1:11" x14ac:dyDescent="0.25">
      <c r="A3174" s="24" t="s">
        <v>7</v>
      </c>
      <c r="B3174" s="24" t="s">
        <v>15259</v>
      </c>
      <c r="C3174" s="25" t="s">
        <v>3951</v>
      </c>
      <c r="D3174" s="24" t="s">
        <v>21467</v>
      </c>
      <c r="G3174" s="40">
        <v>1</v>
      </c>
      <c r="H3174" s="41">
        <v>66.150000000000006</v>
      </c>
      <c r="J3174" s="41">
        <v>66.150000000000006</v>
      </c>
    </row>
    <row r="3175" spans="1:11" x14ac:dyDescent="0.25">
      <c r="A3175" s="24" t="s">
        <v>7</v>
      </c>
      <c r="B3175" s="24" t="s">
        <v>15270</v>
      </c>
      <c r="C3175" s="25" t="s">
        <v>15271</v>
      </c>
      <c r="D3175" s="24" t="s">
        <v>22246</v>
      </c>
      <c r="G3175" s="40">
        <v>1</v>
      </c>
      <c r="H3175" s="41">
        <v>85.25</v>
      </c>
      <c r="J3175" s="41">
        <v>85.25</v>
      </c>
    </row>
    <row r="3176" spans="1:11" x14ac:dyDescent="0.25">
      <c r="A3176" s="24" t="s">
        <v>7</v>
      </c>
      <c r="B3176" s="24" t="s">
        <v>15282</v>
      </c>
      <c r="C3176" s="25" t="s">
        <v>15283</v>
      </c>
      <c r="D3176" s="24" t="s">
        <v>21462</v>
      </c>
      <c r="E3176" s="40">
        <v>1</v>
      </c>
      <c r="F3176" s="41">
        <v>205</v>
      </c>
      <c r="G3176" s="40">
        <v>0</v>
      </c>
      <c r="H3176" s="41">
        <v>0</v>
      </c>
      <c r="I3176" s="41">
        <v>205</v>
      </c>
    </row>
    <row r="3177" spans="1:11" x14ac:dyDescent="0.25">
      <c r="A3177" s="24" t="s">
        <v>7</v>
      </c>
      <c r="B3177" s="24" t="s">
        <v>15286</v>
      </c>
      <c r="C3177" s="25" t="s">
        <v>15287</v>
      </c>
      <c r="D3177" s="24" t="s">
        <v>22247</v>
      </c>
      <c r="E3177" s="40">
        <v>33</v>
      </c>
      <c r="F3177" s="41">
        <v>526.35</v>
      </c>
      <c r="G3177" s="40">
        <v>37</v>
      </c>
      <c r="H3177" s="41">
        <v>590.15</v>
      </c>
      <c r="I3177" s="41">
        <v>15.950000000000001</v>
      </c>
      <c r="J3177" s="41">
        <v>15.95</v>
      </c>
      <c r="K3177" s="42">
        <v>-1.1137033475863638E-16</v>
      </c>
    </row>
    <row r="3178" spans="1:11" x14ac:dyDescent="0.25">
      <c r="A3178" s="24" t="s">
        <v>7</v>
      </c>
      <c r="B3178" s="24" t="s">
        <v>15289</v>
      </c>
      <c r="C3178" s="25" t="s">
        <v>3117</v>
      </c>
      <c r="D3178" s="24" t="s">
        <v>21318</v>
      </c>
      <c r="E3178" s="40">
        <v>61</v>
      </c>
      <c r="F3178" s="41">
        <v>1220</v>
      </c>
      <c r="G3178" s="40">
        <v>0</v>
      </c>
      <c r="H3178" s="41">
        <v>0</v>
      </c>
      <c r="I3178" s="41">
        <v>20</v>
      </c>
    </row>
    <row r="3179" spans="1:11" x14ac:dyDescent="0.25">
      <c r="A3179" s="24" t="s">
        <v>7</v>
      </c>
      <c r="B3179" s="24" t="s">
        <v>15294</v>
      </c>
      <c r="C3179" s="25" t="s">
        <v>15295</v>
      </c>
      <c r="D3179" s="24" t="s">
        <v>22247</v>
      </c>
      <c r="E3179" s="40">
        <v>33</v>
      </c>
      <c r="F3179" s="41">
        <v>526.35</v>
      </c>
      <c r="G3179" s="40">
        <v>37</v>
      </c>
      <c r="H3179" s="41">
        <v>590.15</v>
      </c>
      <c r="I3179" s="41">
        <v>15.950000000000001</v>
      </c>
      <c r="J3179" s="41">
        <v>15.95</v>
      </c>
      <c r="K3179" s="42">
        <v>-1.1137033475863638E-16</v>
      </c>
    </row>
    <row r="3180" spans="1:11" x14ac:dyDescent="0.25">
      <c r="A3180" s="24" t="s">
        <v>7</v>
      </c>
      <c r="B3180" s="24" t="s">
        <v>15296</v>
      </c>
      <c r="C3180" s="25" t="s">
        <v>15297</v>
      </c>
      <c r="D3180" s="24" t="s">
        <v>22248</v>
      </c>
      <c r="G3180" s="40">
        <v>2</v>
      </c>
      <c r="H3180" s="41">
        <v>122.1</v>
      </c>
      <c r="J3180" s="41">
        <v>61.05</v>
      </c>
    </row>
    <row r="3181" spans="1:11" x14ac:dyDescent="0.25">
      <c r="A3181" s="24" t="s">
        <v>7</v>
      </c>
      <c r="B3181" s="24" t="s">
        <v>15305</v>
      </c>
      <c r="C3181" s="25" t="s">
        <v>3523</v>
      </c>
      <c r="D3181" s="24" t="s">
        <v>22249</v>
      </c>
      <c r="E3181" s="40">
        <v>5</v>
      </c>
      <c r="F3181" s="41">
        <v>51</v>
      </c>
      <c r="G3181" s="40">
        <v>2</v>
      </c>
      <c r="H3181" s="41">
        <v>20.399999999999999</v>
      </c>
      <c r="I3181" s="41">
        <v>10.199999999999999</v>
      </c>
      <c r="J3181" s="41">
        <v>10.199999999999999</v>
      </c>
      <c r="K3181" s="42">
        <v>0</v>
      </c>
    </row>
    <row r="3182" spans="1:11" x14ac:dyDescent="0.25">
      <c r="A3182" s="24" t="s">
        <v>7</v>
      </c>
      <c r="B3182" s="24" t="s">
        <v>15333</v>
      </c>
      <c r="C3182" s="25" t="s">
        <v>15334</v>
      </c>
      <c r="D3182" s="24" t="s">
        <v>22250</v>
      </c>
      <c r="G3182" s="40">
        <v>1</v>
      </c>
      <c r="H3182" s="41">
        <v>79</v>
      </c>
      <c r="J3182" s="41">
        <v>79</v>
      </c>
    </row>
    <row r="3183" spans="1:11" x14ac:dyDescent="0.25">
      <c r="A3183" s="24" t="s">
        <v>7</v>
      </c>
      <c r="B3183" s="24" t="s">
        <v>15341</v>
      </c>
      <c r="C3183" s="25" t="s">
        <v>15342</v>
      </c>
      <c r="D3183" s="24" t="s">
        <v>22251</v>
      </c>
      <c r="G3183" s="40">
        <v>7</v>
      </c>
      <c r="H3183" s="41">
        <v>490</v>
      </c>
      <c r="J3183" s="41">
        <v>70</v>
      </c>
    </row>
    <row r="3184" spans="1:11" x14ac:dyDescent="0.25">
      <c r="A3184" s="24" t="s">
        <v>7</v>
      </c>
      <c r="B3184" s="24" t="s">
        <v>15363</v>
      </c>
      <c r="C3184" s="25" t="s">
        <v>15364</v>
      </c>
      <c r="D3184" s="24" t="s">
        <v>22252</v>
      </c>
      <c r="E3184" s="40">
        <v>8</v>
      </c>
      <c r="F3184" s="41">
        <v>1180</v>
      </c>
      <c r="G3184" s="40">
        <v>11</v>
      </c>
      <c r="H3184" s="41">
        <v>1622.5</v>
      </c>
      <c r="I3184" s="41">
        <v>147.5</v>
      </c>
      <c r="J3184" s="41">
        <v>147.5</v>
      </c>
      <c r="K3184" s="42">
        <v>0</v>
      </c>
    </row>
    <row r="3185" spans="1:11" x14ac:dyDescent="0.25">
      <c r="A3185" s="24" t="s">
        <v>7</v>
      </c>
      <c r="B3185" s="24" t="s">
        <v>15371</v>
      </c>
      <c r="C3185" s="25" t="s">
        <v>15372</v>
      </c>
      <c r="D3185" s="24" t="s">
        <v>22253</v>
      </c>
      <c r="E3185" s="40">
        <v>4</v>
      </c>
      <c r="F3185" s="41">
        <v>4040</v>
      </c>
      <c r="G3185" s="40">
        <v>9</v>
      </c>
      <c r="H3185" s="41">
        <v>9090</v>
      </c>
      <c r="I3185" s="41">
        <v>1010</v>
      </c>
      <c r="J3185" s="41">
        <v>1010</v>
      </c>
      <c r="K3185" s="42">
        <v>0</v>
      </c>
    </row>
    <row r="3186" spans="1:11" x14ac:dyDescent="0.25">
      <c r="A3186" s="24" t="s">
        <v>7</v>
      </c>
      <c r="B3186" s="24" t="s">
        <v>15377</v>
      </c>
      <c r="C3186" s="25" t="s">
        <v>15378</v>
      </c>
      <c r="D3186" s="24" t="s">
        <v>21461</v>
      </c>
      <c r="E3186" s="40">
        <v>4</v>
      </c>
      <c r="F3186" s="41">
        <v>4040</v>
      </c>
      <c r="G3186" s="40">
        <v>9</v>
      </c>
      <c r="H3186" s="41">
        <v>9090</v>
      </c>
      <c r="I3186" s="41">
        <v>1010</v>
      </c>
      <c r="J3186" s="41">
        <v>1010</v>
      </c>
      <c r="K3186" s="42">
        <v>0</v>
      </c>
    </row>
    <row r="3187" spans="1:11" x14ac:dyDescent="0.25">
      <c r="A3187" s="24" t="s">
        <v>7</v>
      </c>
      <c r="B3187" s="24" t="s">
        <v>15386</v>
      </c>
      <c r="C3187" s="25" t="s">
        <v>15387</v>
      </c>
      <c r="D3187" s="24" t="s">
        <v>22254</v>
      </c>
      <c r="G3187" s="40">
        <v>1</v>
      </c>
      <c r="H3187" s="41">
        <v>593.75</v>
      </c>
      <c r="J3187" s="41">
        <v>593.75</v>
      </c>
    </row>
    <row r="3188" spans="1:11" x14ac:dyDescent="0.25">
      <c r="A3188" s="24" t="s">
        <v>7</v>
      </c>
      <c r="B3188" s="24" t="s">
        <v>15389</v>
      </c>
      <c r="C3188" s="25" t="s">
        <v>15390</v>
      </c>
      <c r="D3188" s="24" t="s">
        <v>22255</v>
      </c>
      <c r="E3188" s="40">
        <v>36</v>
      </c>
      <c r="F3188" s="41">
        <v>3029.4</v>
      </c>
      <c r="G3188" s="40">
        <v>40</v>
      </c>
      <c r="H3188" s="41">
        <v>3366</v>
      </c>
      <c r="I3188" s="41">
        <v>84.15</v>
      </c>
      <c r="J3188" s="41">
        <v>84.15</v>
      </c>
      <c r="K3188" s="42">
        <v>0</v>
      </c>
    </row>
    <row r="3189" spans="1:11" x14ac:dyDescent="0.25">
      <c r="A3189" s="24" t="s">
        <v>7</v>
      </c>
      <c r="B3189" s="24" t="s">
        <v>15414</v>
      </c>
      <c r="C3189" s="25" t="s">
        <v>15415</v>
      </c>
      <c r="D3189" s="24" t="s">
        <v>22256</v>
      </c>
      <c r="G3189" s="40">
        <v>1</v>
      </c>
      <c r="H3189" s="41">
        <v>25</v>
      </c>
      <c r="J3189" s="41">
        <v>25</v>
      </c>
    </row>
    <row r="3190" spans="1:11" x14ac:dyDescent="0.25">
      <c r="A3190" s="24" t="s">
        <v>7</v>
      </c>
      <c r="B3190" s="24" t="s">
        <v>15429</v>
      </c>
      <c r="C3190" s="25" t="s">
        <v>15430</v>
      </c>
      <c r="D3190" s="24" t="s">
        <v>22257</v>
      </c>
      <c r="G3190" s="40">
        <v>1</v>
      </c>
      <c r="H3190" s="41">
        <v>78.75</v>
      </c>
      <c r="J3190" s="41">
        <v>78.75</v>
      </c>
    </row>
    <row r="3191" spans="1:11" x14ac:dyDescent="0.25">
      <c r="A3191" s="24" t="s">
        <v>7</v>
      </c>
      <c r="B3191" s="24" t="s">
        <v>15453</v>
      </c>
      <c r="C3191" s="25" t="s">
        <v>15454</v>
      </c>
      <c r="D3191" s="24" t="s">
        <v>22258</v>
      </c>
      <c r="E3191" s="40">
        <v>1</v>
      </c>
      <c r="F3191" s="41">
        <v>2022.5</v>
      </c>
      <c r="G3191" s="40">
        <v>0</v>
      </c>
      <c r="H3191" s="41">
        <v>0</v>
      </c>
      <c r="I3191" s="41">
        <v>2022.5</v>
      </c>
    </row>
    <row r="3192" spans="1:11" x14ac:dyDescent="0.25">
      <c r="A3192" s="24" t="s">
        <v>7</v>
      </c>
      <c r="B3192" s="24" t="s">
        <v>15456</v>
      </c>
      <c r="C3192" s="25" t="s">
        <v>15457</v>
      </c>
      <c r="D3192" s="24" t="s">
        <v>22259</v>
      </c>
      <c r="G3192" s="40">
        <v>1</v>
      </c>
      <c r="H3192" s="41">
        <v>275</v>
      </c>
      <c r="J3192" s="41">
        <v>275</v>
      </c>
    </row>
    <row r="3193" spans="1:11" x14ac:dyDescent="0.25">
      <c r="A3193" s="24" t="s">
        <v>7</v>
      </c>
      <c r="B3193" s="24" t="s">
        <v>15459</v>
      </c>
      <c r="C3193" s="25" t="s">
        <v>15460</v>
      </c>
      <c r="D3193" s="24" t="s">
        <v>22260</v>
      </c>
      <c r="G3193" s="40">
        <v>1</v>
      </c>
      <c r="H3193" s="41">
        <v>275</v>
      </c>
      <c r="J3193" s="41">
        <v>275</v>
      </c>
    </row>
    <row r="3194" spans="1:11" x14ac:dyDescent="0.25">
      <c r="A3194" s="24" t="s">
        <v>7</v>
      </c>
      <c r="B3194" s="24" t="s">
        <v>15523</v>
      </c>
      <c r="C3194" s="25" t="s">
        <v>15524</v>
      </c>
      <c r="D3194" s="24" t="s">
        <v>22261</v>
      </c>
      <c r="G3194" s="40">
        <v>1</v>
      </c>
      <c r="H3194" s="41">
        <v>445</v>
      </c>
      <c r="J3194" s="41">
        <v>445</v>
      </c>
    </row>
    <row r="3195" spans="1:11" x14ac:dyDescent="0.25">
      <c r="A3195" s="24" t="s">
        <v>7</v>
      </c>
      <c r="B3195" s="24" t="s">
        <v>15543</v>
      </c>
      <c r="C3195" s="25" t="s">
        <v>15544</v>
      </c>
      <c r="D3195" s="24" t="s">
        <v>21321</v>
      </c>
      <c r="E3195" s="40">
        <v>1</v>
      </c>
      <c r="F3195" s="41">
        <v>10.199999999999999</v>
      </c>
      <c r="G3195" s="40">
        <v>0</v>
      </c>
      <c r="H3195" s="41">
        <v>0</v>
      </c>
      <c r="I3195" s="41">
        <v>10.199999999999999</v>
      </c>
    </row>
    <row r="3196" spans="1:11" x14ac:dyDescent="0.25">
      <c r="A3196" s="24" t="s">
        <v>7</v>
      </c>
      <c r="B3196" s="24" t="s">
        <v>15546</v>
      </c>
      <c r="C3196" s="25" t="s">
        <v>15547</v>
      </c>
      <c r="D3196" s="24" t="s">
        <v>22262</v>
      </c>
      <c r="E3196" s="40">
        <v>70</v>
      </c>
      <c r="F3196" s="41">
        <v>871.5</v>
      </c>
      <c r="G3196" s="40">
        <v>35</v>
      </c>
      <c r="H3196" s="41">
        <v>435.75</v>
      </c>
      <c r="I3196" s="41">
        <v>12.45</v>
      </c>
      <c r="J3196" s="41">
        <v>12.45</v>
      </c>
      <c r="K3196" s="42">
        <v>0</v>
      </c>
    </row>
    <row r="3197" spans="1:11" x14ac:dyDescent="0.25">
      <c r="A3197" s="24" t="s">
        <v>7</v>
      </c>
      <c r="B3197" s="24" t="s">
        <v>15554</v>
      </c>
      <c r="C3197" s="25" t="s">
        <v>15555</v>
      </c>
      <c r="D3197" s="24" t="s">
        <v>22263</v>
      </c>
      <c r="G3197" s="40">
        <v>1</v>
      </c>
      <c r="H3197" s="41">
        <v>28.25</v>
      </c>
      <c r="J3197" s="41">
        <v>28.25</v>
      </c>
    </row>
    <row r="3198" spans="1:11" x14ac:dyDescent="0.25">
      <c r="A3198" s="24" t="s">
        <v>7</v>
      </c>
      <c r="B3198" s="24" t="s">
        <v>15589</v>
      </c>
      <c r="C3198" s="25" t="s">
        <v>15590</v>
      </c>
      <c r="D3198" s="24" t="s">
        <v>22264</v>
      </c>
      <c r="G3198" s="40">
        <v>1</v>
      </c>
      <c r="H3198" s="41">
        <v>90.25</v>
      </c>
      <c r="J3198" s="41">
        <v>90.25</v>
      </c>
    </row>
    <row r="3199" spans="1:11" x14ac:dyDescent="0.25">
      <c r="A3199" s="24" t="s">
        <v>7</v>
      </c>
      <c r="B3199" s="24" t="s">
        <v>15591</v>
      </c>
      <c r="C3199" s="25" t="s">
        <v>15592</v>
      </c>
      <c r="D3199" s="24" t="s">
        <v>22265</v>
      </c>
      <c r="G3199" s="40">
        <v>1</v>
      </c>
      <c r="H3199" s="41">
        <v>89.85</v>
      </c>
      <c r="J3199" s="41">
        <v>89.85</v>
      </c>
    </row>
    <row r="3200" spans="1:11" x14ac:dyDescent="0.25">
      <c r="A3200" s="24" t="s">
        <v>7</v>
      </c>
      <c r="B3200" s="24" t="s">
        <v>15598</v>
      </c>
      <c r="C3200" s="25" t="s">
        <v>15599</v>
      </c>
      <c r="D3200" s="24" t="s">
        <v>21326</v>
      </c>
      <c r="E3200" s="40">
        <v>4</v>
      </c>
      <c r="F3200" s="41">
        <v>41</v>
      </c>
      <c r="G3200" s="40">
        <v>4</v>
      </c>
      <c r="H3200" s="41">
        <v>41</v>
      </c>
      <c r="I3200" s="41">
        <v>10.25</v>
      </c>
      <c r="J3200" s="41">
        <v>10.25</v>
      </c>
      <c r="K3200" s="42">
        <v>0</v>
      </c>
    </row>
    <row r="3201" spans="1:11" x14ac:dyDescent="0.25">
      <c r="A3201" s="24" t="s">
        <v>7</v>
      </c>
      <c r="B3201" s="24" t="s">
        <v>15631</v>
      </c>
      <c r="C3201" s="25" t="s">
        <v>15632</v>
      </c>
      <c r="D3201" s="24" t="s">
        <v>22266</v>
      </c>
      <c r="G3201" s="40">
        <v>1</v>
      </c>
      <c r="H3201" s="41">
        <v>110</v>
      </c>
      <c r="J3201" s="41">
        <v>110</v>
      </c>
    </row>
    <row r="3202" spans="1:11" x14ac:dyDescent="0.25">
      <c r="A3202" s="24" t="s">
        <v>7</v>
      </c>
      <c r="B3202" s="24" t="s">
        <v>15639</v>
      </c>
      <c r="C3202" s="25" t="s">
        <v>15640</v>
      </c>
      <c r="D3202" s="24" t="s">
        <v>22267</v>
      </c>
      <c r="G3202" s="40">
        <v>1</v>
      </c>
      <c r="H3202" s="41">
        <v>67.25</v>
      </c>
      <c r="J3202" s="41">
        <v>67.25</v>
      </c>
    </row>
    <row r="3203" spans="1:11" x14ac:dyDescent="0.25">
      <c r="A3203" s="24" t="s">
        <v>7</v>
      </c>
      <c r="B3203" s="24" t="s">
        <v>15661</v>
      </c>
      <c r="C3203" s="25" t="s">
        <v>15662</v>
      </c>
      <c r="D3203" s="24" t="s">
        <v>22268</v>
      </c>
      <c r="G3203" s="40">
        <v>1</v>
      </c>
      <c r="H3203" s="41">
        <v>78.75</v>
      </c>
      <c r="J3203" s="41">
        <v>78.75</v>
      </c>
    </row>
    <row r="3204" spans="1:11" x14ac:dyDescent="0.25">
      <c r="A3204" s="24" t="s">
        <v>7</v>
      </c>
      <c r="B3204" s="24" t="s">
        <v>15678</v>
      </c>
      <c r="C3204" s="25" t="s">
        <v>15679</v>
      </c>
      <c r="D3204" s="24" t="s">
        <v>22269</v>
      </c>
      <c r="G3204" s="40">
        <v>1</v>
      </c>
      <c r="H3204" s="41">
        <v>56.5</v>
      </c>
      <c r="J3204" s="41">
        <v>56.5</v>
      </c>
    </row>
    <row r="3205" spans="1:11" x14ac:dyDescent="0.25">
      <c r="A3205" s="24" t="s">
        <v>7</v>
      </c>
      <c r="B3205" s="24" t="s">
        <v>15724</v>
      </c>
      <c r="C3205" s="25" t="s">
        <v>15725</v>
      </c>
      <c r="D3205" s="24" t="s">
        <v>22270</v>
      </c>
      <c r="G3205" s="40">
        <v>2</v>
      </c>
      <c r="H3205" s="41">
        <v>49.8</v>
      </c>
      <c r="J3205" s="41">
        <v>24.9</v>
      </c>
    </row>
    <row r="3206" spans="1:11" x14ac:dyDescent="0.25">
      <c r="A3206" s="24" t="s">
        <v>7</v>
      </c>
      <c r="B3206" s="24" t="s">
        <v>15764</v>
      </c>
      <c r="C3206" s="25" t="s">
        <v>15765</v>
      </c>
      <c r="D3206" s="24" t="s">
        <v>22247</v>
      </c>
      <c r="G3206" s="40">
        <v>1</v>
      </c>
      <c r="H3206" s="41">
        <v>51.25</v>
      </c>
      <c r="J3206" s="41">
        <v>51.25</v>
      </c>
    </row>
    <row r="3207" spans="1:11" x14ac:dyDescent="0.25">
      <c r="A3207" s="24" t="s">
        <v>7</v>
      </c>
      <c r="B3207" s="24" t="s">
        <v>15766</v>
      </c>
      <c r="C3207" s="25" t="s">
        <v>15767</v>
      </c>
      <c r="D3207" s="24" t="s">
        <v>22271</v>
      </c>
      <c r="G3207" s="40">
        <v>1</v>
      </c>
      <c r="H3207" s="41">
        <v>315</v>
      </c>
      <c r="J3207" s="41">
        <v>315</v>
      </c>
    </row>
    <row r="3208" spans="1:11" x14ac:dyDescent="0.25">
      <c r="A3208" s="24" t="s">
        <v>7</v>
      </c>
      <c r="B3208" s="24" t="s">
        <v>15771</v>
      </c>
      <c r="C3208" s="25" t="s">
        <v>15772</v>
      </c>
      <c r="D3208" s="24" t="s">
        <v>22243</v>
      </c>
      <c r="E3208" s="40">
        <v>2</v>
      </c>
      <c r="F3208" s="41">
        <v>282.5</v>
      </c>
      <c r="G3208" s="40">
        <v>0</v>
      </c>
      <c r="H3208" s="41">
        <v>0</v>
      </c>
      <c r="I3208" s="41">
        <v>141.25</v>
      </c>
    </row>
    <row r="3209" spans="1:11" x14ac:dyDescent="0.25">
      <c r="A3209" s="24" t="s">
        <v>7</v>
      </c>
      <c r="B3209" s="24" t="s">
        <v>15798</v>
      </c>
      <c r="C3209" s="25" t="s">
        <v>15799</v>
      </c>
      <c r="D3209" s="24" t="s">
        <v>22272</v>
      </c>
      <c r="G3209" s="40">
        <v>2</v>
      </c>
      <c r="H3209" s="41">
        <v>56.8</v>
      </c>
      <c r="J3209" s="41">
        <v>28.4</v>
      </c>
    </row>
    <row r="3210" spans="1:11" x14ac:dyDescent="0.25">
      <c r="A3210" s="24" t="s">
        <v>7</v>
      </c>
      <c r="B3210" s="24" t="s">
        <v>15801</v>
      </c>
      <c r="C3210" s="25" t="s">
        <v>15802</v>
      </c>
      <c r="D3210" s="24" t="s">
        <v>22247</v>
      </c>
      <c r="G3210" s="40">
        <v>13</v>
      </c>
      <c r="H3210" s="41">
        <v>442</v>
      </c>
      <c r="J3210" s="41">
        <v>34</v>
      </c>
    </row>
    <row r="3211" spans="1:11" x14ac:dyDescent="0.25">
      <c r="A3211" s="24" t="s">
        <v>7</v>
      </c>
      <c r="B3211" s="24" t="s">
        <v>15806</v>
      </c>
      <c r="C3211" s="25" t="s">
        <v>15807</v>
      </c>
      <c r="D3211" s="24" t="s">
        <v>22273</v>
      </c>
      <c r="G3211" s="40">
        <v>4</v>
      </c>
      <c r="H3211" s="41">
        <v>40.799999999999997</v>
      </c>
      <c r="J3211" s="41">
        <v>10.199999999999999</v>
      </c>
    </row>
    <row r="3212" spans="1:11" x14ac:dyDescent="0.25">
      <c r="A3212" s="24" t="s">
        <v>7</v>
      </c>
      <c r="B3212" s="24" t="s">
        <v>15829</v>
      </c>
      <c r="C3212" s="25" t="s">
        <v>3368</v>
      </c>
      <c r="D3212" s="24" t="s">
        <v>21361</v>
      </c>
      <c r="G3212" s="40">
        <v>2</v>
      </c>
      <c r="H3212" s="41">
        <v>181</v>
      </c>
      <c r="J3212" s="41">
        <v>90.5</v>
      </c>
    </row>
    <row r="3213" spans="1:11" x14ac:dyDescent="0.25">
      <c r="A3213" s="24" t="s">
        <v>7</v>
      </c>
      <c r="B3213" s="24" t="s">
        <v>15831</v>
      </c>
      <c r="C3213" s="25" t="s">
        <v>15832</v>
      </c>
      <c r="D3213" s="24" t="s">
        <v>22243</v>
      </c>
      <c r="E3213" s="40">
        <v>1</v>
      </c>
      <c r="F3213" s="41">
        <v>41.95</v>
      </c>
      <c r="G3213" s="40">
        <v>1</v>
      </c>
      <c r="H3213" s="41">
        <v>41.95</v>
      </c>
      <c r="I3213" s="41">
        <v>41.95</v>
      </c>
      <c r="J3213" s="41">
        <v>41.95</v>
      </c>
      <c r="K3213" s="42">
        <v>0</v>
      </c>
    </row>
    <row r="3214" spans="1:11" x14ac:dyDescent="0.25">
      <c r="A3214" s="24" t="s">
        <v>7</v>
      </c>
      <c r="B3214" s="24" t="s">
        <v>15833</v>
      </c>
      <c r="C3214" s="25" t="s">
        <v>15834</v>
      </c>
      <c r="D3214" s="24" t="s">
        <v>22243</v>
      </c>
      <c r="G3214" s="40">
        <v>3</v>
      </c>
      <c r="H3214" s="41">
        <v>262.5</v>
      </c>
      <c r="J3214" s="41">
        <v>87.5</v>
      </c>
    </row>
    <row r="3215" spans="1:11" x14ac:dyDescent="0.25">
      <c r="A3215" s="24" t="s">
        <v>7</v>
      </c>
      <c r="B3215" s="24" t="s">
        <v>15884</v>
      </c>
      <c r="C3215" s="25" t="s">
        <v>15885</v>
      </c>
      <c r="D3215" s="24" t="s">
        <v>22274</v>
      </c>
      <c r="G3215" s="40">
        <v>1</v>
      </c>
      <c r="H3215" s="41">
        <v>78.75</v>
      </c>
      <c r="J3215" s="41">
        <v>78.75</v>
      </c>
    </row>
    <row r="3216" spans="1:11" x14ac:dyDescent="0.25">
      <c r="A3216" s="24" t="s">
        <v>7</v>
      </c>
      <c r="B3216" s="24" t="s">
        <v>15894</v>
      </c>
      <c r="C3216" s="25" t="s">
        <v>3405</v>
      </c>
      <c r="D3216" s="24" t="s">
        <v>22275</v>
      </c>
      <c r="G3216" s="40">
        <v>2</v>
      </c>
      <c r="H3216" s="41">
        <v>160</v>
      </c>
      <c r="J3216" s="41">
        <v>80</v>
      </c>
    </row>
    <row r="3217" spans="1:11" x14ac:dyDescent="0.25">
      <c r="A3217" s="24" t="s">
        <v>7</v>
      </c>
      <c r="B3217" s="24" t="s">
        <v>15904</v>
      </c>
      <c r="C3217" s="25" t="s">
        <v>15905</v>
      </c>
      <c r="D3217" s="24" t="s">
        <v>22276</v>
      </c>
      <c r="G3217" s="40">
        <v>1</v>
      </c>
      <c r="H3217" s="41">
        <v>114</v>
      </c>
      <c r="J3217" s="41">
        <v>114</v>
      </c>
    </row>
    <row r="3218" spans="1:11" x14ac:dyDescent="0.25">
      <c r="A3218" s="24" t="s">
        <v>7</v>
      </c>
      <c r="B3218" s="24" t="s">
        <v>15931</v>
      </c>
      <c r="C3218" s="25" t="s">
        <v>15932</v>
      </c>
      <c r="D3218" s="24" t="s">
        <v>22277</v>
      </c>
      <c r="G3218" s="40">
        <v>1</v>
      </c>
      <c r="H3218" s="41">
        <v>90.25</v>
      </c>
      <c r="J3218" s="41">
        <v>90.25</v>
      </c>
    </row>
    <row r="3219" spans="1:11" x14ac:dyDescent="0.25">
      <c r="A3219" s="24" t="s">
        <v>7</v>
      </c>
      <c r="B3219" s="24" t="s">
        <v>15981</v>
      </c>
      <c r="C3219" s="25" t="s">
        <v>15982</v>
      </c>
      <c r="D3219" s="24" t="s">
        <v>22271</v>
      </c>
      <c r="G3219" s="40">
        <v>1</v>
      </c>
      <c r="H3219" s="41">
        <v>640.85</v>
      </c>
      <c r="J3219" s="41">
        <v>640.85</v>
      </c>
    </row>
    <row r="3220" spans="1:11" x14ac:dyDescent="0.25">
      <c r="A3220" s="24" t="s">
        <v>7</v>
      </c>
      <c r="B3220" s="24" t="s">
        <v>15994</v>
      </c>
      <c r="C3220" s="25" t="s">
        <v>15995</v>
      </c>
      <c r="D3220" s="24" t="s">
        <v>22278</v>
      </c>
      <c r="G3220" s="40">
        <v>1</v>
      </c>
      <c r="H3220" s="41">
        <v>16.899999999999999</v>
      </c>
      <c r="J3220" s="41">
        <v>16.899999999999999</v>
      </c>
    </row>
    <row r="3221" spans="1:11" x14ac:dyDescent="0.25">
      <c r="A3221" s="24" t="s">
        <v>7</v>
      </c>
      <c r="B3221" s="24" t="s">
        <v>15997</v>
      </c>
      <c r="C3221" s="25" t="s">
        <v>15998</v>
      </c>
      <c r="D3221" s="24" t="s">
        <v>21318</v>
      </c>
      <c r="G3221" s="40">
        <v>1</v>
      </c>
      <c r="H3221" s="41">
        <v>71.37</v>
      </c>
      <c r="J3221" s="41">
        <v>71.37</v>
      </c>
    </row>
    <row r="3222" spans="1:11" x14ac:dyDescent="0.25">
      <c r="A3222" s="24" t="s">
        <v>7</v>
      </c>
      <c r="B3222" s="24" t="s">
        <v>16027</v>
      </c>
      <c r="C3222" s="25" t="s">
        <v>3517</v>
      </c>
      <c r="D3222" s="24" t="s">
        <v>21392</v>
      </c>
      <c r="G3222" s="40">
        <v>1</v>
      </c>
      <c r="H3222" s="41">
        <v>10.199999999999999</v>
      </c>
      <c r="J3222" s="41">
        <v>10.199999999999999</v>
      </c>
    </row>
    <row r="3223" spans="1:11" x14ac:dyDescent="0.25">
      <c r="A3223" s="24" t="s">
        <v>7</v>
      </c>
      <c r="B3223" s="24" t="s">
        <v>16073</v>
      </c>
      <c r="C3223" s="25" t="s">
        <v>16074</v>
      </c>
      <c r="D3223" s="24" t="s">
        <v>22279</v>
      </c>
      <c r="G3223" s="40">
        <v>2</v>
      </c>
      <c r="H3223" s="41">
        <v>91.2</v>
      </c>
      <c r="J3223" s="41">
        <v>45.6</v>
      </c>
    </row>
    <row r="3224" spans="1:11" x14ac:dyDescent="0.25">
      <c r="A3224" s="24" t="s">
        <v>7</v>
      </c>
      <c r="B3224" s="24" t="s">
        <v>16115</v>
      </c>
      <c r="C3224" s="25" t="s">
        <v>3614</v>
      </c>
      <c r="D3224" s="24" t="s">
        <v>21130</v>
      </c>
      <c r="G3224" s="40">
        <v>1</v>
      </c>
      <c r="H3224" s="41">
        <v>14.38</v>
      </c>
      <c r="J3224" s="41">
        <v>14.38</v>
      </c>
    </row>
    <row r="3225" spans="1:11" x14ac:dyDescent="0.25">
      <c r="A3225" s="24" t="s">
        <v>7</v>
      </c>
      <c r="B3225" s="24" t="s">
        <v>16126</v>
      </c>
      <c r="C3225" s="25" t="s">
        <v>16127</v>
      </c>
      <c r="D3225" s="24" t="s">
        <v>21128</v>
      </c>
      <c r="E3225" s="40">
        <v>4</v>
      </c>
      <c r="F3225" s="41">
        <v>59.4</v>
      </c>
      <c r="G3225" s="40">
        <v>2</v>
      </c>
      <c r="H3225" s="41">
        <v>29.7</v>
      </c>
      <c r="I3225" s="41">
        <v>14.85</v>
      </c>
      <c r="J3225" s="41">
        <v>14.85</v>
      </c>
      <c r="K3225" s="42">
        <v>0</v>
      </c>
    </row>
    <row r="3226" spans="1:11" x14ac:dyDescent="0.25">
      <c r="A3226" s="24" t="s">
        <v>7</v>
      </c>
      <c r="B3226" s="24" t="s">
        <v>16151</v>
      </c>
      <c r="C3226" s="25" t="s">
        <v>16152</v>
      </c>
      <c r="D3226" s="24" t="s">
        <v>22280</v>
      </c>
      <c r="E3226" s="40">
        <v>6</v>
      </c>
      <c r="F3226" s="41">
        <v>1776</v>
      </c>
      <c r="G3226" s="40">
        <v>4</v>
      </c>
      <c r="H3226" s="41">
        <v>1184</v>
      </c>
      <c r="I3226" s="41">
        <v>296</v>
      </c>
      <c r="J3226" s="41">
        <v>296</v>
      </c>
      <c r="K3226" s="42">
        <v>0</v>
      </c>
    </row>
    <row r="3227" spans="1:11" x14ac:dyDescent="0.25">
      <c r="A3227" s="24" t="s">
        <v>7</v>
      </c>
      <c r="B3227" s="24" t="s">
        <v>16153</v>
      </c>
      <c r="C3227" s="25" t="s">
        <v>16154</v>
      </c>
      <c r="D3227" s="24" t="s">
        <v>22281</v>
      </c>
      <c r="G3227" s="40">
        <v>1</v>
      </c>
      <c r="H3227" s="41">
        <v>14.85</v>
      </c>
      <c r="J3227" s="41">
        <v>14.85</v>
      </c>
    </row>
    <row r="3228" spans="1:11" x14ac:dyDescent="0.25">
      <c r="A3228" s="24" t="s">
        <v>7</v>
      </c>
      <c r="B3228" s="24" t="s">
        <v>16172</v>
      </c>
      <c r="C3228" s="25" t="s">
        <v>16173</v>
      </c>
      <c r="D3228" s="24" t="s">
        <v>22282</v>
      </c>
      <c r="E3228" s="40">
        <v>139</v>
      </c>
      <c r="F3228" s="41">
        <v>998.02</v>
      </c>
      <c r="G3228" s="40">
        <v>286</v>
      </c>
      <c r="H3228" s="41">
        <v>2053.48</v>
      </c>
      <c r="I3228" s="41">
        <v>7.18</v>
      </c>
      <c r="J3228" s="41">
        <v>7.18</v>
      </c>
      <c r="K3228" s="42">
        <v>0</v>
      </c>
    </row>
    <row r="3229" spans="1:11" x14ac:dyDescent="0.25">
      <c r="A3229" s="24" t="s">
        <v>7</v>
      </c>
      <c r="B3229" s="24" t="s">
        <v>16178</v>
      </c>
      <c r="C3229" s="25" t="s">
        <v>16179</v>
      </c>
      <c r="D3229" s="24" t="s">
        <v>22283</v>
      </c>
      <c r="E3229" s="40">
        <v>32</v>
      </c>
      <c r="F3229" s="41">
        <v>899.2</v>
      </c>
      <c r="G3229" s="40">
        <v>37</v>
      </c>
      <c r="H3229" s="41">
        <v>1039.7</v>
      </c>
      <c r="I3229" s="41">
        <v>28.1</v>
      </c>
      <c r="J3229" s="41">
        <v>28.1</v>
      </c>
      <c r="K3229" s="42">
        <v>0</v>
      </c>
    </row>
    <row r="3230" spans="1:11" x14ac:dyDescent="0.25">
      <c r="A3230" s="24" t="s">
        <v>7</v>
      </c>
      <c r="B3230" s="24" t="s">
        <v>16203</v>
      </c>
      <c r="C3230" s="25" t="s">
        <v>16204</v>
      </c>
      <c r="D3230" s="24" t="s">
        <v>21420</v>
      </c>
      <c r="G3230" s="40">
        <v>1</v>
      </c>
      <c r="H3230" s="41">
        <v>22.6</v>
      </c>
      <c r="J3230" s="41">
        <v>22.6</v>
      </c>
    </row>
    <row r="3231" spans="1:11" x14ac:dyDescent="0.25">
      <c r="A3231" s="24" t="s">
        <v>7</v>
      </c>
      <c r="B3231" s="24" t="s">
        <v>16217</v>
      </c>
      <c r="C3231" s="25" t="s">
        <v>16218</v>
      </c>
      <c r="D3231" s="24" t="s">
        <v>22284</v>
      </c>
      <c r="E3231" s="40">
        <v>16</v>
      </c>
      <c r="F3231" s="41">
        <v>250.08</v>
      </c>
      <c r="G3231" s="40">
        <v>4</v>
      </c>
      <c r="H3231" s="41">
        <v>62.52</v>
      </c>
      <c r="I3231" s="41">
        <v>15.63</v>
      </c>
      <c r="J3231" s="41">
        <v>15.63</v>
      </c>
      <c r="K3231" s="42">
        <v>0</v>
      </c>
    </row>
    <row r="3232" spans="1:11" x14ac:dyDescent="0.25">
      <c r="A3232" s="24" t="s">
        <v>7</v>
      </c>
      <c r="B3232" s="24" t="s">
        <v>16220</v>
      </c>
      <c r="C3232" s="25" t="s">
        <v>16221</v>
      </c>
      <c r="D3232" s="24" t="s">
        <v>22285</v>
      </c>
      <c r="G3232" s="40">
        <v>5</v>
      </c>
      <c r="H3232" s="41">
        <v>400</v>
      </c>
      <c r="J3232" s="41">
        <v>80</v>
      </c>
    </row>
    <row r="3233" spans="1:11" x14ac:dyDescent="0.25">
      <c r="A3233" s="24" t="s">
        <v>7</v>
      </c>
      <c r="B3233" s="24" t="s">
        <v>16227</v>
      </c>
      <c r="C3233" s="25" t="s">
        <v>16228</v>
      </c>
      <c r="D3233" s="24" t="s">
        <v>22286</v>
      </c>
      <c r="E3233" s="40">
        <v>2</v>
      </c>
      <c r="F3233" s="41">
        <v>123.5</v>
      </c>
      <c r="G3233" s="40">
        <v>2</v>
      </c>
      <c r="H3233" s="41">
        <v>123.5</v>
      </c>
      <c r="I3233" s="41">
        <v>61.75</v>
      </c>
      <c r="J3233" s="41">
        <v>61.75</v>
      </c>
      <c r="K3233" s="42">
        <v>0</v>
      </c>
    </row>
    <row r="3234" spans="1:11" x14ac:dyDescent="0.25">
      <c r="A3234" s="24" t="s">
        <v>7</v>
      </c>
      <c r="B3234" s="24" t="s">
        <v>16239</v>
      </c>
      <c r="C3234" s="25" t="s">
        <v>16240</v>
      </c>
      <c r="D3234" s="24" t="s">
        <v>22284</v>
      </c>
      <c r="E3234" s="40">
        <v>452</v>
      </c>
      <c r="F3234" s="41">
        <v>7191.32</v>
      </c>
      <c r="G3234" s="40">
        <v>364</v>
      </c>
      <c r="H3234" s="41">
        <v>5791.24</v>
      </c>
      <c r="I3234" s="41">
        <v>15.91</v>
      </c>
      <c r="J3234" s="41">
        <v>15.91</v>
      </c>
      <c r="K3234" s="42">
        <v>0</v>
      </c>
    </row>
    <row r="3235" spans="1:11" x14ac:dyDescent="0.25">
      <c r="A3235" s="24" t="s">
        <v>7</v>
      </c>
      <c r="B3235" s="24" t="s">
        <v>16248</v>
      </c>
      <c r="C3235" s="25" t="s">
        <v>16249</v>
      </c>
      <c r="D3235" s="24" t="s">
        <v>22287</v>
      </c>
      <c r="G3235" s="40">
        <v>1</v>
      </c>
      <c r="H3235" s="41">
        <v>8.82</v>
      </c>
      <c r="J3235" s="41">
        <v>8.82</v>
      </c>
    </row>
    <row r="3236" spans="1:11" x14ac:dyDescent="0.25">
      <c r="A3236" s="24" t="s">
        <v>7</v>
      </c>
      <c r="B3236" s="24" t="s">
        <v>16263</v>
      </c>
      <c r="C3236" s="25" t="s">
        <v>16264</v>
      </c>
      <c r="D3236" s="24" t="s">
        <v>22252</v>
      </c>
      <c r="G3236" s="40">
        <v>1</v>
      </c>
      <c r="H3236" s="41">
        <v>325</v>
      </c>
      <c r="J3236" s="41">
        <v>325</v>
      </c>
    </row>
    <row r="3237" spans="1:11" x14ac:dyDescent="0.25">
      <c r="A3237" s="24" t="s">
        <v>7</v>
      </c>
      <c r="B3237" s="24" t="s">
        <v>16266</v>
      </c>
      <c r="C3237" s="25" t="s">
        <v>16267</v>
      </c>
      <c r="D3237" s="24" t="s">
        <v>22288</v>
      </c>
      <c r="G3237" s="40">
        <v>1</v>
      </c>
      <c r="H3237" s="41">
        <v>170</v>
      </c>
      <c r="J3237" s="41">
        <v>170</v>
      </c>
    </row>
    <row r="3238" spans="1:11" x14ac:dyDescent="0.25">
      <c r="A3238" s="24" t="s">
        <v>7</v>
      </c>
      <c r="B3238" s="24" t="s">
        <v>16282</v>
      </c>
      <c r="C3238" s="25" t="s">
        <v>16283</v>
      </c>
      <c r="D3238" s="24" t="s">
        <v>22289</v>
      </c>
      <c r="G3238" s="40">
        <v>1</v>
      </c>
      <c r="H3238" s="41">
        <v>22.8</v>
      </c>
      <c r="J3238" s="41">
        <v>22.8</v>
      </c>
    </row>
    <row r="3239" spans="1:11" x14ac:dyDescent="0.25">
      <c r="A3239" s="24" t="s">
        <v>7</v>
      </c>
      <c r="B3239" s="24" t="s">
        <v>16285</v>
      </c>
      <c r="C3239" s="25" t="s">
        <v>16286</v>
      </c>
      <c r="D3239" s="24" t="s">
        <v>22252</v>
      </c>
      <c r="G3239" s="40">
        <v>1</v>
      </c>
      <c r="H3239" s="41">
        <v>166</v>
      </c>
      <c r="J3239" s="41">
        <v>166</v>
      </c>
    </row>
    <row r="3240" spans="1:11" x14ac:dyDescent="0.25">
      <c r="A3240" s="24" t="s">
        <v>7</v>
      </c>
      <c r="B3240" s="24" t="s">
        <v>16288</v>
      </c>
      <c r="C3240" s="25" t="s">
        <v>16289</v>
      </c>
      <c r="D3240" s="24" t="s">
        <v>22252</v>
      </c>
      <c r="G3240" s="40">
        <v>2</v>
      </c>
      <c r="H3240" s="41">
        <v>81.2</v>
      </c>
      <c r="J3240" s="41">
        <v>40.6</v>
      </c>
    </row>
    <row r="3241" spans="1:11" x14ac:dyDescent="0.25">
      <c r="A3241" s="24" t="s">
        <v>7</v>
      </c>
      <c r="B3241" s="24" t="s">
        <v>16292</v>
      </c>
      <c r="C3241" s="25" t="s">
        <v>16284</v>
      </c>
      <c r="D3241" s="24" t="s">
        <v>22290</v>
      </c>
      <c r="G3241" s="40">
        <v>1</v>
      </c>
      <c r="H3241" s="41">
        <v>12.55</v>
      </c>
      <c r="J3241" s="41">
        <v>12.55</v>
      </c>
    </row>
    <row r="3242" spans="1:11" x14ac:dyDescent="0.25">
      <c r="A3242" s="24" t="s">
        <v>7</v>
      </c>
      <c r="B3242" s="24" t="s">
        <v>16293</v>
      </c>
      <c r="C3242" s="25" t="s">
        <v>16294</v>
      </c>
      <c r="D3242" s="24" t="s">
        <v>22288</v>
      </c>
      <c r="G3242" s="40">
        <v>2</v>
      </c>
      <c r="H3242" s="41">
        <v>480</v>
      </c>
      <c r="J3242" s="41">
        <v>240</v>
      </c>
    </row>
    <row r="3243" spans="1:11" x14ac:dyDescent="0.25">
      <c r="A3243" s="24" t="s">
        <v>7</v>
      </c>
      <c r="B3243" s="24" t="s">
        <v>16297</v>
      </c>
      <c r="C3243" s="25" t="s">
        <v>16298</v>
      </c>
      <c r="D3243" s="24" t="s">
        <v>22252</v>
      </c>
      <c r="G3243" s="40">
        <v>4</v>
      </c>
      <c r="H3243" s="41">
        <v>590</v>
      </c>
      <c r="J3243" s="41">
        <v>147.5</v>
      </c>
    </row>
    <row r="3244" spans="1:11" x14ac:dyDescent="0.25">
      <c r="A3244" s="24" t="s">
        <v>7</v>
      </c>
      <c r="B3244" s="24" t="s">
        <v>16299</v>
      </c>
      <c r="C3244" s="25" t="s">
        <v>16300</v>
      </c>
      <c r="D3244" s="24" t="s">
        <v>22252</v>
      </c>
      <c r="G3244" s="40">
        <v>14</v>
      </c>
      <c r="H3244" s="41">
        <v>735.7</v>
      </c>
      <c r="J3244" s="41">
        <v>52.550000000000004</v>
      </c>
    </row>
    <row r="3245" spans="1:11" x14ac:dyDescent="0.25">
      <c r="A3245" s="24" t="s">
        <v>7</v>
      </c>
      <c r="B3245" s="24" t="s">
        <v>16302</v>
      </c>
      <c r="C3245" s="25" t="s">
        <v>16303</v>
      </c>
      <c r="D3245" s="24" t="s">
        <v>22291</v>
      </c>
      <c r="G3245" s="40">
        <v>1</v>
      </c>
      <c r="H3245" s="41">
        <v>20.329999999999998</v>
      </c>
      <c r="J3245" s="41">
        <v>20.329999999999998</v>
      </c>
    </row>
    <row r="3246" spans="1:11" x14ac:dyDescent="0.25">
      <c r="A3246" s="24" t="s">
        <v>7</v>
      </c>
      <c r="B3246" s="24" t="s">
        <v>16339</v>
      </c>
      <c r="C3246" s="25" t="s">
        <v>16340</v>
      </c>
      <c r="D3246" s="24" t="s">
        <v>22292</v>
      </c>
      <c r="G3246" s="40">
        <v>1</v>
      </c>
      <c r="H3246" s="41">
        <v>33.75</v>
      </c>
      <c r="J3246" s="41">
        <v>33.75</v>
      </c>
    </row>
    <row r="3247" spans="1:11" x14ac:dyDescent="0.25">
      <c r="A3247" s="24" t="s">
        <v>7</v>
      </c>
      <c r="B3247" s="24" t="s">
        <v>16349</v>
      </c>
      <c r="C3247" s="25" t="s">
        <v>16350</v>
      </c>
      <c r="D3247" s="24" t="s">
        <v>22289</v>
      </c>
      <c r="G3247" s="40">
        <v>1</v>
      </c>
      <c r="H3247" s="41">
        <v>22.8</v>
      </c>
      <c r="J3247" s="41">
        <v>22.8</v>
      </c>
    </row>
    <row r="3248" spans="1:11" x14ac:dyDescent="0.25">
      <c r="A3248" s="24" t="s">
        <v>7</v>
      </c>
      <c r="B3248" s="24" t="s">
        <v>16354</v>
      </c>
      <c r="C3248" s="25" t="s">
        <v>16355</v>
      </c>
      <c r="D3248" s="24" t="s">
        <v>22293</v>
      </c>
      <c r="E3248" s="40">
        <v>15</v>
      </c>
      <c r="F3248" s="41">
        <v>1126.5</v>
      </c>
      <c r="G3248" s="40">
        <v>15</v>
      </c>
      <c r="H3248" s="41">
        <v>1126.5</v>
      </c>
      <c r="I3248" s="41">
        <v>75.099999999999994</v>
      </c>
      <c r="J3248" s="41">
        <v>75.099999999999994</v>
      </c>
      <c r="K3248" s="42">
        <v>0</v>
      </c>
    </row>
    <row r="3249" spans="1:11" x14ac:dyDescent="0.25">
      <c r="A3249" s="24" t="s">
        <v>7</v>
      </c>
      <c r="B3249" s="24" t="s">
        <v>16382</v>
      </c>
      <c r="C3249" s="25" t="s">
        <v>16383</v>
      </c>
      <c r="D3249" s="24" t="s">
        <v>22281</v>
      </c>
      <c r="G3249" s="40">
        <v>1</v>
      </c>
      <c r="H3249" s="41">
        <v>641.87</v>
      </c>
      <c r="J3249" s="41">
        <v>641.87</v>
      </c>
    </row>
    <row r="3250" spans="1:11" x14ac:dyDescent="0.25">
      <c r="A3250" s="24" t="s">
        <v>7</v>
      </c>
      <c r="B3250" s="24" t="s">
        <v>16384</v>
      </c>
      <c r="C3250" s="25" t="s">
        <v>16385</v>
      </c>
      <c r="D3250" s="24" t="s">
        <v>22294</v>
      </c>
      <c r="G3250" s="40">
        <v>1</v>
      </c>
      <c r="H3250" s="41">
        <v>52.65</v>
      </c>
      <c r="J3250" s="41">
        <v>52.65</v>
      </c>
    </row>
    <row r="3251" spans="1:11" x14ac:dyDescent="0.25">
      <c r="A3251" s="24" t="s">
        <v>7</v>
      </c>
      <c r="B3251" s="24" t="s">
        <v>16387</v>
      </c>
      <c r="C3251" s="25" t="s">
        <v>16388</v>
      </c>
      <c r="D3251" s="24" t="s">
        <v>22288</v>
      </c>
      <c r="G3251" s="40">
        <v>3</v>
      </c>
      <c r="H3251" s="41">
        <v>144.15</v>
      </c>
      <c r="J3251" s="41">
        <v>48.050000000000004</v>
      </c>
    </row>
    <row r="3252" spans="1:11" x14ac:dyDescent="0.25">
      <c r="A3252" s="24" t="s">
        <v>7</v>
      </c>
      <c r="B3252" s="24" t="s">
        <v>16396</v>
      </c>
      <c r="C3252" s="25" t="s">
        <v>16397</v>
      </c>
      <c r="D3252" s="24" t="s">
        <v>22295</v>
      </c>
      <c r="G3252" s="40">
        <v>1</v>
      </c>
      <c r="H3252" s="41">
        <v>97.25</v>
      </c>
      <c r="J3252" s="41">
        <v>97.25</v>
      </c>
    </row>
    <row r="3253" spans="1:11" x14ac:dyDescent="0.25">
      <c r="A3253" s="24" t="s">
        <v>7</v>
      </c>
      <c r="B3253" s="24" t="s">
        <v>16409</v>
      </c>
      <c r="C3253" s="25" t="s">
        <v>16410</v>
      </c>
      <c r="D3253" s="24" t="s">
        <v>21385</v>
      </c>
      <c r="E3253" s="40">
        <v>42</v>
      </c>
      <c r="F3253" s="41">
        <v>1911</v>
      </c>
      <c r="G3253" s="40">
        <v>29</v>
      </c>
      <c r="H3253" s="41">
        <v>1319.5</v>
      </c>
      <c r="I3253" s="41">
        <v>45.5</v>
      </c>
      <c r="J3253" s="41">
        <v>45.5</v>
      </c>
      <c r="K3253" s="42">
        <v>0</v>
      </c>
    </row>
    <row r="3254" spans="1:11" x14ac:dyDescent="0.25">
      <c r="A3254" s="24" t="s">
        <v>7</v>
      </c>
      <c r="B3254" s="24" t="s">
        <v>16433</v>
      </c>
      <c r="C3254" s="25" t="s">
        <v>16434</v>
      </c>
      <c r="D3254" s="24" t="s">
        <v>22296</v>
      </c>
      <c r="G3254" s="40">
        <v>1</v>
      </c>
      <c r="H3254" s="41">
        <v>28.3</v>
      </c>
      <c r="J3254" s="41">
        <v>28.3</v>
      </c>
    </row>
    <row r="3255" spans="1:11" x14ac:dyDescent="0.25">
      <c r="A3255" s="24" t="s">
        <v>7</v>
      </c>
      <c r="B3255" s="24" t="s">
        <v>16436</v>
      </c>
      <c r="C3255" s="25" t="s">
        <v>16437</v>
      </c>
      <c r="D3255" s="24" t="s">
        <v>22297</v>
      </c>
      <c r="G3255" s="40">
        <v>1</v>
      </c>
      <c r="H3255" s="41">
        <v>28.3</v>
      </c>
      <c r="J3255" s="41">
        <v>28.3</v>
      </c>
    </row>
    <row r="3256" spans="1:11" x14ac:dyDescent="0.25">
      <c r="A3256" s="24" t="s">
        <v>7</v>
      </c>
      <c r="B3256" s="24" t="s">
        <v>16466</v>
      </c>
      <c r="C3256" s="25" t="s">
        <v>16467</v>
      </c>
      <c r="D3256" s="24" t="s">
        <v>22284</v>
      </c>
      <c r="E3256" s="40">
        <v>43</v>
      </c>
      <c r="F3256" s="41">
        <v>586.95000000000005</v>
      </c>
      <c r="G3256" s="40">
        <v>26</v>
      </c>
      <c r="H3256" s="41">
        <v>354.9</v>
      </c>
      <c r="I3256" s="41">
        <v>13.65</v>
      </c>
      <c r="J3256" s="41">
        <v>13.649999999999999</v>
      </c>
      <c r="K3256" s="42">
        <v>-1.3013603219049455E-16</v>
      </c>
    </row>
    <row r="3257" spans="1:11" x14ac:dyDescent="0.25">
      <c r="A3257" s="24" t="s">
        <v>7</v>
      </c>
      <c r="B3257" s="24" t="s">
        <v>16475</v>
      </c>
      <c r="C3257" s="25" t="s">
        <v>16476</v>
      </c>
      <c r="D3257" s="24" t="s">
        <v>22298</v>
      </c>
      <c r="E3257" s="40">
        <v>5</v>
      </c>
      <c r="F3257" s="41">
        <v>70.5</v>
      </c>
      <c r="G3257" s="40">
        <v>11</v>
      </c>
      <c r="H3257" s="41">
        <v>155.1</v>
      </c>
      <c r="I3257" s="41">
        <v>14.1</v>
      </c>
      <c r="J3257" s="41">
        <v>14.1</v>
      </c>
      <c r="K3257" s="42">
        <v>0</v>
      </c>
    </row>
    <row r="3258" spans="1:11" x14ac:dyDescent="0.25">
      <c r="A3258" s="24" t="s">
        <v>7</v>
      </c>
      <c r="B3258" s="24" t="s">
        <v>16492</v>
      </c>
      <c r="C3258" s="25" t="s">
        <v>16493</v>
      </c>
      <c r="D3258" s="24" t="s">
        <v>22299</v>
      </c>
      <c r="E3258" s="40">
        <v>7</v>
      </c>
      <c r="F3258" s="41">
        <v>126.7</v>
      </c>
      <c r="G3258" s="40">
        <v>13</v>
      </c>
      <c r="H3258" s="41">
        <v>235.3</v>
      </c>
      <c r="I3258" s="41">
        <v>18.100000000000001</v>
      </c>
      <c r="J3258" s="41">
        <v>18.100000000000001</v>
      </c>
      <c r="K3258" s="42">
        <v>0</v>
      </c>
    </row>
    <row r="3259" spans="1:11" x14ac:dyDescent="0.25">
      <c r="A3259" s="24" t="s">
        <v>7</v>
      </c>
      <c r="B3259" s="24" t="s">
        <v>16508</v>
      </c>
      <c r="C3259" s="25" t="s">
        <v>16509</v>
      </c>
      <c r="D3259" s="24" t="s">
        <v>22300</v>
      </c>
      <c r="E3259" s="40">
        <v>5</v>
      </c>
      <c r="F3259" s="41">
        <v>84.75</v>
      </c>
      <c r="G3259" s="40">
        <v>9</v>
      </c>
      <c r="H3259" s="41">
        <v>152.55000000000001</v>
      </c>
      <c r="I3259" s="41">
        <v>16.95</v>
      </c>
      <c r="J3259" s="41">
        <v>16.950000000000003</v>
      </c>
      <c r="K3259" s="42">
        <v>2.0959962706787616E-16</v>
      </c>
    </row>
    <row r="3260" spans="1:11" x14ac:dyDescent="0.25">
      <c r="A3260" s="24" t="s">
        <v>7</v>
      </c>
      <c r="B3260" s="24" t="s">
        <v>16511</v>
      </c>
      <c r="C3260" s="25" t="s">
        <v>16512</v>
      </c>
      <c r="D3260" s="24" t="s">
        <v>22300</v>
      </c>
      <c r="G3260" s="40">
        <v>1</v>
      </c>
      <c r="H3260" s="41">
        <v>24.8</v>
      </c>
      <c r="J3260" s="41">
        <v>24.8</v>
      </c>
    </row>
    <row r="3261" spans="1:11" x14ac:dyDescent="0.25">
      <c r="A3261" s="24" t="s">
        <v>7</v>
      </c>
      <c r="B3261" s="24" t="s">
        <v>16517</v>
      </c>
      <c r="C3261" s="25" t="s">
        <v>16518</v>
      </c>
      <c r="D3261" s="24" t="s">
        <v>22300</v>
      </c>
      <c r="G3261" s="40">
        <v>1</v>
      </c>
      <c r="H3261" s="41">
        <v>24.8</v>
      </c>
      <c r="J3261" s="41">
        <v>24.8</v>
      </c>
    </row>
    <row r="3262" spans="1:11" x14ac:dyDescent="0.25">
      <c r="A3262" s="24" t="s">
        <v>7</v>
      </c>
      <c r="B3262" s="24" t="s">
        <v>16519</v>
      </c>
      <c r="C3262" s="25" t="s">
        <v>16520</v>
      </c>
      <c r="D3262" s="24" t="s">
        <v>22301</v>
      </c>
      <c r="G3262" s="40">
        <v>1</v>
      </c>
      <c r="H3262" s="41">
        <v>33.75</v>
      </c>
      <c r="J3262" s="41">
        <v>33.75</v>
      </c>
    </row>
    <row r="3263" spans="1:11" x14ac:dyDescent="0.25">
      <c r="A3263" s="24" t="s">
        <v>7</v>
      </c>
      <c r="B3263" s="24" t="s">
        <v>16521</v>
      </c>
      <c r="C3263" s="25" t="s">
        <v>16522</v>
      </c>
      <c r="D3263" s="24" t="s">
        <v>22302</v>
      </c>
      <c r="E3263" s="40">
        <v>12</v>
      </c>
      <c r="F3263" s="41">
        <v>162.6</v>
      </c>
      <c r="G3263" s="40">
        <v>8</v>
      </c>
      <c r="H3263" s="41">
        <v>108.4</v>
      </c>
      <c r="I3263" s="41">
        <v>13.549999999999999</v>
      </c>
      <c r="J3263" s="41">
        <v>13.55</v>
      </c>
      <c r="K3263" s="42">
        <v>1.3109644571219561E-16</v>
      </c>
    </row>
    <row r="3264" spans="1:11" x14ac:dyDescent="0.25">
      <c r="A3264" s="24" t="s">
        <v>7</v>
      </c>
      <c r="B3264" s="24" t="s">
        <v>16543</v>
      </c>
      <c r="C3264" s="25" t="s">
        <v>16544</v>
      </c>
      <c r="D3264" s="24" t="s">
        <v>22303</v>
      </c>
      <c r="G3264" s="40">
        <v>1</v>
      </c>
      <c r="H3264" s="41">
        <v>24.6</v>
      </c>
      <c r="J3264" s="41">
        <v>24.6</v>
      </c>
    </row>
    <row r="3265" spans="1:11" x14ac:dyDescent="0.25">
      <c r="A3265" s="24" t="s">
        <v>7</v>
      </c>
      <c r="B3265" s="24" t="s">
        <v>16549</v>
      </c>
      <c r="C3265" s="25" t="s">
        <v>16550</v>
      </c>
      <c r="D3265" s="24" t="s">
        <v>22304</v>
      </c>
      <c r="G3265" s="40">
        <v>2</v>
      </c>
      <c r="H3265" s="41">
        <v>38.4</v>
      </c>
      <c r="J3265" s="41">
        <v>19.2</v>
      </c>
    </row>
    <row r="3266" spans="1:11" x14ac:dyDescent="0.25">
      <c r="A3266" s="24" t="s">
        <v>7</v>
      </c>
      <c r="B3266" s="24" t="s">
        <v>16559</v>
      </c>
      <c r="C3266" s="25" t="s">
        <v>16560</v>
      </c>
      <c r="D3266" s="24" t="s">
        <v>22304</v>
      </c>
      <c r="E3266" s="40">
        <v>1</v>
      </c>
      <c r="F3266" s="41">
        <v>20.55</v>
      </c>
      <c r="G3266" s="40">
        <v>10</v>
      </c>
      <c r="H3266" s="41">
        <v>205.5</v>
      </c>
      <c r="I3266" s="41">
        <v>20.55</v>
      </c>
      <c r="J3266" s="41">
        <v>20.55</v>
      </c>
      <c r="K3266" s="42">
        <v>0</v>
      </c>
    </row>
    <row r="3267" spans="1:11" x14ac:dyDescent="0.25">
      <c r="A3267" s="24" t="s">
        <v>7</v>
      </c>
      <c r="B3267" s="24" t="s">
        <v>16561</v>
      </c>
      <c r="C3267" s="25" t="s">
        <v>16562</v>
      </c>
      <c r="D3267" s="24" t="s">
        <v>22305</v>
      </c>
      <c r="E3267" s="40">
        <v>5</v>
      </c>
      <c r="F3267" s="41">
        <v>67.75</v>
      </c>
      <c r="G3267" s="40">
        <v>9</v>
      </c>
      <c r="H3267" s="41">
        <v>121.95</v>
      </c>
      <c r="I3267" s="41">
        <v>13.55</v>
      </c>
      <c r="J3267" s="41">
        <v>13.55</v>
      </c>
      <c r="K3267" s="42">
        <v>0</v>
      </c>
    </row>
    <row r="3268" spans="1:11" x14ac:dyDescent="0.25">
      <c r="A3268" s="24" t="s">
        <v>7</v>
      </c>
      <c r="B3268" s="24" t="s">
        <v>16563</v>
      </c>
      <c r="C3268" s="25" t="s">
        <v>16564</v>
      </c>
      <c r="D3268" s="24" t="s">
        <v>22306</v>
      </c>
      <c r="G3268" s="40">
        <v>1</v>
      </c>
      <c r="H3268" s="41">
        <v>28.5</v>
      </c>
      <c r="J3268" s="41">
        <v>28.5</v>
      </c>
    </row>
    <row r="3269" spans="1:11" x14ac:dyDescent="0.25">
      <c r="A3269" s="24" t="s">
        <v>7</v>
      </c>
      <c r="B3269" s="24" t="s">
        <v>16565</v>
      </c>
      <c r="C3269" s="25" t="s">
        <v>16566</v>
      </c>
      <c r="D3269" s="24" t="s">
        <v>22306</v>
      </c>
      <c r="G3269" s="40">
        <v>1</v>
      </c>
      <c r="H3269" s="41">
        <v>22.75</v>
      </c>
      <c r="J3269" s="41">
        <v>22.75</v>
      </c>
    </row>
    <row r="3270" spans="1:11" x14ac:dyDescent="0.25">
      <c r="A3270" s="24" t="s">
        <v>7</v>
      </c>
      <c r="B3270" s="24" t="s">
        <v>16573</v>
      </c>
      <c r="C3270" s="25" t="s">
        <v>16574</v>
      </c>
      <c r="D3270" s="24" t="s">
        <v>22286</v>
      </c>
      <c r="G3270" s="40">
        <v>1</v>
      </c>
      <c r="H3270" s="41">
        <v>100</v>
      </c>
      <c r="J3270" s="41">
        <v>100</v>
      </c>
    </row>
    <row r="3271" spans="1:11" x14ac:dyDescent="0.25">
      <c r="A3271" s="24" t="s">
        <v>7</v>
      </c>
      <c r="B3271" s="24" t="s">
        <v>16576</v>
      </c>
      <c r="C3271" s="25" t="s">
        <v>16577</v>
      </c>
      <c r="D3271" s="24" t="s">
        <v>22291</v>
      </c>
      <c r="G3271" s="40">
        <v>1</v>
      </c>
      <c r="H3271" s="41">
        <v>20.329999999999998</v>
      </c>
      <c r="J3271" s="41">
        <v>20.329999999999998</v>
      </c>
    </row>
    <row r="3272" spans="1:11" x14ac:dyDescent="0.25">
      <c r="A3272" s="24" t="s">
        <v>7</v>
      </c>
      <c r="B3272" s="24" t="s">
        <v>16582</v>
      </c>
      <c r="C3272" s="25" t="s">
        <v>16583</v>
      </c>
      <c r="D3272" s="24" t="s">
        <v>22286</v>
      </c>
      <c r="G3272" s="40">
        <v>1</v>
      </c>
      <c r="H3272" s="41">
        <v>50</v>
      </c>
      <c r="J3272" s="41">
        <v>50</v>
      </c>
    </row>
    <row r="3273" spans="1:11" x14ac:dyDescent="0.25">
      <c r="A3273" s="24" t="s">
        <v>7</v>
      </c>
      <c r="B3273" s="24" t="s">
        <v>16585</v>
      </c>
      <c r="C3273" s="25" t="s">
        <v>16586</v>
      </c>
      <c r="D3273" s="24" t="s">
        <v>22286</v>
      </c>
      <c r="G3273" s="40">
        <v>1</v>
      </c>
      <c r="H3273" s="41">
        <v>45</v>
      </c>
      <c r="J3273" s="41">
        <v>45</v>
      </c>
    </row>
    <row r="3274" spans="1:11" x14ac:dyDescent="0.25">
      <c r="A3274" s="24" t="s">
        <v>7</v>
      </c>
      <c r="B3274" s="24" t="s">
        <v>16607</v>
      </c>
      <c r="C3274" s="25" t="s">
        <v>3729</v>
      </c>
      <c r="D3274" s="24" t="s">
        <v>22307</v>
      </c>
      <c r="E3274" s="40">
        <v>5</v>
      </c>
      <c r="F3274" s="41">
        <v>68.5</v>
      </c>
      <c r="G3274" s="40">
        <v>10</v>
      </c>
      <c r="H3274" s="41">
        <v>137</v>
      </c>
      <c r="I3274" s="41">
        <v>13.7</v>
      </c>
      <c r="J3274" s="41">
        <v>13.7</v>
      </c>
      <c r="K3274" s="42">
        <v>0</v>
      </c>
    </row>
    <row r="3275" spans="1:11" x14ac:dyDescent="0.25">
      <c r="A3275" s="24" t="s">
        <v>7</v>
      </c>
      <c r="B3275" s="24" t="s">
        <v>16640</v>
      </c>
      <c r="C3275" s="25" t="s">
        <v>16641</v>
      </c>
      <c r="D3275" s="24" t="s">
        <v>22308</v>
      </c>
      <c r="E3275" s="40">
        <v>1</v>
      </c>
      <c r="F3275" s="41">
        <v>113.75</v>
      </c>
      <c r="G3275" s="40">
        <v>0</v>
      </c>
      <c r="H3275" s="41">
        <v>0</v>
      </c>
      <c r="I3275" s="41">
        <v>113.75</v>
      </c>
    </row>
    <row r="3276" spans="1:11" x14ac:dyDescent="0.25">
      <c r="A3276" s="24" t="s">
        <v>7</v>
      </c>
      <c r="B3276" s="24" t="s">
        <v>16642</v>
      </c>
      <c r="C3276" s="25" t="s">
        <v>3855</v>
      </c>
      <c r="D3276" s="24" t="s">
        <v>22309</v>
      </c>
      <c r="E3276" s="40">
        <v>4</v>
      </c>
      <c r="F3276" s="41">
        <v>149</v>
      </c>
      <c r="G3276" s="40">
        <v>4</v>
      </c>
      <c r="H3276" s="41">
        <v>149</v>
      </c>
      <c r="I3276" s="41">
        <v>37.25</v>
      </c>
      <c r="J3276" s="41">
        <v>37.25</v>
      </c>
      <c r="K3276" s="42">
        <v>0</v>
      </c>
    </row>
    <row r="3277" spans="1:11" x14ac:dyDescent="0.25">
      <c r="A3277" s="24" t="s">
        <v>7</v>
      </c>
      <c r="B3277" s="24" t="s">
        <v>16656</v>
      </c>
      <c r="C3277" s="25" t="s">
        <v>16657</v>
      </c>
      <c r="D3277" s="24" t="s">
        <v>22310</v>
      </c>
      <c r="E3277" s="40">
        <v>1</v>
      </c>
      <c r="F3277" s="41">
        <v>34.130000000000003</v>
      </c>
      <c r="G3277" s="40">
        <v>0</v>
      </c>
      <c r="H3277" s="41">
        <v>0</v>
      </c>
      <c r="I3277" s="41">
        <v>34.130000000000003</v>
      </c>
    </row>
    <row r="3278" spans="1:11" x14ac:dyDescent="0.25">
      <c r="A3278" s="24" t="s">
        <v>7</v>
      </c>
      <c r="B3278" s="24" t="s">
        <v>16659</v>
      </c>
      <c r="C3278" s="25" t="s">
        <v>16660</v>
      </c>
      <c r="D3278" s="24" t="s">
        <v>22311</v>
      </c>
      <c r="E3278" s="40">
        <v>1</v>
      </c>
      <c r="F3278" s="41">
        <v>34.130000000000003</v>
      </c>
      <c r="G3278" s="40">
        <v>0</v>
      </c>
      <c r="H3278" s="41">
        <v>0</v>
      </c>
      <c r="I3278" s="41">
        <v>34.130000000000003</v>
      </c>
    </row>
    <row r="3279" spans="1:11" x14ac:dyDescent="0.25">
      <c r="A3279" s="24" t="s">
        <v>7</v>
      </c>
      <c r="B3279" s="24" t="s">
        <v>16662</v>
      </c>
      <c r="C3279" s="25" t="s">
        <v>16663</v>
      </c>
      <c r="D3279" s="24" t="s">
        <v>22312</v>
      </c>
      <c r="E3279" s="40">
        <v>70</v>
      </c>
      <c r="F3279" s="41">
        <v>871.5</v>
      </c>
      <c r="G3279" s="40">
        <v>35</v>
      </c>
      <c r="H3279" s="41">
        <v>435.75</v>
      </c>
      <c r="I3279" s="41">
        <v>12.45</v>
      </c>
      <c r="J3279" s="41">
        <v>12.45</v>
      </c>
      <c r="K3279" s="42">
        <v>0</v>
      </c>
    </row>
    <row r="3280" spans="1:11" x14ac:dyDescent="0.25">
      <c r="A3280" s="24" t="s">
        <v>7</v>
      </c>
      <c r="B3280" s="24" t="s">
        <v>16665</v>
      </c>
      <c r="C3280" s="25" t="s">
        <v>16666</v>
      </c>
      <c r="D3280" s="24" t="s">
        <v>22313</v>
      </c>
      <c r="E3280" s="40">
        <v>70</v>
      </c>
      <c r="F3280" s="41">
        <v>871.5</v>
      </c>
      <c r="G3280" s="40">
        <v>35</v>
      </c>
      <c r="H3280" s="41">
        <v>435.75</v>
      </c>
      <c r="I3280" s="41">
        <v>12.45</v>
      </c>
      <c r="J3280" s="41">
        <v>12.45</v>
      </c>
      <c r="K3280" s="42">
        <v>0</v>
      </c>
    </row>
    <row r="3281" spans="1:11" x14ac:dyDescent="0.25">
      <c r="A3281" s="24" t="s">
        <v>7</v>
      </c>
      <c r="B3281" s="24" t="s">
        <v>16673</v>
      </c>
      <c r="C3281" s="25" t="s">
        <v>16674</v>
      </c>
      <c r="D3281" s="24" t="s">
        <v>22314</v>
      </c>
      <c r="E3281" s="40">
        <v>70</v>
      </c>
      <c r="F3281" s="41">
        <v>871.5</v>
      </c>
      <c r="G3281" s="40">
        <v>36</v>
      </c>
      <c r="H3281" s="41">
        <v>448.2</v>
      </c>
      <c r="I3281" s="41">
        <v>12.45</v>
      </c>
      <c r="J3281" s="41">
        <v>12.45</v>
      </c>
      <c r="K3281" s="42">
        <v>0</v>
      </c>
    </row>
    <row r="3282" spans="1:11" x14ac:dyDescent="0.25">
      <c r="A3282" s="24" t="s">
        <v>7</v>
      </c>
      <c r="B3282" s="24" t="s">
        <v>16690</v>
      </c>
      <c r="C3282" s="25" t="s">
        <v>16691</v>
      </c>
      <c r="D3282" s="24" t="s">
        <v>22315</v>
      </c>
      <c r="E3282" s="40">
        <v>8</v>
      </c>
      <c r="F3282" s="41">
        <v>252.4</v>
      </c>
      <c r="G3282" s="40">
        <v>8</v>
      </c>
      <c r="H3282" s="41">
        <v>252.4</v>
      </c>
      <c r="I3282" s="41">
        <v>31.55</v>
      </c>
      <c r="J3282" s="41">
        <v>31.55</v>
      </c>
      <c r="K3282" s="42">
        <v>0</v>
      </c>
    </row>
    <row r="3283" spans="1:11" x14ac:dyDescent="0.25">
      <c r="A3283" s="24" t="s">
        <v>7</v>
      </c>
      <c r="B3283" s="24" t="s">
        <v>16693</v>
      </c>
      <c r="C3283" s="25" t="s">
        <v>16694</v>
      </c>
      <c r="D3283" s="24" t="s">
        <v>21456</v>
      </c>
      <c r="E3283" s="40">
        <v>140</v>
      </c>
      <c r="F3283" s="41">
        <v>20300</v>
      </c>
      <c r="G3283" s="40">
        <v>106</v>
      </c>
      <c r="H3283" s="41">
        <v>15370</v>
      </c>
      <c r="I3283" s="41">
        <v>145</v>
      </c>
      <c r="J3283" s="41">
        <v>145</v>
      </c>
      <c r="K3283" s="42">
        <v>0</v>
      </c>
    </row>
    <row r="3284" spans="1:11" x14ac:dyDescent="0.25">
      <c r="A3284" s="24" t="s">
        <v>7</v>
      </c>
      <c r="B3284" s="24" t="s">
        <v>16696</v>
      </c>
      <c r="C3284" s="25" t="s">
        <v>16697</v>
      </c>
      <c r="D3284" s="24" t="s">
        <v>21456</v>
      </c>
      <c r="E3284" s="40">
        <v>1</v>
      </c>
      <c r="F3284" s="41">
        <v>127</v>
      </c>
      <c r="G3284" s="40">
        <v>0</v>
      </c>
      <c r="H3284" s="41">
        <v>0</v>
      </c>
      <c r="I3284" s="41">
        <v>127</v>
      </c>
    </row>
    <row r="3285" spans="1:11" x14ac:dyDescent="0.25">
      <c r="A3285" s="24" t="s">
        <v>7</v>
      </c>
      <c r="B3285" s="24" t="s">
        <v>16699</v>
      </c>
      <c r="C3285" s="25" t="s">
        <v>3905</v>
      </c>
      <c r="D3285" s="24" t="s">
        <v>21457</v>
      </c>
      <c r="G3285" s="40">
        <v>2</v>
      </c>
      <c r="H3285" s="41">
        <v>710</v>
      </c>
      <c r="J3285" s="41">
        <v>355</v>
      </c>
    </row>
    <row r="3286" spans="1:11" x14ac:dyDescent="0.25">
      <c r="A3286" s="24" t="s">
        <v>7</v>
      </c>
      <c r="B3286" s="24" t="s">
        <v>16701</v>
      </c>
      <c r="C3286" s="25" t="s">
        <v>16702</v>
      </c>
      <c r="D3286" s="24" t="s">
        <v>22316</v>
      </c>
      <c r="G3286" s="40">
        <v>1</v>
      </c>
      <c r="H3286" s="41">
        <v>113.75</v>
      </c>
      <c r="J3286" s="41">
        <v>113.75</v>
      </c>
    </row>
    <row r="3287" spans="1:11" x14ac:dyDescent="0.25">
      <c r="A3287" s="24" t="s">
        <v>7</v>
      </c>
      <c r="B3287" s="24" t="s">
        <v>16704</v>
      </c>
      <c r="C3287" s="25" t="s">
        <v>16705</v>
      </c>
      <c r="D3287" s="24" t="s">
        <v>22317</v>
      </c>
      <c r="G3287" s="40">
        <v>1</v>
      </c>
      <c r="H3287" s="41">
        <v>141.75</v>
      </c>
      <c r="J3287" s="41">
        <v>141.75</v>
      </c>
    </row>
    <row r="3288" spans="1:11" x14ac:dyDescent="0.25">
      <c r="A3288" s="24" t="s">
        <v>7</v>
      </c>
      <c r="B3288" s="24" t="s">
        <v>16709</v>
      </c>
      <c r="C3288" s="25" t="s">
        <v>3911</v>
      </c>
      <c r="D3288" s="24" t="s">
        <v>21459</v>
      </c>
      <c r="G3288" s="40">
        <v>3</v>
      </c>
      <c r="H3288" s="41">
        <v>705</v>
      </c>
      <c r="J3288" s="41">
        <v>235</v>
      </c>
    </row>
    <row r="3289" spans="1:11" x14ac:dyDescent="0.25">
      <c r="A3289" s="24" t="s">
        <v>7</v>
      </c>
      <c r="B3289" s="24" t="s">
        <v>16712</v>
      </c>
      <c r="C3289" s="25" t="s">
        <v>16713</v>
      </c>
      <c r="D3289" s="24" t="s">
        <v>22318</v>
      </c>
      <c r="G3289" s="40">
        <v>1</v>
      </c>
      <c r="H3289" s="41">
        <v>102</v>
      </c>
      <c r="J3289" s="41">
        <v>102</v>
      </c>
    </row>
    <row r="3290" spans="1:11" x14ac:dyDescent="0.25">
      <c r="A3290" s="24" t="s">
        <v>7</v>
      </c>
      <c r="B3290" s="24" t="s">
        <v>16732</v>
      </c>
      <c r="C3290" s="25" t="s">
        <v>16733</v>
      </c>
      <c r="D3290" s="24" t="s">
        <v>22319</v>
      </c>
      <c r="G3290" s="40">
        <v>1</v>
      </c>
      <c r="H3290" s="41">
        <v>141.5</v>
      </c>
      <c r="J3290" s="41">
        <v>141.5</v>
      </c>
    </row>
    <row r="3291" spans="1:11" x14ac:dyDescent="0.25">
      <c r="A3291" s="24" t="s">
        <v>7</v>
      </c>
      <c r="B3291" s="24" t="s">
        <v>16744</v>
      </c>
      <c r="C3291" s="25" t="s">
        <v>16745</v>
      </c>
      <c r="D3291" s="24" t="s">
        <v>21462</v>
      </c>
      <c r="E3291" s="40">
        <v>1</v>
      </c>
      <c r="F3291" s="41">
        <v>113.75</v>
      </c>
      <c r="G3291" s="40">
        <v>0</v>
      </c>
      <c r="H3291" s="41">
        <v>0</v>
      </c>
      <c r="I3291" s="41">
        <v>113.75</v>
      </c>
    </row>
    <row r="3292" spans="1:11" x14ac:dyDescent="0.25">
      <c r="A3292" s="24" t="s">
        <v>7</v>
      </c>
      <c r="B3292" s="24" t="s">
        <v>16746</v>
      </c>
      <c r="C3292" s="25" t="s">
        <v>16747</v>
      </c>
      <c r="D3292" s="24" t="s">
        <v>21462</v>
      </c>
      <c r="G3292" s="40">
        <v>1</v>
      </c>
      <c r="H3292" s="41">
        <v>113.75</v>
      </c>
      <c r="J3292" s="41">
        <v>113.75</v>
      </c>
    </row>
    <row r="3293" spans="1:11" x14ac:dyDescent="0.25">
      <c r="A3293" s="24" t="s">
        <v>7</v>
      </c>
      <c r="B3293" s="24" t="s">
        <v>16752</v>
      </c>
      <c r="C3293" s="25" t="s">
        <v>16753</v>
      </c>
      <c r="D3293" s="24" t="s">
        <v>21462</v>
      </c>
      <c r="G3293" s="40">
        <v>4</v>
      </c>
      <c r="H3293" s="41">
        <v>720</v>
      </c>
      <c r="J3293" s="41">
        <v>180</v>
      </c>
    </row>
    <row r="3294" spans="1:11" x14ac:dyDescent="0.25">
      <c r="A3294" s="24" t="s">
        <v>7</v>
      </c>
      <c r="B3294" s="24" t="s">
        <v>16754</v>
      </c>
      <c r="C3294" s="25" t="s">
        <v>16755</v>
      </c>
      <c r="D3294" s="24" t="s">
        <v>21462</v>
      </c>
      <c r="G3294" s="40">
        <v>1</v>
      </c>
      <c r="H3294" s="41">
        <v>204</v>
      </c>
      <c r="J3294" s="41">
        <v>204</v>
      </c>
    </row>
    <row r="3295" spans="1:11" x14ac:dyDescent="0.25">
      <c r="A3295" s="24" t="s">
        <v>7</v>
      </c>
      <c r="B3295" s="24" t="s">
        <v>16756</v>
      </c>
      <c r="C3295" s="25" t="s">
        <v>16757</v>
      </c>
      <c r="D3295" s="24" t="s">
        <v>21462</v>
      </c>
      <c r="G3295" s="40">
        <v>1</v>
      </c>
      <c r="H3295" s="41">
        <v>320</v>
      </c>
      <c r="J3295" s="41">
        <v>320</v>
      </c>
    </row>
    <row r="3296" spans="1:11" x14ac:dyDescent="0.25">
      <c r="A3296" s="24" t="s">
        <v>7</v>
      </c>
      <c r="B3296" s="24" t="s">
        <v>16760</v>
      </c>
      <c r="C3296" s="25" t="s">
        <v>16761</v>
      </c>
      <c r="D3296" s="24" t="s">
        <v>22319</v>
      </c>
      <c r="G3296" s="40">
        <v>1</v>
      </c>
      <c r="H3296" s="41">
        <v>325</v>
      </c>
      <c r="J3296" s="41">
        <v>325</v>
      </c>
    </row>
    <row r="3297" spans="1:11" x14ac:dyDescent="0.25">
      <c r="A3297" s="24" t="s">
        <v>7</v>
      </c>
      <c r="B3297" s="24" t="s">
        <v>16787</v>
      </c>
      <c r="C3297" s="25" t="s">
        <v>3937</v>
      </c>
      <c r="D3297" s="24" t="s">
        <v>22320</v>
      </c>
      <c r="E3297" s="40">
        <v>4</v>
      </c>
      <c r="F3297" s="41">
        <v>149</v>
      </c>
      <c r="G3297" s="40">
        <v>4</v>
      </c>
      <c r="H3297" s="41">
        <v>149</v>
      </c>
      <c r="I3297" s="41">
        <v>37.25</v>
      </c>
      <c r="J3297" s="41">
        <v>37.25</v>
      </c>
      <c r="K3297" s="42">
        <v>0</v>
      </c>
    </row>
    <row r="3298" spans="1:11" x14ac:dyDescent="0.25">
      <c r="A3298" s="24" t="s">
        <v>7</v>
      </c>
      <c r="B3298" s="24" t="s">
        <v>16794</v>
      </c>
      <c r="C3298" s="25" t="s">
        <v>16795</v>
      </c>
      <c r="D3298" s="24" t="s">
        <v>22247</v>
      </c>
      <c r="G3298" s="40">
        <v>1</v>
      </c>
      <c r="H3298" s="41">
        <v>93.8</v>
      </c>
      <c r="J3298" s="41">
        <v>93.8</v>
      </c>
    </row>
    <row r="3299" spans="1:11" x14ac:dyDescent="0.25">
      <c r="A3299" s="24" t="s">
        <v>7</v>
      </c>
      <c r="B3299" s="24" t="s">
        <v>16797</v>
      </c>
      <c r="C3299" s="25" t="s">
        <v>16798</v>
      </c>
      <c r="D3299" s="24" t="s">
        <v>22321</v>
      </c>
      <c r="E3299" s="40">
        <v>70</v>
      </c>
      <c r="F3299" s="41">
        <v>871.5</v>
      </c>
      <c r="G3299" s="40">
        <v>35</v>
      </c>
      <c r="H3299" s="41">
        <v>435.75</v>
      </c>
      <c r="I3299" s="41">
        <v>12.45</v>
      </c>
      <c r="J3299" s="41">
        <v>12.45</v>
      </c>
      <c r="K3299" s="42">
        <v>0</v>
      </c>
    </row>
    <row r="3300" spans="1:11" x14ac:dyDescent="0.25">
      <c r="A3300" s="24" t="s">
        <v>7</v>
      </c>
      <c r="B3300" s="24" t="s">
        <v>16800</v>
      </c>
      <c r="C3300" s="25" t="s">
        <v>16801</v>
      </c>
      <c r="D3300" s="24" t="s">
        <v>22321</v>
      </c>
      <c r="E3300" s="40">
        <v>68</v>
      </c>
      <c r="F3300" s="41">
        <v>846.6</v>
      </c>
      <c r="G3300" s="40">
        <v>35</v>
      </c>
      <c r="H3300" s="41">
        <v>435.75</v>
      </c>
      <c r="I3300" s="41">
        <v>12.450000000000001</v>
      </c>
      <c r="J3300" s="41">
        <v>12.45</v>
      </c>
      <c r="K3300" s="42">
        <v>-1.4267926420885546E-16</v>
      </c>
    </row>
    <row r="3301" spans="1:11" x14ac:dyDescent="0.25">
      <c r="A3301" s="24" t="s">
        <v>7</v>
      </c>
      <c r="B3301" s="24" t="s">
        <v>16803</v>
      </c>
      <c r="C3301" s="25" t="s">
        <v>16804</v>
      </c>
      <c r="D3301" s="24" t="s">
        <v>22321</v>
      </c>
      <c r="E3301" s="40">
        <v>69</v>
      </c>
      <c r="F3301" s="41">
        <v>859.05</v>
      </c>
      <c r="G3301" s="40">
        <v>34</v>
      </c>
      <c r="H3301" s="41">
        <v>423.3</v>
      </c>
      <c r="I3301" s="41">
        <v>12.45</v>
      </c>
      <c r="J3301" s="41">
        <v>12.450000000000001</v>
      </c>
      <c r="K3301" s="42">
        <v>1.4267926420885546E-16</v>
      </c>
    </row>
    <row r="3302" spans="1:11" x14ac:dyDescent="0.25">
      <c r="A3302" s="24" t="s">
        <v>7</v>
      </c>
      <c r="B3302" s="24" t="s">
        <v>16806</v>
      </c>
      <c r="C3302" s="25" t="s">
        <v>16807</v>
      </c>
      <c r="D3302" s="24" t="s">
        <v>22322</v>
      </c>
      <c r="E3302" s="40">
        <v>70</v>
      </c>
      <c r="F3302" s="41">
        <v>871.5</v>
      </c>
      <c r="G3302" s="40">
        <v>36</v>
      </c>
      <c r="H3302" s="41">
        <v>448.2</v>
      </c>
      <c r="I3302" s="41">
        <v>12.45</v>
      </c>
      <c r="J3302" s="41">
        <v>12.45</v>
      </c>
      <c r="K3302" s="42">
        <v>0</v>
      </c>
    </row>
    <row r="3303" spans="1:11" x14ac:dyDescent="0.25">
      <c r="A3303" s="24" t="s">
        <v>7</v>
      </c>
      <c r="B3303" s="24" t="s">
        <v>16827</v>
      </c>
      <c r="C3303" s="25" t="s">
        <v>16828</v>
      </c>
      <c r="D3303" s="24" t="s">
        <v>22323</v>
      </c>
      <c r="G3303" s="40">
        <v>1</v>
      </c>
      <c r="H3303" s="41">
        <v>185</v>
      </c>
      <c r="J3303" s="41">
        <v>185</v>
      </c>
    </row>
    <row r="3304" spans="1:11" x14ac:dyDescent="0.25">
      <c r="A3304" s="24" t="s">
        <v>7</v>
      </c>
      <c r="B3304" s="24" t="s">
        <v>16845</v>
      </c>
      <c r="C3304" s="25" t="s">
        <v>16846</v>
      </c>
      <c r="D3304" s="24" t="s">
        <v>22303</v>
      </c>
      <c r="G3304" s="40">
        <v>1</v>
      </c>
      <c r="H3304" s="41">
        <v>22.6</v>
      </c>
      <c r="J3304" s="41">
        <v>22.6</v>
      </c>
    </row>
    <row r="3305" spans="1:11" x14ac:dyDescent="0.25">
      <c r="A3305" s="24" t="s">
        <v>7</v>
      </c>
      <c r="B3305" s="24" t="s">
        <v>16857</v>
      </c>
      <c r="C3305" s="25" t="s">
        <v>16858</v>
      </c>
      <c r="D3305" s="24" t="s">
        <v>22324</v>
      </c>
      <c r="G3305" s="40">
        <v>2</v>
      </c>
      <c r="H3305" s="41">
        <v>341</v>
      </c>
      <c r="J3305" s="41">
        <v>170.5</v>
      </c>
    </row>
    <row r="3306" spans="1:11" x14ac:dyDescent="0.25">
      <c r="A3306" s="24" t="s">
        <v>7</v>
      </c>
      <c r="B3306" s="24" t="s">
        <v>16860</v>
      </c>
      <c r="C3306" s="25" t="s">
        <v>16861</v>
      </c>
      <c r="D3306" s="24" t="s">
        <v>22325</v>
      </c>
      <c r="G3306" s="40">
        <v>1</v>
      </c>
      <c r="H3306" s="41">
        <v>227</v>
      </c>
      <c r="J3306" s="41">
        <v>227</v>
      </c>
    </row>
    <row r="3307" spans="1:11" x14ac:dyDescent="0.25">
      <c r="A3307" s="24" t="s">
        <v>7</v>
      </c>
      <c r="B3307" s="24" t="s">
        <v>16863</v>
      </c>
      <c r="C3307" s="25" t="s">
        <v>15238</v>
      </c>
      <c r="D3307" s="24" t="s">
        <v>21462</v>
      </c>
      <c r="G3307" s="40">
        <v>3</v>
      </c>
      <c r="H3307" s="41">
        <v>565.5</v>
      </c>
      <c r="J3307" s="41">
        <v>188.5</v>
      </c>
    </row>
    <row r="3308" spans="1:11" x14ac:dyDescent="0.25">
      <c r="A3308" s="24" t="s">
        <v>7</v>
      </c>
      <c r="B3308" s="24" t="s">
        <v>16866</v>
      </c>
      <c r="C3308" s="25" t="s">
        <v>16867</v>
      </c>
      <c r="D3308" s="24" t="s">
        <v>21462</v>
      </c>
      <c r="E3308" s="40">
        <v>2</v>
      </c>
      <c r="F3308" s="41">
        <v>640</v>
      </c>
      <c r="G3308" s="40">
        <v>0</v>
      </c>
      <c r="H3308" s="41">
        <v>0</v>
      </c>
      <c r="I3308" s="41">
        <v>320</v>
      </c>
    </row>
    <row r="3309" spans="1:11" x14ac:dyDescent="0.25">
      <c r="A3309" s="24" t="s">
        <v>7</v>
      </c>
      <c r="B3309" s="24" t="s">
        <v>16868</v>
      </c>
      <c r="C3309" s="25" t="s">
        <v>16869</v>
      </c>
      <c r="D3309" s="24" t="s">
        <v>22319</v>
      </c>
      <c r="G3309" s="40">
        <v>1</v>
      </c>
      <c r="H3309" s="41">
        <v>187.5</v>
      </c>
      <c r="J3309" s="41">
        <v>187.5</v>
      </c>
    </row>
    <row r="3310" spans="1:11" x14ac:dyDescent="0.25">
      <c r="A3310" s="24" t="s">
        <v>7</v>
      </c>
      <c r="B3310" s="24" t="s">
        <v>16882</v>
      </c>
      <c r="C3310" s="25" t="s">
        <v>16883</v>
      </c>
      <c r="D3310" s="24" t="s">
        <v>22326</v>
      </c>
      <c r="G3310" s="40">
        <v>9</v>
      </c>
      <c r="H3310" s="41">
        <v>1788.75</v>
      </c>
      <c r="J3310" s="41">
        <v>198.75</v>
      </c>
    </row>
    <row r="3311" spans="1:11" x14ac:dyDescent="0.25">
      <c r="A3311" s="24" t="s">
        <v>7</v>
      </c>
      <c r="B3311" s="24" t="s">
        <v>16889</v>
      </c>
      <c r="C3311" s="25" t="s">
        <v>16890</v>
      </c>
      <c r="D3311" s="24" t="s">
        <v>22327</v>
      </c>
      <c r="G3311" s="40">
        <v>2</v>
      </c>
      <c r="H3311" s="41">
        <v>28.2</v>
      </c>
      <c r="J3311" s="41">
        <v>14.1</v>
      </c>
    </row>
    <row r="3312" spans="1:11" x14ac:dyDescent="0.25">
      <c r="A3312" s="24" t="s">
        <v>7</v>
      </c>
      <c r="B3312" s="24" t="s">
        <v>16892</v>
      </c>
      <c r="C3312" s="25" t="s">
        <v>16893</v>
      </c>
      <c r="D3312" s="24" t="s">
        <v>22328</v>
      </c>
      <c r="G3312" s="40">
        <v>2</v>
      </c>
      <c r="H3312" s="41">
        <v>27.2</v>
      </c>
      <c r="J3312" s="41">
        <v>13.6</v>
      </c>
    </row>
    <row r="3313" spans="1:11" x14ac:dyDescent="0.25">
      <c r="A3313" s="24" t="s">
        <v>7</v>
      </c>
      <c r="B3313" s="24" t="s">
        <v>16895</v>
      </c>
      <c r="C3313" s="25" t="s">
        <v>16896</v>
      </c>
      <c r="D3313" s="24" t="s">
        <v>22329</v>
      </c>
      <c r="G3313" s="40">
        <v>1</v>
      </c>
      <c r="H3313" s="41">
        <v>13.6</v>
      </c>
      <c r="J3313" s="41">
        <v>13.6</v>
      </c>
    </row>
    <row r="3314" spans="1:11" x14ac:dyDescent="0.25">
      <c r="A3314" s="24" t="s">
        <v>7</v>
      </c>
      <c r="B3314" s="24" t="s">
        <v>16898</v>
      </c>
      <c r="C3314" s="25" t="s">
        <v>16899</v>
      </c>
      <c r="D3314" s="24" t="s">
        <v>22330</v>
      </c>
      <c r="G3314" s="40">
        <v>1</v>
      </c>
      <c r="H3314" s="41">
        <v>13.6</v>
      </c>
      <c r="J3314" s="41">
        <v>13.6</v>
      </c>
    </row>
    <row r="3315" spans="1:11" x14ac:dyDescent="0.25">
      <c r="A3315" s="24" t="s">
        <v>7</v>
      </c>
      <c r="B3315" s="24" t="s">
        <v>16901</v>
      </c>
      <c r="C3315" s="25" t="s">
        <v>15515</v>
      </c>
      <c r="D3315" s="24" t="s">
        <v>22331</v>
      </c>
      <c r="G3315" s="40">
        <v>1</v>
      </c>
      <c r="H3315" s="41">
        <v>3129</v>
      </c>
      <c r="J3315" s="41">
        <v>3129</v>
      </c>
    </row>
    <row r="3316" spans="1:11" x14ac:dyDescent="0.25">
      <c r="A3316" s="24" t="s">
        <v>7</v>
      </c>
      <c r="B3316" s="24" t="s">
        <v>16902</v>
      </c>
      <c r="C3316" s="25" t="s">
        <v>3527</v>
      </c>
      <c r="D3316" s="24" t="s">
        <v>21394</v>
      </c>
      <c r="G3316" s="40">
        <v>1</v>
      </c>
      <c r="H3316" s="41">
        <v>9.1</v>
      </c>
      <c r="J3316" s="41">
        <v>9.1</v>
      </c>
    </row>
    <row r="3317" spans="1:11" x14ac:dyDescent="0.25">
      <c r="A3317" s="24" t="s">
        <v>7</v>
      </c>
      <c r="B3317" s="24" t="s">
        <v>16903</v>
      </c>
      <c r="C3317" s="25" t="s">
        <v>16904</v>
      </c>
      <c r="D3317" s="24" t="s">
        <v>22247</v>
      </c>
      <c r="G3317" s="40">
        <v>1</v>
      </c>
      <c r="H3317" s="41">
        <v>136.5</v>
      </c>
      <c r="J3317" s="41">
        <v>136.5</v>
      </c>
    </row>
    <row r="3318" spans="1:11" x14ac:dyDescent="0.25">
      <c r="A3318" s="24" t="s">
        <v>7</v>
      </c>
      <c r="B3318" s="24" t="s">
        <v>16906</v>
      </c>
      <c r="C3318" s="25" t="s">
        <v>16907</v>
      </c>
      <c r="D3318" s="24" t="s">
        <v>21461</v>
      </c>
      <c r="G3318" s="40">
        <v>11</v>
      </c>
      <c r="H3318" s="41">
        <v>6050</v>
      </c>
      <c r="J3318" s="41">
        <v>550</v>
      </c>
    </row>
    <row r="3319" spans="1:11" x14ac:dyDescent="0.25">
      <c r="A3319" s="24" t="s">
        <v>7</v>
      </c>
      <c r="B3319" s="24" t="s">
        <v>16908</v>
      </c>
      <c r="C3319" s="25" t="s">
        <v>16909</v>
      </c>
      <c r="D3319" s="24" t="s">
        <v>22247</v>
      </c>
      <c r="G3319" s="40">
        <v>1</v>
      </c>
      <c r="H3319" s="41">
        <v>52.53</v>
      </c>
      <c r="J3319" s="41">
        <v>52.53</v>
      </c>
    </row>
    <row r="3320" spans="1:11" x14ac:dyDescent="0.25">
      <c r="A3320" s="24" t="s">
        <v>7</v>
      </c>
      <c r="B3320" s="24" t="s">
        <v>16911</v>
      </c>
      <c r="C3320" s="25" t="s">
        <v>16912</v>
      </c>
      <c r="D3320" s="24" t="s">
        <v>22332</v>
      </c>
      <c r="G3320" s="40">
        <v>1</v>
      </c>
      <c r="H3320" s="41">
        <v>110</v>
      </c>
      <c r="J3320" s="41">
        <v>110</v>
      </c>
    </row>
    <row r="3321" spans="1:11" x14ac:dyDescent="0.25">
      <c r="A3321" s="24" t="s">
        <v>7</v>
      </c>
      <c r="B3321" s="24" t="s">
        <v>16921</v>
      </c>
      <c r="C3321" s="25" t="s">
        <v>16922</v>
      </c>
      <c r="D3321" s="24" t="s">
        <v>22333</v>
      </c>
      <c r="G3321" s="40">
        <v>1</v>
      </c>
      <c r="H3321" s="41">
        <v>45</v>
      </c>
      <c r="J3321" s="41">
        <v>45</v>
      </c>
    </row>
    <row r="3322" spans="1:11" x14ac:dyDescent="0.25">
      <c r="A3322" s="24" t="s">
        <v>7</v>
      </c>
      <c r="B3322" s="24" t="s">
        <v>16923</v>
      </c>
      <c r="C3322" s="25" t="s">
        <v>16924</v>
      </c>
      <c r="D3322" s="24" t="s">
        <v>21408</v>
      </c>
      <c r="G3322" s="40">
        <v>2</v>
      </c>
      <c r="H3322" s="41">
        <v>100</v>
      </c>
      <c r="J3322" s="41">
        <v>50</v>
      </c>
    </row>
    <row r="3323" spans="1:11" x14ac:dyDescent="0.25">
      <c r="A3323" s="24" t="s">
        <v>7</v>
      </c>
      <c r="B3323" s="24" t="s">
        <v>16928</v>
      </c>
      <c r="C3323" s="25" t="s">
        <v>3117</v>
      </c>
      <c r="D3323" s="24" t="s">
        <v>21318</v>
      </c>
      <c r="E3323" s="40">
        <v>1</v>
      </c>
      <c r="F3323" s="41">
        <v>240</v>
      </c>
      <c r="G3323" s="40">
        <v>0</v>
      </c>
      <c r="H3323" s="41">
        <v>0</v>
      </c>
      <c r="I3323" s="41">
        <v>240</v>
      </c>
    </row>
    <row r="3324" spans="1:11" x14ac:dyDescent="0.25">
      <c r="A3324" s="24" t="s">
        <v>7</v>
      </c>
      <c r="B3324" s="24" t="s">
        <v>16929</v>
      </c>
      <c r="C3324" s="25" t="s">
        <v>15411</v>
      </c>
      <c r="D3324" s="24" t="s">
        <v>21318</v>
      </c>
      <c r="G3324" s="40">
        <v>3</v>
      </c>
      <c r="H3324" s="41">
        <v>180</v>
      </c>
      <c r="J3324" s="41">
        <v>60</v>
      </c>
    </row>
    <row r="3325" spans="1:11" x14ac:dyDescent="0.25">
      <c r="A3325" s="24" t="s">
        <v>7</v>
      </c>
      <c r="B3325" s="24" t="s">
        <v>16930</v>
      </c>
      <c r="C3325" s="25" t="s">
        <v>15267</v>
      </c>
      <c r="D3325" s="24" t="s">
        <v>22334</v>
      </c>
      <c r="E3325" s="40">
        <v>10</v>
      </c>
      <c r="F3325" s="41">
        <v>604</v>
      </c>
      <c r="G3325" s="40">
        <v>6</v>
      </c>
      <c r="H3325" s="41">
        <v>362.4</v>
      </c>
      <c r="I3325" s="41">
        <v>60.4</v>
      </c>
      <c r="J3325" s="41">
        <v>60.4</v>
      </c>
      <c r="K3325" s="42">
        <v>0</v>
      </c>
    </row>
    <row r="3326" spans="1:11" x14ac:dyDescent="0.25">
      <c r="A3326" s="24" t="s">
        <v>7</v>
      </c>
      <c r="B3326" s="24" t="s">
        <v>16935</v>
      </c>
      <c r="C3326" s="25" t="s">
        <v>16936</v>
      </c>
      <c r="D3326" s="24" t="s">
        <v>22335</v>
      </c>
      <c r="E3326" s="40">
        <v>30</v>
      </c>
      <c r="F3326" s="41">
        <v>1200</v>
      </c>
      <c r="G3326" s="40">
        <v>77</v>
      </c>
      <c r="H3326" s="41">
        <v>3080</v>
      </c>
      <c r="I3326" s="41">
        <v>40</v>
      </c>
      <c r="J3326" s="41">
        <v>40</v>
      </c>
      <c r="K3326" s="42">
        <v>0</v>
      </c>
    </row>
    <row r="3327" spans="1:11" x14ac:dyDescent="0.25">
      <c r="A3327" s="24" t="s">
        <v>7</v>
      </c>
      <c r="B3327" s="24" t="s">
        <v>16937</v>
      </c>
      <c r="C3327" s="25" t="s">
        <v>15920</v>
      </c>
      <c r="D3327" s="24" t="s">
        <v>22336</v>
      </c>
      <c r="E3327" s="40">
        <v>16</v>
      </c>
      <c r="F3327" s="41">
        <v>1280</v>
      </c>
      <c r="G3327" s="40">
        <v>21</v>
      </c>
      <c r="H3327" s="41">
        <v>1680</v>
      </c>
      <c r="I3327" s="41">
        <v>80</v>
      </c>
      <c r="J3327" s="41">
        <v>80</v>
      </c>
      <c r="K3327" s="42">
        <v>0</v>
      </c>
    </row>
    <row r="3328" spans="1:11" x14ac:dyDescent="0.25">
      <c r="A3328" s="24" t="s">
        <v>7</v>
      </c>
      <c r="B3328" s="24" t="s">
        <v>16938</v>
      </c>
      <c r="C3328" s="25" t="s">
        <v>16939</v>
      </c>
      <c r="D3328" s="24" t="s">
        <v>22337</v>
      </c>
      <c r="G3328" s="40">
        <v>1</v>
      </c>
      <c r="H3328" s="41">
        <v>40</v>
      </c>
      <c r="J3328" s="41">
        <v>40</v>
      </c>
    </row>
    <row r="3329" spans="1:11" x14ac:dyDescent="0.25">
      <c r="A3329" s="24" t="s">
        <v>7</v>
      </c>
      <c r="B3329" s="24" t="s">
        <v>16951</v>
      </c>
      <c r="C3329" s="25" t="s">
        <v>15571</v>
      </c>
      <c r="D3329" s="24" t="s">
        <v>22338</v>
      </c>
      <c r="E3329" s="40">
        <v>19</v>
      </c>
      <c r="F3329" s="41">
        <v>665</v>
      </c>
      <c r="G3329" s="40">
        <v>25</v>
      </c>
      <c r="H3329" s="41">
        <v>875</v>
      </c>
      <c r="I3329" s="41">
        <v>35</v>
      </c>
      <c r="J3329" s="41">
        <v>35</v>
      </c>
      <c r="K3329" s="42">
        <v>0</v>
      </c>
    </row>
    <row r="3330" spans="1:11" x14ac:dyDescent="0.25">
      <c r="A3330" s="24" t="s">
        <v>7</v>
      </c>
      <c r="B3330" s="24" t="s">
        <v>16952</v>
      </c>
      <c r="C3330" s="25" t="s">
        <v>3192</v>
      </c>
      <c r="D3330" s="24" t="s">
        <v>22339</v>
      </c>
      <c r="G3330" s="40">
        <v>6</v>
      </c>
      <c r="H3330" s="41">
        <v>180</v>
      </c>
      <c r="J3330" s="41">
        <v>30</v>
      </c>
    </row>
    <row r="3331" spans="1:11" x14ac:dyDescent="0.25">
      <c r="A3331" s="24" t="s">
        <v>7</v>
      </c>
      <c r="B3331" s="24" t="s">
        <v>16953</v>
      </c>
      <c r="C3331" s="25" t="s">
        <v>15427</v>
      </c>
      <c r="D3331" s="24" t="s">
        <v>22264</v>
      </c>
      <c r="G3331" s="40">
        <v>8</v>
      </c>
      <c r="H3331" s="41">
        <v>400</v>
      </c>
      <c r="J3331" s="41">
        <v>50</v>
      </c>
    </row>
    <row r="3332" spans="1:11" x14ac:dyDescent="0.25">
      <c r="A3332" s="24" t="s">
        <v>7</v>
      </c>
      <c r="B3332" s="24" t="s">
        <v>16956</v>
      </c>
      <c r="C3332" s="25" t="s">
        <v>15662</v>
      </c>
      <c r="D3332" s="24" t="s">
        <v>22268</v>
      </c>
      <c r="E3332" s="40">
        <v>18</v>
      </c>
      <c r="F3332" s="41">
        <v>630</v>
      </c>
      <c r="G3332" s="40">
        <v>26</v>
      </c>
      <c r="H3332" s="41">
        <v>910</v>
      </c>
      <c r="I3332" s="41">
        <v>35</v>
      </c>
      <c r="J3332" s="41">
        <v>35</v>
      </c>
      <c r="K3332" s="42">
        <v>0</v>
      </c>
    </row>
    <row r="3333" spans="1:11" x14ac:dyDescent="0.25">
      <c r="A3333" s="24" t="s">
        <v>7</v>
      </c>
      <c r="B3333" s="24" t="s">
        <v>16961</v>
      </c>
      <c r="C3333" s="25" t="s">
        <v>15640</v>
      </c>
      <c r="D3333" s="24" t="s">
        <v>22267</v>
      </c>
      <c r="G3333" s="40">
        <v>2</v>
      </c>
      <c r="H3333" s="41">
        <v>70</v>
      </c>
      <c r="J3333" s="41">
        <v>35</v>
      </c>
    </row>
    <row r="3334" spans="1:11" x14ac:dyDescent="0.25">
      <c r="A3334" s="24" t="s">
        <v>7</v>
      </c>
      <c r="B3334" s="24" t="s">
        <v>16965</v>
      </c>
      <c r="C3334" s="25" t="s">
        <v>16966</v>
      </c>
      <c r="D3334" s="24" t="s">
        <v>22340</v>
      </c>
      <c r="G3334" s="40">
        <v>2</v>
      </c>
      <c r="H3334" s="41">
        <v>90</v>
      </c>
      <c r="J3334" s="41">
        <v>45</v>
      </c>
    </row>
    <row r="3335" spans="1:11" x14ac:dyDescent="0.25">
      <c r="A3335" s="24" t="s">
        <v>7</v>
      </c>
      <c r="B3335" s="24" t="s">
        <v>16977</v>
      </c>
      <c r="C3335" s="25" t="s">
        <v>3395</v>
      </c>
      <c r="D3335" s="24" t="s">
        <v>22341</v>
      </c>
      <c r="E3335" s="40">
        <v>23</v>
      </c>
      <c r="F3335" s="41">
        <v>460</v>
      </c>
      <c r="G3335" s="40">
        <v>31</v>
      </c>
      <c r="H3335" s="41">
        <v>620</v>
      </c>
      <c r="I3335" s="41">
        <v>20</v>
      </c>
      <c r="J3335" s="41">
        <v>20</v>
      </c>
      <c r="K3335" s="42">
        <v>0</v>
      </c>
    </row>
    <row r="3336" spans="1:11" x14ac:dyDescent="0.25">
      <c r="A3336" s="24" t="s">
        <v>7</v>
      </c>
      <c r="B3336" s="24" t="s">
        <v>16979</v>
      </c>
      <c r="C3336" s="25" t="s">
        <v>15291</v>
      </c>
      <c r="D3336" s="24" t="s">
        <v>22274</v>
      </c>
      <c r="E3336" s="40">
        <v>5</v>
      </c>
      <c r="F3336" s="41">
        <v>175</v>
      </c>
      <c r="G3336" s="40">
        <v>0</v>
      </c>
      <c r="H3336" s="41">
        <v>0</v>
      </c>
      <c r="I3336" s="41">
        <v>35</v>
      </c>
    </row>
    <row r="3337" spans="1:11" x14ac:dyDescent="0.25">
      <c r="A3337" s="24" t="s">
        <v>7</v>
      </c>
      <c r="B3337" s="24" t="s">
        <v>16982</v>
      </c>
      <c r="C3337" s="25" t="s">
        <v>16983</v>
      </c>
      <c r="D3337" s="24" t="s">
        <v>22342</v>
      </c>
      <c r="E3337" s="40">
        <v>4</v>
      </c>
      <c r="F3337" s="41">
        <v>140</v>
      </c>
      <c r="G3337" s="40">
        <v>8</v>
      </c>
      <c r="H3337" s="41">
        <v>280</v>
      </c>
      <c r="I3337" s="41">
        <v>35</v>
      </c>
      <c r="J3337" s="41">
        <v>35</v>
      </c>
      <c r="K3337" s="42">
        <v>0</v>
      </c>
    </row>
    <row r="3338" spans="1:11" x14ac:dyDescent="0.25">
      <c r="A3338" s="24" t="s">
        <v>7</v>
      </c>
      <c r="B3338" s="24" t="s">
        <v>16984</v>
      </c>
      <c r="C3338" s="25" t="s">
        <v>3410</v>
      </c>
      <c r="D3338" s="24" t="s">
        <v>21371</v>
      </c>
      <c r="E3338" s="40">
        <v>56</v>
      </c>
      <c r="F3338" s="41">
        <v>1176</v>
      </c>
      <c r="G3338" s="40">
        <v>43</v>
      </c>
      <c r="H3338" s="41">
        <v>903</v>
      </c>
      <c r="I3338" s="41">
        <v>21</v>
      </c>
      <c r="J3338" s="41">
        <v>21</v>
      </c>
      <c r="K3338" s="42">
        <v>0</v>
      </c>
    </row>
    <row r="3339" spans="1:11" x14ac:dyDescent="0.25">
      <c r="A3339" s="24" t="s">
        <v>7</v>
      </c>
      <c r="B3339" s="24" t="s">
        <v>16985</v>
      </c>
      <c r="C3339" s="25" t="s">
        <v>3413</v>
      </c>
      <c r="D3339" s="24" t="s">
        <v>21372</v>
      </c>
      <c r="E3339" s="40">
        <v>54</v>
      </c>
      <c r="F3339" s="41">
        <v>1134</v>
      </c>
      <c r="G3339" s="40">
        <v>23</v>
      </c>
      <c r="H3339" s="41">
        <v>483</v>
      </c>
      <c r="I3339" s="41">
        <v>21</v>
      </c>
      <c r="J3339" s="41">
        <v>21</v>
      </c>
      <c r="K3339" s="42">
        <v>0</v>
      </c>
    </row>
    <row r="3340" spans="1:11" x14ac:dyDescent="0.25">
      <c r="A3340" s="24" t="s">
        <v>7</v>
      </c>
      <c r="B3340" s="24" t="s">
        <v>16987</v>
      </c>
      <c r="C3340" s="25" t="s">
        <v>3425</v>
      </c>
      <c r="D3340" s="24" t="s">
        <v>22343</v>
      </c>
      <c r="E3340" s="40">
        <v>10</v>
      </c>
      <c r="F3340" s="41">
        <v>300</v>
      </c>
      <c r="G3340" s="40">
        <v>18</v>
      </c>
      <c r="H3340" s="41">
        <v>540</v>
      </c>
      <c r="I3340" s="41">
        <v>30</v>
      </c>
      <c r="J3340" s="41">
        <v>30</v>
      </c>
      <c r="K3340" s="42">
        <v>0</v>
      </c>
    </row>
    <row r="3341" spans="1:11" x14ac:dyDescent="0.25">
      <c r="A3341" s="24" t="s">
        <v>7</v>
      </c>
      <c r="B3341" s="24" t="s">
        <v>17009</v>
      </c>
      <c r="C3341" s="25" t="s">
        <v>17010</v>
      </c>
      <c r="D3341" s="24" t="s">
        <v>22344</v>
      </c>
      <c r="E3341" s="40">
        <v>2</v>
      </c>
      <c r="F3341" s="41">
        <v>164</v>
      </c>
      <c r="G3341" s="40">
        <v>0</v>
      </c>
      <c r="H3341" s="41">
        <v>0</v>
      </c>
      <c r="I3341" s="41">
        <v>82</v>
      </c>
    </row>
    <row r="3342" spans="1:11" x14ac:dyDescent="0.25">
      <c r="A3342" s="24" t="s">
        <v>7</v>
      </c>
      <c r="B3342" s="24" t="s">
        <v>17012</v>
      </c>
      <c r="C3342" s="25" t="s">
        <v>16065</v>
      </c>
      <c r="D3342" s="24" t="s">
        <v>22345</v>
      </c>
      <c r="E3342" s="40">
        <v>16</v>
      </c>
      <c r="F3342" s="41">
        <v>736</v>
      </c>
      <c r="G3342" s="40">
        <v>12</v>
      </c>
      <c r="H3342" s="41">
        <v>552</v>
      </c>
      <c r="I3342" s="41">
        <v>46</v>
      </c>
      <c r="J3342" s="41">
        <v>46</v>
      </c>
      <c r="K3342" s="42">
        <v>0</v>
      </c>
    </row>
    <row r="3343" spans="1:11" x14ac:dyDescent="0.25">
      <c r="A3343" s="24" t="s">
        <v>7</v>
      </c>
      <c r="B3343" s="24" t="s">
        <v>17013</v>
      </c>
      <c r="C3343" s="25" t="s">
        <v>16068</v>
      </c>
      <c r="D3343" s="24" t="s">
        <v>22346</v>
      </c>
      <c r="E3343" s="40">
        <v>2</v>
      </c>
      <c r="F3343" s="41">
        <v>206</v>
      </c>
      <c r="G3343" s="40">
        <v>0</v>
      </c>
      <c r="H3343" s="41">
        <v>0</v>
      </c>
      <c r="I3343" s="41">
        <v>103</v>
      </c>
    </row>
    <row r="3344" spans="1:11" x14ac:dyDescent="0.25">
      <c r="A3344" s="24" t="s">
        <v>7</v>
      </c>
      <c r="B3344" s="24" t="s">
        <v>17014</v>
      </c>
      <c r="C3344" s="25" t="s">
        <v>17015</v>
      </c>
      <c r="D3344" s="24" t="s">
        <v>22347</v>
      </c>
      <c r="E3344" s="40">
        <v>1</v>
      </c>
      <c r="F3344" s="41">
        <v>70</v>
      </c>
      <c r="G3344" s="40">
        <v>0</v>
      </c>
      <c r="H3344" s="41">
        <v>0</v>
      </c>
      <c r="I3344" s="41">
        <v>70</v>
      </c>
    </row>
    <row r="3345" spans="1:11" x14ac:dyDescent="0.25">
      <c r="A3345" s="24" t="s">
        <v>7</v>
      </c>
      <c r="B3345" s="24" t="s">
        <v>17022</v>
      </c>
      <c r="C3345" s="25" t="s">
        <v>17023</v>
      </c>
      <c r="D3345" s="24" t="s">
        <v>22348</v>
      </c>
      <c r="E3345" s="40">
        <v>18</v>
      </c>
      <c r="F3345" s="41">
        <v>288</v>
      </c>
      <c r="G3345" s="40">
        <v>39</v>
      </c>
      <c r="H3345" s="41">
        <v>624</v>
      </c>
      <c r="I3345" s="41">
        <v>16</v>
      </c>
      <c r="J3345" s="41">
        <v>16</v>
      </c>
      <c r="K3345" s="42">
        <v>0</v>
      </c>
    </row>
    <row r="3346" spans="1:11" x14ac:dyDescent="0.25">
      <c r="A3346" s="24" t="s">
        <v>7</v>
      </c>
      <c r="B3346" s="24" t="s">
        <v>17024</v>
      </c>
      <c r="C3346" s="25" t="s">
        <v>3583</v>
      </c>
      <c r="D3346" s="24" t="s">
        <v>21404</v>
      </c>
      <c r="G3346" s="40">
        <v>5</v>
      </c>
      <c r="H3346" s="41">
        <v>425</v>
      </c>
      <c r="J3346" s="41">
        <v>85</v>
      </c>
    </row>
    <row r="3347" spans="1:11" x14ac:dyDescent="0.25">
      <c r="A3347" s="24" t="s">
        <v>7</v>
      </c>
      <c r="B3347" s="24" t="s">
        <v>17025</v>
      </c>
      <c r="C3347" s="25" t="s">
        <v>3592</v>
      </c>
      <c r="D3347" s="24" t="s">
        <v>21405</v>
      </c>
      <c r="E3347" s="40">
        <v>15</v>
      </c>
      <c r="F3347" s="41">
        <v>225</v>
      </c>
      <c r="G3347" s="40">
        <v>16</v>
      </c>
      <c r="H3347" s="41">
        <v>240</v>
      </c>
      <c r="I3347" s="41">
        <v>15</v>
      </c>
      <c r="J3347" s="41">
        <v>15</v>
      </c>
      <c r="K3347" s="42">
        <v>0</v>
      </c>
    </row>
    <row r="3348" spans="1:11" x14ac:dyDescent="0.25">
      <c r="A3348" s="24" t="s">
        <v>7</v>
      </c>
      <c r="B3348" s="24" t="s">
        <v>17026</v>
      </c>
      <c r="C3348" s="25" t="s">
        <v>3600</v>
      </c>
      <c r="D3348" s="24" t="s">
        <v>21408</v>
      </c>
      <c r="E3348" s="40">
        <v>17</v>
      </c>
      <c r="F3348" s="41">
        <v>850</v>
      </c>
      <c r="G3348" s="40">
        <v>24</v>
      </c>
      <c r="H3348" s="41">
        <v>1200</v>
      </c>
      <c r="I3348" s="41">
        <v>50</v>
      </c>
      <c r="J3348" s="41">
        <v>50</v>
      </c>
      <c r="K3348" s="42">
        <v>0</v>
      </c>
    </row>
    <row r="3349" spans="1:11" x14ac:dyDescent="0.25">
      <c r="A3349" s="24" t="s">
        <v>7</v>
      </c>
      <c r="B3349" s="24" t="s">
        <v>17027</v>
      </c>
      <c r="C3349" s="25" t="s">
        <v>3605</v>
      </c>
      <c r="D3349" s="24" t="s">
        <v>21409</v>
      </c>
      <c r="E3349" s="40">
        <v>18</v>
      </c>
      <c r="F3349" s="41">
        <v>945</v>
      </c>
      <c r="G3349" s="40">
        <v>14</v>
      </c>
      <c r="H3349" s="41">
        <v>735</v>
      </c>
      <c r="I3349" s="41">
        <v>52.5</v>
      </c>
      <c r="J3349" s="41">
        <v>52.5</v>
      </c>
      <c r="K3349" s="42">
        <v>0</v>
      </c>
    </row>
    <row r="3350" spans="1:11" x14ac:dyDescent="0.25">
      <c r="A3350" s="24" t="s">
        <v>7</v>
      </c>
      <c r="B3350" s="24" t="s">
        <v>17029</v>
      </c>
      <c r="C3350" s="25" t="s">
        <v>3610</v>
      </c>
      <c r="D3350" s="24" t="s">
        <v>21409</v>
      </c>
      <c r="E3350" s="40">
        <v>50</v>
      </c>
      <c r="F3350" s="41">
        <v>4420.5</v>
      </c>
      <c r="G3350" s="40">
        <v>56</v>
      </c>
      <c r="H3350" s="41">
        <v>2728.46</v>
      </c>
      <c r="I3350" s="41">
        <v>88.41</v>
      </c>
      <c r="J3350" s="41">
        <v>48.722500000000004</v>
      </c>
      <c r="K3350" s="42">
        <v>-0.44890283904535677</v>
      </c>
    </row>
    <row r="3351" spans="1:11" x14ac:dyDescent="0.25">
      <c r="A3351" s="24" t="s">
        <v>7</v>
      </c>
      <c r="B3351" s="24" t="s">
        <v>17030</v>
      </c>
      <c r="C3351" s="25" t="s">
        <v>3614</v>
      </c>
      <c r="D3351" s="24" t="s">
        <v>21130</v>
      </c>
      <c r="E3351" s="40">
        <v>29</v>
      </c>
      <c r="F3351" s="41">
        <v>377</v>
      </c>
      <c r="G3351" s="40">
        <v>29</v>
      </c>
      <c r="H3351" s="41">
        <v>377</v>
      </c>
      <c r="I3351" s="41">
        <v>13</v>
      </c>
      <c r="J3351" s="41">
        <v>13</v>
      </c>
      <c r="K3351" s="42">
        <v>0</v>
      </c>
    </row>
    <row r="3352" spans="1:11" x14ac:dyDescent="0.25">
      <c r="A3352" s="24" t="s">
        <v>7</v>
      </c>
      <c r="B3352" s="24" t="s">
        <v>17041</v>
      </c>
      <c r="C3352" s="25" t="s">
        <v>15250</v>
      </c>
      <c r="D3352" s="24" t="s">
        <v>22245</v>
      </c>
      <c r="G3352" s="40">
        <v>51</v>
      </c>
      <c r="H3352" s="41">
        <v>6263.82</v>
      </c>
      <c r="J3352" s="41">
        <v>122.82</v>
      </c>
    </row>
    <row r="3353" spans="1:11" x14ac:dyDescent="0.25">
      <c r="A3353" s="24" t="s">
        <v>7</v>
      </c>
      <c r="B3353" s="24" t="s">
        <v>17128</v>
      </c>
      <c r="C3353" s="25" t="s">
        <v>17129</v>
      </c>
      <c r="D3353" s="24" t="s">
        <v>22349</v>
      </c>
      <c r="E3353" s="40">
        <v>1728</v>
      </c>
      <c r="F3353" s="41">
        <v>328092.5</v>
      </c>
      <c r="G3353" s="40">
        <v>1647</v>
      </c>
      <c r="H3353" s="41">
        <v>359700</v>
      </c>
      <c r="I3353" s="41">
        <v>189.86834490740742</v>
      </c>
      <c r="J3353" s="41">
        <v>218.39708561020038</v>
      </c>
      <c r="K3353" s="42">
        <v>0.15025538204752084</v>
      </c>
    </row>
    <row r="3354" spans="1:11" x14ac:dyDescent="0.25">
      <c r="A3354" s="24" t="s">
        <v>7</v>
      </c>
      <c r="B3354" s="24" t="s">
        <v>17203</v>
      </c>
      <c r="C3354" s="25" t="s">
        <v>17204</v>
      </c>
      <c r="D3354" s="24" t="s">
        <v>22350</v>
      </c>
      <c r="E3354" s="40">
        <v>7</v>
      </c>
      <c r="F3354" s="41">
        <v>175</v>
      </c>
      <c r="G3354" s="40">
        <v>6</v>
      </c>
      <c r="H3354" s="41">
        <v>150</v>
      </c>
      <c r="I3354" s="41">
        <v>25</v>
      </c>
      <c r="J3354" s="41">
        <v>25</v>
      </c>
      <c r="K3354" s="42">
        <v>0</v>
      </c>
    </row>
    <row r="3355" spans="1:11" x14ac:dyDescent="0.25">
      <c r="A3355" s="24" t="s">
        <v>7</v>
      </c>
      <c r="B3355" s="24" t="s">
        <v>17213</v>
      </c>
      <c r="C3355" s="25" t="s">
        <v>17214</v>
      </c>
      <c r="D3355" s="24" t="s">
        <v>22351</v>
      </c>
      <c r="G3355" s="40">
        <v>1</v>
      </c>
      <c r="H3355" s="41">
        <v>240</v>
      </c>
      <c r="J3355" s="41">
        <v>240</v>
      </c>
    </row>
    <row r="3356" spans="1:11" x14ac:dyDescent="0.25">
      <c r="A3356" s="24" t="s">
        <v>7</v>
      </c>
      <c r="B3356" s="24" t="s">
        <v>17216</v>
      </c>
      <c r="C3356" s="25" t="s">
        <v>17217</v>
      </c>
      <c r="D3356" s="24" t="s">
        <v>22352</v>
      </c>
      <c r="G3356" s="40">
        <v>8</v>
      </c>
      <c r="H3356" s="41">
        <v>8800</v>
      </c>
      <c r="J3356" s="41">
        <v>1100</v>
      </c>
    </row>
    <row r="3357" spans="1:11" x14ac:dyDescent="0.25">
      <c r="A3357" s="24" t="s">
        <v>7</v>
      </c>
      <c r="B3357" s="24" t="s">
        <v>17323</v>
      </c>
      <c r="C3357" s="25" t="s">
        <v>17324</v>
      </c>
      <c r="D3357" s="24" t="s">
        <v>22353</v>
      </c>
      <c r="E3357" s="40">
        <v>20</v>
      </c>
      <c r="F3357" s="41">
        <v>400</v>
      </c>
      <c r="G3357" s="40">
        <v>30</v>
      </c>
      <c r="H3357" s="41">
        <v>600</v>
      </c>
      <c r="I3357" s="41">
        <v>20</v>
      </c>
      <c r="J3357" s="41">
        <v>20</v>
      </c>
      <c r="K3357" s="42">
        <v>0</v>
      </c>
    </row>
    <row r="3358" spans="1:11" x14ac:dyDescent="0.25">
      <c r="A3358" s="24" t="s">
        <v>7</v>
      </c>
      <c r="B3358" s="24" t="s">
        <v>17328</v>
      </c>
      <c r="C3358" s="25" t="s">
        <v>17087</v>
      </c>
      <c r="D3358" s="24" t="s">
        <v>22354</v>
      </c>
      <c r="E3358" s="40">
        <v>6</v>
      </c>
      <c r="F3358" s="41">
        <v>525</v>
      </c>
      <c r="G3358" s="40">
        <v>6</v>
      </c>
      <c r="H3358" s="41">
        <v>525</v>
      </c>
      <c r="I3358" s="41">
        <v>87.5</v>
      </c>
      <c r="J3358" s="41">
        <v>87.5</v>
      </c>
      <c r="K3358" s="42">
        <v>0</v>
      </c>
    </row>
    <row r="3359" spans="1:11" x14ac:dyDescent="0.25">
      <c r="A3359" s="24" t="s">
        <v>7</v>
      </c>
      <c r="B3359" s="24" t="s">
        <v>17333</v>
      </c>
      <c r="C3359" s="25" t="s">
        <v>17334</v>
      </c>
      <c r="D3359" s="24" t="s">
        <v>22355</v>
      </c>
      <c r="E3359" s="40">
        <v>26</v>
      </c>
      <c r="F3359" s="41">
        <v>520</v>
      </c>
      <c r="G3359" s="40">
        <v>33</v>
      </c>
      <c r="H3359" s="41">
        <v>660</v>
      </c>
      <c r="I3359" s="41">
        <v>20</v>
      </c>
      <c r="J3359" s="41">
        <v>20</v>
      </c>
      <c r="K3359" s="42">
        <v>0</v>
      </c>
    </row>
    <row r="3360" spans="1:11" x14ac:dyDescent="0.25">
      <c r="A3360" s="24" t="s">
        <v>7</v>
      </c>
      <c r="B3360" s="24" t="s">
        <v>17336</v>
      </c>
      <c r="C3360" s="25" t="s">
        <v>17111</v>
      </c>
      <c r="D3360" s="24" t="s">
        <v>22356</v>
      </c>
      <c r="E3360" s="40">
        <v>197</v>
      </c>
      <c r="F3360" s="41">
        <v>3940</v>
      </c>
      <c r="G3360" s="40">
        <v>254</v>
      </c>
      <c r="H3360" s="41">
        <v>5080</v>
      </c>
      <c r="I3360" s="41">
        <v>20</v>
      </c>
      <c r="J3360" s="41">
        <v>20</v>
      </c>
      <c r="K3360" s="42">
        <v>0</v>
      </c>
    </row>
    <row r="3361" spans="1:11" x14ac:dyDescent="0.25">
      <c r="A3361" s="24" t="s">
        <v>7</v>
      </c>
      <c r="B3361" s="24" t="s">
        <v>17348</v>
      </c>
      <c r="C3361" s="25" t="s">
        <v>17105</v>
      </c>
      <c r="D3361" s="24" t="s">
        <v>22357</v>
      </c>
      <c r="E3361" s="40">
        <v>13</v>
      </c>
      <c r="F3361" s="41">
        <v>585</v>
      </c>
      <c r="G3361" s="40">
        <v>17</v>
      </c>
      <c r="H3361" s="41">
        <v>765</v>
      </c>
      <c r="I3361" s="41">
        <v>45</v>
      </c>
      <c r="J3361" s="41">
        <v>45</v>
      </c>
      <c r="K3361" s="42">
        <v>0</v>
      </c>
    </row>
    <row r="3362" spans="1:11" x14ac:dyDescent="0.25">
      <c r="A3362" s="24" t="s">
        <v>7</v>
      </c>
      <c r="B3362" s="24" t="s">
        <v>17360</v>
      </c>
      <c r="C3362" s="25" t="s">
        <v>17361</v>
      </c>
      <c r="D3362" s="24" t="s">
        <v>21476</v>
      </c>
      <c r="E3362" s="40">
        <v>35</v>
      </c>
      <c r="F3362" s="41">
        <v>1792.65</v>
      </c>
      <c r="G3362" s="40">
        <v>31</v>
      </c>
      <c r="H3362" s="41">
        <v>1616.65</v>
      </c>
      <c r="I3362" s="41">
        <v>51.21857142857143</v>
      </c>
      <c r="J3362" s="41">
        <v>52.150000000000006</v>
      </c>
      <c r="K3362" s="42">
        <v>1.8185368030569356E-2</v>
      </c>
    </row>
    <row r="3363" spans="1:11" x14ac:dyDescent="0.25">
      <c r="A3363" s="24" t="s">
        <v>7</v>
      </c>
      <c r="B3363" s="24" t="s">
        <v>17371</v>
      </c>
      <c r="C3363" s="25" t="s">
        <v>4072</v>
      </c>
      <c r="D3363" s="24" t="s">
        <v>21486</v>
      </c>
      <c r="E3363" s="40">
        <v>150</v>
      </c>
      <c r="F3363" s="41">
        <v>5319</v>
      </c>
      <c r="G3363" s="40">
        <v>93</v>
      </c>
      <c r="H3363" s="41">
        <v>3450.3</v>
      </c>
      <c r="I3363" s="41">
        <v>35.46</v>
      </c>
      <c r="J3363" s="41">
        <v>37.1</v>
      </c>
      <c r="K3363" s="42">
        <v>4.624929498025946E-2</v>
      </c>
    </row>
    <row r="3364" spans="1:11" x14ac:dyDescent="0.25">
      <c r="A3364" s="24" t="s">
        <v>7</v>
      </c>
      <c r="B3364" s="24" t="s">
        <v>17372</v>
      </c>
      <c r="C3364" s="25" t="s">
        <v>17373</v>
      </c>
      <c r="D3364" s="24" t="s">
        <v>22358</v>
      </c>
      <c r="E3364" s="40">
        <v>50</v>
      </c>
      <c r="F3364" s="41">
        <v>12567</v>
      </c>
      <c r="G3364" s="40">
        <v>31</v>
      </c>
      <c r="H3364" s="41">
        <v>7791.54</v>
      </c>
      <c r="I3364" s="41">
        <v>251.34</v>
      </c>
      <c r="J3364" s="41">
        <v>251.34</v>
      </c>
      <c r="K3364" s="42">
        <v>0</v>
      </c>
    </row>
    <row r="3365" spans="1:11" x14ac:dyDescent="0.25">
      <c r="A3365" s="24" t="s">
        <v>7</v>
      </c>
      <c r="B3365" s="24" t="s">
        <v>17378</v>
      </c>
      <c r="C3365" s="25" t="s">
        <v>17379</v>
      </c>
      <c r="D3365" s="24" t="s">
        <v>22359</v>
      </c>
      <c r="E3365" s="40">
        <v>49</v>
      </c>
      <c r="F3365" s="41">
        <v>30925.37</v>
      </c>
      <c r="G3365" s="40">
        <v>31</v>
      </c>
      <c r="H3365" s="41">
        <v>19565.03</v>
      </c>
      <c r="I3365" s="41">
        <v>631.13</v>
      </c>
      <c r="J3365" s="41">
        <v>631.13</v>
      </c>
      <c r="K3365" s="42">
        <v>0</v>
      </c>
    </row>
    <row r="3366" spans="1:11" x14ac:dyDescent="0.25">
      <c r="A3366" s="24" t="s">
        <v>7</v>
      </c>
      <c r="B3366" s="24" t="s">
        <v>17405</v>
      </c>
      <c r="C3366" s="25" t="s">
        <v>15243</v>
      </c>
      <c r="D3366" s="24" t="s">
        <v>21448</v>
      </c>
      <c r="G3366" s="40">
        <v>1</v>
      </c>
      <c r="H3366" s="41">
        <v>356</v>
      </c>
      <c r="J3366" s="41">
        <v>356</v>
      </c>
    </row>
    <row r="3367" spans="1:11" x14ac:dyDescent="0.25">
      <c r="A3367" s="24" t="s">
        <v>7</v>
      </c>
      <c r="B3367" s="24" t="s">
        <v>17407</v>
      </c>
      <c r="C3367" s="25" t="s">
        <v>16722</v>
      </c>
      <c r="D3367" s="24" t="s">
        <v>22360</v>
      </c>
      <c r="E3367" s="40">
        <v>39</v>
      </c>
      <c r="F3367" s="41">
        <v>3597.75</v>
      </c>
      <c r="G3367" s="40">
        <v>38</v>
      </c>
      <c r="H3367" s="41">
        <v>3505.5</v>
      </c>
      <c r="I3367" s="41">
        <v>92.25</v>
      </c>
      <c r="J3367" s="41">
        <v>92.25</v>
      </c>
      <c r="K3367" s="42">
        <v>0</v>
      </c>
    </row>
    <row r="3368" spans="1:11" x14ac:dyDescent="0.25">
      <c r="A3368" s="24" t="s">
        <v>7</v>
      </c>
      <c r="B3368" s="24" t="s">
        <v>17566</v>
      </c>
      <c r="C3368" s="25" t="s">
        <v>15515</v>
      </c>
      <c r="D3368" s="24" t="s">
        <v>22331</v>
      </c>
      <c r="G3368" s="40">
        <v>1</v>
      </c>
      <c r="H3368" s="41">
        <v>52.87</v>
      </c>
      <c r="J3368" s="41">
        <v>52.87</v>
      </c>
    </row>
    <row r="3369" spans="1:11" x14ac:dyDescent="0.25">
      <c r="A3369" s="24" t="s">
        <v>7</v>
      </c>
      <c r="B3369" s="24" t="s">
        <v>17570</v>
      </c>
      <c r="C3369" s="25" t="s">
        <v>15627</v>
      </c>
      <c r="D3369" s="24" t="s">
        <v>22361</v>
      </c>
      <c r="G3369" s="40">
        <v>1</v>
      </c>
      <c r="H3369" s="41">
        <v>18</v>
      </c>
      <c r="J3369" s="41">
        <v>18</v>
      </c>
    </row>
    <row r="3370" spans="1:11" x14ac:dyDescent="0.25">
      <c r="A3370" s="24" t="s">
        <v>7</v>
      </c>
      <c r="B3370" s="24" t="s">
        <v>17582</v>
      </c>
      <c r="C3370" s="25" t="s">
        <v>3639</v>
      </c>
      <c r="D3370" s="24" t="s">
        <v>21414</v>
      </c>
      <c r="G3370" s="40">
        <v>1</v>
      </c>
      <c r="H3370" s="41">
        <v>27</v>
      </c>
      <c r="J3370" s="41">
        <v>27</v>
      </c>
    </row>
    <row r="3371" spans="1:11" x14ac:dyDescent="0.25">
      <c r="A3371" s="24" t="s">
        <v>7</v>
      </c>
      <c r="B3371" s="24" t="s">
        <v>17586</v>
      </c>
      <c r="C3371" s="25" t="s">
        <v>16792</v>
      </c>
      <c r="D3371" s="24" t="s">
        <v>22358</v>
      </c>
      <c r="G3371" s="40">
        <v>1</v>
      </c>
      <c r="H3371" s="41">
        <v>135</v>
      </c>
      <c r="J3371" s="41">
        <v>135</v>
      </c>
    </row>
    <row r="3372" spans="1:11" x14ac:dyDescent="0.25">
      <c r="A3372" s="24" t="s">
        <v>7</v>
      </c>
      <c r="B3372" s="24" t="s">
        <v>17587</v>
      </c>
      <c r="C3372" s="25" t="s">
        <v>17373</v>
      </c>
      <c r="D3372" s="24" t="s">
        <v>22358</v>
      </c>
      <c r="G3372" s="40">
        <v>1</v>
      </c>
      <c r="H3372" s="41">
        <v>81</v>
      </c>
      <c r="J3372" s="41">
        <v>81</v>
      </c>
    </row>
    <row r="3373" spans="1:11" x14ac:dyDescent="0.25">
      <c r="A3373" s="24" t="s">
        <v>7</v>
      </c>
      <c r="B3373" s="24" t="s">
        <v>17588</v>
      </c>
      <c r="C3373" s="25" t="s">
        <v>17037</v>
      </c>
      <c r="D3373" s="24" t="s">
        <v>22362</v>
      </c>
      <c r="G3373" s="40">
        <v>1</v>
      </c>
      <c r="H3373" s="41">
        <v>81</v>
      </c>
      <c r="J3373" s="41">
        <v>81</v>
      </c>
    </row>
    <row r="3374" spans="1:11" x14ac:dyDescent="0.25">
      <c r="A3374" s="24" t="s">
        <v>7</v>
      </c>
      <c r="B3374" s="24" t="s">
        <v>17589</v>
      </c>
      <c r="C3374" s="25" t="s">
        <v>15205</v>
      </c>
      <c r="D3374" s="24" t="s">
        <v>22243</v>
      </c>
      <c r="G3374" s="40">
        <v>1</v>
      </c>
      <c r="H3374" s="41">
        <v>18</v>
      </c>
      <c r="J3374" s="41">
        <v>18</v>
      </c>
    </row>
    <row r="3375" spans="1:11" x14ac:dyDescent="0.25">
      <c r="A3375" s="24" t="s">
        <v>7</v>
      </c>
      <c r="B3375" s="24" t="s">
        <v>17590</v>
      </c>
      <c r="C3375" s="25" t="s">
        <v>17591</v>
      </c>
      <c r="D3375" s="24" t="s">
        <v>22362</v>
      </c>
      <c r="G3375" s="40">
        <v>1</v>
      </c>
      <c r="H3375" s="41">
        <v>81</v>
      </c>
      <c r="J3375" s="41">
        <v>81</v>
      </c>
    </row>
    <row r="3376" spans="1:11" x14ac:dyDescent="0.25">
      <c r="A3376" s="24" t="s">
        <v>7</v>
      </c>
      <c r="B3376" s="24" t="s">
        <v>17593</v>
      </c>
      <c r="C3376" s="25" t="s">
        <v>17594</v>
      </c>
      <c r="D3376" s="24" t="s">
        <v>22243</v>
      </c>
      <c r="G3376" s="40">
        <v>1</v>
      </c>
      <c r="H3376" s="41">
        <v>22.5</v>
      </c>
      <c r="J3376" s="41">
        <v>22.5</v>
      </c>
    </row>
    <row r="3377" spans="1:11" x14ac:dyDescent="0.25">
      <c r="A3377" s="24" t="s">
        <v>7</v>
      </c>
      <c r="B3377" s="24" t="s">
        <v>17596</v>
      </c>
      <c r="C3377" s="25" t="s">
        <v>17597</v>
      </c>
      <c r="D3377" s="24" t="s">
        <v>22243</v>
      </c>
      <c r="G3377" s="40">
        <v>1</v>
      </c>
      <c r="H3377" s="41">
        <v>35</v>
      </c>
      <c r="J3377" s="41">
        <v>35</v>
      </c>
    </row>
    <row r="3378" spans="1:11" x14ac:dyDescent="0.25">
      <c r="A3378" s="24" t="s">
        <v>7</v>
      </c>
      <c r="B3378" s="24" t="s">
        <v>17599</v>
      </c>
      <c r="C3378" s="25" t="s">
        <v>17600</v>
      </c>
      <c r="D3378" s="24" t="s">
        <v>22243</v>
      </c>
      <c r="G3378" s="40">
        <v>1</v>
      </c>
      <c r="H3378" s="41">
        <v>35</v>
      </c>
      <c r="J3378" s="41">
        <v>35</v>
      </c>
    </row>
    <row r="3379" spans="1:11" x14ac:dyDescent="0.25">
      <c r="A3379" s="24" t="s">
        <v>7</v>
      </c>
      <c r="B3379" s="24" t="s">
        <v>17602</v>
      </c>
      <c r="C3379" s="25" t="s">
        <v>17603</v>
      </c>
      <c r="D3379" s="24" t="s">
        <v>22243</v>
      </c>
      <c r="G3379" s="40">
        <v>1</v>
      </c>
      <c r="H3379" s="41">
        <v>35</v>
      </c>
      <c r="J3379" s="41">
        <v>35</v>
      </c>
    </row>
    <row r="3380" spans="1:11" x14ac:dyDescent="0.25">
      <c r="A3380" s="24" t="s">
        <v>7</v>
      </c>
      <c r="B3380" s="24" t="s">
        <v>17613</v>
      </c>
      <c r="C3380" s="25" t="s">
        <v>16722</v>
      </c>
      <c r="D3380" s="24" t="s">
        <v>22360</v>
      </c>
      <c r="E3380" s="40">
        <v>116</v>
      </c>
      <c r="F3380" s="41">
        <v>5851.04</v>
      </c>
      <c r="G3380" s="40">
        <v>81</v>
      </c>
      <c r="H3380" s="41">
        <v>4085.64</v>
      </c>
      <c r="I3380" s="41">
        <v>50.44</v>
      </c>
      <c r="J3380" s="41">
        <v>50.44</v>
      </c>
      <c r="K3380" s="42">
        <v>0</v>
      </c>
    </row>
    <row r="3381" spans="1:11" x14ac:dyDescent="0.25">
      <c r="A3381" s="24" t="s">
        <v>7</v>
      </c>
      <c r="B3381" s="24" t="s">
        <v>17616</v>
      </c>
      <c r="C3381" s="25" t="s">
        <v>17179</v>
      </c>
      <c r="D3381" s="24" t="s">
        <v>21430</v>
      </c>
      <c r="G3381" s="40">
        <v>15</v>
      </c>
      <c r="H3381" s="41">
        <v>1872.75</v>
      </c>
      <c r="J3381" s="41">
        <v>124.85</v>
      </c>
    </row>
    <row r="3382" spans="1:11" x14ac:dyDescent="0.25">
      <c r="A3382" s="24" t="s">
        <v>7</v>
      </c>
      <c r="B3382" s="24" t="s">
        <v>17645</v>
      </c>
      <c r="C3382" s="25" t="s">
        <v>3726</v>
      </c>
      <c r="D3382" s="24" t="s">
        <v>21430</v>
      </c>
      <c r="E3382" s="40">
        <v>26</v>
      </c>
      <c r="F3382" s="41">
        <v>1644.17</v>
      </c>
      <c r="G3382" s="40">
        <v>12</v>
      </c>
      <c r="H3382" s="41">
        <v>764.04</v>
      </c>
      <c r="I3382" s="41">
        <v>63.237307692307695</v>
      </c>
      <c r="J3382" s="41">
        <v>63.669999999999995</v>
      </c>
      <c r="K3382" s="42">
        <v>6.8423581503127941E-3</v>
      </c>
    </row>
    <row r="3383" spans="1:11" x14ac:dyDescent="0.25">
      <c r="A3383" s="24" t="s">
        <v>7</v>
      </c>
      <c r="B3383" s="24" t="s">
        <v>17658</v>
      </c>
      <c r="C3383" s="25" t="s">
        <v>17659</v>
      </c>
      <c r="D3383" s="24" t="s">
        <v>21430</v>
      </c>
      <c r="G3383" s="40">
        <v>5</v>
      </c>
      <c r="H3383" s="41">
        <v>1339.5</v>
      </c>
      <c r="J3383" s="41">
        <v>267.89999999999998</v>
      </c>
    </row>
    <row r="3384" spans="1:11" x14ac:dyDescent="0.25">
      <c r="A3384" s="24" t="s">
        <v>7</v>
      </c>
      <c r="B3384" s="24" t="s">
        <v>17660</v>
      </c>
      <c r="C3384" s="25" t="s">
        <v>17661</v>
      </c>
      <c r="D3384" s="24" t="s">
        <v>21430</v>
      </c>
      <c r="G3384" s="40">
        <v>2</v>
      </c>
      <c r="H3384" s="41">
        <v>382.04</v>
      </c>
      <c r="J3384" s="41">
        <v>191.02</v>
      </c>
    </row>
    <row r="3385" spans="1:11" x14ac:dyDescent="0.25">
      <c r="A3385" s="24" t="s">
        <v>7</v>
      </c>
      <c r="B3385" s="24" t="s">
        <v>17688</v>
      </c>
      <c r="C3385" s="25" t="s">
        <v>15267</v>
      </c>
      <c r="D3385" s="24" t="s">
        <v>22334</v>
      </c>
      <c r="E3385" s="40">
        <v>19</v>
      </c>
      <c r="F3385" s="41">
        <v>201.21</v>
      </c>
      <c r="G3385" s="40">
        <v>15</v>
      </c>
      <c r="H3385" s="41">
        <v>158.85</v>
      </c>
      <c r="I3385" s="41">
        <v>10.59</v>
      </c>
      <c r="J3385" s="41">
        <v>10.59</v>
      </c>
      <c r="K3385" s="42">
        <v>0</v>
      </c>
    </row>
    <row r="3386" spans="1:11" x14ac:dyDescent="0.25">
      <c r="A3386" s="24" t="s">
        <v>7</v>
      </c>
      <c r="B3386" s="24" t="s">
        <v>17695</v>
      </c>
      <c r="C3386" s="25" t="s">
        <v>17696</v>
      </c>
      <c r="D3386" s="24" t="s">
        <v>22363</v>
      </c>
      <c r="G3386" s="40">
        <v>3</v>
      </c>
      <c r="H3386" s="41">
        <v>126.39</v>
      </c>
      <c r="J3386" s="41">
        <v>42.13</v>
      </c>
    </row>
    <row r="3387" spans="1:11" x14ac:dyDescent="0.25">
      <c r="A3387" s="24" t="s">
        <v>7</v>
      </c>
      <c r="B3387" s="24" t="s">
        <v>17698</v>
      </c>
      <c r="C3387" s="25" t="s">
        <v>16281</v>
      </c>
      <c r="D3387" s="24" t="s">
        <v>22364</v>
      </c>
      <c r="G3387" s="40">
        <v>7</v>
      </c>
      <c r="H3387" s="41">
        <v>204.75</v>
      </c>
      <c r="J3387" s="41">
        <v>29.25</v>
      </c>
    </row>
    <row r="3388" spans="1:11" x14ac:dyDescent="0.25">
      <c r="A3388" s="24" t="s">
        <v>7</v>
      </c>
      <c r="B3388" s="24" t="s">
        <v>17704</v>
      </c>
      <c r="C3388" s="25" t="s">
        <v>15297</v>
      </c>
      <c r="D3388" s="24" t="s">
        <v>22248</v>
      </c>
      <c r="E3388" s="40">
        <v>1046</v>
      </c>
      <c r="F3388" s="41">
        <v>16464.04</v>
      </c>
      <c r="G3388" s="40">
        <v>838</v>
      </c>
      <c r="H3388" s="41">
        <v>13190.12</v>
      </c>
      <c r="I3388" s="41">
        <v>15.74</v>
      </c>
      <c r="J3388" s="41">
        <v>15.74</v>
      </c>
      <c r="K3388" s="42">
        <v>0</v>
      </c>
    </row>
    <row r="3389" spans="1:11" x14ac:dyDescent="0.25">
      <c r="A3389" s="24" t="s">
        <v>7</v>
      </c>
      <c r="B3389" s="24" t="s">
        <v>17707</v>
      </c>
      <c r="C3389" s="25" t="s">
        <v>15320</v>
      </c>
      <c r="D3389" s="24" t="s">
        <v>21318</v>
      </c>
      <c r="E3389" s="40">
        <v>30</v>
      </c>
      <c r="F3389" s="41">
        <v>2394</v>
      </c>
      <c r="G3389" s="40">
        <v>26</v>
      </c>
      <c r="H3389" s="41">
        <v>910</v>
      </c>
      <c r="I3389" s="41">
        <v>79.8</v>
      </c>
      <c r="J3389" s="41">
        <v>35</v>
      </c>
      <c r="K3389" s="42">
        <v>-0.56140350877192979</v>
      </c>
    </row>
    <row r="3390" spans="1:11" x14ac:dyDescent="0.25">
      <c r="A3390" s="24" t="s">
        <v>7</v>
      </c>
      <c r="B3390" s="24" t="s">
        <v>17709</v>
      </c>
      <c r="C3390" s="25" t="s">
        <v>17710</v>
      </c>
      <c r="D3390" s="24" t="s">
        <v>22331</v>
      </c>
      <c r="G3390" s="40">
        <v>1</v>
      </c>
      <c r="H3390" s="41">
        <v>1400</v>
      </c>
      <c r="J3390" s="41">
        <v>1400</v>
      </c>
    </row>
    <row r="3391" spans="1:11" x14ac:dyDescent="0.25">
      <c r="A3391" s="24" t="s">
        <v>7</v>
      </c>
      <c r="B3391" s="24" t="s">
        <v>17721</v>
      </c>
      <c r="C3391" s="25" t="s">
        <v>17722</v>
      </c>
      <c r="D3391" s="24" t="s">
        <v>22365</v>
      </c>
      <c r="G3391" s="40">
        <v>1</v>
      </c>
      <c r="H3391" s="41">
        <v>8.15</v>
      </c>
      <c r="J3391" s="41">
        <v>8.15</v>
      </c>
    </row>
    <row r="3392" spans="1:11" x14ac:dyDescent="0.25">
      <c r="A3392" s="24" t="s">
        <v>7</v>
      </c>
      <c r="B3392" s="24" t="s">
        <v>17726</v>
      </c>
      <c r="C3392" s="25" t="s">
        <v>17727</v>
      </c>
      <c r="D3392" s="24" t="s">
        <v>22366</v>
      </c>
      <c r="G3392" s="40">
        <v>1</v>
      </c>
      <c r="H3392" s="41">
        <v>6.52</v>
      </c>
      <c r="J3392" s="41">
        <v>6.52</v>
      </c>
    </row>
    <row r="3393" spans="1:11" x14ac:dyDescent="0.25">
      <c r="A3393" s="24" t="s">
        <v>7</v>
      </c>
      <c r="B3393" s="24" t="s">
        <v>17728</v>
      </c>
      <c r="C3393" s="25" t="s">
        <v>17729</v>
      </c>
      <c r="D3393" s="24" t="s">
        <v>21318</v>
      </c>
      <c r="E3393" s="40">
        <v>119</v>
      </c>
      <c r="F3393" s="41">
        <v>2082.5</v>
      </c>
      <c r="G3393" s="40">
        <v>0</v>
      </c>
      <c r="H3393" s="41">
        <v>0</v>
      </c>
      <c r="I3393" s="41">
        <v>17.5</v>
      </c>
    </row>
    <row r="3394" spans="1:11" x14ac:dyDescent="0.25">
      <c r="A3394" s="24" t="s">
        <v>7</v>
      </c>
      <c r="B3394" s="24" t="s">
        <v>17734</v>
      </c>
      <c r="C3394" s="25" t="s">
        <v>17735</v>
      </c>
      <c r="D3394" s="24" t="s">
        <v>22367</v>
      </c>
      <c r="G3394" s="40">
        <v>2</v>
      </c>
      <c r="H3394" s="41">
        <v>154</v>
      </c>
      <c r="J3394" s="41">
        <v>77</v>
      </c>
    </row>
    <row r="3395" spans="1:11" x14ac:dyDescent="0.25">
      <c r="A3395" s="24" t="s">
        <v>7</v>
      </c>
      <c r="B3395" s="24" t="s">
        <v>17737</v>
      </c>
      <c r="C3395" s="25" t="s">
        <v>17738</v>
      </c>
      <c r="D3395" s="24" t="s">
        <v>22368</v>
      </c>
      <c r="E3395" s="40">
        <v>442</v>
      </c>
      <c r="F3395" s="41">
        <v>2338.1799999999998</v>
      </c>
      <c r="G3395" s="40">
        <v>320</v>
      </c>
      <c r="H3395" s="41">
        <v>1692.8</v>
      </c>
      <c r="I3395" s="41">
        <v>5.29</v>
      </c>
      <c r="J3395" s="41">
        <v>5.29</v>
      </c>
      <c r="K3395" s="42">
        <v>0</v>
      </c>
    </row>
    <row r="3396" spans="1:11" x14ac:dyDescent="0.25">
      <c r="A3396" s="24" t="s">
        <v>7</v>
      </c>
      <c r="B3396" s="24" t="s">
        <v>17764</v>
      </c>
      <c r="C3396" s="25" t="s">
        <v>17765</v>
      </c>
      <c r="D3396" s="24" t="s">
        <v>22369</v>
      </c>
      <c r="E3396" s="40">
        <v>5</v>
      </c>
      <c r="F3396" s="41">
        <v>450</v>
      </c>
      <c r="G3396" s="40">
        <v>8</v>
      </c>
      <c r="H3396" s="41">
        <v>720</v>
      </c>
      <c r="I3396" s="41">
        <v>90</v>
      </c>
      <c r="J3396" s="41">
        <v>90</v>
      </c>
      <c r="K3396" s="42">
        <v>0</v>
      </c>
    </row>
    <row r="3397" spans="1:11" x14ac:dyDescent="0.25">
      <c r="A3397" s="24" t="s">
        <v>7</v>
      </c>
      <c r="B3397" s="24" t="s">
        <v>17768</v>
      </c>
      <c r="C3397" s="25" t="s">
        <v>15542</v>
      </c>
      <c r="D3397" s="24" t="s">
        <v>22370</v>
      </c>
      <c r="E3397" s="40">
        <v>19</v>
      </c>
      <c r="F3397" s="41">
        <v>4570</v>
      </c>
      <c r="G3397" s="40">
        <v>55</v>
      </c>
      <c r="H3397" s="41">
        <v>13750</v>
      </c>
      <c r="I3397" s="41">
        <v>240.52631578947367</v>
      </c>
      <c r="J3397" s="41">
        <v>250</v>
      </c>
      <c r="K3397" s="42">
        <v>3.9387308533916907E-2</v>
      </c>
    </row>
    <row r="3398" spans="1:11" x14ac:dyDescent="0.25">
      <c r="A3398" s="24" t="s">
        <v>7</v>
      </c>
      <c r="B3398" s="24" t="s">
        <v>17770</v>
      </c>
      <c r="C3398" s="25" t="s">
        <v>3177</v>
      </c>
      <c r="D3398" s="24" t="s">
        <v>21320</v>
      </c>
      <c r="E3398" s="40">
        <v>10</v>
      </c>
      <c r="F3398" s="41">
        <v>22.5</v>
      </c>
      <c r="G3398" s="40">
        <v>11</v>
      </c>
      <c r="H3398" s="41">
        <v>24.75</v>
      </c>
      <c r="I3398" s="41">
        <v>2.25</v>
      </c>
      <c r="J3398" s="41">
        <v>2.25</v>
      </c>
      <c r="K3398" s="42">
        <v>0</v>
      </c>
    </row>
    <row r="3399" spans="1:11" x14ac:dyDescent="0.25">
      <c r="A3399" s="24" t="s">
        <v>7</v>
      </c>
      <c r="B3399" s="24" t="s">
        <v>17772</v>
      </c>
      <c r="C3399" s="25" t="s">
        <v>17773</v>
      </c>
      <c r="D3399" s="24" t="s">
        <v>22371</v>
      </c>
      <c r="E3399" s="40">
        <v>42</v>
      </c>
      <c r="F3399" s="41">
        <v>158.34</v>
      </c>
      <c r="G3399" s="40">
        <v>36</v>
      </c>
      <c r="H3399" s="41">
        <v>135.72</v>
      </c>
      <c r="I3399" s="41">
        <v>3.77</v>
      </c>
      <c r="J3399" s="41">
        <v>3.77</v>
      </c>
      <c r="K3399" s="42">
        <v>0</v>
      </c>
    </row>
    <row r="3400" spans="1:11" x14ac:dyDescent="0.25">
      <c r="A3400" s="24" t="s">
        <v>7</v>
      </c>
      <c r="B3400" s="24" t="s">
        <v>17774</v>
      </c>
      <c r="C3400" s="25" t="s">
        <v>17775</v>
      </c>
      <c r="D3400" s="24" t="s">
        <v>22372</v>
      </c>
      <c r="E3400" s="40">
        <v>5</v>
      </c>
      <c r="F3400" s="41">
        <v>50</v>
      </c>
      <c r="G3400" s="40">
        <v>4</v>
      </c>
      <c r="H3400" s="41">
        <v>40</v>
      </c>
      <c r="I3400" s="41">
        <v>10</v>
      </c>
      <c r="J3400" s="41">
        <v>10</v>
      </c>
      <c r="K3400" s="42">
        <v>0</v>
      </c>
    </row>
    <row r="3401" spans="1:11" x14ac:dyDescent="0.25">
      <c r="A3401" s="24" t="s">
        <v>7</v>
      </c>
      <c r="B3401" s="24" t="s">
        <v>17776</v>
      </c>
      <c r="C3401" s="25" t="s">
        <v>15553</v>
      </c>
      <c r="D3401" s="24" t="s">
        <v>22373</v>
      </c>
      <c r="G3401" s="40">
        <v>3</v>
      </c>
      <c r="H3401" s="41">
        <v>6</v>
      </c>
      <c r="J3401" s="41">
        <v>2</v>
      </c>
    </row>
    <row r="3402" spans="1:11" x14ac:dyDescent="0.25">
      <c r="A3402" s="24" t="s">
        <v>7</v>
      </c>
      <c r="B3402" s="24" t="s">
        <v>17777</v>
      </c>
      <c r="C3402" s="25" t="s">
        <v>15555</v>
      </c>
      <c r="D3402" s="24" t="s">
        <v>22263</v>
      </c>
      <c r="E3402" s="40">
        <v>26</v>
      </c>
      <c r="F3402" s="41">
        <v>109.98</v>
      </c>
      <c r="G3402" s="40">
        <v>50</v>
      </c>
      <c r="H3402" s="41">
        <v>211.5</v>
      </c>
      <c r="I3402" s="41">
        <v>4.2300000000000004</v>
      </c>
      <c r="J3402" s="41">
        <v>4.2300000000000004</v>
      </c>
      <c r="K3402" s="42">
        <v>0</v>
      </c>
    </row>
    <row r="3403" spans="1:11" x14ac:dyDescent="0.25">
      <c r="A3403" s="24" t="s">
        <v>7</v>
      </c>
      <c r="B3403" s="24" t="s">
        <v>17778</v>
      </c>
      <c r="C3403" s="25" t="s">
        <v>15557</v>
      </c>
      <c r="D3403" s="24" t="s">
        <v>22263</v>
      </c>
      <c r="G3403" s="40">
        <v>1</v>
      </c>
      <c r="H3403" s="41">
        <v>10</v>
      </c>
      <c r="J3403" s="41">
        <v>10</v>
      </c>
    </row>
    <row r="3404" spans="1:11" x14ac:dyDescent="0.25">
      <c r="A3404" s="24" t="s">
        <v>7</v>
      </c>
      <c r="B3404" s="24" t="s">
        <v>17779</v>
      </c>
      <c r="C3404" s="25" t="s">
        <v>15561</v>
      </c>
      <c r="D3404" s="24" t="s">
        <v>22374</v>
      </c>
      <c r="G3404" s="40">
        <v>1</v>
      </c>
      <c r="H3404" s="41">
        <v>65</v>
      </c>
      <c r="J3404" s="41">
        <v>65</v>
      </c>
    </row>
    <row r="3405" spans="1:11" x14ac:dyDescent="0.25">
      <c r="A3405" s="24" t="s">
        <v>7</v>
      </c>
      <c r="B3405" s="24" t="s">
        <v>17780</v>
      </c>
      <c r="C3405" s="25" t="s">
        <v>3182</v>
      </c>
      <c r="D3405" s="24" t="s">
        <v>21321</v>
      </c>
      <c r="E3405" s="40">
        <v>10</v>
      </c>
      <c r="F3405" s="41">
        <v>153.69999999999999</v>
      </c>
      <c r="G3405" s="40">
        <v>11</v>
      </c>
      <c r="H3405" s="41">
        <v>169.07</v>
      </c>
      <c r="I3405" s="41">
        <v>15.37</v>
      </c>
      <c r="J3405" s="41">
        <v>15.37</v>
      </c>
      <c r="K3405" s="42">
        <v>0</v>
      </c>
    </row>
    <row r="3406" spans="1:11" x14ac:dyDescent="0.25">
      <c r="A3406" s="24" t="s">
        <v>7</v>
      </c>
      <c r="B3406" s="24" t="s">
        <v>17782</v>
      </c>
      <c r="C3406" s="25" t="s">
        <v>17783</v>
      </c>
      <c r="D3406" s="24" t="s">
        <v>22375</v>
      </c>
      <c r="E3406" s="40">
        <v>23</v>
      </c>
      <c r="F3406" s="41">
        <v>259.44</v>
      </c>
      <c r="G3406" s="40">
        <v>6</v>
      </c>
      <c r="H3406" s="41">
        <v>67.680000000000007</v>
      </c>
      <c r="I3406" s="41">
        <v>11.28</v>
      </c>
      <c r="J3406" s="41">
        <v>11.280000000000001</v>
      </c>
      <c r="K3406" s="42">
        <v>1.5747844320924207E-16</v>
      </c>
    </row>
    <row r="3407" spans="1:11" x14ac:dyDescent="0.25">
      <c r="A3407" s="24" t="s">
        <v>7</v>
      </c>
      <c r="B3407" s="24" t="s">
        <v>17788</v>
      </c>
      <c r="C3407" s="25" t="s">
        <v>15583</v>
      </c>
      <c r="D3407" s="24" t="s">
        <v>22376</v>
      </c>
      <c r="G3407" s="40">
        <v>1</v>
      </c>
      <c r="H3407" s="41">
        <v>5</v>
      </c>
      <c r="J3407" s="41">
        <v>5</v>
      </c>
    </row>
    <row r="3408" spans="1:11" x14ac:dyDescent="0.25">
      <c r="A3408" s="24" t="s">
        <v>7</v>
      </c>
      <c r="B3408" s="24" t="s">
        <v>17789</v>
      </c>
      <c r="C3408" s="25" t="s">
        <v>15575</v>
      </c>
      <c r="D3408" s="24" t="s">
        <v>22377</v>
      </c>
      <c r="E3408" s="40">
        <v>14</v>
      </c>
      <c r="F3408" s="41">
        <v>51.38</v>
      </c>
      <c r="G3408" s="40">
        <v>12</v>
      </c>
      <c r="H3408" s="41">
        <v>44.04</v>
      </c>
      <c r="I3408" s="41">
        <v>3.6700000000000004</v>
      </c>
      <c r="J3408" s="41">
        <v>3.67</v>
      </c>
      <c r="K3408" s="42">
        <v>-1.2100523429157018E-16</v>
      </c>
    </row>
    <row r="3409" spans="1:11" x14ac:dyDescent="0.25">
      <c r="A3409" s="24" t="s">
        <v>7</v>
      </c>
      <c r="B3409" s="24" t="s">
        <v>17790</v>
      </c>
      <c r="C3409" s="25" t="s">
        <v>17791</v>
      </c>
      <c r="D3409" s="24" t="s">
        <v>22377</v>
      </c>
      <c r="G3409" s="40">
        <v>1</v>
      </c>
      <c r="H3409" s="41">
        <v>34.299999999999997</v>
      </c>
      <c r="J3409" s="41">
        <v>34.299999999999997</v>
      </c>
    </row>
    <row r="3410" spans="1:11" x14ac:dyDescent="0.25">
      <c r="A3410" s="24" t="s">
        <v>7</v>
      </c>
      <c r="B3410" s="24" t="s">
        <v>17795</v>
      </c>
      <c r="C3410" s="25" t="s">
        <v>15585</v>
      </c>
      <c r="D3410" s="24" t="s">
        <v>22376</v>
      </c>
      <c r="G3410" s="40">
        <v>2</v>
      </c>
      <c r="H3410" s="41">
        <v>18</v>
      </c>
      <c r="J3410" s="41">
        <v>9</v>
      </c>
    </row>
    <row r="3411" spans="1:11" x14ac:dyDescent="0.25">
      <c r="A3411" s="24" t="s">
        <v>7</v>
      </c>
      <c r="B3411" s="24" t="s">
        <v>17800</v>
      </c>
      <c r="C3411" s="25" t="s">
        <v>15596</v>
      </c>
      <c r="D3411" s="24" t="s">
        <v>22378</v>
      </c>
      <c r="E3411" s="40">
        <v>16</v>
      </c>
      <c r="F3411" s="41">
        <v>64</v>
      </c>
      <c r="G3411" s="40">
        <v>19</v>
      </c>
      <c r="H3411" s="41">
        <v>76</v>
      </c>
      <c r="I3411" s="41">
        <v>4</v>
      </c>
      <c r="J3411" s="41">
        <v>4</v>
      </c>
      <c r="K3411" s="42">
        <v>0</v>
      </c>
    </row>
    <row r="3412" spans="1:11" x14ac:dyDescent="0.25">
      <c r="A3412" s="24" t="s">
        <v>7</v>
      </c>
      <c r="B3412" s="24" t="s">
        <v>17801</v>
      </c>
      <c r="C3412" s="25" t="s">
        <v>17802</v>
      </c>
      <c r="D3412" s="24" t="s">
        <v>22379</v>
      </c>
      <c r="E3412" s="40">
        <v>27</v>
      </c>
      <c r="F3412" s="41">
        <v>108</v>
      </c>
      <c r="G3412" s="40">
        <v>44</v>
      </c>
      <c r="H3412" s="41">
        <v>176</v>
      </c>
      <c r="I3412" s="41">
        <v>4</v>
      </c>
      <c r="J3412" s="41">
        <v>4</v>
      </c>
      <c r="K3412" s="42">
        <v>0</v>
      </c>
    </row>
    <row r="3413" spans="1:11" x14ac:dyDescent="0.25">
      <c r="A3413" s="24" t="s">
        <v>7</v>
      </c>
      <c r="B3413" s="24" t="s">
        <v>17805</v>
      </c>
      <c r="C3413" s="25" t="s">
        <v>3537</v>
      </c>
      <c r="D3413" s="24" t="s">
        <v>21396</v>
      </c>
      <c r="E3413" s="40">
        <v>11</v>
      </c>
      <c r="F3413" s="41">
        <v>418</v>
      </c>
      <c r="G3413" s="40">
        <v>15</v>
      </c>
      <c r="H3413" s="41">
        <v>570</v>
      </c>
      <c r="I3413" s="41">
        <v>38</v>
      </c>
      <c r="J3413" s="41">
        <v>38</v>
      </c>
      <c r="K3413" s="42">
        <v>0</v>
      </c>
    </row>
    <row r="3414" spans="1:11" x14ac:dyDescent="0.25">
      <c r="A3414" s="24" t="s">
        <v>7</v>
      </c>
      <c r="B3414" s="24" t="s">
        <v>17806</v>
      </c>
      <c r="C3414" s="25" t="s">
        <v>15614</v>
      </c>
      <c r="D3414" s="24" t="s">
        <v>22380</v>
      </c>
      <c r="G3414" s="40">
        <v>7</v>
      </c>
      <c r="H3414" s="41">
        <v>56</v>
      </c>
      <c r="J3414" s="41">
        <v>8</v>
      </c>
    </row>
    <row r="3415" spans="1:11" x14ac:dyDescent="0.25">
      <c r="A3415" s="24" t="s">
        <v>7</v>
      </c>
      <c r="B3415" s="24" t="s">
        <v>17809</v>
      </c>
      <c r="C3415" s="25" t="s">
        <v>15851</v>
      </c>
      <c r="D3415" s="24" t="s">
        <v>22247</v>
      </c>
      <c r="E3415" s="40">
        <v>12</v>
      </c>
      <c r="F3415" s="41">
        <v>87.96</v>
      </c>
      <c r="G3415" s="40">
        <v>17</v>
      </c>
      <c r="H3415" s="41">
        <v>124.61</v>
      </c>
      <c r="I3415" s="41">
        <v>7.3299999999999992</v>
      </c>
      <c r="J3415" s="41">
        <v>7.33</v>
      </c>
      <c r="K3415" s="42">
        <v>1.211703164665928E-16</v>
      </c>
    </row>
    <row r="3416" spans="1:11" x14ac:dyDescent="0.25">
      <c r="A3416" s="24" t="s">
        <v>7</v>
      </c>
      <c r="B3416" s="24" t="s">
        <v>17810</v>
      </c>
      <c r="C3416" s="25" t="s">
        <v>3239</v>
      </c>
      <c r="D3416" s="24" t="s">
        <v>22381</v>
      </c>
      <c r="E3416" s="40">
        <v>1</v>
      </c>
      <c r="F3416" s="41">
        <v>2</v>
      </c>
      <c r="G3416" s="40">
        <v>2</v>
      </c>
      <c r="H3416" s="41">
        <v>4</v>
      </c>
      <c r="I3416" s="41">
        <v>2</v>
      </c>
      <c r="J3416" s="41">
        <v>2</v>
      </c>
      <c r="K3416" s="42">
        <v>0</v>
      </c>
    </row>
    <row r="3417" spans="1:11" x14ac:dyDescent="0.25">
      <c r="A3417" s="24" t="s">
        <v>7</v>
      </c>
      <c r="B3417" s="24" t="s">
        <v>17816</v>
      </c>
      <c r="C3417" s="25" t="s">
        <v>17817</v>
      </c>
      <c r="D3417" s="24" t="s">
        <v>22382</v>
      </c>
      <c r="E3417" s="40">
        <v>54</v>
      </c>
      <c r="F3417" s="41">
        <v>596.70000000000005</v>
      </c>
      <c r="G3417" s="40">
        <v>20</v>
      </c>
      <c r="H3417" s="41">
        <v>221</v>
      </c>
      <c r="I3417" s="41">
        <v>11.05</v>
      </c>
      <c r="J3417" s="41">
        <v>11.05</v>
      </c>
      <c r="K3417" s="42">
        <v>0</v>
      </c>
    </row>
    <row r="3418" spans="1:11" x14ac:dyDescent="0.25">
      <c r="A3418" s="24" t="s">
        <v>7</v>
      </c>
      <c r="B3418" s="24" t="s">
        <v>17820</v>
      </c>
      <c r="C3418" s="25" t="s">
        <v>15539</v>
      </c>
      <c r="D3418" s="24" t="s">
        <v>22383</v>
      </c>
      <c r="G3418" s="40">
        <v>3</v>
      </c>
      <c r="H3418" s="41">
        <v>61.08</v>
      </c>
      <c r="J3418" s="41">
        <v>20.36</v>
      </c>
    </row>
    <row r="3419" spans="1:11" x14ac:dyDescent="0.25">
      <c r="A3419" s="24" t="s">
        <v>7</v>
      </c>
      <c r="B3419" s="24" t="s">
        <v>17822</v>
      </c>
      <c r="C3419" s="25" t="s">
        <v>15621</v>
      </c>
      <c r="D3419" s="24" t="s">
        <v>22383</v>
      </c>
      <c r="E3419" s="40">
        <v>5</v>
      </c>
      <c r="F3419" s="41">
        <v>102.85</v>
      </c>
      <c r="G3419" s="40">
        <v>10</v>
      </c>
      <c r="H3419" s="41">
        <v>205.7</v>
      </c>
      <c r="I3419" s="41">
        <v>20.57</v>
      </c>
      <c r="J3419" s="41">
        <v>20.57</v>
      </c>
      <c r="K3419" s="42">
        <v>0</v>
      </c>
    </row>
    <row r="3420" spans="1:11" x14ac:dyDescent="0.25">
      <c r="A3420" s="24" t="s">
        <v>7</v>
      </c>
      <c r="B3420" s="24" t="s">
        <v>17826</v>
      </c>
      <c r="C3420" s="25" t="s">
        <v>15624</v>
      </c>
      <c r="D3420" s="24" t="s">
        <v>22384</v>
      </c>
      <c r="E3420" s="40">
        <v>18</v>
      </c>
      <c r="F3420" s="41">
        <v>84.42</v>
      </c>
      <c r="G3420" s="40">
        <v>32</v>
      </c>
      <c r="H3420" s="41">
        <v>150.08000000000001</v>
      </c>
      <c r="I3420" s="41">
        <v>4.6900000000000004</v>
      </c>
      <c r="J3420" s="41">
        <v>4.6900000000000004</v>
      </c>
      <c r="K3420" s="42">
        <v>0</v>
      </c>
    </row>
    <row r="3421" spans="1:11" x14ac:dyDescent="0.25">
      <c r="A3421" s="24" t="s">
        <v>7</v>
      </c>
      <c r="B3421" s="24" t="s">
        <v>17831</v>
      </c>
      <c r="C3421" s="25" t="s">
        <v>17832</v>
      </c>
      <c r="D3421" s="24" t="s">
        <v>22385</v>
      </c>
      <c r="G3421" s="40">
        <v>7</v>
      </c>
      <c r="H3421" s="41">
        <v>224</v>
      </c>
      <c r="J3421" s="41">
        <v>32</v>
      </c>
    </row>
    <row r="3422" spans="1:11" x14ac:dyDescent="0.25">
      <c r="A3422" s="24" t="s">
        <v>7</v>
      </c>
      <c r="B3422" s="24" t="s">
        <v>17833</v>
      </c>
      <c r="C3422" s="25" t="s">
        <v>17834</v>
      </c>
      <c r="D3422" s="24" t="s">
        <v>22361</v>
      </c>
      <c r="E3422" s="40">
        <v>35</v>
      </c>
      <c r="F3422" s="41">
        <v>513.1</v>
      </c>
      <c r="G3422" s="40">
        <v>48</v>
      </c>
      <c r="H3422" s="41">
        <v>703.68</v>
      </c>
      <c r="I3422" s="41">
        <v>14.66</v>
      </c>
      <c r="J3422" s="41">
        <v>14.659999999999998</v>
      </c>
      <c r="K3422" s="42">
        <v>-1.211703164665928E-16</v>
      </c>
    </row>
    <row r="3423" spans="1:11" x14ac:dyDescent="0.25">
      <c r="A3423" s="24" t="s">
        <v>7</v>
      </c>
      <c r="B3423" s="24" t="s">
        <v>17835</v>
      </c>
      <c r="C3423" s="25" t="s">
        <v>3245</v>
      </c>
      <c r="D3423" s="24" t="s">
        <v>22386</v>
      </c>
      <c r="E3423" s="40">
        <v>44</v>
      </c>
      <c r="F3423" s="41">
        <v>88</v>
      </c>
      <c r="G3423" s="40">
        <v>50</v>
      </c>
      <c r="H3423" s="41">
        <v>100</v>
      </c>
      <c r="I3423" s="41">
        <v>2</v>
      </c>
      <c r="J3423" s="41">
        <v>2</v>
      </c>
      <c r="K3423" s="42">
        <v>0</v>
      </c>
    </row>
    <row r="3424" spans="1:11" x14ac:dyDescent="0.25">
      <c r="A3424" s="24" t="s">
        <v>7</v>
      </c>
      <c r="B3424" s="24" t="s">
        <v>17843</v>
      </c>
      <c r="C3424" s="25" t="s">
        <v>15652</v>
      </c>
      <c r="D3424" s="24" t="s">
        <v>22387</v>
      </c>
      <c r="E3424" s="40">
        <v>38</v>
      </c>
      <c r="F3424" s="41">
        <v>190</v>
      </c>
      <c r="G3424" s="40">
        <v>15</v>
      </c>
      <c r="H3424" s="41">
        <v>75</v>
      </c>
      <c r="I3424" s="41">
        <v>5</v>
      </c>
      <c r="J3424" s="41">
        <v>5</v>
      </c>
      <c r="K3424" s="42">
        <v>0</v>
      </c>
    </row>
    <row r="3425" spans="1:11" x14ac:dyDescent="0.25">
      <c r="A3425" s="24" t="s">
        <v>7</v>
      </c>
      <c r="B3425" s="24" t="s">
        <v>17844</v>
      </c>
      <c r="C3425" s="25" t="s">
        <v>15657</v>
      </c>
      <c r="D3425" s="24" t="s">
        <v>22388</v>
      </c>
      <c r="E3425" s="40">
        <v>4</v>
      </c>
      <c r="F3425" s="41">
        <v>41.64</v>
      </c>
      <c r="G3425" s="40">
        <v>3</v>
      </c>
      <c r="H3425" s="41">
        <v>31.23</v>
      </c>
      <c r="I3425" s="41">
        <v>10.41</v>
      </c>
      <c r="J3425" s="41">
        <v>10.41</v>
      </c>
      <c r="K3425" s="42">
        <v>0</v>
      </c>
    </row>
    <row r="3426" spans="1:11" x14ac:dyDescent="0.25">
      <c r="A3426" s="24" t="s">
        <v>7</v>
      </c>
      <c r="B3426" s="24" t="s">
        <v>17850</v>
      </c>
      <c r="C3426" s="25" t="s">
        <v>3284</v>
      </c>
      <c r="D3426" s="24" t="s">
        <v>21340</v>
      </c>
      <c r="G3426" s="40">
        <v>1</v>
      </c>
      <c r="H3426" s="41">
        <v>5</v>
      </c>
      <c r="J3426" s="41">
        <v>5</v>
      </c>
    </row>
    <row r="3427" spans="1:11" x14ac:dyDescent="0.25">
      <c r="A3427" s="24" t="s">
        <v>7</v>
      </c>
      <c r="B3427" s="24" t="s">
        <v>17851</v>
      </c>
      <c r="C3427" s="25" t="s">
        <v>17852</v>
      </c>
      <c r="D3427" s="24" t="s">
        <v>21340</v>
      </c>
      <c r="E3427" s="40">
        <v>52</v>
      </c>
      <c r="F3427" s="41">
        <v>164.32</v>
      </c>
      <c r="G3427" s="40">
        <v>40</v>
      </c>
      <c r="H3427" s="41">
        <v>126.4</v>
      </c>
      <c r="I3427" s="41">
        <v>3.1599999999999997</v>
      </c>
      <c r="J3427" s="41">
        <v>3.16</v>
      </c>
      <c r="K3427" s="42">
        <v>1.4053456007913375E-16</v>
      </c>
    </row>
    <row r="3428" spans="1:11" x14ac:dyDescent="0.25">
      <c r="A3428" s="24" t="s">
        <v>7</v>
      </c>
      <c r="B3428" s="24" t="s">
        <v>17854</v>
      </c>
      <c r="C3428" s="25" t="s">
        <v>17855</v>
      </c>
      <c r="D3428" s="24" t="s">
        <v>22389</v>
      </c>
      <c r="E3428" s="40">
        <v>10</v>
      </c>
      <c r="F3428" s="41">
        <v>50</v>
      </c>
      <c r="G3428" s="40">
        <v>24</v>
      </c>
      <c r="H3428" s="41">
        <v>120</v>
      </c>
      <c r="I3428" s="41">
        <v>5</v>
      </c>
      <c r="J3428" s="41">
        <v>5</v>
      </c>
      <c r="K3428" s="42">
        <v>0</v>
      </c>
    </row>
    <row r="3429" spans="1:11" x14ac:dyDescent="0.25">
      <c r="A3429" s="24" t="s">
        <v>7</v>
      </c>
      <c r="B3429" s="24" t="s">
        <v>17857</v>
      </c>
      <c r="C3429" s="25" t="s">
        <v>17243</v>
      </c>
      <c r="D3429" s="24" t="s">
        <v>22390</v>
      </c>
      <c r="G3429" s="40">
        <v>1</v>
      </c>
      <c r="H3429" s="41">
        <v>4.8899999999999997</v>
      </c>
      <c r="J3429" s="41">
        <v>4.8899999999999997</v>
      </c>
    </row>
    <row r="3430" spans="1:11" x14ac:dyDescent="0.25">
      <c r="A3430" s="24" t="s">
        <v>7</v>
      </c>
      <c r="B3430" s="24" t="s">
        <v>17858</v>
      </c>
      <c r="C3430" s="25" t="s">
        <v>17859</v>
      </c>
      <c r="D3430" s="24" t="s">
        <v>22391</v>
      </c>
      <c r="E3430" s="40">
        <v>12</v>
      </c>
      <c r="F3430" s="41">
        <v>56.4</v>
      </c>
      <c r="G3430" s="40">
        <v>22</v>
      </c>
      <c r="H3430" s="41">
        <v>103.4</v>
      </c>
      <c r="I3430" s="41">
        <v>4.7</v>
      </c>
      <c r="J3430" s="41">
        <v>4.7</v>
      </c>
      <c r="K3430" s="42">
        <v>0</v>
      </c>
    </row>
    <row r="3431" spans="1:11" x14ac:dyDescent="0.25">
      <c r="A3431" s="24" t="s">
        <v>7</v>
      </c>
      <c r="B3431" s="24" t="s">
        <v>17860</v>
      </c>
      <c r="C3431" s="25" t="s">
        <v>17861</v>
      </c>
      <c r="D3431" s="24" t="s">
        <v>22392</v>
      </c>
      <c r="E3431" s="40">
        <v>5</v>
      </c>
      <c r="F3431" s="41">
        <v>865</v>
      </c>
      <c r="G3431" s="40">
        <v>3</v>
      </c>
      <c r="H3431" s="41">
        <v>495</v>
      </c>
      <c r="I3431" s="41">
        <v>173</v>
      </c>
      <c r="J3431" s="41">
        <v>165</v>
      </c>
      <c r="K3431" s="42">
        <v>-4.6242774566473986E-2</v>
      </c>
    </row>
    <row r="3432" spans="1:11" x14ac:dyDescent="0.25">
      <c r="A3432" s="24" t="s">
        <v>7</v>
      </c>
      <c r="B3432" s="24" t="s">
        <v>17863</v>
      </c>
      <c r="C3432" s="25" t="s">
        <v>15692</v>
      </c>
      <c r="D3432" s="24" t="s">
        <v>22393</v>
      </c>
      <c r="E3432" s="40">
        <v>55</v>
      </c>
      <c r="F3432" s="41">
        <v>403.15</v>
      </c>
      <c r="G3432" s="40">
        <v>88</v>
      </c>
      <c r="H3432" s="41">
        <v>645.04</v>
      </c>
      <c r="I3432" s="41">
        <v>7.3299999999999992</v>
      </c>
      <c r="J3432" s="41">
        <v>7.3299999999999992</v>
      </c>
      <c r="K3432" s="42">
        <v>0</v>
      </c>
    </row>
    <row r="3433" spans="1:11" x14ac:dyDescent="0.25">
      <c r="A3433" s="24" t="s">
        <v>7</v>
      </c>
      <c r="B3433" s="24" t="s">
        <v>17864</v>
      </c>
      <c r="C3433" s="25" t="s">
        <v>15208</v>
      </c>
      <c r="D3433" s="24" t="s">
        <v>22394</v>
      </c>
      <c r="E3433" s="40">
        <v>21</v>
      </c>
      <c r="F3433" s="41">
        <v>105</v>
      </c>
      <c r="G3433" s="40">
        <v>9</v>
      </c>
      <c r="H3433" s="41">
        <v>45</v>
      </c>
      <c r="I3433" s="41">
        <v>5</v>
      </c>
      <c r="J3433" s="41">
        <v>5</v>
      </c>
      <c r="K3433" s="42">
        <v>0</v>
      </c>
    </row>
    <row r="3434" spans="1:11" x14ac:dyDescent="0.25">
      <c r="A3434" s="24" t="s">
        <v>7</v>
      </c>
      <c r="B3434" s="24" t="s">
        <v>17869</v>
      </c>
      <c r="C3434" s="25" t="s">
        <v>15700</v>
      </c>
      <c r="D3434" s="24" t="s">
        <v>22395</v>
      </c>
      <c r="E3434" s="40">
        <v>7</v>
      </c>
      <c r="F3434" s="41">
        <v>86.52</v>
      </c>
      <c r="G3434" s="40">
        <v>8</v>
      </c>
      <c r="H3434" s="41">
        <v>98.88</v>
      </c>
      <c r="I3434" s="41">
        <v>12.36</v>
      </c>
      <c r="J3434" s="41">
        <v>12.36</v>
      </c>
      <c r="K3434" s="42">
        <v>0</v>
      </c>
    </row>
    <row r="3435" spans="1:11" x14ac:dyDescent="0.25">
      <c r="A3435" s="24" t="s">
        <v>7</v>
      </c>
      <c r="B3435" s="24" t="s">
        <v>17870</v>
      </c>
      <c r="C3435" s="25" t="s">
        <v>15702</v>
      </c>
      <c r="D3435" s="24" t="s">
        <v>22396</v>
      </c>
      <c r="G3435" s="40">
        <v>3</v>
      </c>
      <c r="H3435" s="41">
        <v>15</v>
      </c>
      <c r="J3435" s="41">
        <v>5</v>
      </c>
    </row>
    <row r="3436" spans="1:11" x14ac:dyDescent="0.25">
      <c r="A3436" s="24" t="s">
        <v>7</v>
      </c>
      <c r="B3436" s="24" t="s">
        <v>17871</v>
      </c>
      <c r="C3436" s="25" t="s">
        <v>17872</v>
      </c>
      <c r="D3436" s="24" t="s">
        <v>22397</v>
      </c>
      <c r="E3436" s="40">
        <v>18</v>
      </c>
      <c r="F3436" s="41">
        <v>562.5</v>
      </c>
      <c r="G3436" s="40">
        <v>28</v>
      </c>
      <c r="H3436" s="41">
        <v>875</v>
      </c>
      <c r="I3436" s="41">
        <v>31.25</v>
      </c>
      <c r="J3436" s="41">
        <v>31.25</v>
      </c>
      <c r="K3436" s="42">
        <v>0</v>
      </c>
    </row>
    <row r="3437" spans="1:11" x14ac:dyDescent="0.25">
      <c r="A3437" s="24" t="s">
        <v>7</v>
      </c>
      <c r="B3437" s="24" t="s">
        <v>17873</v>
      </c>
      <c r="C3437" s="25" t="s">
        <v>15709</v>
      </c>
      <c r="D3437" s="24" t="s">
        <v>22398</v>
      </c>
      <c r="E3437" s="40">
        <v>40</v>
      </c>
      <c r="F3437" s="41">
        <v>102</v>
      </c>
      <c r="G3437" s="40">
        <v>31</v>
      </c>
      <c r="H3437" s="41">
        <v>79.05</v>
      </c>
      <c r="I3437" s="41">
        <v>2.5499999999999998</v>
      </c>
      <c r="J3437" s="41">
        <v>2.5499999999999998</v>
      </c>
      <c r="K3437" s="42">
        <v>0</v>
      </c>
    </row>
    <row r="3438" spans="1:11" x14ac:dyDescent="0.25">
      <c r="A3438" s="24" t="s">
        <v>7</v>
      </c>
      <c r="B3438" s="24" t="s">
        <v>17874</v>
      </c>
      <c r="C3438" s="25" t="s">
        <v>16368</v>
      </c>
      <c r="D3438" s="24" t="s">
        <v>22399</v>
      </c>
      <c r="E3438" s="40">
        <v>46</v>
      </c>
      <c r="F3438" s="41">
        <v>215.28</v>
      </c>
      <c r="G3438" s="40">
        <v>46</v>
      </c>
      <c r="H3438" s="41">
        <v>215.28</v>
      </c>
      <c r="I3438" s="41">
        <v>4.68</v>
      </c>
      <c r="J3438" s="41">
        <v>4.68</v>
      </c>
      <c r="K3438" s="42">
        <v>0</v>
      </c>
    </row>
    <row r="3439" spans="1:11" x14ac:dyDescent="0.25">
      <c r="A3439" s="24" t="s">
        <v>7</v>
      </c>
      <c r="B3439" s="24" t="s">
        <v>17875</v>
      </c>
      <c r="C3439" s="25" t="s">
        <v>16589</v>
      </c>
      <c r="D3439" s="24" t="s">
        <v>22400</v>
      </c>
      <c r="E3439" s="40">
        <v>115</v>
      </c>
      <c r="F3439" s="41">
        <v>578.45000000000005</v>
      </c>
      <c r="G3439" s="40">
        <v>86</v>
      </c>
      <c r="H3439" s="41">
        <v>432.58</v>
      </c>
      <c r="I3439" s="41">
        <v>5.03</v>
      </c>
      <c r="J3439" s="41">
        <v>5.03</v>
      </c>
      <c r="K3439" s="42">
        <v>0</v>
      </c>
    </row>
    <row r="3440" spans="1:11" x14ac:dyDescent="0.25">
      <c r="A3440" s="24" t="s">
        <v>7</v>
      </c>
      <c r="B3440" s="24" t="s">
        <v>17876</v>
      </c>
      <c r="C3440" s="25" t="s">
        <v>17877</v>
      </c>
      <c r="D3440" s="24" t="s">
        <v>22400</v>
      </c>
      <c r="E3440" s="40">
        <v>115</v>
      </c>
      <c r="F3440" s="41">
        <v>578.45000000000005</v>
      </c>
      <c r="G3440" s="40">
        <v>86</v>
      </c>
      <c r="H3440" s="41">
        <v>432.58</v>
      </c>
      <c r="I3440" s="41">
        <v>5.03</v>
      </c>
      <c r="J3440" s="41">
        <v>5.03</v>
      </c>
      <c r="K3440" s="42">
        <v>0</v>
      </c>
    </row>
    <row r="3441" spans="1:11" x14ac:dyDescent="0.25">
      <c r="A3441" s="24" t="s">
        <v>7</v>
      </c>
      <c r="B3441" s="24" t="s">
        <v>17878</v>
      </c>
      <c r="C3441" s="25" t="s">
        <v>17879</v>
      </c>
      <c r="D3441" s="24" t="s">
        <v>22400</v>
      </c>
      <c r="E3441" s="40">
        <v>115</v>
      </c>
      <c r="F3441" s="41">
        <v>578.45000000000005</v>
      </c>
      <c r="G3441" s="40">
        <v>86</v>
      </c>
      <c r="H3441" s="41">
        <v>432.58</v>
      </c>
      <c r="I3441" s="41">
        <v>5.03</v>
      </c>
      <c r="J3441" s="41">
        <v>5.03</v>
      </c>
      <c r="K3441" s="42">
        <v>0</v>
      </c>
    </row>
    <row r="3442" spans="1:11" x14ac:dyDescent="0.25">
      <c r="A3442" s="24" t="s">
        <v>7</v>
      </c>
      <c r="B3442" s="24" t="s">
        <v>17880</v>
      </c>
      <c r="C3442" s="25" t="s">
        <v>17881</v>
      </c>
      <c r="D3442" s="24" t="s">
        <v>22400</v>
      </c>
      <c r="E3442" s="40">
        <v>115</v>
      </c>
      <c r="F3442" s="41">
        <v>578.45000000000005</v>
      </c>
      <c r="G3442" s="40">
        <v>86</v>
      </c>
      <c r="H3442" s="41">
        <v>432.58</v>
      </c>
      <c r="I3442" s="41">
        <v>5.03</v>
      </c>
      <c r="J3442" s="41">
        <v>5.03</v>
      </c>
      <c r="K3442" s="42">
        <v>0</v>
      </c>
    </row>
    <row r="3443" spans="1:11" x14ac:dyDescent="0.25">
      <c r="A3443" s="24" t="s">
        <v>7</v>
      </c>
      <c r="B3443" s="24" t="s">
        <v>17885</v>
      </c>
      <c r="C3443" s="25" t="s">
        <v>15718</v>
      </c>
      <c r="D3443" s="24" t="s">
        <v>22401</v>
      </c>
      <c r="E3443" s="40">
        <v>10</v>
      </c>
      <c r="F3443" s="41">
        <v>81.5</v>
      </c>
      <c r="G3443" s="40">
        <v>5</v>
      </c>
      <c r="H3443" s="41">
        <v>40.75</v>
      </c>
      <c r="I3443" s="41">
        <v>8.15</v>
      </c>
      <c r="J3443" s="41">
        <v>8.15</v>
      </c>
      <c r="K3443" s="42">
        <v>0</v>
      </c>
    </row>
    <row r="3444" spans="1:11" x14ac:dyDescent="0.25">
      <c r="A3444" s="24" t="s">
        <v>7</v>
      </c>
      <c r="B3444" s="24" t="s">
        <v>17886</v>
      </c>
      <c r="C3444" s="25" t="s">
        <v>15720</v>
      </c>
      <c r="D3444" s="24" t="s">
        <v>22402</v>
      </c>
      <c r="G3444" s="40">
        <v>3</v>
      </c>
      <c r="H3444" s="41">
        <v>14.16</v>
      </c>
      <c r="J3444" s="41">
        <v>4.72</v>
      </c>
    </row>
    <row r="3445" spans="1:11" x14ac:dyDescent="0.25">
      <c r="A3445" s="24" t="s">
        <v>7</v>
      </c>
      <c r="B3445" s="24" t="s">
        <v>17887</v>
      </c>
      <c r="C3445" s="25" t="s">
        <v>17888</v>
      </c>
      <c r="D3445" s="24" t="s">
        <v>22403</v>
      </c>
      <c r="G3445" s="40">
        <v>1</v>
      </c>
      <c r="H3445" s="41">
        <v>17.100000000000001</v>
      </c>
      <c r="J3445" s="41">
        <v>17.100000000000001</v>
      </c>
    </row>
    <row r="3446" spans="1:11" x14ac:dyDescent="0.25">
      <c r="A3446" s="24" t="s">
        <v>7</v>
      </c>
      <c r="B3446" s="24" t="s">
        <v>17889</v>
      </c>
      <c r="C3446" s="25" t="s">
        <v>15725</v>
      </c>
      <c r="D3446" s="24" t="s">
        <v>22270</v>
      </c>
      <c r="G3446" s="40">
        <v>1</v>
      </c>
      <c r="H3446" s="41">
        <v>3.66</v>
      </c>
      <c r="J3446" s="41">
        <v>3.66</v>
      </c>
    </row>
    <row r="3447" spans="1:11" x14ac:dyDescent="0.25">
      <c r="A3447" s="24" t="s">
        <v>7</v>
      </c>
      <c r="B3447" s="24" t="s">
        <v>17890</v>
      </c>
      <c r="C3447" s="25" t="s">
        <v>3337</v>
      </c>
      <c r="D3447" s="24" t="s">
        <v>22404</v>
      </c>
      <c r="E3447" s="40">
        <v>146</v>
      </c>
      <c r="F3447" s="41">
        <v>292</v>
      </c>
      <c r="G3447" s="40">
        <v>28</v>
      </c>
      <c r="H3447" s="41">
        <v>56</v>
      </c>
      <c r="I3447" s="41">
        <v>2</v>
      </c>
      <c r="J3447" s="41">
        <v>2</v>
      </c>
      <c r="K3447" s="42">
        <v>0</v>
      </c>
    </row>
    <row r="3448" spans="1:11" x14ac:dyDescent="0.25">
      <c r="A3448" s="24" t="s">
        <v>7</v>
      </c>
      <c r="B3448" s="24" t="s">
        <v>17891</v>
      </c>
      <c r="C3448" s="25" t="s">
        <v>15729</v>
      </c>
      <c r="D3448" s="24" t="s">
        <v>22405</v>
      </c>
      <c r="G3448" s="40">
        <v>2</v>
      </c>
      <c r="H3448" s="41">
        <v>9</v>
      </c>
      <c r="J3448" s="41">
        <v>4.5</v>
      </c>
    </row>
    <row r="3449" spans="1:11" x14ac:dyDescent="0.25">
      <c r="A3449" s="24" t="s">
        <v>7</v>
      </c>
      <c r="B3449" s="24" t="s">
        <v>17892</v>
      </c>
      <c r="C3449" s="25" t="s">
        <v>3339</v>
      </c>
      <c r="D3449" s="24" t="s">
        <v>21355</v>
      </c>
      <c r="E3449" s="40">
        <v>12</v>
      </c>
      <c r="F3449" s="41">
        <v>210</v>
      </c>
      <c r="G3449" s="40">
        <v>0</v>
      </c>
      <c r="H3449" s="41">
        <v>0</v>
      </c>
      <c r="I3449" s="41">
        <v>17.5</v>
      </c>
    </row>
    <row r="3450" spans="1:11" x14ac:dyDescent="0.25">
      <c r="A3450" s="24" t="s">
        <v>7</v>
      </c>
      <c r="B3450" s="24" t="s">
        <v>17893</v>
      </c>
      <c r="C3450" s="25" t="s">
        <v>15210</v>
      </c>
      <c r="D3450" s="24" t="s">
        <v>22406</v>
      </c>
      <c r="E3450" s="40">
        <v>37</v>
      </c>
      <c r="F3450" s="41">
        <v>148</v>
      </c>
      <c r="G3450" s="40">
        <v>16</v>
      </c>
      <c r="H3450" s="41">
        <v>64</v>
      </c>
      <c r="I3450" s="41">
        <v>4</v>
      </c>
      <c r="J3450" s="41">
        <v>4</v>
      </c>
      <c r="K3450" s="42">
        <v>0</v>
      </c>
    </row>
    <row r="3451" spans="1:11" x14ac:dyDescent="0.25">
      <c r="A3451" s="24" t="s">
        <v>7</v>
      </c>
      <c r="B3451" s="24" t="s">
        <v>17894</v>
      </c>
      <c r="C3451" s="25" t="s">
        <v>15213</v>
      </c>
      <c r="D3451" s="24" t="s">
        <v>22407</v>
      </c>
      <c r="E3451" s="40">
        <v>28</v>
      </c>
      <c r="F3451" s="41">
        <v>91.28</v>
      </c>
      <c r="G3451" s="40">
        <v>15</v>
      </c>
      <c r="H3451" s="41">
        <v>48.9</v>
      </c>
      <c r="I3451" s="41">
        <v>3.2600000000000002</v>
      </c>
      <c r="J3451" s="41">
        <v>3.26</v>
      </c>
      <c r="K3451" s="42">
        <v>-1.3622368400308669E-16</v>
      </c>
    </row>
    <row r="3452" spans="1:11" x14ac:dyDescent="0.25">
      <c r="A3452" s="24" t="s">
        <v>7</v>
      </c>
      <c r="B3452" s="24" t="s">
        <v>17895</v>
      </c>
      <c r="C3452" s="25" t="s">
        <v>15735</v>
      </c>
      <c r="D3452" s="24" t="s">
        <v>22408</v>
      </c>
      <c r="G3452" s="40">
        <v>3</v>
      </c>
      <c r="H3452" s="41">
        <v>23.82</v>
      </c>
      <c r="J3452" s="41">
        <v>7.94</v>
      </c>
    </row>
    <row r="3453" spans="1:11" x14ac:dyDescent="0.25">
      <c r="A3453" s="24" t="s">
        <v>7</v>
      </c>
      <c r="B3453" s="24" t="s">
        <v>17896</v>
      </c>
      <c r="C3453" s="25" t="s">
        <v>15739</v>
      </c>
      <c r="D3453" s="24" t="s">
        <v>22409</v>
      </c>
      <c r="E3453" s="40">
        <v>305</v>
      </c>
      <c r="F3453" s="41">
        <v>1119.3499999999999</v>
      </c>
      <c r="G3453" s="40">
        <v>245</v>
      </c>
      <c r="H3453" s="41">
        <v>899.15</v>
      </c>
      <c r="I3453" s="41">
        <v>3.6699999999999995</v>
      </c>
      <c r="J3453" s="41">
        <v>3.67</v>
      </c>
      <c r="K3453" s="42">
        <v>1.2100523429157021E-16</v>
      </c>
    </row>
    <row r="3454" spans="1:11" x14ac:dyDescent="0.25">
      <c r="A3454" s="24" t="s">
        <v>7</v>
      </c>
      <c r="B3454" s="24" t="s">
        <v>17898</v>
      </c>
      <c r="C3454" s="25" t="s">
        <v>15748</v>
      </c>
      <c r="D3454" s="24" t="s">
        <v>22410</v>
      </c>
      <c r="E3454" s="40">
        <v>17</v>
      </c>
      <c r="F3454" s="41">
        <v>155.72</v>
      </c>
      <c r="G3454" s="40">
        <v>18</v>
      </c>
      <c r="H3454" s="41">
        <v>164.88</v>
      </c>
      <c r="I3454" s="41">
        <v>9.16</v>
      </c>
      <c r="J3454" s="41">
        <v>9.16</v>
      </c>
      <c r="K3454" s="42">
        <v>0</v>
      </c>
    </row>
    <row r="3455" spans="1:11" x14ac:dyDescent="0.25">
      <c r="A3455" s="24" t="s">
        <v>7</v>
      </c>
      <c r="B3455" s="24" t="s">
        <v>17902</v>
      </c>
      <c r="C3455" s="25" t="s">
        <v>17903</v>
      </c>
      <c r="D3455" s="24" t="s">
        <v>22411</v>
      </c>
      <c r="E3455" s="40">
        <v>142</v>
      </c>
      <c r="F3455" s="41">
        <v>1735.24</v>
      </c>
      <c r="G3455" s="40">
        <v>28</v>
      </c>
      <c r="H3455" s="41">
        <v>342.16</v>
      </c>
      <c r="I3455" s="41">
        <v>12.22</v>
      </c>
      <c r="J3455" s="41">
        <v>12.22</v>
      </c>
      <c r="K3455" s="42">
        <v>0</v>
      </c>
    </row>
    <row r="3456" spans="1:11" x14ac:dyDescent="0.25">
      <c r="A3456" s="24" t="s">
        <v>7</v>
      </c>
      <c r="B3456" s="24" t="s">
        <v>17904</v>
      </c>
      <c r="C3456" s="25" t="s">
        <v>15785</v>
      </c>
      <c r="D3456" s="24" t="s">
        <v>22412</v>
      </c>
      <c r="G3456" s="40">
        <v>1</v>
      </c>
      <c r="H3456" s="41">
        <v>10.06</v>
      </c>
      <c r="J3456" s="41">
        <v>10.06</v>
      </c>
    </row>
    <row r="3457" spans="1:11" x14ac:dyDescent="0.25">
      <c r="A3457" s="24" t="s">
        <v>7</v>
      </c>
      <c r="B3457" s="24" t="s">
        <v>17905</v>
      </c>
      <c r="C3457" s="25" t="s">
        <v>17906</v>
      </c>
      <c r="D3457" s="24" t="s">
        <v>22247</v>
      </c>
      <c r="E3457" s="40">
        <v>361</v>
      </c>
      <c r="F3457" s="41">
        <v>9025</v>
      </c>
      <c r="G3457" s="40">
        <v>270</v>
      </c>
      <c r="H3457" s="41">
        <v>6750</v>
      </c>
      <c r="I3457" s="41">
        <v>25</v>
      </c>
      <c r="J3457" s="41">
        <v>25</v>
      </c>
      <c r="K3457" s="42">
        <v>0</v>
      </c>
    </row>
    <row r="3458" spans="1:11" x14ac:dyDescent="0.25">
      <c r="A3458" s="24" t="s">
        <v>7</v>
      </c>
      <c r="B3458" s="24" t="s">
        <v>17908</v>
      </c>
      <c r="C3458" s="25" t="s">
        <v>17909</v>
      </c>
      <c r="D3458" s="24" t="s">
        <v>22413</v>
      </c>
      <c r="G3458" s="40">
        <v>1</v>
      </c>
      <c r="H3458" s="41">
        <v>8.15</v>
      </c>
      <c r="J3458" s="41">
        <v>8.15</v>
      </c>
    </row>
    <row r="3459" spans="1:11" x14ac:dyDescent="0.25">
      <c r="A3459" s="24" t="s">
        <v>7</v>
      </c>
      <c r="B3459" s="24" t="s">
        <v>17917</v>
      </c>
      <c r="C3459" s="25" t="s">
        <v>17918</v>
      </c>
      <c r="D3459" s="24" t="s">
        <v>22414</v>
      </c>
      <c r="E3459" s="40">
        <v>78</v>
      </c>
      <c r="F3459" s="41">
        <v>5596.5</v>
      </c>
      <c r="G3459" s="40">
        <v>62</v>
      </c>
      <c r="H3459" s="41">
        <v>4448.5</v>
      </c>
      <c r="I3459" s="41">
        <v>71.75</v>
      </c>
      <c r="J3459" s="41">
        <v>71.75</v>
      </c>
      <c r="K3459" s="42">
        <v>0</v>
      </c>
    </row>
    <row r="3460" spans="1:11" x14ac:dyDescent="0.25">
      <c r="A3460" s="24" t="s">
        <v>7</v>
      </c>
      <c r="B3460" s="24" t="s">
        <v>17920</v>
      </c>
      <c r="C3460" s="25" t="s">
        <v>15793</v>
      </c>
      <c r="D3460" s="24" t="s">
        <v>22415</v>
      </c>
      <c r="G3460" s="40">
        <v>1</v>
      </c>
      <c r="H3460" s="41">
        <v>3.67</v>
      </c>
      <c r="J3460" s="41">
        <v>3.67</v>
      </c>
    </row>
    <row r="3461" spans="1:11" x14ac:dyDescent="0.25">
      <c r="A3461" s="24" t="s">
        <v>7</v>
      </c>
      <c r="B3461" s="24" t="s">
        <v>17921</v>
      </c>
      <c r="C3461" s="25" t="s">
        <v>15810</v>
      </c>
      <c r="D3461" s="24" t="s">
        <v>21360</v>
      </c>
      <c r="E3461" s="40">
        <v>6</v>
      </c>
      <c r="F3461" s="41">
        <v>24</v>
      </c>
      <c r="G3461" s="40">
        <v>4</v>
      </c>
      <c r="H3461" s="41">
        <v>16</v>
      </c>
      <c r="I3461" s="41">
        <v>4</v>
      </c>
      <c r="J3461" s="41">
        <v>4</v>
      </c>
      <c r="K3461" s="42">
        <v>0</v>
      </c>
    </row>
    <row r="3462" spans="1:11" x14ac:dyDescent="0.25">
      <c r="A3462" s="24" t="s">
        <v>7</v>
      </c>
      <c r="B3462" s="24" t="s">
        <v>17922</v>
      </c>
      <c r="C3462" s="25" t="s">
        <v>17923</v>
      </c>
      <c r="D3462" s="24" t="s">
        <v>22273</v>
      </c>
      <c r="E3462" s="40">
        <v>18</v>
      </c>
      <c r="F3462" s="41">
        <v>76.5</v>
      </c>
      <c r="G3462" s="40">
        <v>18</v>
      </c>
      <c r="H3462" s="41">
        <v>76.5</v>
      </c>
      <c r="I3462" s="41">
        <v>4.25</v>
      </c>
      <c r="J3462" s="41">
        <v>4.25</v>
      </c>
      <c r="K3462" s="42">
        <v>0</v>
      </c>
    </row>
    <row r="3463" spans="1:11" x14ac:dyDescent="0.25">
      <c r="A3463" s="24" t="s">
        <v>7</v>
      </c>
      <c r="B3463" s="24" t="s">
        <v>17924</v>
      </c>
      <c r="C3463" s="25" t="s">
        <v>15815</v>
      </c>
      <c r="D3463" s="24" t="s">
        <v>21360</v>
      </c>
      <c r="E3463" s="40">
        <v>135</v>
      </c>
      <c r="F3463" s="41">
        <v>329.4</v>
      </c>
      <c r="G3463" s="40">
        <v>108</v>
      </c>
      <c r="H3463" s="41">
        <v>263.52</v>
      </c>
      <c r="I3463" s="41">
        <v>2.44</v>
      </c>
      <c r="J3463" s="41">
        <v>2.44</v>
      </c>
      <c r="K3463" s="42">
        <v>0</v>
      </c>
    </row>
    <row r="3464" spans="1:11" x14ac:dyDescent="0.25">
      <c r="A3464" s="24" t="s">
        <v>7</v>
      </c>
      <c r="B3464" s="24" t="s">
        <v>17927</v>
      </c>
      <c r="C3464" s="25" t="s">
        <v>17928</v>
      </c>
      <c r="D3464" s="24" t="s">
        <v>22416</v>
      </c>
      <c r="E3464" s="40">
        <v>432</v>
      </c>
      <c r="F3464" s="41">
        <v>2570.4</v>
      </c>
      <c r="G3464" s="40">
        <v>311</v>
      </c>
      <c r="H3464" s="41">
        <v>1850.45</v>
      </c>
      <c r="I3464" s="41">
        <v>5.95</v>
      </c>
      <c r="J3464" s="41">
        <v>5.95</v>
      </c>
      <c r="K3464" s="42">
        <v>0</v>
      </c>
    </row>
    <row r="3465" spans="1:11" x14ac:dyDescent="0.25">
      <c r="A3465" s="24" t="s">
        <v>7</v>
      </c>
      <c r="B3465" s="24" t="s">
        <v>17930</v>
      </c>
      <c r="C3465" s="25" t="s">
        <v>17931</v>
      </c>
      <c r="D3465" s="24" t="s">
        <v>22417</v>
      </c>
      <c r="E3465" s="40">
        <v>6</v>
      </c>
      <c r="F3465" s="41">
        <v>20.22</v>
      </c>
      <c r="G3465" s="40">
        <v>9</v>
      </c>
      <c r="H3465" s="41">
        <v>30.33</v>
      </c>
      <c r="I3465" s="41">
        <v>3.3699999999999997</v>
      </c>
      <c r="J3465" s="41">
        <v>3.3699999999999997</v>
      </c>
      <c r="K3465" s="42">
        <v>0</v>
      </c>
    </row>
    <row r="3466" spans="1:11" x14ac:dyDescent="0.25">
      <c r="A3466" s="24" t="s">
        <v>7</v>
      </c>
      <c r="B3466" s="24" t="s">
        <v>17932</v>
      </c>
      <c r="C3466" s="25" t="s">
        <v>15823</v>
      </c>
      <c r="D3466" s="24" t="s">
        <v>22418</v>
      </c>
      <c r="E3466" s="40">
        <v>2</v>
      </c>
      <c r="F3466" s="41">
        <v>56.94</v>
      </c>
      <c r="G3466" s="40">
        <v>5</v>
      </c>
      <c r="H3466" s="41">
        <v>142.35</v>
      </c>
      <c r="I3466" s="41">
        <v>28.47</v>
      </c>
      <c r="J3466" s="41">
        <v>28.47</v>
      </c>
      <c r="K3466" s="42">
        <v>0</v>
      </c>
    </row>
    <row r="3467" spans="1:11" x14ac:dyDescent="0.25">
      <c r="A3467" s="24" t="s">
        <v>7</v>
      </c>
      <c r="B3467" s="24" t="s">
        <v>17933</v>
      </c>
      <c r="C3467" s="25" t="s">
        <v>17934</v>
      </c>
      <c r="D3467" s="24" t="s">
        <v>22243</v>
      </c>
      <c r="G3467" s="40">
        <v>1</v>
      </c>
      <c r="H3467" s="41">
        <v>35.71</v>
      </c>
      <c r="J3467" s="41">
        <v>35.71</v>
      </c>
    </row>
    <row r="3468" spans="1:11" x14ac:dyDescent="0.25">
      <c r="A3468" s="24" t="s">
        <v>7</v>
      </c>
      <c r="B3468" s="24" t="s">
        <v>17937</v>
      </c>
      <c r="C3468" s="25" t="s">
        <v>3373</v>
      </c>
      <c r="D3468" s="24" t="s">
        <v>22419</v>
      </c>
      <c r="E3468" s="40">
        <v>94</v>
      </c>
      <c r="F3468" s="41">
        <v>344.98</v>
      </c>
      <c r="G3468" s="40">
        <v>82</v>
      </c>
      <c r="H3468" s="41">
        <v>300.94</v>
      </c>
      <c r="I3468" s="41">
        <v>3.6700000000000004</v>
      </c>
      <c r="J3468" s="41">
        <v>3.67</v>
      </c>
      <c r="K3468" s="42">
        <v>-1.2100523429157018E-16</v>
      </c>
    </row>
    <row r="3469" spans="1:11" x14ac:dyDescent="0.25">
      <c r="A3469" s="24" t="s">
        <v>7</v>
      </c>
      <c r="B3469" s="24" t="s">
        <v>17941</v>
      </c>
      <c r="C3469" s="25" t="s">
        <v>16001</v>
      </c>
      <c r="D3469" s="24" t="s">
        <v>22420</v>
      </c>
      <c r="E3469" s="40">
        <v>4</v>
      </c>
      <c r="F3469" s="41">
        <v>24.44</v>
      </c>
      <c r="G3469" s="40">
        <v>8</v>
      </c>
      <c r="H3469" s="41">
        <v>48.88</v>
      </c>
      <c r="I3469" s="41">
        <v>6.11</v>
      </c>
      <c r="J3469" s="41">
        <v>6.11</v>
      </c>
      <c r="K3469" s="42">
        <v>0</v>
      </c>
    </row>
    <row r="3470" spans="1:11" x14ac:dyDescent="0.25">
      <c r="A3470" s="24" t="s">
        <v>7</v>
      </c>
      <c r="B3470" s="24" t="s">
        <v>17945</v>
      </c>
      <c r="C3470" s="25" t="s">
        <v>17946</v>
      </c>
      <c r="D3470" s="24" t="s">
        <v>22243</v>
      </c>
      <c r="G3470" s="40">
        <v>11</v>
      </c>
      <c r="H3470" s="41">
        <v>594</v>
      </c>
      <c r="J3470" s="41">
        <v>54</v>
      </c>
    </row>
    <row r="3471" spans="1:11" x14ac:dyDescent="0.25">
      <c r="A3471" s="24" t="s">
        <v>7</v>
      </c>
      <c r="B3471" s="24" t="s">
        <v>17948</v>
      </c>
      <c r="C3471" s="25" t="s">
        <v>17949</v>
      </c>
      <c r="D3471" s="24" t="s">
        <v>22421</v>
      </c>
      <c r="E3471" s="40">
        <v>8</v>
      </c>
      <c r="F3471" s="41">
        <v>42.32</v>
      </c>
      <c r="G3471" s="40">
        <v>12</v>
      </c>
      <c r="H3471" s="41">
        <v>63.48</v>
      </c>
      <c r="I3471" s="41">
        <v>5.29</v>
      </c>
      <c r="J3471" s="41">
        <v>5.29</v>
      </c>
      <c r="K3471" s="42">
        <v>0</v>
      </c>
    </row>
    <row r="3472" spans="1:11" x14ac:dyDescent="0.25">
      <c r="A3472" s="24" t="s">
        <v>7</v>
      </c>
      <c r="B3472" s="24" t="s">
        <v>17959</v>
      </c>
      <c r="C3472" s="25" t="s">
        <v>17960</v>
      </c>
      <c r="D3472" s="24" t="s">
        <v>22243</v>
      </c>
      <c r="G3472" s="40">
        <v>1</v>
      </c>
      <c r="H3472" s="41">
        <v>30</v>
      </c>
      <c r="J3472" s="41">
        <v>30</v>
      </c>
    </row>
    <row r="3473" spans="1:11" x14ac:dyDescent="0.25">
      <c r="A3473" s="24" t="s">
        <v>7</v>
      </c>
      <c r="B3473" s="24" t="s">
        <v>17965</v>
      </c>
      <c r="C3473" s="25" t="s">
        <v>15845</v>
      </c>
      <c r="D3473" s="24" t="s">
        <v>22422</v>
      </c>
      <c r="E3473" s="40">
        <v>18</v>
      </c>
      <c r="F3473" s="41">
        <v>182.16</v>
      </c>
      <c r="G3473" s="40">
        <v>15</v>
      </c>
      <c r="H3473" s="41">
        <v>151.80000000000001</v>
      </c>
      <c r="I3473" s="41">
        <v>10.119999999999999</v>
      </c>
      <c r="J3473" s="41">
        <v>10.120000000000001</v>
      </c>
      <c r="K3473" s="42">
        <v>1.7552933195654651E-16</v>
      </c>
    </row>
    <row r="3474" spans="1:11" x14ac:dyDescent="0.25">
      <c r="A3474" s="24" t="s">
        <v>7</v>
      </c>
      <c r="B3474" s="24" t="s">
        <v>17970</v>
      </c>
      <c r="C3474" s="25" t="s">
        <v>17971</v>
      </c>
      <c r="D3474" s="24" t="s">
        <v>22423</v>
      </c>
      <c r="E3474" s="40">
        <v>15</v>
      </c>
      <c r="F3474" s="41">
        <v>630</v>
      </c>
      <c r="G3474" s="40">
        <v>14</v>
      </c>
      <c r="H3474" s="41">
        <v>588</v>
      </c>
      <c r="I3474" s="41">
        <v>42</v>
      </c>
      <c r="J3474" s="41">
        <v>42</v>
      </c>
      <c r="K3474" s="42">
        <v>0</v>
      </c>
    </row>
    <row r="3475" spans="1:11" x14ac:dyDescent="0.25">
      <c r="A3475" s="24" t="s">
        <v>7</v>
      </c>
      <c r="B3475" s="24" t="s">
        <v>17973</v>
      </c>
      <c r="C3475" s="25" t="s">
        <v>17974</v>
      </c>
      <c r="D3475" s="24" t="s">
        <v>22424</v>
      </c>
      <c r="G3475" s="40">
        <v>7</v>
      </c>
      <c r="H3475" s="41">
        <v>22.82</v>
      </c>
      <c r="J3475" s="41">
        <v>3.2600000000000002</v>
      </c>
    </row>
    <row r="3476" spans="1:11" x14ac:dyDescent="0.25">
      <c r="A3476" s="24" t="s">
        <v>7</v>
      </c>
      <c r="B3476" s="24" t="s">
        <v>17979</v>
      </c>
      <c r="C3476" s="25" t="s">
        <v>17980</v>
      </c>
      <c r="D3476" s="24" t="s">
        <v>21368</v>
      </c>
      <c r="E3476" s="40">
        <v>31</v>
      </c>
      <c r="F3476" s="41">
        <v>348.75</v>
      </c>
      <c r="G3476" s="40">
        <v>35</v>
      </c>
      <c r="H3476" s="41">
        <v>393.75</v>
      </c>
      <c r="I3476" s="41">
        <v>11.25</v>
      </c>
      <c r="J3476" s="41">
        <v>11.25</v>
      </c>
      <c r="K3476" s="42">
        <v>0</v>
      </c>
    </row>
    <row r="3477" spans="1:11" x14ac:dyDescent="0.25">
      <c r="A3477" s="24" t="s">
        <v>7</v>
      </c>
      <c r="B3477" s="24" t="s">
        <v>17985</v>
      </c>
      <c r="C3477" s="25" t="s">
        <v>17986</v>
      </c>
      <c r="D3477" s="24" t="s">
        <v>22425</v>
      </c>
      <c r="E3477" s="40">
        <v>1</v>
      </c>
      <c r="F3477" s="41">
        <v>8.76</v>
      </c>
      <c r="G3477" s="40">
        <v>3</v>
      </c>
      <c r="H3477" s="41">
        <v>26.28</v>
      </c>
      <c r="I3477" s="41">
        <v>8.76</v>
      </c>
      <c r="J3477" s="41">
        <v>8.76</v>
      </c>
      <c r="K3477" s="42">
        <v>0</v>
      </c>
    </row>
    <row r="3478" spans="1:11" x14ac:dyDescent="0.25">
      <c r="A3478" s="24" t="s">
        <v>7</v>
      </c>
      <c r="B3478" s="24" t="s">
        <v>17989</v>
      </c>
      <c r="C3478" s="25" t="s">
        <v>17990</v>
      </c>
      <c r="D3478" s="24" t="s">
        <v>21318</v>
      </c>
      <c r="E3478" s="40">
        <v>37</v>
      </c>
      <c r="F3478" s="41">
        <v>3754.02</v>
      </c>
      <c r="G3478" s="40">
        <v>38</v>
      </c>
      <c r="H3478" s="41">
        <v>3855.48</v>
      </c>
      <c r="I3478" s="41">
        <v>101.46</v>
      </c>
      <c r="J3478" s="41">
        <v>101.46</v>
      </c>
      <c r="K3478" s="42">
        <v>0</v>
      </c>
    </row>
    <row r="3479" spans="1:11" x14ac:dyDescent="0.25">
      <c r="A3479" s="24" t="s">
        <v>7</v>
      </c>
      <c r="B3479" s="24" t="s">
        <v>17991</v>
      </c>
      <c r="C3479" s="25" t="s">
        <v>17992</v>
      </c>
      <c r="D3479" s="24" t="s">
        <v>22426</v>
      </c>
      <c r="G3479" s="40">
        <v>1</v>
      </c>
      <c r="H3479" s="41">
        <v>15.48</v>
      </c>
      <c r="J3479" s="41">
        <v>15.48</v>
      </c>
    </row>
    <row r="3480" spans="1:11" x14ac:dyDescent="0.25">
      <c r="A3480" s="24" t="s">
        <v>7</v>
      </c>
      <c r="B3480" s="24" t="s">
        <v>17994</v>
      </c>
      <c r="C3480" s="25" t="s">
        <v>17995</v>
      </c>
      <c r="D3480" s="24" t="s">
        <v>22427</v>
      </c>
      <c r="G3480" s="40">
        <v>20</v>
      </c>
      <c r="H3480" s="41">
        <v>500</v>
      </c>
      <c r="J3480" s="41">
        <v>25</v>
      </c>
    </row>
    <row r="3481" spans="1:11" x14ac:dyDescent="0.25">
      <c r="A3481" s="24" t="s">
        <v>7</v>
      </c>
      <c r="B3481" s="24" t="s">
        <v>17996</v>
      </c>
      <c r="C3481" s="25" t="s">
        <v>16050</v>
      </c>
      <c r="D3481" s="24" t="s">
        <v>22427</v>
      </c>
      <c r="E3481" s="40">
        <v>7</v>
      </c>
      <c r="F3481" s="41">
        <v>85.54</v>
      </c>
      <c r="G3481" s="40">
        <v>17</v>
      </c>
      <c r="H3481" s="41">
        <v>207.74</v>
      </c>
      <c r="I3481" s="41">
        <v>12.22</v>
      </c>
      <c r="J3481" s="41">
        <v>12.22</v>
      </c>
      <c r="K3481" s="42">
        <v>0</v>
      </c>
    </row>
    <row r="3482" spans="1:11" x14ac:dyDescent="0.25">
      <c r="A3482" s="24" t="s">
        <v>7</v>
      </c>
      <c r="B3482" s="24" t="s">
        <v>18000</v>
      </c>
      <c r="C3482" s="25" t="s">
        <v>15890</v>
      </c>
      <c r="D3482" s="24" t="s">
        <v>22428</v>
      </c>
      <c r="E3482" s="40">
        <v>9</v>
      </c>
      <c r="F3482" s="41">
        <v>118.44</v>
      </c>
      <c r="G3482" s="40">
        <v>14</v>
      </c>
      <c r="H3482" s="41">
        <v>184.24</v>
      </c>
      <c r="I3482" s="41">
        <v>13.16</v>
      </c>
      <c r="J3482" s="41">
        <v>13.16</v>
      </c>
      <c r="K3482" s="42">
        <v>0</v>
      </c>
    </row>
    <row r="3483" spans="1:11" x14ac:dyDescent="0.25">
      <c r="A3483" s="24" t="s">
        <v>7</v>
      </c>
      <c r="B3483" s="24" t="s">
        <v>18001</v>
      </c>
      <c r="C3483" s="25" t="s">
        <v>17257</v>
      </c>
      <c r="D3483" s="24" t="s">
        <v>21370</v>
      </c>
      <c r="G3483" s="40">
        <v>4</v>
      </c>
      <c r="H3483" s="41">
        <v>20</v>
      </c>
      <c r="J3483" s="41">
        <v>5</v>
      </c>
    </row>
    <row r="3484" spans="1:11" x14ac:dyDescent="0.25">
      <c r="A3484" s="24" t="s">
        <v>7</v>
      </c>
      <c r="B3484" s="24" t="s">
        <v>18002</v>
      </c>
      <c r="C3484" s="25" t="s">
        <v>18003</v>
      </c>
      <c r="D3484" s="24" t="s">
        <v>22275</v>
      </c>
      <c r="E3484" s="40">
        <v>75</v>
      </c>
      <c r="F3484" s="41">
        <v>14050.5</v>
      </c>
      <c r="G3484" s="40">
        <v>53</v>
      </c>
      <c r="H3484" s="41">
        <v>9929.02</v>
      </c>
      <c r="I3484" s="41">
        <v>187.34</v>
      </c>
      <c r="J3484" s="41">
        <v>187.34</v>
      </c>
      <c r="K3484" s="42">
        <v>0</v>
      </c>
    </row>
    <row r="3485" spans="1:11" x14ac:dyDescent="0.25">
      <c r="A3485" s="24" t="s">
        <v>7</v>
      </c>
      <c r="B3485" s="24" t="s">
        <v>18005</v>
      </c>
      <c r="C3485" s="25" t="s">
        <v>15602</v>
      </c>
      <c r="D3485" s="24" t="s">
        <v>22429</v>
      </c>
      <c r="E3485" s="40">
        <v>94</v>
      </c>
      <c r="F3485" s="41">
        <v>1316</v>
      </c>
      <c r="G3485" s="40">
        <v>148</v>
      </c>
      <c r="H3485" s="41">
        <v>2072</v>
      </c>
      <c r="I3485" s="41">
        <v>14</v>
      </c>
      <c r="J3485" s="41">
        <v>14</v>
      </c>
      <c r="K3485" s="42">
        <v>0</v>
      </c>
    </row>
    <row r="3486" spans="1:11" x14ac:dyDescent="0.25">
      <c r="A3486" s="24" t="s">
        <v>7</v>
      </c>
      <c r="B3486" s="24" t="s">
        <v>18008</v>
      </c>
      <c r="C3486" s="25" t="s">
        <v>15899</v>
      </c>
      <c r="D3486" s="24" t="s">
        <v>22429</v>
      </c>
      <c r="G3486" s="40">
        <v>8</v>
      </c>
      <c r="H3486" s="41">
        <v>130.32</v>
      </c>
      <c r="J3486" s="41">
        <v>16.29</v>
      </c>
    </row>
    <row r="3487" spans="1:11" x14ac:dyDescent="0.25">
      <c r="A3487" s="24" t="s">
        <v>7</v>
      </c>
      <c r="B3487" s="24" t="s">
        <v>18009</v>
      </c>
      <c r="C3487" s="25" t="s">
        <v>18010</v>
      </c>
      <c r="D3487" s="24" t="s">
        <v>22429</v>
      </c>
      <c r="G3487" s="40">
        <v>8</v>
      </c>
      <c r="H3487" s="41">
        <v>130.32</v>
      </c>
      <c r="J3487" s="41">
        <v>16.29</v>
      </c>
    </row>
    <row r="3488" spans="1:11" x14ac:dyDescent="0.25">
      <c r="A3488" s="24" t="s">
        <v>7</v>
      </c>
      <c r="B3488" s="24" t="s">
        <v>18013</v>
      </c>
      <c r="C3488" s="25" t="s">
        <v>15913</v>
      </c>
      <c r="D3488" s="24" t="s">
        <v>22430</v>
      </c>
      <c r="E3488" s="40">
        <v>12</v>
      </c>
      <c r="F3488" s="41">
        <v>343.32</v>
      </c>
      <c r="G3488" s="40">
        <v>22</v>
      </c>
      <c r="H3488" s="41">
        <v>629.41999999999996</v>
      </c>
      <c r="I3488" s="41">
        <v>28.61</v>
      </c>
      <c r="J3488" s="41">
        <v>28.61</v>
      </c>
      <c r="K3488" s="42">
        <v>0</v>
      </c>
    </row>
    <row r="3489" spans="1:11" x14ac:dyDescent="0.25">
      <c r="A3489" s="24" t="s">
        <v>7</v>
      </c>
      <c r="B3489" s="24" t="s">
        <v>18016</v>
      </c>
      <c r="C3489" s="25" t="s">
        <v>16711</v>
      </c>
      <c r="D3489" s="24" t="s">
        <v>22431</v>
      </c>
      <c r="E3489" s="40">
        <v>96</v>
      </c>
      <c r="F3489" s="41">
        <v>17984.64</v>
      </c>
      <c r="G3489" s="40">
        <v>83</v>
      </c>
      <c r="H3489" s="41">
        <v>15549.22</v>
      </c>
      <c r="I3489" s="41">
        <v>187.34</v>
      </c>
      <c r="J3489" s="41">
        <v>187.34</v>
      </c>
      <c r="K3489" s="42">
        <v>0</v>
      </c>
    </row>
    <row r="3490" spans="1:11" x14ac:dyDescent="0.25">
      <c r="A3490" s="24" t="s">
        <v>7</v>
      </c>
      <c r="B3490" s="24" t="s">
        <v>18017</v>
      </c>
      <c r="C3490" s="25" t="s">
        <v>18018</v>
      </c>
      <c r="D3490" s="24" t="s">
        <v>22431</v>
      </c>
      <c r="E3490" s="40">
        <v>64</v>
      </c>
      <c r="F3490" s="41">
        <v>4208</v>
      </c>
      <c r="G3490" s="40">
        <v>49</v>
      </c>
      <c r="H3490" s="41">
        <v>2450</v>
      </c>
      <c r="I3490" s="41">
        <v>65.75</v>
      </c>
      <c r="J3490" s="41">
        <v>50</v>
      </c>
      <c r="K3490" s="42">
        <v>-0.23954372623574144</v>
      </c>
    </row>
    <row r="3491" spans="1:11" x14ac:dyDescent="0.25">
      <c r="A3491" s="24" t="s">
        <v>7</v>
      </c>
      <c r="B3491" s="24" t="s">
        <v>18019</v>
      </c>
      <c r="C3491" s="25" t="s">
        <v>18020</v>
      </c>
      <c r="D3491" s="24" t="s">
        <v>22432</v>
      </c>
      <c r="G3491" s="40">
        <v>1</v>
      </c>
      <c r="H3491" s="41">
        <v>9</v>
      </c>
      <c r="J3491" s="41">
        <v>9</v>
      </c>
    </row>
    <row r="3492" spans="1:11" x14ac:dyDescent="0.25">
      <c r="A3492" s="24" t="s">
        <v>7</v>
      </c>
      <c r="B3492" s="24" t="s">
        <v>18025</v>
      </c>
      <c r="C3492" s="25" t="s">
        <v>16811</v>
      </c>
      <c r="D3492" s="24" t="s">
        <v>22247</v>
      </c>
      <c r="E3492" s="40">
        <v>5</v>
      </c>
      <c r="F3492" s="41">
        <v>95</v>
      </c>
      <c r="G3492" s="40">
        <v>6</v>
      </c>
      <c r="H3492" s="41">
        <v>114</v>
      </c>
      <c r="I3492" s="41">
        <v>19</v>
      </c>
      <c r="J3492" s="41">
        <v>19</v>
      </c>
      <c r="K3492" s="42">
        <v>0</v>
      </c>
    </row>
    <row r="3493" spans="1:11" x14ac:dyDescent="0.25">
      <c r="A3493" s="24" t="s">
        <v>7</v>
      </c>
      <c r="B3493" s="24" t="s">
        <v>18026</v>
      </c>
      <c r="C3493" s="25" t="s">
        <v>15927</v>
      </c>
      <c r="D3493" s="24" t="s">
        <v>22433</v>
      </c>
      <c r="E3493" s="40">
        <v>117</v>
      </c>
      <c r="F3493" s="41">
        <v>427.05</v>
      </c>
      <c r="G3493" s="40">
        <v>74</v>
      </c>
      <c r="H3493" s="41">
        <v>270.10000000000002</v>
      </c>
      <c r="I3493" s="41">
        <v>3.65</v>
      </c>
      <c r="J3493" s="41">
        <v>3.6500000000000004</v>
      </c>
      <c r="K3493" s="42">
        <v>1.2166827667125003E-16</v>
      </c>
    </row>
    <row r="3494" spans="1:11" x14ac:dyDescent="0.25">
      <c r="A3494" s="24" t="s">
        <v>7</v>
      </c>
      <c r="B3494" s="24" t="s">
        <v>18027</v>
      </c>
      <c r="C3494" s="25" t="s">
        <v>18028</v>
      </c>
      <c r="D3494" s="24" t="s">
        <v>22421</v>
      </c>
      <c r="G3494" s="40">
        <v>3</v>
      </c>
      <c r="H3494" s="41">
        <v>15.87</v>
      </c>
      <c r="J3494" s="41">
        <v>5.29</v>
      </c>
    </row>
    <row r="3495" spans="1:11" x14ac:dyDescent="0.25">
      <c r="A3495" s="24" t="s">
        <v>7</v>
      </c>
      <c r="B3495" s="24" t="s">
        <v>18029</v>
      </c>
      <c r="C3495" s="25" t="s">
        <v>3422</v>
      </c>
      <c r="D3495" s="24" t="s">
        <v>22244</v>
      </c>
      <c r="E3495" s="40">
        <v>0</v>
      </c>
      <c r="F3495" s="41">
        <v>0</v>
      </c>
      <c r="G3495" s="40">
        <v>2</v>
      </c>
      <c r="H3495" s="41">
        <v>16.82</v>
      </c>
      <c r="J3495" s="41">
        <v>8.41</v>
      </c>
    </row>
    <row r="3496" spans="1:11" x14ac:dyDescent="0.25">
      <c r="A3496" s="24" t="s">
        <v>7</v>
      </c>
      <c r="B3496" s="24" t="s">
        <v>18030</v>
      </c>
      <c r="C3496" s="25" t="s">
        <v>18031</v>
      </c>
      <c r="D3496" s="24" t="s">
        <v>22434</v>
      </c>
      <c r="E3496" s="40">
        <v>10</v>
      </c>
      <c r="F3496" s="41">
        <v>1000</v>
      </c>
      <c r="G3496" s="40">
        <v>26</v>
      </c>
      <c r="H3496" s="41">
        <v>2600</v>
      </c>
      <c r="I3496" s="41">
        <v>100</v>
      </c>
      <c r="J3496" s="41">
        <v>100</v>
      </c>
      <c r="K3496" s="42">
        <v>0</v>
      </c>
    </row>
    <row r="3497" spans="1:11" x14ac:dyDescent="0.25">
      <c r="A3497" s="24" t="s">
        <v>7</v>
      </c>
      <c r="B3497" s="24" t="s">
        <v>18035</v>
      </c>
      <c r="C3497" s="25" t="s">
        <v>18036</v>
      </c>
      <c r="D3497" s="24" t="s">
        <v>22435</v>
      </c>
      <c r="G3497" s="40">
        <v>2</v>
      </c>
      <c r="H3497" s="41">
        <v>80</v>
      </c>
      <c r="J3497" s="41">
        <v>40</v>
      </c>
    </row>
    <row r="3498" spans="1:11" x14ac:dyDescent="0.25">
      <c r="A3498" s="24" t="s">
        <v>7</v>
      </c>
      <c r="B3498" s="24" t="s">
        <v>18038</v>
      </c>
      <c r="C3498" s="25" t="s">
        <v>3427</v>
      </c>
      <c r="D3498" s="24" t="s">
        <v>21374</v>
      </c>
      <c r="E3498" s="40">
        <v>129</v>
      </c>
      <c r="F3498" s="41">
        <v>322.5</v>
      </c>
      <c r="G3498" s="40">
        <v>70</v>
      </c>
      <c r="H3498" s="41">
        <v>175</v>
      </c>
      <c r="I3498" s="41">
        <v>2.5</v>
      </c>
      <c r="J3498" s="41">
        <v>2.5</v>
      </c>
      <c r="K3498" s="42">
        <v>0</v>
      </c>
    </row>
    <row r="3499" spans="1:11" x14ac:dyDescent="0.25">
      <c r="A3499" s="24" t="s">
        <v>7</v>
      </c>
      <c r="B3499" s="24" t="s">
        <v>18039</v>
      </c>
      <c r="C3499" s="25" t="s">
        <v>15945</v>
      </c>
      <c r="D3499" s="24" t="s">
        <v>22436</v>
      </c>
      <c r="E3499" s="40">
        <v>129</v>
      </c>
      <c r="F3499" s="41">
        <v>322.5</v>
      </c>
      <c r="G3499" s="40">
        <v>70</v>
      </c>
      <c r="H3499" s="41">
        <v>175</v>
      </c>
      <c r="I3499" s="41">
        <v>2.5</v>
      </c>
      <c r="J3499" s="41">
        <v>2.5</v>
      </c>
      <c r="K3499" s="42">
        <v>0</v>
      </c>
    </row>
    <row r="3500" spans="1:11" x14ac:dyDescent="0.25">
      <c r="A3500" s="24" t="s">
        <v>7</v>
      </c>
      <c r="B3500" s="24" t="s">
        <v>18042</v>
      </c>
      <c r="C3500" s="25" t="s">
        <v>18043</v>
      </c>
      <c r="D3500" s="24" t="s">
        <v>22437</v>
      </c>
      <c r="G3500" s="40">
        <v>1</v>
      </c>
      <c r="H3500" s="41">
        <v>16</v>
      </c>
      <c r="J3500" s="41">
        <v>16</v>
      </c>
    </row>
    <row r="3501" spans="1:11" x14ac:dyDescent="0.25">
      <c r="A3501" s="24" t="s">
        <v>7</v>
      </c>
      <c r="B3501" s="24" t="s">
        <v>18045</v>
      </c>
      <c r="C3501" s="25" t="s">
        <v>15956</v>
      </c>
      <c r="D3501" s="24" t="s">
        <v>22438</v>
      </c>
      <c r="G3501" s="40">
        <v>1</v>
      </c>
      <c r="H3501" s="41">
        <v>3.37</v>
      </c>
      <c r="J3501" s="41">
        <v>3.37</v>
      </c>
    </row>
    <row r="3502" spans="1:11" x14ac:dyDescent="0.25">
      <c r="A3502" s="24" t="s">
        <v>7</v>
      </c>
      <c r="B3502" s="24" t="s">
        <v>18047</v>
      </c>
      <c r="C3502" s="25" t="s">
        <v>15958</v>
      </c>
      <c r="D3502" s="24" t="s">
        <v>22439</v>
      </c>
      <c r="E3502" s="40">
        <v>37</v>
      </c>
      <c r="F3502" s="41">
        <v>120.62</v>
      </c>
      <c r="G3502" s="40">
        <v>34</v>
      </c>
      <c r="H3502" s="41">
        <v>110.84</v>
      </c>
      <c r="I3502" s="41">
        <v>3.2600000000000002</v>
      </c>
      <c r="J3502" s="41">
        <v>3.2600000000000002</v>
      </c>
      <c r="K3502" s="42">
        <v>0</v>
      </c>
    </row>
    <row r="3503" spans="1:11" x14ac:dyDescent="0.25">
      <c r="A3503" s="24" t="s">
        <v>7</v>
      </c>
      <c r="B3503" s="24" t="s">
        <v>18048</v>
      </c>
      <c r="C3503" s="25" t="s">
        <v>3451</v>
      </c>
      <c r="D3503" s="24" t="s">
        <v>21379</v>
      </c>
      <c r="E3503" s="40">
        <v>173</v>
      </c>
      <c r="F3503" s="41">
        <v>456.72</v>
      </c>
      <c r="G3503" s="40">
        <v>148</v>
      </c>
      <c r="H3503" s="41">
        <v>390.72</v>
      </c>
      <c r="I3503" s="41">
        <v>2.64</v>
      </c>
      <c r="J3503" s="41">
        <v>2.64</v>
      </c>
      <c r="K3503" s="42">
        <v>0</v>
      </c>
    </row>
    <row r="3504" spans="1:11" x14ac:dyDescent="0.25">
      <c r="A3504" s="24" t="s">
        <v>7</v>
      </c>
      <c r="B3504" s="24" t="s">
        <v>18049</v>
      </c>
      <c r="C3504" s="25" t="s">
        <v>16998</v>
      </c>
      <c r="D3504" s="24" t="s">
        <v>21380</v>
      </c>
      <c r="E3504" s="40">
        <v>44</v>
      </c>
      <c r="F3504" s="41">
        <v>144.76</v>
      </c>
      <c r="G3504" s="40">
        <v>30</v>
      </c>
      <c r="H3504" s="41">
        <v>98.7</v>
      </c>
      <c r="I3504" s="41">
        <v>3.2899999999999996</v>
      </c>
      <c r="J3504" s="41">
        <v>3.29</v>
      </c>
      <c r="K3504" s="42">
        <v>1.3498152275077893E-16</v>
      </c>
    </row>
    <row r="3505" spans="1:11" x14ac:dyDescent="0.25">
      <c r="A3505" s="24" t="s">
        <v>7</v>
      </c>
      <c r="B3505" s="24" t="s">
        <v>18050</v>
      </c>
      <c r="C3505" s="25" t="s">
        <v>3457</v>
      </c>
      <c r="D3505" s="24" t="s">
        <v>21380</v>
      </c>
      <c r="E3505" s="40">
        <v>10</v>
      </c>
      <c r="F3505" s="41">
        <v>27.6</v>
      </c>
      <c r="G3505" s="40">
        <v>4</v>
      </c>
      <c r="H3505" s="41">
        <v>11.04</v>
      </c>
      <c r="I3505" s="41">
        <v>2.7600000000000002</v>
      </c>
      <c r="J3505" s="41">
        <v>2.76</v>
      </c>
      <c r="K3505" s="42">
        <v>-1.6090188762683426E-16</v>
      </c>
    </row>
    <row r="3506" spans="1:11" x14ac:dyDescent="0.25">
      <c r="A3506" s="24" t="s">
        <v>7</v>
      </c>
      <c r="B3506" s="24" t="s">
        <v>18051</v>
      </c>
      <c r="C3506" s="25" t="s">
        <v>15968</v>
      </c>
      <c r="D3506" s="24" t="s">
        <v>22440</v>
      </c>
      <c r="E3506" s="40">
        <v>173</v>
      </c>
      <c r="F3506" s="41">
        <v>456.72</v>
      </c>
      <c r="G3506" s="40">
        <v>148</v>
      </c>
      <c r="H3506" s="41">
        <v>390.72</v>
      </c>
      <c r="I3506" s="41">
        <v>2.64</v>
      </c>
      <c r="J3506" s="41">
        <v>2.64</v>
      </c>
      <c r="K3506" s="42">
        <v>0</v>
      </c>
    </row>
    <row r="3507" spans="1:11" x14ac:dyDescent="0.25">
      <c r="A3507" s="24" t="s">
        <v>7</v>
      </c>
      <c r="B3507" s="24" t="s">
        <v>18053</v>
      </c>
      <c r="C3507" s="25" t="s">
        <v>18054</v>
      </c>
      <c r="D3507" s="24" t="s">
        <v>22441</v>
      </c>
      <c r="E3507" s="40">
        <v>44</v>
      </c>
      <c r="F3507" s="41">
        <v>365.2</v>
      </c>
      <c r="G3507" s="40">
        <v>30</v>
      </c>
      <c r="H3507" s="41">
        <v>249</v>
      </c>
      <c r="I3507" s="41">
        <v>8.2999999999999989</v>
      </c>
      <c r="J3507" s="41">
        <v>8.3000000000000007</v>
      </c>
      <c r="K3507" s="42">
        <v>2.1401889631328321E-16</v>
      </c>
    </row>
    <row r="3508" spans="1:11" x14ac:dyDescent="0.25">
      <c r="A3508" s="24" t="s">
        <v>7</v>
      </c>
      <c r="B3508" s="24" t="s">
        <v>18056</v>
      </c>
      <c r="C3508" s="25" t="s">
        <v>18057</v>
      </c>
      <c r="D3508" s="24" t="s">
        <v>22441</v>
      </c>
      <c r="G3508" s="40">
        <v>1</v>
      </c>
      <c r="H3508" s="41">
        <v>4.41</v>
      </c>
      <c r="J3508" s="41">
        <v>4.41</v>
      </c>
    </row>
    <row r="3509" spans="1:11" x14ac:dyDescent="0.25">
      <c r="A3509" s="24" t="s">
        <v>7</v>
      </c>
      <c r="B3509" s="24" t="s">
        <v>18062</v>
      </c>
      <c r="C3509" s="25" t="s">
        <v>18063</v>
      </c>
      <c r="D3509" s="24" t="s">
        <v>22364</v>
      </c>
      <c r="E3509" s="40">
        <v>2</v>
      </c>
      <c r="F3509" s="41">
        <v>215.02</v>
      </c>
      <c r="G3509" s="40">
        <v>1</v>
      </c>
      <c r="H3509" s="41">
        <v>107.51</v>
      </c>
      <c r="I3509" s="41">
        <v>107.51</v>
      </c>
      <c r="J3509" s="41">
        <v>107.51</v>
      </c>
      <c r="K3509" s="42">
        <v>0</v>
      </c>
    </row>
    <row r="3510" spans="1:11" x14ac:dyDescent="0.25">
      <c r="A3510" s="24" t="s">
        <v>7</v>
      </c>
      <c r="B3510" s="24" t="s">
        <v>18070</v>
      </c>
      <c r="C3510" s="25" t="s">
        <v>3461</v>
      </c>
      <c r="D3510" s="24" t="s">
        <v>21378</v>
      </c>
      <c r="G3510" s="40">
        <v>1</v>
      </c>
      <c r="H3510" s="41">
        <v>4.41</v>
      </c>
      <c r="J3510" s="41">
        <v>4.41</v>
      </c>
    </row>
    <row r="3511" spans="1:11" x14ac:dyDescent="0.25">
      <c r="A3511" s="24" t="s">
        <v>7</v>
      </c>
      <c r="B3511" s="24" t="s">
        <v>18071</v>
      </c>
      <c r="C3511" s="25" t="s">
        <v>15227</v>
      </c>
      <c r="D3511" s="24" t="s">
        <v>22442</v>
      </c>
      <c r="E3511" s="40">
        <v>117</v>
      </c>
      <c r="F3511" s="41">
        <v>572.13</v>
      </c>
      <c r="G3511" s="40">
        <v>60</v>
      </c>
      <c r="H3511" s="41">
        <v>293.39999999999998</v>
      </c>
      <c r="I3511" s="41">
        <v>4.8899999999999997</v>
      </c>
      <c r="J3511" s="41">
        <v>4.8899999999999997</v>
      </c>
      <c r="K3511" s="42">
        <v>0</v>
      </c>
    </row>
    <row r="3512" spans="1:11" x14ac:dyDescent="0.25">
      <c r="A3512" s="24" t="s">
        <v>7</v>
      </c>
      <c r="B3512" s="24" t="s">
        <v>18072</v>
      </c>
      <c r="C3512" s="25" t="s">
        <v>15977</v>
      </c>
      <c r="D3512" s="24" t="s">
        <v>22443</v>
      </c>
      <c r="E3512" s="40">
        <v>6</v>
      </c>
      <c r="F3512" s="41">
        <v>43.5</v>
      </c>
      <c r="G3512" s="40">
        <v>5</v>
      </c>
      <c r="H3512" s="41">
        <v>36.25</v>
      </c>
      <c r="I3512" s="41">
        <v>7.25</v>
      </c>
      <c r="J3512" s="41">
        <v>7.25</v>
      </c>
      <c r="K3512" s="42">
        <v>0</v>
      </c>
    </row>
    <row r="3513" spans="1:11" x14ac:dyDescent="0.25">
      <c r="A3513" s="24" t="s">
        <v>7</v>
      </c>
      <c r="B3513" s="24" t="s">
        <v>18074</v>
      </c>
      <c r="C3513" s="25" t="s">
        <v>15329</v>
      </c>
      <c r="D3513" s="24" t="s">
        <v>22415</v>
      </c>
      <c r="G3513" s="40">
        <v>1</v>
      </c>
      <c r="H3513" s="41">
        <v>3.67</v>
      </c>
      <c r="J3513" s="41">
        <v>3.67</v>
      </c>
    </row>
    <row r="3514" spans="1:11" x14ac:dyDescent="0.25">
      <c r="A3514" s="24" t="s">
        <v>7</v>
      </c>
      <c r="B3514" s="24" t="s">
        <v>18081</v>
      </c>
      <c r="C3514" s="25" t="s">
        <v>3466</v>
      </c>
      <c r="D3514" s="24" t="s">
        <v>22444</v>
      </c>
      <c r="G3514" s="40">
        <v>7</v>
      </c>
      <c r="H3514" s="41">
        <v>15.75</v>
      </c>
      <c r="J3514" s="41">
        <v>2.25</v>
      </c>
    </row>
    <row r="3515" spans="1:11" x14ac:dyDescent="0.25">
      <c r="A3515" s="24" t="s">
        <v>7</v>
      </c>
      <c r="B3515" s="24" t="s">
        <v>18084</v>
      </c>
      <c r="C3515" s="25" t="s">
        <v>15993</v>
      </c>
      <c r="D3515" s="24" t="s">
        <v>22445</v>
      </c>
      <c r="G3515" s="40">
        <v>1</v>
      </c>
      <c r="H3515" s="41">
        <v>12.22</v>
      </c>
      <c r="J3515" s="41">
        <v>12.22</v>
      </c>
    </row>
    <row r="3516" spans="1:11" x14ac:dyDescent="0.25">
      <c r="A3516" s="24" t="s">
        <v>7</v>
      </c>
      <c r="B3516" s="24" t="s">
        <v>18087</v>
      </c>
      <c r="C3516" s="25" t="s">
        <v>16581</v>
      </c>
      <c r="D3516" s="24" t="s">
        <v>21385</v>
      </c>
      <c r="G3516" s="40">
        <v>1</v>
      </c>
      <c r="H3516" s="41">
        <v>7.46</v>
      </c>
      <c r="J3516" s="41">
        <v>7.46</v>
      </c>
    </row>
    <row r="3517" spans="1:11" x14ac:dyDescent="0.25">
      <c r="A3517" s="24" t="s">
        <v>7</v>
      </c>
      <c r="B3517" s="24" t="s">
        <v>18090</v>
      </c>
      <c r="C3517" s="25" t="s">
        <v>18091</v>
      </c>
      <c r="D3517" s="24" t="s">
        <v>22446</v>
      </c>
      <c r="E3517" s="40">
        <v>12</v>
      </c>
      <c r="F3517" s="41">
        <v>210</v>
      </c>
      <c r="G3517" s="40">
        <v>0</v>
      </c>
      <c r="H3517" s="41">
        <v>0</v>
      </c>
      <c r="I3517" s="41">
        <v>17.5</v>
      </c>
    </row>
    <row r="3518" spans="1:11" x14ac:dyDescent="0.25">
      <c r="A3518" s="24" t="s">
        <v>7</v>
      </c>
      <c r="B3518" s="24" t="s">
        <v>18093</v>
      </c>
      <c r="C3518" s="25" t="s">
        <v>3485</v>
      </c>
      <c r="D3518" s="24" t="s">
        <v>22447</v>
      </c>
      <c r="E3518" s="40">
        <v>48</v>
      </c>
      <c r="F3518" s="41">
        <v>156.47999999999999</v>
      </c>
      <c r="G3518" s="40">
        <v>22</v>
      </c>
      <c r="H3518" s="41">
        <v>71.72</v>
      </c>
      <c r="I3518" s="41">
        <v>3.26</v>
      </c>
      <c r="J3518" s="41">
        <v>3.26</v>
      </c>
      <c r="K3518" s="42">
        <v>0</v>
      </c>
    </row>
    <row r="3519" spans="1:11" x14ac:dyDescent="0.25">
      <c r="A3519" s="24" t="s">
        <v>7</v>
      </c>
      <c r="B3519" s="24" t="s">
        <v>18095</v>
      </c>
      <c r="C3519" s="25" t="s">
        <v>18096</v>
      </c>
      <c r="D3519" s="24" t="s">
        <v>22448</v>
      </c>
      <c r="E3519" s="40">
        <v>31</v>
      </c>
      <c r="F3519" s="41">
        <v>101.06</v>
      </c>
      <c r="G3519" s="40">
        <v>13</v>
      </c>
      <c r="H3519" s="41">
        <v>42.38</v>
      </c>
      <c r="I3519" s="41">
        <v>3.2600000000000002</v>
      </c>
      <c r="J3519" s="41">
        <v>3.2600000000000002</v>
      </c>
      <c r="K3519" s="42">
        <v>0</v>
      </c>
    </row>
    <row r="3520" spans="1:11" x14ac:dyDescent="0.25">
      <c r="A3520" s="24" t="s">
        <v>7</v>
      </c>
      <c r="B3520" s="24" t="s">
        <v>18099</v>
      </c>
      <c r="C3520" s="25" t="s">
        <v>18100</v>
      </c>
      <c r="D3520" s="24" t="s">
        <v>22449</v>
      </c>
      <c r="E3520" s="40">
        <v>34</v>
      </c>
      <c r="F3520" s="41">
        <v>412.76</v>
      </c>
      <c r="G3520" s="40">
        <v>40</v>
      </c>
      <c r="H3520" s="41">
        <v>485.6</v>
      </c>
      <c r="I3520" s="41">
        <v>12.14</v>
      </c>
      <c r="J3520" s="41">
        <v>12.14</v>
      </c>
      <c r="K3520" s="42">
        <v>0</v>
      </c>
    </row>
    <row r="3521" spans="1:11" x14ac:dyDescent="0.25">
      <c r="A3521" s="24" t="s">
        <v>7</v>
      </c>
      <c r="B3521" s="24" t="s">
        <v>18102</v>
      </c>
      <c r="C3521" s="25" t="s">
        <v>16017</v>
      </c>
      <c r="D3521" s="24" t="s">
        <v>22450</v>
      </c>
      <c r="G3521" s="40">
        <v>6</v>
      </c>
      <c r="H3521" s="41">
        <v>270</v>
      </c>
      <c r="J3521" s="41">
        <v>45</v>
      </c>
    </row>
    <row r="3522" spans="1:11" x14ac:dyDescent="0.25">
      <c r="A3522" s="24" t="s">
        <v>7</v>
      </c>
      <c r="B3522" s="24" t="s">
        <v>18105</v>
      </c>
      <c r="C3522" s="25" t="s">
        <v>16019</v>
      </c>
      <c r="D3522" s="24" t="s">
        <v>22451</v>
      </c>
      <c r="E3522" s="40">
        <v>19</v>
      </c>
      <c r="F3522" s="41">
        <v>464.36</v>
      </c>
      <c r="G3522" s="40">
        <v>22</v>
      </c>
      <c r="H3522" s="41">
        <v>537.67999999999995</v>
      </c>
      <c r="I3522" s="41">
        <v>24.44</v>
      </c>
      <c r="J3522" s="41">
        <v>24.439999999999998</v>
      </c>
      <c r="K3522" s="42">
        <v>-1.4536471680853112E-16</v>
      </c>
    </row>
    <row r="3523" spans="1:11" x14ac:dyDescent="0.25">
      <c r="A3523" s="24" t="s">
        <v>7</v>
      </c>
      <c r="B3523" s="24" t="s">
        <v>18109</v>
      </c>
      <c r="C3523" s="25" t="s">
        <v>16022</v>
      </c>
      <c r="D3523" s="24" t="s">
        <v>22452</v>
      </c>
      <c r="G3523" s="40">
        <v>11</v>
      </c>
      <c r="H3523" s="41">
        <v>125.4</v>
      </c>
      <c r="J3523" s="41">
        <v>11.4</v>
      </c>
    </row>
    <row r="3524" spans="1:11" x14ac:dyDescent="0.25">
      <c r="A3524" s="24" t="s">
        <v>7</v>
      </c>
      <c r="B3524" s="24" t="s">
        <v>18121</v>
      </c>
      <c r="C3524" s="25" t="s">
        <v>3523</v>
      </c>
      <c r="D3524" s="24" t="s">
        <v>22249</v>
      </c>
      <c r="G3524" s="40">
        <v>1</v>
      </c>
      <c r="H3524" s="41">
        <v>2</v>
      </c>
      <c r="J3524" s="41">
        <v>2</v>
      </c>
    </row>
    <row r="3525" spans="1:11" x14ac:dyDescent="0.25">
      <c r="A3525" s="24" t="s">
        <v>7</v>
      </c>
      <c r="B3525" s="24" t="s">
        <v>18124</v>
      </c>
      <c r="C3525" s="25" t="s">
        <v>16032</v>
      </c>
      <c r="D3525" s="24" t="s">
        <v>22453</v>
      </c>
      <c r="G3525" s="40">
        <v>5</v>
      </c>
      <c r="H3525" s="41">
        <v>28.5</v>
      </c>
      <c r="J3525" s="41">
        <v>5.7</v>
      </c>
    </row>
    <row r="3526" spans="1:11" x14ac:dyDescent="0.25">
      <c r="A3526" s="24" t="s">
        <v>7</v>
      </c>
      <c r="B3526" s="24" t="s">
        <v>18125</v>
      </c>
      <c r="C3526" s="25" t="s">
        <v>16034</v>
      </c>
      <c r="D3526" s="24" t="s">
        <v>22454</v>
      </c>
      <c r="E3526" s="40">
        <v>3</v>
      </c>
      <c r="F3526" s="41">
        <v>73.319999999999993</v>
      </c>
      <c r="G3526" s="40">
        <v>0</v>
      </c>
      <c r="H3526" s="41">
        <v>0</v>
      </c>
      <c r="I3526" s="41">
        <v>24.439999999999998</v>
      </c>
    </row>
    <row r="3527" spans="1:11" x14ac:dyDescent="0.25">
      <c r="A3527" s="24" t="s">
        <v>7</v>
      </c>
      <c r="B3527" s="24" t="s">
        <v>18126</v>
      </c>
      <c r="C3527" s="25" t="s">
        <v>16037</v>
      </c>
      <c r="D3527" s="24" t="s">
        <v>22455</v>
      </c>
      <c r="E3527" s="40">
        <v>5</v>
      </c>
      <c r="F3527" s="41">
        <v>47.5</v>
      </c>
      <c r="G3527" s="40">
        <v>3</v>
      </c>
      <c r="H3527" s="41">
        <v>28.5</v>
      </c>
      <c r="I3527" s="41">
        <v>9.5</v>
      </c>
      <c r="J3527" s="41">
        <v>9.5</v>
      </c>
      <c r="K3527" s="42">
        <v>0</v>
      </c>
    </row>
    <row r="3528" spans="1:11" x14ac:dyDescent="0.25">
      <c r="A3528" s="24" t="s">
        <v>7</v>
      </c>
      <c r="B3528" s="24" t="s">
        <v>18127</v>
      </c>
      <c r="C3528" s="25" t="s">
        <v>15687</v>
      </c>
      <c r="D3528" s="24" t="s">
        <v>22456</v>
      </c>
      <c r="E3528" s="40">
        <v>201</v>
      </c>
      <c r="F3528" s="41">
        <v>1963.77</v>
      </c>
      <c r="G3528" s="40">
        <v>310</v>
      </c>
      <c r="H3528" s="41">
        <v>3028.7</v>
      </c>
      <c r="I3528" s="41">
        <v>9.77</v>
      </c>
      <c r="J3528" s="41">
        <v>9.77</v>
      </c>
      <c r="K3528" s="42">
        <v>0</v>
      </c>
    </row>
    <row r="3529" spans="1:11" x14ac:dyDescent="0.25">
      <c r="A3529" s="24" t="s">
        <v>7</v>
      </c>
      <c r="B3529" s="24" t="s">
        <v>18133</v>
      </c>
      <c r="C3529" s="25" t="s">
        <v>16044</v>
      </c>
      <c r="D3529" s="24" t="s">
        <v>22457</v>
      </c>
      <c r="E3529" s="40">
        <v>6</v>
      </c>
      <c r="F3529" s="41">
        <v>25.68</v>
      </c>
      <c r="G3529" s="40">
        <v>4</v>
      </c>
      <c r="H3529" s="41">
        <v>17.12</v>
      </c>
      <c r="I3529" s="41">
        <v>4.28</v>
      </c>
      <c r="J3529" s="41">
        <v>4.28</v>
      </c>
      <c r="K3529" s="42">
        <v>0</v>
      </c>
    </row>
    <row r="3530" spans="1:11" x14ac:dyDescent="0.25">
      <c r="A3530" s="24" t="s">
        <v>7</v>
      </c>
      <c r="B3530" s="24" t="s">
        <v>18134</v>
      </c>
      <c r="C3530" s="25" t="s">
        <v>15232</v>
      </c>
      <c r="D3530" s="24" t="s">
        <v>22458</v>
      </c>
      <c r="E3530" s="40">
        <v>138</v>
      </c>
      <c r="F3530" s="41">
        <v>552</v>
      </c>
      <c r="G3530" s="40">
        <v>156</v>
      </c>
      <c r="H3530" s="41">
        <v>624</v>
      </c>
      <c r="I3530" s="41">
        <v>4</v>
      </c>
      <c r="J3530" s="41">
        <v>4</v>
      </c>
      <c r="K3530" s="42">
        <v>0</v>
      </c>
    </row>
    <row r="3531" spans="1:11" x14ac:dyDescent="0.25">
      <c r="A3531" s="24" t="s">
        <v>7</v>
      </c>
      <c r="B3531" s="24" t="s">
        <v>18136</v>
      </c>
      <c r="C3531" s="25" t="s">
        <v>16052</v>
      </c>
      <c r="D3531" s="24" t="s">
        <v>22459</v>
      </c>
      <c r="E3531" s="40">
        <v>46</v>
      </c>
      <c r="F3531" s="41">
        <v>262.2</v>
      </c>
      <c r="G3531" s="40">
        <v>28</v>
      </c>
      <c r="H3531" s="41">
        <v>159.6</v>
      </c>
      <c r="I3531" s="41">
        <v>5.7</v>
      </c>
      <c r="J3531" s="41">
        <v>5.7</v>
      </c>
      <c r="K3531" s="42">
        <v>0</v>
      </c>
    </row>
    <row r="3532" spans="1:11" x14ac:dyDescent="0.25">
      <c r="A3532" s="24" t="s">
        <v>7</v>
      </c>
      <c r="B3532" s="24" t="s">
        <v>18137</v>
      </c>
      <c r="C3532" s="25" t="s">
        <v>15235</v>
      </c>
      <c r="D3532" s="24" t="s">
        <v>22458</v>
      </c>
      <c r="E3532" s="40">
        <v>45</v>
      </c>
      <c r="F3532" s="41">
        <v>522.45000000000005</v>
      </c>
      <c r="G3532" s="40">
        <v>34</v>
      </c>
      <c r="H3532" s="41">
        <v>394.74</v>
      </c>
      <c r="I3532" s="41">
        <v>11.610000000000001</v>
      </c>
      <c r="J3532" s="41">
        <v>11.61</v>
      </c>
      <c r="K3532" s="42">
        <v>-1.5300231174851424E-16</v>
      </c>
    </row>
    <row r="3533" spans="1:11" x14ac:dyDescent="0.25">
      <c r="A3533" s="24" t="s">
        <v>7</v>
      </c>
      <c r="B3533" s="24" t="s">
        <v>18138</v>
      </c>
      <c r="C3533" s="25" t="s">
        <v>3558</v>
      </c>
      <c r="D3533" s="24" t="s">
        <v>21400</v>
      </c>
      <c r="E3533" s="40">
        <v>40</v>
      </c>
      <c r="F3533" s="41">
        <v>102</v>
      </c>
      <c r="G3533" s="40">
        <v>31</v>
      </c>
      <c r="H3533" s="41">
        <v>79.05</v>
      </c>
      <c r="I3533" s="41">
        <v>2.5499999999999998</v>
      </c>
      <c r="J3533" s="41">
        <v>2.5499999999999998</v>
      </c>
      <c r="K3533" s="42">
        <v>0</v>
      </c>
    </row>
    <row r="3534" spans="1:11" x14ac:dyDescent="0.25">
      <c r="A3534" s="24" t="s">
        <v>7</v>
      </c>
      <c r="B3534" s="24" t="s">
        <v>18139</v>
      </c>
      <c r="C3534" s="25" t="s">
        <v>18140</v>
      </c>
      <c r="D3534" s="24" t="s">
        <v>22460</v>
      </c>
      <c r="G3534" s="40">
        <v>1</v>
      </c>
      <c r="H3534" s="41">
        <v>3.67</v>
      </c>
      <c r="J3534" s="41">
        <v>3.67</v>
      </c>
    </row>
    <row r="3535" spans="1:11" x14ac:dyDescent="0.25">
      <c r="A3535" s="24" t="s">
        <v>7</v>
      </c>
      <c r="B3535" s="24" t="s">
        <v>18141</v>
      </c>
      <c r="C3535" s="25" t="s">
        <v>16056</v>
      </c>
      <c r="D3535" s="24" t="s">
        <v>22461</v>
      </c>
      <c r="G3535" s="40">
        <v>3</v>
      </c>
      <c r="H3535" s="41">
        <v>45</v>
      </c>
      <c r="J3535" s="41">
        <v>15</v>
      </c>
    </row>
    <row r="3536" spans="1:11" x14ac:dyDescent="0.25">
      <c r="A3536" s="24" t="s">
        <v>7</v>
      </c>
      <c r="B3536" s="24" t="s">
        <v>18142</v>
      </c>
      <c r="C3536" s="25" t="s">
        <v>16059</v>
      </c>
      <c r="D3536" s="24" t="s">
        <v>22462</v>
      </c>
      <c r="G3536" s="40">
        <v>5</v>
      </c>
      <c r="H3536" s="41">
        <v>61.1</v>
      </c>
      <c r="J3536" s="41">
        <v>12.22</v>
      </c>
    </row>
    <row r="3537" spans="1:11" x14ac:dyDescent="0.25">
      <c r="A3537" s="24" t="s">
        <v>7</v>
      </c>
      <c r="B3537" s="24" t="s">
        <v>18143</v>
      </c>
      <c r="C3537" s="25" t="s">
        <v>16062</v>
      </c>
      <c r="D3537" s="24" t="s">
        <v>22463</v>
      </c>
      <c r="G3537" s="40">
        <v>3</v>
      </c>
      <c r="H3537" s="41">
        <v>122.19</v>
      </c>
      <c r="J3537" s="41">
        <v>40.729999999999997</v>
      </c>
    </row>
    <row r="3538" spans="1:11" x14ac:dyDescent="0.25">
      <c r="A3538" s="24" t="s">
        <v>7</v>
      </c>
      <c r="B3538" s="24" t="s">
        <v>18146</v>
      </c>
      <c r="C3538" s="25" t="s">
        <v>17015</v>
      </c>
      <c r="D3538" s="24" t="s">
        <v>22347</v>
      </c>
      <c r="E3538" s="40">
        <v>11</v>
      </c>
      <c r="F3538" s="41">
        <v>662.97</v>
      </c>
      <c r="G3538" s="40">
        <v>5</v>
      </c>
      <c r="H3538" s="41">
        <v>301.35000000000002</v>
      </c>
      <c r="I3538" s="41">
        <v>60.27</v>
      </c>
      <c r="J3538" s="41">
        <v>60.27</v>
      </c>
      <c r="K3538" s="42">
        <v>0</v>
      </c>
    </row>
    <row r="3539" spans="1:11" x14ac:dyDescent="0.25">
      <c r="A3539" s="24" t="s">
        <v>7</v>
      </c>
      <c r="B3539" s="24" t="s">
        <v>18147</v>
      </c>
      <c r="C3539" s="25" t="s">
        <v>16077</v>
      </c>
      <c r="D3539" s="24" t="s">
        <v>22464</v>
      </c>
      <c r="G3539" s="40">
        <v>4</v>
      </c>
      <c r="H3539" s="41">
        <v>80</v>
      </c>
      <c r="J3539" s="41">
        <v>20</v>
      </c>
    </row>
    <row r="3540" spans="1:11" x14ac:dyDescent="0.25">
      <c r="A3540" s="24" t="s">
        <v>7</v>
      </c>
      <c r="B3540" s="24" t="s">
        <v>18149</v>
      </c>
      <c r="C3540" s="25" t="s">
        <v>16094</v>
      </c>
      <c r="D3540" s="24" t="s">
        <v>22465</v>
      </c>
      <c r="E3540" s="40">
        <v>20</v>
      </c>
      <c r="F3540" s="41">
        <v>245.8</v>
      </c>
      <c r="G3540" s="40">
        <v>28</v>
      </c>
      <c r="H3540" s="41">
        <v>344.12</v>
      </c>
      <c r="I3540" s="41">
        <v>12.290000000000001</v>
      </c>
      <c r="J3540" s="41">
        <v>12.290000000000001</v>
      </c>
      <c r="K3540" s="42">
        <v>0</v>
      </c>
    </row>
    <row r="3541" spans="1:11" x14ac:dyDescent="0.25">
      <c r="A3541" s="24" t="s">
        <v>7</v>
      </c>
      <c r="B3541" s="24" t="s">
        <v>18150</v>
      </c>
      <c r="C3541" s="25" t="s">
        <v>18151</v>
      </c>
      <c r="D3541" s="24" t="s">
        <v>22466</v>
      </c>
      <c r="E3541" s="40">
        <v>12</v>
      </c>
      <c r="F3541" s="41">
        <v>120</v>
      </c>
      <c r="G3541" s="40">
        <v>2</v>
      </c>
      <c r="H3541" s="41">
        <v>20</v>
      </c>
      <c r="I3541" s="41">
        <v>10</v>
      </c>
      <c r="J3541" s="41">
        <v>10</v>
      </c>
      <c r="K3541" s="42">
        <v>0</v>
      </c>
    </row>
    <row r="3542" spans="1:11" x14ac:dyDescent="0.25">
      <c r="A3542" s="24" t="s">
        <v>7</v>
      </c>
      <c r="B3542" s="24" t="s">
        <v>18153</v>
      </c>
      <c r="C3542" s="25" t="s">
        <v>18154</v>
      </c>
      <c r="D3542" s="24" t="s">
        <v>22467</v>
      </c>
      <c r="E3542" s="40">
        <v>25</v>
      </c>
      <c r="F3542" s="41">
        <v>352.5</v>
      </c>
      <c r="G3542" s="40">
        <v>35</v>
      </c>
      <c r="H3542" s="41">
        <v>493.5</v>
      </c>
      <c r="I3542" s="41">
        <v>14.1</v>
      </c>
      <c r="J3542" s="41">
        <v>14.1</v>
      </c>
      <c r="K3542" s="42">
        <v>0</v>
      </c>
    </row>
    <row r="3543" spans="1:11" x14ac:dyDescent="0.25">
      <c r="A3543" s="24" t="s">
        <v>7</v>
      </c>
      <c r="B3543" s="24" t="s">
        <v>18157</v>
      </c>
      <c r="C3543" s="25" t="s">
        <v>18158</v>
      </c>
      <c r="D3543" s="24" t="s">
        <v>22468</v>
      </c>
      <c r="E3543" s="40">
        <v>1</v>
      </c>
      <c r="F3543" s="41">
        <v>36.65</v>
      </c>
      <c r="G3543" s="40">
        <v>1</v>
      </c>
      <c r="H3543" s="41">
        <v>36.65</v>
      </c>
      <c r="I3543" s="41">
        <v>36.65</v>
      </c>
      <c r="J3543" s="41">
        <v>36.65</v>
      </c>
      <c r="K3543" s="42">
        <v>0</v>
      </c>
    </row>
    <row r="3544" spans="1:11" x14ac:dyDescent="0.25">
      <c r="A3544" s="24" t="s">
        <v>7</v>
      </c>
      <c r="B3544" s="24" t="s">
        <v>18160</v>
      </c>
      <c r="C3544" s="25" t="s">
        <v>18161</v>
      </c>
      <c r="D3544" s="24" t="s">
        <v>22469</v>
      </c>
      <c r="E3544" s="40">
        <v>26</v>
      </c>
      <c r="F3544" s="41">
        <v>317.72000000000003</v>
      </c>
      <c r="G3544" s="40">
        <v>33</v>
      </c>
      <c r="H3544" s="41">
        <v>403.26</v>
      </c>
      <c r="I3544" s="41">
        <v>12.22</v>
      </c>
      <c r="J3544" s="41">
        <v>12.219999999999999</v>
      </c>
      <c r="K3544" s="42">
        <v>-1.4536471680853112E-16</v>
      </c>
    </row>
    <row r="3545" spans="1:11" x14ac:dyDescent="0.25">
      <c r="A3545" s="24" t="s">
        <v>7</v>
      </c>
      <c r="B3545" s="24" t="s">
        <v>18162</v>
      </c>
      <c r="C3545" s="25" t="s">
        <v>18163</v>
      </c>
      <c r="D3545" s="24" t="s">
        <v>22470</v>
      </c>
      <c r="E3545" s="40">
        <v>20</v>
      </c>
      <c r="F3545" s="41">
        <v>245.8</v>
      </c>
      <c r="G3545" s="40">
        <v>28</v>
      </c>
      <c r="H3545" s="41">
        <v>344.12</v>
      </c>
      <c r="I3545" s="41">
        <v>12.290000000000001</v>
      </c>
      <c r="J3545" s="41">
        <v>12.290000000000001</v>
      </c>
      <c r="K3545" s="42">
        <v>0</v>
      </c>
    </row>
    <row r="3546" spans="1:11" x14ac:dyDescent="0.25">
      <c r="A3546" s="24" t="s">
        <v>7</v>
      </c>
      <c r="B3546" s="24" t="s">
        <v>18164</v>
      </c>
      <c r="C3546" s="25" t="s">
        <v>3586</v>
      </c>
      <c r="D3546" s="24" t="s">
        <v>22471</v>
      </c>
      <c r="G3546" s="40">
        <v>14</v>
      </c>
      <c r="H3546" s="41">
        <v>159.6</v>
      </c>
      <c r="J3546" s="41">
        <v>11.4</v>
      </c>
    </row>
    <row r="3547" spans="1:11" x14ac:dyDescent="0.25">
      <c r="A3547" s="24" t="s">
        <v>7</v>
      </c>
      <c r="B3547" s="24" t="s">
        <v>18168</v>
      </c>
      <c r="C3547" s="25" t="s">
        <v>18169</v>
      </c>
      <c r="D3547" s="24" t="s">
        <v>22472</v>
      </c>
      <c r="E3547" s="40">
        <v>33</v>
      </c>
      <c r="F3547" s="41">
        <v>165</v>
      </c>
      <c r="G3547" s="40">
        <v>14</v>
      </c>
      <c r="H3547" s="41">
        <v>70</v>
      </c>
      <c r="I3547" s="41">
        <v>5</v>
      </c>
      <c r="J3547" s="41">
        <v>5</v>
      </c>
      <c r="K3547" s="42">
        <v>0</v>
      </c>
    </row>
    <row r="3548" spans="1:11" x14ac:dyDescent="0.25">
      <c r="A3548" s="24" t="s">
        <v>7</v>
      </c>
      <c r="B3548" s="24" t="s">
        <v>18174</v>
      </c>
      <c r="C3548" s="25" t="s">
        <v>18175</v>
      </c>
      <c r="D3548" s="24" t="s">
        <v>22473</v>
      </c>
      <c r="G3548" s="40">
        <v>1</v>
      </c>
      <c r="H3548" s="41">
        <v>5</v>
      </c>
      <c r="J3548" s="41">
        <v>5</v>
      </c>
    </row>
    <row r="3549" spans="1:11" x14ac:dyDescent="0.25">
      <c r="A3549" s="24" t="s">
        <v>7</v>
      </c>
      <c r="B3549" s="24" t="s">
        <v>18176</v>
      </c>
      <c r="C3549" s="25" t="s">
        <v>16110</v>
      </c>
      <c r="D3549" s="24" t="s">
        <v>22474</v>
      </c>
      <c r="E3549" s="40">
        <v>94</v>
      </c>
      <c r="F3549" s="41">
        <v>459.66</v>
      </c>
      <c r="G3549" s="40">
        <v>76</v>
      </c>
      <c r="H3549" s="41">
        <v>371.64</v>
      </c>
      <c r="I3549" s="41">
        <v>4.8900000000000006</v>
      </c>
      <c r="J3549" s="41">
        <v>4.8899999999999997</v>
      </c>
      <c r="K3549" s="42">
        <v>-1.8163157867078223E-16</v>
      </c>
    </row>
    <row r="3550" spans="1:11" x14ac:dyDescent="0.25">
      <c r="A3550" s="24" t="s">
        <v>7</v>
      </c>
      <c r="B3550" s="24" t="s">
        <v>18177</v>
      </c>
      <c r="C3550" s="25" t="s">
        <v>17416</v>
      </c>
      <c r="D3550" s="24" t="s">
        <v>22475</v>
      </c>
      <c r="E3550" s="40">
        <v>18</v>
      </c>
      <c r="F3550" s="41">
        <v>395.82</v>
      </c>
      <c r="G3550" s="40">
        <v>25</v>
      </c>
      <c r="H3550" s="41">
        <v>549.75</v>
      </c>
      <c r="I3550" s="41">
        <v>21.99</v>
      </c>
      <c r="J3550" s="41">
        <v>21.99</v>
      </c>
      <c r="K3550" s="42">
        <v>0</v>
      </c>
    </row>
    <row r="3551" spans="1:11" x14ac:dyDescent="0.25">
      <c r="A3551" s="24" t="s">
        <v>7</v>
      </c>
      <c r="B3551" s="24" t="s">
        <v>18180</v>
      </c>
      <c r="C3551" s="25" t="s">
        <v>16117</v>
      </c>
      <c r="D3551" s="24" t="s">
        <v>22476</v>
      </c>
      <c r="E3551" s="40">
        <v>10</v>
      </c>
      <c r="F3551" s="41">
        <v>105</v>
      </c>
      <c r="G3551" s="40">
        <v>12</v>
      </c>
      <c r="H3551" s="41">
        <v>126</v>
      </c>
      <c r="I3551" s="41">
        <v>10.5</v>
      </c>
      <c r="J3551" s="41">
        <v>10.5</v>
      </c>
      <c r="K3551" s="42">
        <v>0</v>
      </c>
    </row>
    <row r="3552" spans="1:11" x14ac:dyDescent="0.25">
      <c r="A3552" s="24" t="s">
        <v>7</v>
      </c>
      <c r="B3552" s="24" t="s">
        <v>18181</v>
      </c>
      <c r="C3552" s="25" t="s">
        <v>16120</v>
      </c>
      <c r="D3552" s="24" t="s">
        <v>22476</v>
      </c>
      <c r="E3552" s="40">
        <v>62</v>
      </c>
      <c r="F3552" s="41">
        <v>1031.68</v>
      </c>
      <c r="G3552" s="40">
        <v>85</v>
      </c>
      <c r="H3552" s="41">
        <v>1414.4</v>
      </c>
      <c r="I3552" s="41">
        <v>16.64</v>
      </c>
      <c r="J3552" s="41">
        <v>16.64</v>
      </c>
      <c r="K3552" s="42">
        <v>0</v>
      </c>
    </row>
    <row r="3553" spans="1:11" x14ac:dyDescent="0.25">
      <c r="A3553" s="24" t="s">
        <v>7</v>
      </c>
      <c r="B3553" s="24" t="s">
        <v>18182</v>
      </c>
      <c r="C3553" s="25" t="s">
        <v>18183</v>
      </c>
      <c r="D3553" s="24" t="s">
        <v>22397</v>
      </c>
      <c r="E3553" s="40">
        <v>54</v>
      </c>
      <c r="F3553" s="41">
        <v>567</v>
      </c>
      <c r="G3553" s="40">
        <v>72</v>
      </c>
      <c r="H3553" s="41">
        <v>756</v>
      </c>
      <c r="I3553" s="41">
        <v>10.5</v>
      </c>
      <c r="J3553" s="41">
        <v>10.5</v>
      </c>
      <c r="K3553" s="42">
        <v>0</v>
      </c>
    </row>
    <row r="3554" spans="1:11" x14ac:dyDescent="0.25">
      <c r="A3554" s="24" t="s">
        <v>7</v>
      </c>
      <c r="B3554" s="24" t="s">
        <v>18185</v>
      </c>
      <c r="C3554" s="25" t="s">
        <v>15775</v>
      </c>
      <c r="D3554" s="24" t="s">
        <v>22477</v>
      </c>
      <c r="G3554" s="40">
        <v>2</v>
      </c>
      <c r="H3554" s="41">
        <v>6.74</v>
      </c>
      <c r="J3554" s="41">
        <v>3.37</v>
      </c>
    </row>
    <row r="3555" spans="1:11" x14ac:dyDescent="0.25">
      <c r="A3555" s="24" t="s">
        <v>7</v>
      </c>
      <c r="B3555" s="24" t="s">
        <v>18190</v>
      </c>
      <c r="C3555" s="25" t="s">
        <v>3630</v>
      </c>
      <c r="D3555" s="24" t="s">
        <v>22478</v>
      </c>
      <c r="G3555" s="40">
        <v>1</v>
      </c>
      <c r="H3555" s="41">
        <v>4.07</v>
      </c>
      <c r="J3555" s="41">
        <v>4.07</v>
      </c>
    </row>
    <row r="3556" spans="1:11" x14ac:dyDescent="0.25">
      <c r="A3556" s="24" t="s">
        <v>7</v>
      </c>
      <c r="B3556" s="24" t="s">
        <v>18193</v>
      </c>
      <c r="C3556" s="25" t="s">
        <v>16143</v>
      </c>
      <c r="D3556" s="24" t="s">
        <v>22280</v>
      </c>
      <c r="E3556" s="40">
        <v>60</v>
      </c>
      <c r="F3556" s="41">
        <v>879.6</v>
      </c>
      <c r="G3556" s="40">
        <v>60</v>
      </c>
      <c r="H3556" s="41">
        <v>879.6</v>
      </c>
      <c r="I3556" s="41">
        <v>14.66</v>
      </c>
      <c r="J3556" s="41">
        <v>14.66</v>
      </c>
      <c r="K3556" s="42">
        <v>0</v>
      </c>
    </row>
    <row r="3557" spans="1:11" x14ac:dyDescent="0.25">
      <c r="A3557" s="24" t="s">
        <v>7</v>
      </c>
      <c r="B3557" s="24" t="s">
        <v>18194</v>
      </c>
      <c r="C3557" s="25" t="s">
        <v>18195</v>
      </c>
      <c r="D3557" s="24" t="s">
        <v>22280</v>
      </c>
      <c r="E3557" s="40">
        <v>3</v>
      </c>
      <c r="F3557" s="41">
        <v>123.63</v>
      </c>
      <c r="G3557" s="40">
        <v>7</v>
      </c>
      <c r="H3557" s="41">
        <v>288.47000000000003</v>
      </c>
      <c r="I3557" s="41">
        <v>41.21</v>
      </c>
      <c r="J3557" s="41">
        <v>41.21</v>
      </c>
      <c r="K3557" s="42">
        <v>0</v>
      </c>
    </row>
    <row r="3558" spans="1:11" x14ac:dyDescent="0.25">
      <c r="A3558" s="24" t="s">
        <v>7</v>
      </c>
      <c r="B3558" s="24" t="s">
        <v>18196</v>
      </c>
      <c r="C3558" s="25" t="s">
        <v>16163</v>
      </c>
      <c r="D3558" s="24" t="s">
        <v>22479</v>
      </c>
      <c r="E3558" s="40">
        <v>3</v>
      </c>
      <c r="F3558" s="41">
        <v>54.72</v>
      </c>
      <c r="G3558" s="40">
        <v>6</v>
      </c>
      <c r="H3558" s="41">
        <v>109.44</v>
      </c>
      <c r="I3558" s="41">
        <v>18.239999999999998</v>
      </c>
      <c r="J3558" s="41">
        <v>18.239999999999998</v>
      </c>
      <c r="K3558" s="42">
        <v>0</v>
      </c>
    </row>
    <row r="3559" spans="1:11" x14ac:dyDescent="0.25">
      <c r="A3559" s="24" t="s">
        <v>7</v>
      </c>
      <c r="B3559" s="24" t="s">
        <v>18197</v>
      </c>
      <c r="C3559" s="25" t="s">
        <v>18198</v>
      </c>
      <c r="D3559" s="24" t="s">
        <v>22480</v>
      </c>
      <c r="E3559" s="40">
        <v>637</v>
      </c>
      <c r="F3559" s="41">
        <v>1796.34</v>
      </c>
      <c r="G3559" s="40">
        <v>533</v>
      </c>
      <c r="H3559" s="41">
        <v>1503.06</v>
      </c>
      <c r="I3559" s="41">
        <v>2.82</v>
      </c>
      <c r="J3559" s="41">
        <v>2.82</v>
      </c>
      <c r="K3559" s="42">
        <v>0</v>
      </c>
    </row>
    <row r="3560" spans="1:11" x14ac:dyDescent="0.25">
      <c r="A3560" s="24" t="s">
        <v>7</v>
      </c>
      <c r="B3560" s="24" t="s">
        <v>18199</v>
      </c>
      <c r="C3560" s="25" t="s">
        <v>18200</v>
      </c>
      <c r="D3560" s="24" t="s">
        <v>22282</v>
      </c>
      <c r="E3560" s="40">
        <v>3</v>
      </c>
      <c r="F3560" s="41">
        <v>9.7799999999999994</v>
      </c>
      <c r="G3560" s="40">
        <v>11</v>
      </c>
      <c r="H3560" s="41">
        <v>35.86</v>
      </c>
      <c r="I3560" s="41">
        <v>3.26</v>
      </c>
      <c r="J3560" s="41">
        <v>3.26</v>
      </c>
      <c r="K3560" s="42">
        <v>0</v>
      </c>
    </row>
    <row r="3561" spans="1:11" x14ac:dyDescent="0.25">
      <c r="A3561" s="24" t="s">
        <v>7</v>
      </c>
      <c r="B3561" s="24" t="s">
        <v>18205</v>
      </c>
      <c r="C3561" s="25" t="s">
        <v>16182</v>
      </c>
      <c r="D3561" s="24" t="s">
        <v>22481</v>
      </c>
      <c r="E3561" s="40">
        <v>22</v>
      </c>
      <c r="F3561" s="41">
        <v>80.739999999999995</v>
      </c>
      <c r="G3561" s="40">
        <v>17</v>
      </c>
      <c r="H3561" s="41">
        <v>62.39</v>
      </c>
      <c r="I3561" s="41">
        <v>3.67</v>
      </c>
      <c r="J3561" s="41">
        <v>3.67</v>
      </c>
      <c r="K3561" s="42">
        <v>0</v>
      </c>
    </row>
    <row r="3562" spans="1:11" x14ac:dyDescent="0.25">
      <c r="A3562" s="24" t="s">
        <v>7</v>
      </c>
      <c r="B3562" s="24" t="s">
        <v>18209</v>
      </c>
      <c r="C3562" s="25" t="s">
        <v>16185</v>
      </c>
      <c r="D3562" s="24" t="s">
        <v>22482</v>
      </c>
      <c r="E3562" s="40">
        <v>36</v>
      </c>
      <c r="F3562" s="41">
        <v>162</v>
      </c>
      <c r="G3562" s="40">
        <v>28</v>
      </c>
      <c r="H3562" s="41">
        <v>126</v>
      </c>
      <c r="I3562" s="41">
        <v>4.5</v>
      </c>
      <c r="J3562" s="41">
        <v>4.5</v>
      </c>
      <c r="K3562" s="42">
        <v>0</v>
      </c>
    </row>
    <row r="3563" spans="1:11" x14ac:dyDescent="0.25">
      <c r="A3563" s="24" t="s">
        <v>7</v>
      </c>
      <c r="B3563" s="24" t="s">
        <v>18210</v>
      </c>
      <c r="C3563" s="25" t="s">
        <v>15530</v>
      </c>
      <c r="D3563" s="24" t="s">
        <v>22482</v>
      </c>
      <c r="G3563" s="40">
        <v>1</v>
      </c>
      <c r="H3563" s="41">
        <v>61.65</v>
      </c>
      <c r="J3563" s="41">
        <v>61.65</v>
      </c>
    </row>
    <row r="3564" spans="1:11" x14ac:dyDescent="0.25">
      <c r="A3564" s="24" t="s">
        <v>7</v>
      </c>
      <c r="B3564" s="24" t="s">
        <v>18213</v>
      </c>
      <c r="C3564" s="25" t="s">
        <v>16195</v>
      </c>
      <c r="D3564" s="24" t="s">
        <v>22483</v>
      </c>
      <c r="E3564" s="40">
        <v>28</v>
      </c>
      <c r="F3564" s="41">
        <v>113.96</v>
      </c>
      <c r="G3564" s="40">
        <v>35</v>
      </c>
      <c r="H3564" s="41">
        <v>142.44999999999999</v>
      </c>
      <c r="I3564" s="41">
        <v>4.0699999999999994</v>
      </c>
      <c r="J3564" s="41">
        <v>4.0699999999999994</v>
      </c>
      <c r="K3564" s="42">
        <v>0</v>
      </c>
    </row>
    <row r="3565" spans="1:11" x14ac:dyDescent="0.25">
      <c r="A3565" s="24" t="s">
        <v>7</v>
      </c>
      <c r="B3565" s="24" t="s">
        <v>18214</v>
      </c>
      <c r="C3565" s="25" t="s">
        <v>16198</v>
      </c>
      <c r="D3565" s="24" t="s">
        <v>22483</v>
      </c>
      <c r="E3565" s="40">
        <v>16</v>
      </c>
      <c r="F3565" s="41">
        <v>65.12</v>
      </c>
      <c r="G3565" s="40">
        <v>19</v>
      </c>
      <c r="H3565" s="41">
        <v>77.33</v>
      </c>
      <c r="I3565" s="41">
        <v>4.07</v>
      </c>
      <c r="J3565" s="41">
        <v>4.07</v>
      </c>
      <c r="K3565" s="42">
        <v>0</v>
      </c>
    </row>
    <row r="3566" spans="1:11" x14ac:dyDescent="0.25">
      <c r="A3566" s="24" t="s">
        <v>7</v>
      </c>
      <c r="B3566" s="24" t="s">
        <v>18215</v>
      </c>
      <c r="C3566" s="25" t="s">
        <v>16158</v>
      </c>
      <c r="D3566" s="24" t="s">
        <v>21425</v>
      </c>
      <c r="G3566" s="40">
        <v>3</v>
      </c>
      <c r="H3566" s="41">
        <v>25.65</v>
      </c>
      <c r="J3566" s="41">
        <v>8.5499999999999989</v>
      </c>
    </row>
    <row r="3567" spans="1:11" x14ac:dyDescent="0.25">
      <c r="A3567" s="24" t="s">
        <v>7</v>
      </c>
      <c r="B3567" s="24" t="s">
        <v>18216</v>
      </c>
      <c r="C3567" s="25" t="s">
        <v>17439</v>
      </c>
      <c r="D3567" s="24" t="s">
        <v>22484</v>
      </c>
      <c r="G3567" s="40">
        <v>1</v>
      </c>
      <c r="H3567" s="41">
        <v>6.52</v>
      </c>
      <c r="J3567" s="41">
        <v>6.52</v>
      </c>
    </row>
    <row r="3568" spans="1:11" x14ac:dyDescent="0.25">
      <c r="A3568" s="24" t="s">
        <v>7</v>
      </c>
      <c r="B3568" s="24" t="s">
        <v>18219</v>
      </c>
      <c r="C3568" s="25" t="s">
        <v>18220</v>
      </c>
      <c r="D3568" s="24" t="s">
        <v>22483</v>
      </c>
      <c r="E3568" s="40">
        <v>25</v>
      </c>
      <c r="F3568" s="41">
        <v>101.75</v>
      </c>
      <c r="G3568" s="40">
        <v>26</v>
      </c>
      <c r="H3568" s="41">
        <v>105.82</v>
      </c>
      <c r="I3568" s="41">
        <v>4.07</v>
      </c>
      <c r="J3568" s="41">
        <v>4.0699999999999994</v>
      </c>
      <c r="K3568" s="42">
        <v>-2.182256559459767E-16</v>
      </c>
    </row>
    <row r="3569" spans="1:11" x14ac:dyDescent="0.25">
      <c r="A3569" s="24" t="s">
        <v>7</v>
      </c>
      <c r="B3569" s="24" t="s">
        <v>18227</v>
      </c>
      <c r="C3569" s="25" t="s">
        <v>16210</v>
      </c>
      <c r="D3569" s="24" t="s">
        <v>22485</v>
      </c>
      <c r="E3569" s="40">
        <v>10</v>
      </c>
      <c r="F3569" s="41">
        <v>40</v>
      </c>
      <c r="G3569" s="40">
        <v>10</v>
      </c>
      <c r="H3569" s="41">
        <v>40</v>
      </c>
      <c r="I3569" s="41">
        <v>4</v>
      </c>
      <c r="J3569" s="41">
        <v>4</v>
      </c>
      <c r="K3569" s="42">
        <v>0</v>
      </c>
    </row>
    <row r="3570" spans="1:11" x14ac:dyDescent="0.25">
      <c r="A3570" s="24" t="s">
        <v>7</v>
      </c>
      <c r="B3570" s="24" t="s">
        <v>18229</v>
      </c>
      <c r="C3570" s="25" t="s">
        <v>18230</v>
      </c>
      <c r="D3570" s="24" t="s">
        <v>22486</v>
      </c>
      <c r="E3570" s="40">
        <v>3</v>
      </c>
      <c r="F3570" s="41">
        <v>56.19</v>
      </c>
      <c r="G3570" s="40">
        <v>3</v>
      </c>
      <c r="H3570" s="41">
        <v>56.19</v>
      </c>
      <c r="I3570" s="41">
        <v>18.73</v>
      </c>
      <c r="J3570" s="41">
        <v>18.73</v>
      </c>
      <c r="K3570" s="42">
        <v>0</v>
      </c>
    </row>
    <row r="3571" spans="1:11" x14ac:dyDescent="0.25">
      <c r="A3571" s="24" t="s">
        <v>7</v>
      </c>
      <c r="B3571" s="24" t="s">
        <v>18231</v>
      </c>
      <c r="C3571" s="25" t="s">
        <v>16471</v>
      </c>
      <c r="D3571" s="24" t="s">
        <v>22487</v>
      </c>
      <c r="E3571" s="40">
        <v>73</v>
      </c>
      <c r="F3571" s="41">
        <v>492.02</v>
      </c>
      <c r="G3571" s="40">
        <v>42</v>
      </c>
      <c r="H3571" s="41">
        <v>283.08</v>
      </c>
      <c r="I3571" s="41">
        <v>6.7399999999999993</v>
      </c>
      <c r="J3571" s="41">
        <v>6.7399999999999993</v>
      </c>
      <c r="K3571" s="42">
        <v>0</v>
      </c>
    </row>
    <row r="3572" spans="1:11" x14ac:dyDescent="0.25">
      <c r="A3572" s="24" t="s">
        <v>7</v>
      </c>
      <c r="B3572" s="24" t="s">
        <v>18232</v>
      </c>
      <c r="C3572" s="25" t="s">
        <v>16223</v>
      </c>
      <c r="D3572" s="24" t="s">
        <v>22488</v>
      </c>
      <c r="E3572" s="40">
        <v>8</v>
      </c>
      <c r="F3572" s="41">
        <v>118.24</v>
      </c>
      <c r="G3572" s="40">
        <v>7</v>
      </c>
      <c r="H3572" s="41">
        <v>103.46</v>
      </c>
      <c r="I3572" s="41">
        <v>14.78</v>
      </c>
      <c r="J3572" s="41">
        <v>14.78</v>
      </c>
      <c r="K3572" s="42">
        <v>0</v>
      </c>
    </row>
    <row r="3573" spans="1:11" x14ac:dyDescent="0.25">
      <c r="A3573" s="24" t="s">
        <v>7</v>
      </c>
      <c r="B3573" s="24" t="s">
        <v>18233</v>
      </c>
      <c r="C3573" s="25" t="s">
        <v>16216</v>
      </c>
      <c r="D3573" s="24" t="s">
        <v>22489</v>
      </c>
      <c r="E3573" s="40">
        <v>18</v>
      </c>
      <c r="F3573" s="41">
        <v>219.96</v>
      </c>
      <c r="G3573" s="40">
        <v>15</v>
      </c>
      <c r="H3573" s="41">
        <v>183.3</v>
      </c>
      <c r="I3573" s="41">
        <v>12.22</v>
      </c>
      <c r="J3573" s="41">
        <v>12.22</v>
      </c>
      <c r="K3573" s="42">
        <v>0</v>
      </c>
    </row>
    <row r="3574" spans="1:11" x14ac:dyDescent="0.25">
      <c r="A3574" s="24" t="s">
        <v>7</v>
      </c>
      <c r="B3574" s="24" t="s">
        <v>18241</v>
      </c>
      <c r="C3574" s="25" t="s">
        <v>16258</v>
      </c>
      <c r="D3574" s="24" t="s">
        <v>22490</v>
      </c>
      <c r="E3574" s="40">
        <v>50</v>
      </c>
      <c r="F3574" s="41">
        <v>285</v>
      </c>
      <c r="G3574" s="40">
        <v>50</v>
      </c>
      <c r="H3574" s="41">
        <v>285</v>
      </c>
      <c r="I3574" s="41">
        <v>5.7</v>
      </c>
      <c r="J3574" s="41">
        <v>5.7</v>
      </c>
      <c r="K3574" s="42">
        <v>0</v>
      </c>
    </row>
    <row r="3575" spans="1:11" x14ac:dyDescent="0.25">
      <c r="A3575" s="24" t="s">
        <v>7</v>
      </c>
      <c r="B3575" s="24" t="s">
        <v>18242</v>
      </c>
      <c r="C3575" s="25" t="s">
        <v>16274</v>
      </c>
      <c r="D3575" s="24" t="s">
        <v>22491</v>
      </c>
      <c r="E3575" s="40">
        <v>18</v>
      </c>
      <c r="F3575" s="41">
        <v>144</v>
      </c>
      <c r="G3575" s="40">
        <v>20</v>
      </c>
      <c r="H3575" s="41">
        <v>160</v>
      </c>
      <c r="I3575" s="41">
        <v>8</v>
      </c>
      <c r="J3575" s="41">
        <v>8</v>
      </c>
      <c r="K3575" s="42">
        <v>0</v>
      </c>
    </row>
    <row r="3576" spans="1:11" x14ac:dyDescent="0.25">
      <c r="A3576" s="24" t="s">
        <v>7</v>
      </c>
      <c r="B3576" s="24" t="s">
        <v>18243</v>
      </c>
      <c r="C3576" s="25" t="s">
        <v>18244</v>
      </c>
      <c r="D3576" s="24" t="s">
        <v>22491</v>
      </c>
      <c r="E3576" s="40">
        <v>10</v>
      </c>
      <c r="F3576" s="41">
        <v>47.7</v>
      </c>
      <c r="G3576" s="40">
        <v>16</v>
      </c>
      <c r="H3576" s="41">
        <v>76.319999999999993</v>
      </c>
      <c r="I3576" s="41">
        <v>4.7700000000000005</v>
      </c>
      <c r="J3576" s="41">
        <v>4.7699999999999996</v>
      </c>
      <c r="K3576" s="42">
        <v>-1.8620092656187111E-16</v>
      </c>
    </row>
    <row r="3577" spans="1:11" x14ac:dyDescent="0.25">
      <c r="A3577" s="24" t="s">
        <v>7</v>
      </c>
      <c r="B3577" s="24" t="s">
        <v>18246</v>
      </c>
      <c r="C3577" s="25" t="s">
        <v>18247</v>
      </c>
      <c r="D3577" s="24" t="s">
        <v>22491</v>
      </c>
      <c r="E3577" s="40">
        <v>20</v>
      </c>
      <c r="F3577" s="41">
        <v>95.4</v>
      </c>
      <c r="G3577" s="40">
        <v>20</v>
      </c>
      <c r="H3577" s="41">
        <v>95.4</v>
      </c>
      <c r="I3577" s="41">
        <v>4.7700000000000005</v>
      </c>
      <c r="J3577" s="41">
        <v>4.7700000000000005</v>
      </c>
      <c r="K3577" s="42">
        <v>0</v>
      </c>
    </row>
    <row r="3578" spans="1:11" x14ac:dyDescent="0.25">
      <c r="A3578" s="24" t="s">
        <v>7</v>
      </c>
      <c r="B3578" s="24" t="s">
        <v>18249</v>
      </c>
      <c r="C3578" s="25" t="s">
        <v>18250</v>
      </c>
      <c r="D3578" s="24" t="s">
        <v>22491</v>
      </c>
      <c r="G3578" s="40">
        <v>3</v>
      </c>
      <c r="H3578" s="41">
        <v>43.98</v>
      </c>
      <c r="J3578" s="41">
        <v>14.659999999999998</v>
      </c>
    </row>
    <row r="3579" spans="1:11" x14ac:dyDescent="0.25">
      <c r="A3579" s="24" t="s">
        <v>7</v>
      </c>
      <c r="B3579" s="24" t="s">
        <v>18251</v>
      </c>
      <c r="C3579" s="25" t="s">
        <v>17310</v>
      </c>
      <c r="D3579" s="24" t="s">
        <v>22492</v>
      </c>
      <c r="E3579" s="40">
        <v>3</v>
      </c>
      <c r="F3579" s="41">
        <v>34.200000000000003</v>
      </c>
      <c r="G3579" s="40">
        <v>7</v>
      </c>
      <c r="H3579" s="41">
        <v>79.8</v>
      </c>
      <c r="I3579" s="41">
        <v>11.4</v>
      </c>
      <c r="J3579" s="41">
        <v>11.4</v>
      </c>
      <c r="K3579" s="42">
        <v>0</v>
      </c>
    </row>
    <row r="3580" spans="1:11" x14ac:dyDescent="0.25">
      <c r="A3580" s="24" t="s">
        <v>7</v>
      </c>
      <c r="B3580" s="24" t="s">
        <v>18252</v>
      </c>
      <c r="C3580" s="25" t="s">
        <v>16284</v>
      </c>
      <c r="D3580" s="24" t="s">
        <v>22290</v>
      </c>
      <c r="G3580" s="40">
        <v>6</v>
      </c>
      <c r="H3580" s="41">
        <v>45</v>
      </c>
      <c r="J3580" s="41">
        <v>7.5</v>
      </c>
    </row>
    <row r="3581" spans="1:11" x14ac:dyDescent="0.25">
      <c r="A3581" s="24" t="s">
        <v>7</v>
      </c>
      <c r="B3581" s="24" t="s">
        <v>18254</v>
      </c>
      <c r="C3581" s="25" t="s">
        <v>18255</v>
      </c>
      <c r="D3581" s="24" t="s">
        <v>22288</v>
      </c>
      <c r="G3581" s="40">
        <v>1</v>
      </c>
      <c r="H3581" s="41">
        <v>17.920000000000002</v>
      </c>
      <c r="J3581" s="41">
        <v>17.920000000000002</v>
      </c>
    </row>
    <row r="3582" spans="1:11" x14ac:dyDescent="0.25">
      <c r="A3582" s="24" t="s">
        <v>7</v>
      </c>
      <c r="B3582" s="24" t="s">
        <v>18256</v>
      </c>
      <c r="C3582" s="25" t="s">
        <v>17314</v>
      </c>
      <c r="D3582" s="24" t="s">
        <v>22291</v>
      </c>
      <c r="E3582" s="40">
        <v>8</v>
      </c>
      <c r="F3582" s="41">
        <v>126</v>
      </c>
      <c r="G3582" s="40">
        <v>11</v>
      </c>
      <c r="H3582" s="41">
        <v>173.25</v>
      </c>
      <c r="I3582" s="41">
        <v>15.75</v>
      </c>
      <c r="J3582" s="41">
        <v>15.75</v>
      </c>
      <c r="K3582" s="42">
        <v>0</v>
      </c>
    </row>
    <row r="3583" spans="1:11" x14ac:dyDescent="0.25">
      <c r="A3583" s="24" t="s">
        <v>7</v>
      </c>
      <c r="B3583" s="24" t="s">
        <v>18257</v>
      </c>
      <c r="C3583" s="25" t="s">
        <v>18258</v>
      </c>
      <c r="D3583" s="24" t="s">
        <v>22491</v>
      </c>
      <c r="E3583" s="40">
        <v>22</v>
      </c>
      <c r="F3583" s="41">
        <v>107.58</v>
      </c>
      <c r="G3583" s="40">
        <v>27</v>
      </c>
      <c r="H3583" s="41">
        <v>132.03</v>
      </c>
      <c r="I3583" s="41">
        <v>4.8899999999999997</v>
      </c>
      <c r="J3583" s="41">
        <v>4.8899999999999997</v>
      </c>
      <c r="K3583" s="42">
        <v>0</v>
      </c>
    </row>
    <row r="3584" spans="1:11" x14ac:dyDescent="0.25">
      <c r="A3584" s="24" t="s">
        <v>7</v>
      </c>
      <c r="B3584" s="24" t="s">
        <v>18259</v>
      </c>
      <c r="C3584" s="25" t="s">
        <v>16303</v>
      </c>
      <c r="D3584" s="24" t="s">
        <v>22291</v>
      </c>
      <c r="E3584" s="40">
        <v>7</v>
      </c>
      <c r="F3584" s="41">
        <v>94.43</v>
      </c>
      <c r="G3584" s="40">
        <v>3</v>
      </c>
      <c r="H3584" s="41">
        <v>40.47</v>
      </c>
      <c r="I3584" s="41">
        <v>13.49</v>
      </c>
      <c r="J3584" s="41">
        <v>13.49</v>
      </c>
      <c r="K3584" s="42">
        <v>0</v>
      </c>
    </row>
    <row r="3585" spans="1:11" x14ac:dyDescent="0.25">
      <c r="A3585" s="24" t="s">
        <v>7</v>
      </c>
      <c r="B3585" s="24" t="s">
        <v>18260</v>
      </c>
      <c r="C3585" s="25" t="s">
        <v>18261</v>
      </c>
      <c r="D3585" s="24" t="s">
        <v>22491</v>
      </c>
      <c r="E3585" s="40">
        <v>22</v>
      </c>
      <c r="F3585" s="41">
        <v>107.36</v>
      </c>
      <c r="G3585" s="40">
        <v>27</v>
      </c>
      <c r="H3585" s="41">
        <v>131.76</v>
      </c>
      <c r="I3585" s="41">
        <v>4.88</v>
      </c>
      <c r="J3585" s="41">
        <v>4.88</v>
      </c>
      <c r="K3585" s="42">
        <v>0</v>
      </c>
    </row>
    <row r="3586" spans="1:11" x14ac:dyDescent="0.25">
      <c r="A3586" s="24" t="s">
        <v>7</v>
      </c>
      <c r="B3586" s="24" t="s">
        <v>18262</v>
      </c>
      <c r="C3586" s="25" t="s">
        <v>3679</v>
      </c>
      <c r="D3586" s="24" t="s">
        <v>21423</v>
      </c>
      <c r="E3586" s="40">
        <v>40</v>
      </c>
      <c r="F3586" s="41">
        <v>94</v>
      </c>
      <c r="G3586" s="40">
        <v>55</v>
      </c>
      <c r="H3586" s="41">
        <v>129.25</v>
      </c>
      <c r="I3586" s="41">
        <v>2.35</v>
      </c>
      <c r="J3586" s="41">
        <v>2.35</v>
      </c>
      <c r="K3586" s="42">
        <v>0</v>
      </c>
    </row>
    <row r="3587" spans="1:11" x14ac:dyDescent="0.25">
      <c r="A3587" s="24" t="s">
        <v>7</v>
      </c>
      <c r="B3587" s="24" t="s">
        <v>18264</v>
      </c>
      <c r="C3587" s="25" t="s">
        <v>16322</v>
      </c>
      <c r="D3587" s="24" t="s">
        <v>22493</v>
      </c>
      <c r="E3587" s="40">
        <v>28</v>
      </c>
      <c r="F3587" s="41">
        <v>140</v>
      </c>
      <c r="G3587" s="40">
        <v>25</v>
      </c>
      <c r="H3587" s="41">
        <v>125</v>
      </c>
      <c r="I3587" s="41">
        <v>5</v>
      </c>
      <c r="J3587" s="41">
        <v>5</v>
      </c>
      <c r="K3587" s="42">
        <v>0</v>
      </c>
    </row>
    <row r="3588" spans="1:11" x14ac:dyDescent="0.25">
      <c r="A3588" s="24" t="s">
        <v>7</v>
      </c>
      <c r="B3588" s="24" t="s">
        <v>18265</v>
      </c>
      <c r="C3588" s="25" t="s">
        <v>16328</v>
      </c>
      <c r="D3588" s="24" t="s">
        <v>22494</v>
      </c>
      <c r="E3588" s="40">
        <v>33</v>
      </c>
      <c r="F3588" s="41">
        <v>77.55</v>
      </c>
      <c r="G3588" s="40">
        <v>27</v>
      </c>
      <c r="H3588" s="41">
        <v>63.45</v>
      </c>
      <c r="I3588" s="41">
        <v>2.35</v>
      </c>
      <c r="J3588" s="41">
        <v>2.35</v>
      </c>
      <c r="K3588" s="42">
        <v>0</v>
      </c>
    </row>
    <row r="3589" spans="1:11" x14ac:dyDescent="0.25">
      <c r="A3589" s="24" t="s">
        <v>7</v>
      </c>
      <c r="B3589" s="24" t="s">
        <v>18266</v>
      </c>
      <c r="C3589" s="25" t="s">
        <v>16331</v>
      </c>
      <c r="D3589" s="24" t="s">
        <v>22495</v>
      </c>
      <c r="E3589" s="40">
        <v>50</v>
      </c>
      <c r="F3589" s="41">
        <v>175</v>
      </c>
      <c r="G3589" s="40">
        <v>28</v>
      </c>
      <c r="H3589" s="41">
        <v>98</v>
      </c>
      <c r="I3589" s="41">
        <v>3.5</v>
      </c>
      <c r="J3589" s="41">
        <v>3.5</v>
      </c>
      <c r="K3589" s="42">
        <v>0</v>
      </c>
    </row>
    <row r="3590" spans="1:11" x14ac:dyDescent="0.25">
      <c r="A3590" s="24" t="s">
        <v>7</v>
      </c>
      <c r="B3590" s="24" t="s">
        <v>18267</v>
      </c>
      <c r="C3590" s="25" t="s">
        <v>16334</v>
      </c>
      <c r="D3590" s="24" t="s">
        <v>22496</v>
      </c>
      <c r="E3590" s="40">
        <v>34</v>
      </c>
      <c r="F3590" s="41">
        <v>95.88</v>
      </c>
      <c r="G3590" s="40">
        <v>25</v>
      </c>
      <c r="H3590" s="41">
        <v>70.5</v>
      </c>
      <c r="I3590" s="41">
        <v>2.82</v>
      </c>
      <c r="J3590" s="41">
        <v>2.82</v>
      </c>
      <c r="K3590" s="42">
        <v>0</v>
      </c>
    </row>
    <row r="3591" spans="1:11" x14ac:dyDescent="0.25">
      <c r="A3591" s="24" t="s">
        <v>7</v>
      </c>
      <c r="B3591" s="24" t="s">
        <v>18268</v>
      </c>
      <c r="C3591" s="25" t="s">
        <v>18269</v>
      </c>
      <c r="D3591" s="24" t="s">
        <v>22497</v>
      </c>
      <c r="G3591" s="40">
        <v>1</v>
      </c>
      <c r="H3591" s="41">
        <v>15</v>
      </c>
      <c r="J3591" s="41">
        <v>15</v>
      </c>
    </row>
    <row r="3592" spans="1:11" x14ac:dyDescent="0.25">
      <c r="A3592" s="24" t="s">
        <v>7</v>
      </c>
      <c r="B3592" s="24" t="s">
        <v>18271</v>
      </c>
      <c r="C3592" s="25" t="s">
        <v>16337</v>
      </c>
      <c r="D3592" s="24" t="s">
        <v>22301</v>
      </c>
      <c r="E3592" s="40">
        <v>15</v>
      </c>
      <c r="F3592" s="41">
        <v>150</v>
      </c>
      <c r="G3592" s="40">
        <v>25</v>
      </c>
      <c r="H3592" s="41">
        <v>250</v>
      </c>
      <c r="I3592" s="41">
        <v>10</v>
      </c>
      <c r="J3592" s="41">
        <v>10</v>
      </c>
      <c r="K3592" s="42">
        <v>0</v>
      </c>
    </row>
    <row r="3593" spans="1:11" x14ac:dyDescent="0.25">
      <c r="A3593" s="24" t="s">
        <v>7</v>
      </c>
      <c r="B3593" s="24" t="s">
        <v>18273</v>
      </c>
      <c r="C3593" s="25" t="s">
        <v>16534</v>
      </c>
      <c r="D3593" s="24" t="s">
        <v>22498</v>
      </c>
      <c r="E3593" s="40">
        <v>25</v>
      </c>
      <c r="F3593" s="41">
        <v>117.5</v>
      </c>
      <c r="G3593" s="40">
        <v>12</v>
      </c>
      <c r="H3593" s="41">
        <v>56.4</v>
      </c>
      <c r="I3593" s="41">
        <v>4.7</v>
      </c>
      <c r="J3593" s="41">
        <v>4.7</v>
      </c>
      <c r="K3593" s="42">
        <v>0</v>
      </c>
    </row>
    <row r="3594" spans="1:11" x14ac:dyDescent="0.25">
      <c r="A3594" s="24" t="s">
        <v>7</v>
      </c>
      <c r="B3594" s="24" t="s">
        <v>18274</v>
      </c>
      <c r="C3594" s="25" t="s">
        <v>16345</v>
      </c>
      <c r="D3594" s="24" t="s">
        <v>22499</v>
      </c>
      <c r="E3594" s="40">
        <v>536</v>
      </c>
      <c r="F3594" s="41">
        <v>2781.84</v>
      </c>
      <c r="G3594" s="40">
        <v>482</v>
      </c>
      <c r="H3594" s="41">
        <v>2501.58</v>
      </c>
      <c r="I3594" s="41">
        <v>5.19</v>
      </c>
      <c r="J3594" s="41">
        <v>5.1899999999999995</v>
      </c>
      <c r="K3594" s="42">
        <v>-1.7113264348750003E-16</v>
      </c>
    </row>
    <row r="3595" spans="1:11" x14ac:dyDescent="0.25">
      <c r="A3595" s="24" t="s">
        <v>7</v>
      </c>
      <c r="B3595" s="24" t="s">
        <v>18276</v>
      </c>
      <c r="C3595" s="25" t="s">
        <v>3686</v>
      </c>
      <c r="D3595" s="24" t="s">
        <v>21424</v>
      </c>
      <c r="E3595" s="40">
        <v>117</v>
      </c>
      <c r="F3595" s="41">
        <v>570.96</v>
      </c>
      <c r="G3595" s="40">
        <v>60</v>
      </c>
      <c r="H3595" s="41">
        <v>292.8</v>
      </c>
      <c r="I3595" s="41">
        <v>4.88</v>
      </c>
      <c r="J3595" s="41">
        <v>4.88</v>
      </c>
      <c r="K3595" s="42">
        <v>0</v>
      </c>
    </row>
    <row r="3596" spans="1:11" x14ac:dyDescent="0.25">
      <c r="A3596" s="24" t="s">
        <v>7</v>
      </c>
      <c r="B3596" s="24" t="s">
        <v>18277</v>
      </c>
      <c r="C3596" s="25" t="s">
        <v>18278</v>
      </c>
      <c r="D3596" s="24" t="s">
        <v>22281</v>
      </c>
      <c r="E3596" s="40">
        <v>487</v>
      </c>
      <c r="F3596" s="41">
        <v>1373.34</v>
      </c>
      <c r="G3596" s="40">
        <v>689</v>
      </c>
      <c r="H3596" s="41">
        <v>1942.98</v>
      </c>
      <c r="I3596" s="41">
        <v>2.82</v>
      </c>
      <c r="J3596" s="41">
        <v>2.82</v>
      </c>
      <c r="K3596" s="42">
        <v>0</v>
      </c>
    </row>
    <row r="3597" spans="1:11" x14ac:dyDescent="0.25">
      <c r="A3597" s="24" t="s">
        <v>7</v>
      </c>
      <c r="B3597" s="24" t="s">
        <v>18279</v>
      </c>
      <c r="C3597" s="25" t="s">
        <v>18280</v>
      </c>
      <c r="D3597" s="24" t="s">
        <v>22281</v>
      </c>
      <c r="E3597" s="40">
        <v>2</v>
      </c>
      <c r="F3597" s="41">
        <v>16.3</v>
      </c>
      <c r="G3597" s="40">
        <v>1</v>
      </c>
      <c r="H3597" s="41">
        <v>8.15</v>
      </c>
      <c r="I3597" s="41">
        <v>8.15</v>
      </c>
      <c r="J3597" s="41">
        <v>8.15</v>
      </c>
      <c r="K3597" s="42">
        <v>0</v>
      </c>
    </row>
    <row r="3598" spans="1:11" x14ac:dyDescent="0.25">
      <c r="A3598" s="24" t="s">
        <v>7</v>
      </c>
      <c r="B3598" s="24" t="s">
        <v>18284</v>
      </c>
      <c r="C3598" s="25" t="s">
        <v>18285</v>
      </c>
      <c r="D3598" s="24" t="s">
        <v>22305</v>
      </c>
      <c r="G3598" s="40">
        <v>5</v>
      </c>
      <c r="H3598" s="41">
        <v>30.55</v>
      </c>
      <c r="J3598" s="41">
        <v>6.11</v>
      </c>
    </row>
    <row r="3599" spans="1:11" x14ac:dyDescent="0.25">
      <c r="A3599" s="24" t="s">
        <v>7</v>
      </c>
      <c r="B3599" s="24" t="s">
        <v>18296</v>
      </c>
      <c r="C3599" s="25" t="s">
        <v>18297</v>
      </c>
      <c r="D3599" s="24" t="s">
        <v>22500</v>
      </c>
      <c r="G3599" s="40">
        <v>2</v>
      </c>
      <c r="H3599" s="41">
        <v>40.22</v>
      </c>
      <c r="J3599" s="41">
        <v>20.11</v>
      </c>
    </row>
    <row r="3600" spans="1:11" x14ac:dyDescent="0.25">
      <c r="A3600" s="24" t="s">
        <v>7</v>
      </c>
      <c r="B3600" s="24" t="s">
        <v>18298</v>
      </c>
      <c r="C3600" s="25" t="s">
        <v>18299</v>
      </c>
      <c r="D3600" s="24" t="s">
        <v>22501</v>
      </c>
      <c r="G3600" s="40">
        <v>1</v>
      </c>
      <c r="H3600" s="41">
        <v>81.45</v>
      </c>
      <c r="J3600" s="41">
        <v>81.45</v>
      </c>
    </row>
    <row r="3601" spans="1:11" x14ac:dyDescent="0.25">
      <c r="A3601" s="24" t="s">
        <v>7</v>
      </c>
      <c r="B3601" s="24" t="s">
        <v>18301</v>
      </c>
      <c r="C3601" s="25" t="s">
        <v>18302</v>
      </c>
      <c r="D3601" s="24" t="s">
        <v>22502</v>
      </c>
      <c r="E3601" s="40">
        <v>91</v>
      </c>
      <c r="F3601" s="41">
        <v>1482.39</v>
      </c>
      <c r="G3601" s="40">
        <v>69</v>
      </c>
      <c r="H3601" s="41">
        <v>1124.01</v>
      </c>
      <c r="I3601" s="41">
        <v>16.290000000000003</v>
      </c>
      <c r="J3601" s="41">
        <v>16.29</v>
      </c>
      <c r="K3601" s="42">
        <v>-2.1809169298959486E-16</v>
      </c>
    </row>
    <row r="3602" spans="1:11" x14ac:dyDescent="0.25">
      <c r="A3602" s="24" t="s">
        <v>7</v>
      </c>
      <c r="B3602" s="24" t="s">
        <v>18303</v>
      </c>
      <c r="C3602" s="25" t="s">
        <v>3664</v>
      </c>
      <c r="D3602" s="24" t="s">
        <v>22503</v>
      </c>
      <c r="G3602" s="40">
        <v>2</v>
      </c>
      <c r="H3602" s="41">
        <v>13.84</v>
      </c>
      <c r="J3602" s="41">
        <v>6.92</v>
      </c>
    </row>
    <row r="3603" spans="1:11" x14ac:dyDescent="0.25">
      <c r="A3603" s="24" t="s">
        <v>7</v>
      </c>
      <c r="B3603" s="24" t="s">
        <v>18304</v>
      </c>
      <c r="C3603" s="25" t="s">
        <v>16415</v>
      </c>
      <c r="D3603" s="24" t="s">
        <v>22474</v>
      </c>
      <c r="E3603" s="40">
        <v>333</v>
      </c>
      <c r="F3603" s="41">
        <v>4159.17</v>
      </c>
      <c r="G3603" s="40">
        <v>219</v>
      </c>
      <c r="H3603" s="41">
        <v>2735.31</v>
      </c>
      <c r="I3603" s="41">
        <v>12.49</v>
      </c>
      <c r="J3603" s="41">
        <v>12.49</v>
      </c>
      <c r="K3603" s="42">
        <v>0</v>
      </c>
    </row>
    <row r="3604" spans="1:11" x14ac:dyDescent="0.25">
      <c r="A3604" s="24" t="s">
        <v>7</v>
      </c>
      <c r="B3604" s="24" t="s">
        <v>18309</v>
      </c>
      <c r="C3604" s="25" t="s">
        <v>16422</v>
      </c>
      <c r="D3604" s="24" t="s">
        <v>22504</v>
      </c>
      <c r="E3604" s="40">
        <v>44</v>
      </c>
      <c r="F3604" s="41">
        <v>124.08</v>
      </c>
      <c r="G3604" s="40">
        <v>45</v>
      </c>
      <c r="H3604" s="41">
        <v>126.9</v>
      </c>
      <c r="I3604" s="41">
        <v>2.82</v>
      </c>
      <c r="J3604" s="41">
        <v>2.8200000000000003</v>
      </c>
      <c r="K3604" s="42">
        <v>1.5747844320924207E-16</v>
      </c>
    </row>
    <row r="3605" spans="1:11" x14ac:dyDescent="0.25">
      <c r="A3605" s="24" t="s">
        <v>7</v>
      </c>
      <c r="B3605" s="24" t="s">
        <v>18310</v>
      </c>
      <c r="C3605" s="25" t="s">
        <v>16428</v>
      </c>
      <c r="D3605" s="24" t="s">
        <v>22504</v>
      </c>
      <c r="E3605" s="40">
        <v>31</v>
      </c>
      <c r="F3605" s="41">
        <v>87.42</v>
      </c>
      <c r="G3605" s="40">
        <v>28</v>
      </c>
      <c r="H3605" s="41">
        <v>78.959999999999994</v>
      </c>
      <c r="I3605" s="41">
        <v>2.82</v>
      </c>
      <c r="J3605" s="41">
        <v>2.82</v>
      </c>
      <c r="K3605" s="42">
        <v>0</v>
      </c>
    </row>
    <row r="3606" spans="1:11" x14ac:dyDescent="0.25">
      <c r="A3606" s="24" t="s">
        <v>7</v>
      </c>
      <c r="B3606" s="24" t="s">
        <v>18311</v>
      </c>
      <c r="C3606" s="25" t="s">
        <v>17317</v>
      </c>
      <c r="D3606" s="24" t="s">
        <v>22504</v>
      </c>
      <c r="E3606" s="40">
        <v>44</v>
      </c>
      <c r="F3606" s="41">
        <v>124.08</v>
      </c>
      <c r="G3606" s="40">
        <v>41</v>
      </c>
      <c r="H3606" s="41">
        <v>115.62</v>
      </c>
      <c r="I3606" s="41">
        <v>2.82</v>
      </c>
      <c r="J3606" s="41">
        <v>2.8200000000000003</v>
      </c>
      <c r="K3606" s="42">
        <v>1.5747844320924207E-16</v>
      </c>
    </row>
    <row r="3607" spans="1:11" x14ac:dyDescent="0.25">
      <c r="A3607" s="24" t="s">
        <v>7</v>
      </c>
      <c r="B3607" s="24" t="s">
        <v>18312</v>
      </c>
      <c r="C3607" s="25" t="s">
        <v>18313</v>
      </c>
      <c r="D3607" s="24" t="s">
        <v>22294</v>
      </c>
      <c r="E3607" s="40">
        <v>1</v>
      </c>
      <c r="F3607" s="41">
        <v>36.65</v>
      </c>
      <c r="G3607" s="40">
        <v>5</v>
      </c>
      <c r="H3607" s="41">
        <v>183.25</v>
      </c>
      <c r="I3607" s="41">
        <v>36.65</v>
      </c>
      <c r="J3607" s="41">
        <v>36.65</v>
      </c>
      <c r="K3607" s="42">
        <v>0</v>
      </c>
    </row>
    <row r="3608" spans="1:11" x14ac:dyDescent="0.25">
      <c r="A3608" s="24" t="s">
        <v>7</v>
      </c>
      <c r="B3608" s="24" t="s">
        <v>18315</v>
      </c>
      <c r="C3608" s="25" t="s">
        <v>3703</v>
      </c>
      <c r="D3608" s="24" t="s">
        <v>22505</v>
      </c>
      <c r="E3608" s="40">
        <v>77</v>
      </c>
      <c r="F3608" s="41">
        <v>231</v>
      </c>
      <c r="G3608" s="40">
        <v>70</v>
      </c>
      <c r="H3608" s="41">
        <v>210</v>
      </c>
      <c r="I3608" s="41">
        <v>3</v>
      </c>
      <c r="J3608" s="41">
        <v>3</v>
      </c>
      <c r="K3608" s="42">
        <v>0</v>
      </c>
    </row>
    <row r="3609" spans="1:11" x14ac:dyDescent="0.25">
      <c r="A3609" s="24" t="s">
        <v>7</v>
      </c>
      <c r="B3609" s="24" t="s">
        <v>18319</v>
      </c>
      <c r="C3609" s="25" t="s">
        <v>18320</v>
      </c>
      <c r="D3609" s="24" t="s">
        <v>22304</v>
      </c>
      <c r="E3609" s="40">
        <v>8</v>
      </c>
      <c r="F3609" s="41">
        <v>329.68</v>
      </c>
      <c r="G3609" s="40">
        <v>11</v>
      </c>
      <c r="H3609" s="41">
        <v>453.31</v>
      </c>
      <c r="I3609" s="41">
        <v>41.21</v>
      </c>
      <c r="J3609" s="41">
        <v>41.21</v>
      </c>
      <c r="K3609" s="42">
        <v>0</v>
      </c>
    </row>
    <row r="3610" spans="1:11" x14ac:dyDescent="0.25">
      <c r="A3610" s="24" t="s">
        <v>7</v>
      </c>
      <c r="B3610" s="24" t="s">
        <v>18325</v>
      </c>
      <c r="C3610" s="25" t="s">
        <v>16221</v>
      </c>
      <c r="D3610" s="24" t="s">
        <v>22285</v>
      </c>
      <c r="G3610" s="40">
        <v>4</v>
      </c>
      <c r="H3610" s="41">
        <v>54.56</v>
      </c>
      <c r="J3610" s="41">
        <v>13.64</v>
      </c>
    </row>
    <row r="3611" spans="1:11" x14ac:dyDescent="0.25">
      <c r="A3611" s="24" t="s">
        <v>7</v>
      </c>
      <c r="B3611" s="24" t="s">
        <v>18326</v>
      </c>
      <c r="C3611" s="25" t="s">
        <v>3709</v>
      </c>
      <c r="D3611" s="24" t="s">
        <v>21428</v>
      </c>
      <c r="E3611" s="40">
        <v>115</v>
      </c>
      <c r="F3611" s="41">
        <v>187.45</v>
      </c>
      <c r="G3611" s="40">
        <v>35</v>
      </c>
      <c r="H3611" s="41">
        <v>57.05</v>
      </c>
      <c r="I3611" s="41">
        <v>1.63</v>
      </c>
      <c r="J3611" s="41">
        <v>1.63</v>
      </c>
      <c r="K3611" s="42">
        <v>0</v>
      </c>
    </row>
    <row r="3612" spans="1:11" x14ac:dyDescent="0.25">
      <c r="A3612" s="24" t="s">
        <v>7</v>
      </c>
      <c r="B3612" s="24" t="s">
        <v>18330</v>
      </c>
      <c r="C3612" s="25" t="s">
        <v>18331</v>
      </c>
      <c r="D3612" s="24" t="s">
        <v>22506</v>
      </c>
      <c r="G3612" s="40">
        <v>2</v>
      </c>
      <c r="H3612" s="41">
        <v>55.8</v>
      </c>
      <c r="J3612" s="41">
        <v>27.9</v>
      </c>
    </row>
    <row r="3613" spans="1:11" x14ac:dyDescent="0.25">
      <c r="A3613" s="24" t="s">
        <v>7</v>
      </c>
      <c r="B3613" s="24" t="s">
        <v>18337</v>
      </c>
      <c r="C3613" s="25" t="s">
        <v>18338</v>
      </c>
      <c r="D3613" s="24" t="s">
        <v>22507</v>
      </c>
      <c r="G3613" s="40">
        <v>4</v>
      </c>
      <c r="H3613" s="41">
        <v>102.36</v>
      </c>
      <c r="J3613" s="41">
        <v>25.59</v>
      </c>
    </row>
    <row r="3614" spans="1:11" x14ac:dyDescent="0.25">
      <c r="A3614" s="24" t="s">
        <v>7</v>
      </c>
      <c r="B3614" s="24" t="s">
        <v>18339</v>
      </c>
      <c r="C3614" s="25" t="s">
        <v>17320</v>
      </c>
      <c r="D3614" s="24" t="s">
        <v>22508</v>
      </c>
      <c r="E3614" s="40">
        <v>21</v>
      </c>
      <c r="F3614" s="41">
        <v>537.39</v>
      </c>
      <c r="G3614" s="40">
        <v>31</v>
      </c>
      <c r="H3614" s="41">
        <v>793.29</v>
      </c>
      <c r="I3614" s="41">
        <v>25.59</v>
      </c>
      <c r="J3614" s="41">
        <v>25.59</v>
      </c>
      <c r="K3614" s="42">
        <v>0</v>
      </c>
    </row>
    <row r="3615" spans="1:11" x14ac:dyDescent="0.25">
      <c r="A3615" s="24" t="s">
        <v>7</v>
      </c>
      <c r="B3615" s="24" t="s">
        <v>18340</v>
      </c>
      <c r="C3615" s="25" t="s">
        <v>18341</v>
      </c>
      <c r="D3615" s="24" t="s">
        <v>22509</v>
      </c>
      <c r="E3615" s="40">
        <v>10</v>
      </c>
      <c r="F3615" s="41">
        <v>36.6</v>
      </c>
      <c r="G3615" s="40">
        <v>13</v>
      </c>
      <c r="H3615" s="41">
        <v>47.58</v>
      </c>
      <c r="I3615" s="41">
        <v>3.66</v>
      </c>
      <c r="J3615" s="41">
        <v>3.6599999999999997</v>
      </c>
      <c r="K3615" s="42">
        <v>-1.2133584968580944E-16</v>
      </c>
    </row>
    <row r="3616" spans="1:11" x14ac:dyDescent="0.25">
      <c r="A3616" s="24" t="s">
        <v>7</v>
      </c>
      <c r="B3616" s="24" t="s">
        <v>18342</v>
      </c>
      <c r="C3616" s="25" t="s">
        <v>18343</v>
      </c>
      <c r="D3616" s="24" t="s">
        <v>22509</v>
      </c>
      <c r="E3616" s="40">
        <v>10</v>
      </c>
      <c r="F3616" s="41">
        <v>36.6</v>
      </c>
      <c r="G3616" s="40">
        <v>13</v>
      </c>
      <c r="H3616" s="41">
        <v>47.58</v>
      </c>
      <c r="I3616" s="41">
        <v>3.66</v>
      </c>
      <c r="J3616" s="41">
        <v>3.6599999999999997</v>
      </c>
      <c r="K3616" s="42">
        <v>-1.2133584968580944E-16</v>
      </c>
    </row>
    <row r="3617" spans="1:11" x14ac:dyDescent="0.25">
      <c r="A3617" s="24" t="s">
        <v>7</v>
      </c>
      <c r="B3617" s="24" t="s">
        <v>18344</v>
      </c>
      <c r="C3617" s="25" t="s">
        <v>18345</v>
      </c>
      <c r="D3617" s="24" t="s">
        <v>22509</v>
      </c>
      <c r="E3617" s="40">
        <v>10</v>
      </c>
      <c r="F3617" s="41">
        <v>36.700000000000003</v>
      </c>
      <c r="G3617" s="40">
        <v>13</v>
      </c>
      <c r="H3617" s="41">
        <v>47.71</v>
      </c>
      <c r="I3617" s="41">
        <v>3.6700000000000004</v>
      </c>
      <c r="J3617" s="41">
        <v>3.67</v>
      </c>
      <c r="K3617" s="42">
        <v>-1.2100523429157018E-16</v>
      </c>
    </row>
    <row r="3618" spans="1:11" x14ac:dyDescent="0.25">
      <c r="A3618" s="24" t="s">
        <v>7</v>
      </c>
      <c r="B3618" s="24" t="s">
        <v>18346</v>
      </c>
      <c r="C3618" s="25" t="s">
        <v>18347</v>
      </c>
      <c r="D3618" s="24" t="s">
        <v>22509</v>
      </c>
      <c r="E3618" s="40">
        <v>10</v>
      </c>
      <c r="F3618" s="41">
        <v>36.700000000000003</v>
      </c>
      <c r="G3618" s="40">
        <v>13</v>
      </c>
      <c r="H3618" s="41">
        <v>47.71</v>
      </c>
      <c r="I3618" s="41">
        <v>3.6700000000000004</v>
      </c>
      <c r="J3618" s="41">
        <v>3.67</v>
      </c>
      <c r="K3618" s="42">
        <v>-1.2100523429157018E-16</v>
      </c>
    </row>
    <row r="3619" spans="1:11" x14ac:dyDescent="0.25">
      <c r="A3619" s="24" t="s">
        <v>7</v>
      </c>
      <c r="B3619" s="24" t="s">
        <v>18348</v>
      </c>
      <c r="C3619" s="25" t="s">
        <v>16374</v>
      </c>
      <c r="D3619" s="24" t="s">
        <v>22281</v>
      </c>
      <c r="E3619" s="40">
        <v>2</v>
      </c>
      <c r="F3619" s="41">
        <v>14.66</v>
      </c>
      <c r="G3619" s="40">
        <v>0</v>
      </c>
      <c r="H3619" s="41">
        <v>0</v>
      </c>
      <c r="I3619" s="41">
        <v>7.33</v>
      </c>
    </row>
    <row r="3620" spans="1:11" x14ac:dyDescent="0.25">
      <c r="A3620" s="24" t="s">
        <v>7</v>
      </c>
      <c r="B3620" s="24" t="s">
        <v>18356</v>
      </c>
      <c r="C3620" s="25" t="s">
        <v>18357</v>
      </c>
      <c r="D3620" s="24" t="s">
        <v>22510</v>
      </c>
      <c r="G3620" s="40">
        <v>7</v>
      </c>
      <c r="H3620" s="41">
        <v>102.62</v>
      </c>
      <c r="J3620" s="41">
        <v>14.66</v>
      </c>
    </row>
    <row r="3621" spans="1:11" x14ac:dyDescent="0.25">
      <c r="A3621" s="24" t="s">
        <v>7</v>
      </c>
      <c r="B3621" s="24" t="s">
        <v>18358</v>
      </c>
      <c r="C3621" s="25" t="s">
        <v>18359</v>
      </c>
      <c r="D3621" s="24" t="s">
        <v>22511</v>
      </c>
      <c r="E3621" s="40">
        <v>2</v>
      </c>
      <c r="F3621" s="41">
        <v>25.48</v>
      </c>
      <c r="G3621" s="40">
        <v>2</v>
      </c>
      <c r="H3621" s="41">
        <v>25.48</v>
      </c>
      <c r="I3621" s="41">
        <v>12.74</v>
      </c>
      <c r="J3621" s="41">
        <v>12.74</v>
      </c>
      <c r="K3621" s="42">
        <v>0</v>
      </c>
    </row>
    <row r="3622" spans="1:11" x14ac:dyDescent="0.25">
      <c r="A3622" s="24" t="s">
        <v>7</v>
      </c>
      <c r="B3622" s="24" t="s">
        <v>18362</v>
      </c>
      <c r="C3622" s="25" t="s">
        <v>18363</v>
      </c>
      <c r="D3622" s="24" t="s">
        <v>22511</v>
      </c>
      <c r="E3622" s="40">
        <v>15</v>
      </c>
      <c r="F3622" s="41">
        <v>169.2</v>
      </c>
      <c r="G3622" s="40">
        <v>2</v>
      </c>
      <c r="H3622" s="41">
        <v>22.56</v>
      </c>
      <c r="I3622" s="41">
        <v>11.28</v>
      </c>
      <c r="J3622" s="41">
        <v>11.28</v>
      </c>
      <c r="K3622" s="42">
        <v>0</v>
      </c>
    </row>
    <row r="3623" spans="1:11" x14ac:dyDescent="0.25">
      <c r="A3623" s="24" t="s">
        <v>7</v>
      </c>
      <c r="B3623" s="24" t="s">
        <v>18364</v>
      </c>
      <c r="C3623" s="25" t="s">
        <v>18365</v>
      </c>
      <c r="D3623" s="24" t="s">
        <v>22510</v>
      </c>
      <c r="G3623" s="40">
        <v>7</v>
      </c>
      <c r="H3623" s="41">
        <v>91.21</v>
      </c>
      <c r="J3623" s="41">
        <v>13.03</v>
      </c>
    </row>
    <row r="3624" spans="1:11" x14ac:dyDescent="0.25">
      <c r="A3624" s="24" t="s">
        <v>7</v>
      </c>
      <c r="B3624" s="24" t="s">
        <v>18367</v>
      </c>
      <c r="C3624" s="25" t="s">
        <v>16476</v>
      </c>
      <c r="D3624" s="24" t="s">
        <v>22298</v>
      </c>
      <c r="E3624" s="40">
        <v>25</v>
      </c>
      <c r="F3624" s="41">
        <v>107</v>
      </c>
      <c r="G3624" s="40">
        <v>32</v>
      </c>
      <c r="H3624" s="41">
        <v>136.96</v>
      </c>
      <c r="I3624" s="41">
        <v>4.28</v>
      </c>
      <c r="J3624" s="41">
        <v>4.28</v>
      </c>
      <c r="K3624" s="42">
        <v>0</v>
      </c>
    </row>
    <row r="3625" spans="1:11" x14ac:dyDescent="0.25">
      <c r="A3625" s="24" t="s">
        <v>7</v>
      </c>
      <c r="B3625" s="24" t="s">
        <v>18368</v>
      </c>
      <c r="C3625" s="25" t="s">
        <v>18369</v>
      </c>
      <c r="D3625" s="24" t="s">
        <v>22299</v>
      </c>
      <c r="G3625" s="40">
        <v>9</v>
      </c>
      <c r="H3625" s="41">
        <v>44.01</v>
      </c>
      <c r="J3625" s="41">
        <v>4.8899999999999997</v>
      </c>
    </row>
    <row r="3626" spans="1:11" x14ac:dyDescent="0.25">
      <c r="A3626" s="24" t="s">
        <v>7</v>
      </c>
      <c r="B3626" s="24" t="s">
        <v>18372</v>
      </c>
      <c r="C3626" s="25" t="s">
        <v>16570</v>
      </c>
      <c r="D3626" s="24" t="s">
        <v>22512</v>
      </c>
      <c r="G3626" s="40">
        <v>2</v>
      </c>
      <c r="H3626" s="41">
        <v>9.5</v>
      </c>
      <c r="J3626" s="41">
        <v>4.75</v>
      </c>
    </row>
    <row r="3627" spans="1:11" x14ac:dyDescent="0.25">
      <c r="A3627" s="24" t="s">
        <v>7</v>
      </c>
      <c r="B3627" s="24" t="s">
        <v>18373</v>
      </c>
      <c r="C3627" s="25" t="s">
        <v>18374</v>
      </c>
      <c r="D3627" s="24" t="s">
        <v>22512</v>
      </c>
      <c r="G3627" s="40">
        <v>2</v>
      </c>
      <c r="H3627" s="41">
        <v>9.5</v>
      </c>
      <c r="J3627" s="41">
        <v>4.75</v>
      </c>
    </row>
    <row r="3628" spans="1:11" x14ac:dyDescent="0.25">
      <c r="A3628" s="24" t="s">
        <v>7</v>
      </c>
      <c r="B3628" s="24" t="s">
        <v>18375</v>
      </c>
      <c r="C3628" s="25" t="s">
        <v>18376</v>
      </c>
      <c r="D3628" s="24" t="s">
        <v>22512</v>
      </c>
      <c r="G3628" s="40">
        <v>2</v>
      </c>
      <c r="H3628" s="41">
        <v>9.5</v>
      </c>
      <c r="J3628" s="41">
        <v>4.75</v>
      </c>
    </row>
    <row r="3629" spans="1:11" x14ac:dyDescent="0.25">
      <c r="A3629" s="24" t="s">
        <v>7</v>
      </c>
      <c r="B3629" s="24" t="s">
        <v>18377</v>
      </c>
      <c r="C3629" s="25" t="s">
        <v>18378</v>
      </c>
      <c r="D3629" s="24" t="s">
        <v>22512</v>
      </c>
      <c r="G3629" s="40">
        <v>2</v>
      </c>
      <c r="H3629" s="41">
        <v>9.5</v>
      </c>
      <c r="J3629" s="41">
        <v>4.75</v>
      </c>
    </row>
    <row r="3630" spans="1:11" x14ac:dyDescent="0.25">
      <c r="A3630" s="24" t="s">
        <v>7</v>
      </c>
      <c r="B3630" s="24" t="s">
        <v>18379</v>
      </c>
      <c r="C3630" s="25" t="s">
        <v>18380</v>
      </c>
      <c r="D3630" s="24" t="s">
        <v>22512</v>
      </c>
      <c r="G3630" s="40">
        <v>2</v>
      </c>
      <c r="H3630" s="41">
        <v>9.5</v>
      </c>
      <c r="J3630" s="41">
        <v>4.75</v>
      </c>
    </row>
    <row r="3631" spans="1:11" x14ac:dyDescent="0.25">
      <c r="A3631" s="24" t="s">
        <v>7</v>
      </c>
      <c r="B3631" s="24" t="s">
        <v>18381</v>
      </c>
      <c r="C3631" s="25" t="s">
        <v>18382</v>
      </c>
      <c r="D3631" s="24" t="s">
        <v>22512</v>
      </c>
      <c r="G3631" s="40">
        <v>2</v>
      </c>
      <c r="H3631" s="41">
        <v>9.5</v>
      </c>
      <c r="J3631" s="41">
        <v>4.75</v>
      </c>
    </row>
    <row r="3632" spans="1:11" x14ac:dyDescent="0.25">
      <c r="A3632" s="24" t="s">
        <v>7</v>
      </c>
      <c r="B3632" s="24" t="s">
        <v>18393</v>
      </c>
      <c r="C3632" s="25" t="s">
        <v>18394</v>
      </c>
      <c r="D3632" s="24" t="s">
        <v>22513</v>
      </c>
      <c r="G3632" s="40">
        <v>2</v>
      </c>
      <c r="H3632" s="41">
        <v>51.18</v>
      </c>
      <c r="J3632" s="41">
        <v>25.59</v>
      </c>
    </row>
    <row r="3633" spans="1:11" x14ac:dyDescent="0.25">
      <c r="A3633" s="24" t="s">
        <v>7</v>
      </c>
      <c r="B3633" s="24" t="s">
        <v>18395</v>
      </c>
      <c r="C3633" s="25" t="s">
        <v>16520</v>
      </c>
      <c r="D3633" s="24" t="s">
        <v>22301</v>
      </c>
      <c r="G3633" s="40">
        <v>8</v>
      </c>
      <c r="H3633" s="41">
        <v>119.68</v>
      </c>
      <c r="J3633" s="41">
        <v>14.96</v>
      </c>
    </row>
    <row r="3634" spans="1:11" x14ac:dyDescent="0.25">
      <c r="A3634" s="24" t="s">
        <v>7</v>
      </c>
      <c r="B3634" s="24" t="s">
        <v>18400</v>
      </c>
      <c r="C3634" s="25" t="s">
        <v>18401</v>
      </c>
      <c r="D3634" s="24" t="s">
        <v>22514</v>
      </c>
      <c r="E3634" s="40">
        <v>454</v>
      </c>
      <c r="F3634" s="41">
        <v>2270</v>
      </c>
      <c r="G3634" s="40">
        <v>353</v>
      </c>
      <c r="H3634" s="41">
        <v>1765</v>
      </c>
      <c r="I3634" s="41">
        <v>5</v>
      </c>
      <c r="J3634" s="41">
        <v>5</v>
      </c>
      <c r="K3634" s="42">
        <v>0</v>
      </c>
    </row>
    <row r="3635" spans="1:11" x14ac:dyDescent="0.25">
      <c r="A3635" s="24" t="s">
        <v>7</v>
      </c>
      <c r="B3635" s="24" t="s">
        <v>18404</v>
      </c>
      <c r="C3635" s="25" t="s">
        <v>16202</v>
      </c>
      <c r="D3635" s="24" t="s">
        <v>22303</v>
      </c>
      <c r="G3635" s="40">
        <v>3</v>
      </c>
      <c r="H3635" s="41">
        <v>22.02</v>
      </c>
      <c r="J3635" s="41">
        <v>7.34</v>
      </c>
    </row>
    <row r="3636" spans="1:11" x14ac:dyDescent="0.25">
      <c r="A3636" s="24" t="s">
        <v>7</v>
      </c>
      <c r="B3636" s="24" t="s">
        <v>18405</v>
      </c>
      <c r="C3636" s="25" t="s">
        <v>16312</v>
      </c>
      <c r="D3636" s="24" t="s">
        <v>22306</v>
      </c>
      <c r="E3636" s="40">
        <v>12</v>
      </c>
      <c r="F3636" s="41">
        <v>34.200000000000003</v>
      </c>
      <c r="G3636" s="40">
        <v>81</v>
      </c>
      <c r="H3636" s="41">
        <v>230.85</v>
      </c>
      <c r="I3636" s="41">
        <v>2.85</v>
      </c>
      <c r="J3636" s="41">
        <v>2.85</v>
      </c>
      <c r="K3636" s="42">
        <v>0</v>
      </c>
    </row>
    <row r="3637" spans="1:11" x14ac:dyDescent="0.25">
      <c r="A3637" s="24" t="s">
        <v>7</v>
      </c>
      <c r="B3637" s="24" t="s">
        <v>18406</v>
      </c>
      <c r="C3637" s="25" t="s">
        <v>16530</v>
      </c>
      <c r="D3637" s="24" t="s">
        <v>22286</v>
      </c>
      <c r="G3637" s="40">
        <v>7</v>
      </c>
      <c r="H3637" s="41">
        <v>194.25</v>
      </c>
      <c r="J3637" s="41">
        <v>27.75</v>
      </c>
    </row>
    <row r="3638" spans="1:11" x14ac:dyDescent="0.25">
      <c r="A3638" s="24" t="s">
        <v>7</v>
      </c>
      <c r="B3638" s="24" t="s">
        <v>18407</v>
      </c>
      <c r="C3638" s="25" t="s">
        <v>16532</v>
      </c>
      <c r="D3638" s="24" t="s">
        <v>22286</v>
      </c>
      <c r="G3638" s="40">
        <v>7</v>
      </c>
      <c r="H3638" s="41">
        <v>180.25</v>
      </c>
      <c r="J3638" s="41">
        <v>25.75</v>
      </c>
    </row>
    <row r="3639" spans="1:11" x14ac:dyDescent="0.25">
      <c r="A3639" s="24" t="s">
        <v>7</v>
      </c>
      <c r="B3639" s="24" t="s">
        <v>18416</v>
      </c>
      <c r="C3639" s="25" t="s">
        <v>16542</v>
      </c>
      <c r="D3639" s="24" t="s">
        <v>22303</v>
      </c>
      <c r="E3639" s="40">
        <v>11</v>
      </c>
      <c r="F3639" s="41">
        <v>26.84</v>
      </c>
      <c r="G3639" s="40">
        <v>82</v>
      </c>
      <c r="H3639" s="41">
        <v>200.08</v>
      </c>
      <c r="I3639" s="41">
        <v>2.44</v>
      </c>
      <c r="J3639" s="41">
        <v>2.44</v>
      </c>
      <c r="K3639" s="42">
        <v>0</v>
      </c>
    </row>
    <row r="3640" spans="1:11" x14ac:dyDescent="0.25">
      <c r="A3640" s="24" t="s">
        <v>7</v>
      </c>
      <c r="B3640" s="24" t="s">
        <v>18417</v>
      </c>
      <c r="C3640" s="25" t="s">
        <v>16548</v>
      </c>
      <c r="D3640" s="24" t="s">
        <v>22515</v>
      </c>
      <c r="E3640" s="40">
        <v>168</v>
      </c>
      <c r="F3640" s="41">
        <v>957.6</v>
      </c>
      <c r="G3640" s="40">
        <v>159</v>
      </c>
      <c r="H3640" s="41">
        <v>906.3</v>
      </c>
      <c r="I3640" s="41">
        <v>5.7</v>
      </c>
      <c r="J3640" s="41">
        <v>5.6999999999999993</v>
      </c>
      <c r="K3640" s="42">
        <v>-1.5582077538598687E-16</v>
      </c>
    </row>
    <row r="3641" spans="1:11" x14ac:dyDescent="0.25">
      <c r="A3641" s="24" t="s">
        <v>7</v>
      </c>
      <c r="B3641" s="24" t="s">
        <v>18418</v>
      </c>
      <c r="C3641" s="25" t="s">
        <v>18419</v>
      </c>
      <c r="D3641" s="24" t="s">
        <v>22515</v>
      </c>
      <c r="E3641" s="40">
        <v>26</v>
      </c>
      <c r="F3641" s="41">
        <v>148.19999999999999</v>
      </c>
      <c r="G3641" s="40">
        <v>42</v>
      </c>
      <c r="H3641" s="41">
        <v>239.4</v>
      </c>
      <c r="I3641" s="41">
        <v>5.6999999999999993</v>
      </c>
      <c r="J3641" s="41">
        <v>5.7</v>
      </c>
      <c r="K3641" s="42">
        <v>1.558207753859869E-16</v>
      </c>
    </row>
    <row r="3642" spans="1:11" x14ac:dyDescent="0.25">
      <c r="A3642" s="24" t="s">
        <v>7</v>
      </c>
      <c r="B3642" s="24" t="s">
        <v>18420</v>
      </c>
      <c r="C3642" s="25" t="s">
        <v>16552</v>
      </c>
      <c r="D3642" s="24" t="s">
        <v>22492</v>
      </c>
      <c r="E3642" s="40">
        <v>1</v>
      </c>
      <c r="F3642" s="41">
        <v>11.4</v>
      </c>
      <c r="G3642" s="40">
        <v>4</v>
      </c>
      <c r="H3642" s="41">
        <v>45.6</v>
      </c>
      <c r="I3642" s="41">
        <v>11.4</v>
      </c>
      <c r="J3642" s="41">
        <v>11.4</v>
      </c>
      <c r="K3642" s="42">
        <v>0</v>
      </c>
    </row>
    <row r="3643" spans="1:11" x14ac:dyDescent="0.25">
      <c r="A3643" s="24" t="s">
        <v>7</v>
      </c>
      <c r="B3643" s="24" t="s">
        <v>18421</v>
      </c>
      <c r="C3643" s="25" t="s">
        <v>18422</v>
      </c>
      <c r="D3643" s="24" t="s">
        <v>22516</v>
      </c>
      <c r="E3643" s="40">
        <v>3</v>
      </c>
      <c r="F3643" s="41">
        <v>31.77</v>
      </c>
      <c r="G3643" s="40">
        <v>1</v>
      </c>
      <c r="H3643" s="41">
        <v>10.59</v>
      </c>
      <c r="I3643" s="41">
        <v>10.59</v>
      </c>
      <c r="J3643" s="41">
        <v>10.59</v>
      </c>
      <c r="K3643" s="42">
        <v>0</v>
      </c>
    </row>
    <row r="3644" spans="1:11" x14ac:dyDescent="0.25">
      <c r="A3644" s="24" t="s">
        <v>7</v>
      </c>
      <c r="B3644" s="24" t="s">
        <v>18423</v>
      </c>
      <c r="C3644" s="25" t="s">
        <v>3724</v>
      </c>
      <c r="D3644" s="24" t="s">
        <v>22305</v>
      </c>
      <c r="E3644" s="40">
        <v>75</v>
      </c>
      <c r="F3644" s="41">
        <v>183</v>
      </c>
      <c r="G3644" s="40">
        <v>142</v>
      </c>
      <c r="H3644" s="41">
        <v>346.48</v>
      </c>
      <c r="I3644" s="41">
        <v>2.44</v>
      </c>
      <c r="J3644" s="41">
        <v>2.44</v>
      </c>
      <c r="K3644" s="42">
        <v>0</v>
      </c>
    </row>
    <row r="3645" spans="1:11" x14ac:dyDescent="0.25">
      <c r="A3645" s="24" t="s">
        <v>7</v>
      </c>
      <c r="B3645" s="24" t="s">
        <v>18425</v>
      </c>
      <c r="C3645" s="25" t="s">
        <v>16606</v>
      </c>
      <c r="D3645" s="24" t="s">
        <v>22517</v>
      </c>
      <c r="E3645" s="40">
        <v>8</v>
      </c>
      <c r="F3645" s="41">
        <v>42.32</v>
      </c>
      <c r="G3645" s="40">
        <v>4</v>
      </c>
      <c r="H3645" s="41">
        <v>21.16</v>
      </c>
      <c r="I3645" s="41">
        <v>5.29</v>
      </c>
      <c r="J3645" s="41">
        <v>5.29</v>
      </c>
      <c r="K3645" s="42">
        <v>0</v>
      </c>
    </row>
    <row r="3646" spans="1:11" x14ac:dyDescent="0.25">
      <c r="A3646" s="24" t="s">
        <v>7</v>
      </c>
      <c r="B3646" s="24" t="s">
        <v>18426</v>
      </c>
      <c r="C3646" s="25" t="s">
        <v>18427</v>
      </c>
      <c r="D3646" s="24" t="s">
        <v>22299</v>
      </c>
      <c r="E3646" s="40">
        <v>16</v>
      </c>
      <c r="F3646" s="41">
        <v>95.36</v>
      </c>
      <c r="G3646" s="40">
        <v>2</v>
      </c>
      <c r="H3646" s="41">
        <v>11.92</v>
      </c>
      <c r="I3646" s="41">
        <v>5.96</v>
      </c>
      <c r="J3646" s="41">
        <v>5.96</v>
      </c>
      <c r="K3646" s="42">
        <v>0</v>
      </c>
    </row>
    <row r="3647" spans="1:11" x14ac:dyDescent="0.25">
      <c r="A3647" s="24" t="s">
        <v>7</v>
      </c>
      <c r="B3647" s="24" t="s">
        <v>18429</v>
      </c>
      <c r="C3647" s="25" t="s">
        <v>16437</v>
      </c>
      <c r="D3647" s="24" t="s">
        <v>22297</v>
      </c>
      <c r="E3647" s="40">
        <v>20</v>
      </c>
      <c r="F3647" s="41">
        <v>380</v>
      </c>
      <c r="G3647" s="40">
        <v>39</v>
      </c>
      <c r="H3647" s="41">
        <v>741</v>
      </c>
      <c r="I3647" s="41">
        <v>19</v>
      </c>
      <c r="J3647" s="41">
        <v>19</v>
      </c>
      <c r="K3647" s="42">
        <v>0</v>
      </c>
    </row>
    <row r="3648" spans="1:11" x14ac:dyDescent="0.25">
      <c r="A3648" s="24" t="s">
        <v>7</v>
      </c>
      <c r="B3648" s="24" t="s">
        <v>18430</v>
      </c>
      <c r="C3648" s="25" t="s">
        <v>16431</v>
      </c>
      <c r="D3648" s="24" t="s">
        <v>22296</v>
      </c>
      <c r="E3648" s="40">
        <v>10</v>
      </c>
      <c r="F3648" s="41">
        <v>190</v>
      </c>
      <c r="G3648" s="40">
        <v>10</v>
      </c>
      <c r="H3648" s="41">
        <v>190</v>
      </c>
      <c r="I3648" s="41">
        <v>19</v>
      </c>
      <c r="J3648" s="41">
        <v>19</v>
      </c>
      <c r="K3648" s="42">
        <v>0</v>
      </c>
    </row>
    <row r="3649" spans="1:11" x14ac:dyDescent="0.25">
      <c r="A3649" s="24" t="s">
        <v>7</v>
      </c>
      <c r="B3649" s="24" t="s">
        <v>18431</v>
      </c>
      <c r="C3649" s="25" t="s">
        <v>16434</v>
      </c>
      <c r="D3649" s="24" t="s">
        <v>22296</v>
      </c>
      <c r="E3649" s="40">
        <v>20</v>
      </c>
      <c r="F3649" s="41">
        <v>380</v>
      </c>
      <c r="G3649" s="40">
        <v>39</v>
      </c>
      <c r="H3649" s="41">
        <v>741</v>
      </c>
      <c r="I3649" s="41">
        <v>19</v>
      </c>
      <c r="J3649" s="41">
        <v>19</v>
      </c>
      <c r="K3649" s="42">
        <v>0</v>
      </c>
    </row>
    <row r="3650" spans="1:11" x14ac:dyDescent="0.25">
      <c r="A3650" s="24" t="s">
        <v>7</v>
      </c>
      <c r="B3650" s="24" t="s">
        <v>18432</v>
      </c>
      <c r="C3650" s="25" t="s">
        <v>16308</v>
      </c>
      <c r="D3650" s="24" t="s">
        <v>22291</v>
      </c>
      <c r="E3650" s="40">
        <v>30</v>
      </c>
      <c r="F3650" s="41">
        <v>103.8</v>
      </c>
      <c r="G3650" s="40">
        <v>102</v>
      </c>
      <c r="H3650" s="41">
        <v>352.92</v>
      </c>
      <c r="I3650" s="41">
        <v>3.46</v>
      </c>
      <c r="J3650" s="41">
        <v>3.46</v>
      </c>
      <c r="K3650" s="42">
        <v>0</v>
      </c>
    </row>
    <row r="3651" spans="1:11" x14ac:dyDescent="0.25">
      <c r="A3651" s="24" t="s">
        <v>7</v>
      </c>
      <c r="B3651" s="24" t="s">
        <v>18433</v>
      </c>
      <c r="C3651" s="25" t="s">
        <v>16572</v>
      </c>
      <c r="D3651" s="24" t="s">
        <v>22291</v>
      </c>
      <c r="G3651" s="40">
        <v>11</v>
      </c>
      <c r="H3651" s="41">
        <v>173.25</v>
      </c>
      <c r="J3651" s="41">
        <v>15.75</v>
      </c>
    </row>
    <row r="3652" spans="1:11" x14ac:dyDescent="0.25">
      <c r="A3652" s="24" t="s">
        <v>7</v>
      </c>
      <c r="B3652" s="24" t="s">
        <v>18434</v>
      </c>
      <c r="C3652" s="25" t="s">
        <v>16579</v>
      </c>
      <c r="D3652" s="24" t="s">
        <v>22297</v>
      </c>
      <c r="E3652" s="40">
        <v>10</v>
      </c>
      <c r="F3652" s="41">
        <v>190</v>
      </c>
      <c r="G3652" s="40">
        <v>10</v>
      </c>
      <c r="H3652" s="41">
        <v>190</v>
      </c>
      <c r="I3652" s="41">
        <v>19</v>
      </c>
      <c r="J3652" s="41">
        <v>19</v>
      </c>
      <c r="K3652" s="42">
        <v>0</v>
      </c>
    </row>
    <row r="3653" spans="1:11" x14ac:dyDescent="0.25">
      <c r="A3653" s="24" t="s">
        <v>7</v>
      </c>
      <c r="B3653" s="24" t="s">
        <v>18435</v>
      </c>
      <c r="C3653" s="25" t="s">
        <v>16583</v>
      </c>
      <c r="D3653" s="24" t="s">
        <v>22286</v>
      </c>
      <c r="G3653" s="40">
        <v>2</v>
      </c>
      <c r="H3653" s="41">
        <v>80.5</v>
      </c>
      <c r="J3653" s="41">
        <v>40.25</v>
      </c>
    </row>
    <row r="3654" spans="1:11" x14ac:dyDescent="0.25">
      <c r="A3654" s="24" t="s">
        <v>7</v>
      </c>
      <c r="B3654" s="24" t="s">
        <v>18436</v>
      </c>
      <c r="C3654" s="25" t="s">
        <v>18437</v>
      </c>
      <c r="D3654" s="24" t="s">
        <v>22286</v>
      </c>
      <c r="E3654" s="40">
        <v>1</v>
      </c>
      <c r="F3654" s="41">
        <v>13.85</v>
      </c>
      <c r="G3654" s="40">
        <v>0</v>
      </c>
      <c r="H3654" s="41">
        <v>0</v>
      </c>
      <c r="I3654" s="41">
        <v>13.85</v>
      </c>
    </row>
    <row r="3655" spans="1:11" x14ac:dyDescent="0.25">
      <c r="A3655" s="24" t="s">
        <v>7</v>
      </c>
      <c r="B3655" s="24" t="s">
        <v>18439</v>
      </c>
      <c r="C3655" s="25" t="s">
        <v>16574</v>
      </c>
      <c r="D3655" s="24" t="s">
        <v>22286</v>
      </c>
      <c r="G3655" s="40">
        <v>1</v>
      </c>
      <c r="H3655" s="41">
        <v>71.680000000000007</v>
      </c>
      <c r="J3655" s="41">
        <v>71.680000000000007</v>
      </c>
    </row>
    <row r="3656" spans="1:11" x14ac:dyDescent="0.25">
      <c r="A3656" s="24" t="s">
        <v>7</v>
      </c>
      <c r="B3656" s="24" t="s">
        <v>18449</v>
      </c>
      <c r="C3656" s="25" t="s">
        <v>18450</v>
      </c>
      <c r="D3656" s="24" t="s">
        <v>22469</v>
      </c>
      <c r="E3656" s="40">
        <v>9</v>
      </c>
      <c r="F3656" s="41">
        <v>144</v>
      </c>
      <c r="G3656" s="40">
        <v>7</v>
      </c>
      <c r="H3656" s="41">
        <v>112</v>
      </c>
      <c r="I3656" s="41">
        <v>16</v>
      </c>
      <c r="J3656" s="41">
        <v>16</v>
      </c>
      <c r="K3656" s="42">
        <v>0</v>
      </c>
    </row>
    <row r="3657" spans="1:11" x14ac:dyDescent="0.25">
      <c r="A3657" s="24" t="s">
        <v>7</v>
      </c>
      <c r="B3657" s="24" t="s">
        <v>18451</v>
      </c>
      <c r="C3657" s="25" t="s">
        <v>15240</v>
      </c>
      <c r="D3657" s="24" t="s">
        <v>22518</v>
      </c>
      <c r="E3657" s="40">
        <v>305</v>
      </c>
      <c r="F3657" s="41">
        <v>1433.5</v>
      </c>
      <c r="G3657" s="40">
        <v>231</v>
      </c>
      <c r="H3657" s="41">
        <v>1085.7</v>
      </c>
      <c r="I3657" s="41">
        <v>4.7</v>
      </c>
      <c r="J3657" s="41">
        <v>4.7</v>
      </c>
      <c r="K3657" s="42">
        <v>0</v>
      </c>
    </row>
    <row r="3658" spans="1:11" x14ac:dyDescent="0.25">
      <c r="A3658" s="24" t="s">
        <v>7</v>
      </c>
      <c r="B3658" s="24" t="s">
        <v>18456</v>
      </c>
      <c r="C3658" s="25" t="s">
        <v>3729</v>
      </c>
      <c r="D3658" s="24" t="s">
        <v>22307</v>
      </c>
      <c r="E3658" s="40">
        <v>9</v>
      </c>
      <c r="F3658" s="41">
        <v>65.97</v>
      </c>
      <c r="G3658" s="40">
        <v>9</v>
      </c>
      <c r="H3658" s="41">
        <v>65.97</v>
      </c>
      <c r="I3658" s="41">
        <v>7.33</v>
      </c>
      <c r="J3658" s="41">
        <v>7.33</v>
      </c>
      <c r="K3658" s="42">
        <v>0</v>
      </c>
    </row>
    <row r="3659" spans="1:11" x14ac:dyDescent="0.25">
      <c r="A3659" s="24" t="s">
        <v>7</v>
      </c>
      <c r="B3659" s="24" t="s">
        <v>18457</v>
      </c>
      <c r="C3659" s="25" t="s">
        <v>16609</v>
      </c>
      <c r="D3659" s="24" t="s">
        <v>22519</v>
      </c>
      <c r="E3659" s="40">
        <v>5</v>
      </c>
      <c r="F3659" s="41">
        <v>82.45</v>
      </c>
      <c r="G3659" s="40">
        <v>18</v>
      </c>
      <c r="H3659" s="41">
        <v>296.82</v>
      </c>
      <c r="I3659" s="41">
        <v>16.490000000000002</v>
      </c>
      <c r="J3659" s="41">
        <v>16.489999999999998</v>
      </c>
      <c r="K3659" s="42">
        <v>-2.1544655420257735E-16</v>
      </c>
    </row>
    <row r="3660" spans="1:11" x14ac:dyDescent="0.25">
      <c r="A3660" s="24" t="s">
        <v>7</v>
      </c>
      <c r="B3660" s="24" t="s">
        <v>18458</v>
      </c>
      <c r="C3660" s="25" t="s">
        <v>18459</v>
      </c>
      <c r="D3660" s="24" t="s">
        <v>22519</v>
      </c>
      <c r="E3660" s="40">
        <v>2</v>
      </c>
      <c r="F3660" s="41">
        <v>29.98</v>
      </c>
      <c r="G3660" s="40">
        <v>3</v>
      </c>
      <c r="H3660" s="41">
        <v>44.97</v>
      </c>
      <c r="I3660" s="41">
        <v>14.99</v>
      </c>
      <c r="J3660" s="41">
        <v>14.99</v>
      </c>
      <c r="K3660" s="42">
        <v>0</v>
      </c>
    </row>
    <row r="3661" spans="1:11" x14ac:dyDescent="0.25">
      <c r="A3661" s="24" t="s">
        <v>7</v>
      </c>
      <c r="B3661" s="24" t="s">
        <v>18460</v>
      </c>
      <c r="C3661" s="25" t="s">
        <v>18461</v>
      </c>
      <c r="D3661" s="24" t="s">
        <v>22508</v>
      </c>
      <c r="E3661" s="40">
        <v>20</v>
      </c>
      <c r="F3661" s="41">
        <v>90.6</v>
      </c>
      <c r="G3661" s="40">
        <v>29</v>
      </c>
      <c r="H3661" s="41">
        <v>131.37</v>
      </c>
      <c r="I3661" s="41">
        <v>4.5299999999999994</v>
      </c>
      <c r="J3661" s="41">
        <v>4.53</v>
      </c>
      <c r="K3661" s="42">
        <v>1.9606587631349347E-16</v>
      </c>
    </row>
    <row r="3662" spans="1:11" x14ac:dyDescent="0.25">
      <c r="A3662" s="24" t="s">
        <v>7</v>
      </c>
      <c r="B3662" s="24" t="s">
        <v>18462</v>
      </c>
      <c r="C3662" s="25" t="s">
        <v>18463</v>
      </c>
      <c r="D3662" s="24" t="s">
        <v>22508</v>
      </c>
      <c r="E3662" s="40">
        <v>20</v>
      </c>
      <c r="F3662" s="41">
        <v>90.8</v>
      </c>
      <c r="G3662" s="40">
        <v>29</v>
      </c>
      <c r="H3662" s="41">
        <v>131.66</v>
      </c>
      <c r="I3662" s="41">
        <v>4.54</v>
      </c>
      <c r="J3662" s="41">
        <v>4.54</v>
      </c>
      <c r="K3662" s="42">
        <v>0</v>
      </c>
    </row>
    <row r="3663" spans="1:11" x14ac:dyDescent="0.25">
      <c r="A3663" s="24" t="s">
        <v>7</v>
      </c>
      <c r="B3663" s="24" t="s">
        <v>18472</v>
      </c>
      <c r="C3663" s="25" t="s">
        <v>16638</v>
      </c>
      <c r="D3663" s="24" t="s">
        <v>22520</v>
      </c>
      <c r="E3663" s="40">
        <v>4</v>
      </c>
      <c r="F3663" s="41">
        <v>40</v>
      </c>
      <c r="G3663" s="40">
        <v>1</v>
      </c>
      <c r="H3663" s="41">
        <v>10</v>
      </c>
      <c r="I3663" s="41">
        <v>10</v>
      </c>
      <c r="J3663" s="41">
        <v>10</v>
      </c>
      <c r="K3663" s="42">
        <v>0</v>
      </c>
    </row>
    <row r="3664" spans="1:11" x14ac:dyDescent="0.25">
      <c r="A3664" s="24" t="s">
        <v>7</v>
      </c>
      <c r="B3664" s="24" t="s">
        <v>18473</v>
      </c>
      <c r="C3664" s="25" t="s">
        <v>18474</v>
      </c>
      <c r="D3664" s="24" t="s">
        <v>22521</v>
      </c>
      <c r="G3664" s="40">
        <v>1</v>
      </c>
      <c r="H3664" s="41">
        <v>16.29</v>
      </c>
      <c r="J3664" s="41">
        <v>16.29</v>
      </c>
    </row>
    <row r="3665" spans="1:11" x14ac:dyDescent="0.25">
      <c r="A3665" s="24" t="s">
        <v>7</v>
      </c>
      <c r="B3665" s="24" t="s">
        <v>18476</v>
      </c>
      <c r="C3665" s="25" t="s">
        <v>16852</v>
      </c>
      <c r="D3665" s="24" t="s">
        <v>22522</v>
      </c>
      <c r="E3665" s="40">
        <v>4</v>
      </c>
      <c r="F3665" s="41">
        <v>40</v>
      </c>
      <c r="G3665" s="40">
        <v>1</v>
      </c>
      <c r="H3665" s="41">
        <v>10</v>
      </c>
      <c r="I3665" s="41">
        <v>10</v>
      </c>
      <c r="J3665" s="41">
        <v>10</v>
      </c>
      <c r="K3665" s="42">
        <v>0</v>
      </c>
    </row>
    <row r="3666" spans="1:11" x14ac:dyDescent="0.25">
      <c r="A3666" s="24" t="s">
        <v>7</v>
      </c>
      <c r="B3666" s="24" t="s">
        <v>18480</v>
      </c>
      <c r="C3666" s="25" t="s">
        <v>18481</v>
      </c>
      <c r="D3666" s="24" t="s">
        <v>22309</v>
      </c>
      <c r="E3666" s="40">
        <v>35</v>
      </c>
      <c r="F3666" s="41">
        <v>140</v>
      </c>
      <c r="G3666" s="40">
        <v>45</v>
      </c>
      <c r="H3666" s="41">
        <v>180</v>
      </c>
      <c r="I3666" s="41">
        <v>4</v>
      </c>
      <c r="J3666" s="41">
        <v>4</v>
      </c>
      <c r="K3666" s="42">
        <v>0</v>
      </c>
    </row>
    <row r="3667" spans="1:11" x14ac:dyDescent="0.25">
      <c r="A3667" s="24" t="s">
        <v>7</v>
      </c>
      <c r="B3667" s="24" t="s">
        <v>18482</v>
      </c>
      <c r="C3667" s="25" t="s">
        <v>17282</v>
      </c>
      <c r="D3667" s="24" t="s">
        <v>22523</v>
      </c>
      <c r="G3667" s="40">
        <v>1</v>
      </c>
      <c r="H3667" s="41">
        <v>10.49</v>
      </c>
      <c r="J3667" s="41">
        <v>10.49</v>
      </c>
    </row>
    <row r="3668" spans="1:11" x14ac:dyDescent="0.25">
      <c r="A3668" s="24" t="s">
        <v>7</v>
      </c>
      <c r="B3668" s="24" t="s">
        <v>18486</v>
      </c>
      <c r="C3668" s="25" t="s">
        <v>16647</v>
      </c>
      <c r="D3668" s="24" t="s">
        <v>22524</v>
      </c>
      <c r="G3668" s="40">
        <v>4</v>
      </c>
      <c r="H3668" s="41">
        <v>87.96</v>
      </c>
      <c r="J3668" s="41">
        <v>21.99</v>
      </c>
    </row>
    <row r="3669" spans="1:11" x14ac:dyDescent="0.25">
      <c r="A3669" s="24" t="s">
        <v>7</v>
      </c>
      <c r="B3669" s="24" t="s">
        <v>18487</v>
      </c>
      <c r="C3669" s="25" t="s">
        <v>16885</v>
      </c>
      <c r="D3669" s="24" t="s">
        <v>22524</v>
      </c>
      <c r="E3669" s="40">
        <v>13</v>
      </c>
      <c r="F3669" s="41">
        <v>390</v>
      </c>
      <c r="G3669" s="40">
        <v>11</v>
      </c>
      <c r="H3669" s="41">
        <v>330</v>
      </c>
      <c r="I3669" s="41">
        <v>30</v>
      </c>
      <c r="J3669" s="41">
        <v>30</v>
      </c>
      <c r="K3669" s="42">
        <v>0</v>
      </c>
    </row>
    <row r="3670" spans="1:11" x14ac:dyDescent="0.25">
      <c r="A3670" s="24" t="s">
        <v>7</v>
      </c>
      <c r="B3670" s="24" t="s">
        <v>18488</v>
      </c>
      <c r="C3670" s="25" t="s">
        <v>18489</v>
      </c>
      <c r="D3670" s="24" t="s">
        <v>22246</v>
      </c>
      <c r="E3670" s="40">
        <v>15</v>
      </c>
      <c r="F3670" s="41">
        <v>305.39999999999998</v>
      </c>
      <c r="G3670" s="40">
        <v>5</v>
      </c>
      <c r="H3670" s="41">
        <v>101.8</v>
      </c>
      <c r="I3670" s="41">
        <v>20.36</v>
      </c>
      <c r="J3670" s="41">
        <v>20.36</v>
      </c>
      <c r="K3670" s="42">
        <v>0</v>
      </c>
    </row>
    <row r="3671" spans="1:11" x14ac:dyDescent="0.25">
      <c r="A3671" s="24" t="s">
        <v>7</v>
      </c>
      <c r="B3671" s="24" t="s">
        <v>18490</v>
      </c>
      <c r="C3671" s="25" t="s">
        <v>18491</v>
      </c>
      <c r="D3671" s="24" t="s">
        <v>22525</v>
      </c>
      <c r="E3671" s="40">
        <v>15</v>
      </c>
      <c r="F3671" s="41">
        <v>305.55</v>
      </c>
      <c r="G3671" s="40">
        <v>5</v>
      </c>
      <c r="H3671" s="41">
        <v>101.85</v>
      </c>
      <c r="I3671" s="41">
        <v>20.37</v>
      </c>
      <c r="J3671" s="41">
        <v>20.369999999999997</v>
      </c>
      <c r="K3671" s="42">
        <v>-1.7440911530684835E-16</v>
      </c>
    </row>
    <row r="3672" spans="1:11" x14ac:dyDescent="0.25">
      <c r="A3672" s="24" t="s">
        <v>7</v>
      </c>
      <c r="B3672" s="24" t="s">
        <v>18496</v>
      </c>
      <c r="C3672" s="25" t="s">
        <v>18497</v>
      </c>
      <c r="D3672" s="24" t="s">
        <v>22526</v>
      </c>
      <c r="E3672" s="40">
        <v>13</v>
      </c>
      <c r="F3672" s="41">
        <v>216.45</v>
      </c>
      <c r="G3672" s="40">
        <v>25</v>
      </c>
      <c r="H3672" s="41">
        <v>416.25</v>
      </c>
      <c r="I3672" s="41">
        <v>16.649999999999999</v>
      </c>
      <c r="J3672" s="41">
        <v>16.649999999999999</v>
      </c>
      <c r="K3672" s="42">
        <v>0</v>
      </c>
    </row>
    <row r="3673" spans="1:11" x14ac:dyDescent="0.25">
      <c r="A3673" s="24" t="s">
        <v>7</v>
      </c>
      <c r="B3673" s="24" t="s">
        <v>18499</v>
      </c>
      <c r="C3673" s="25" t="s">
        <v>18500</v>
      </c>
      <c r="D3673" s="24" t="s">
        <v>22527</v>
      </c>
      <c r="E3673" s="40">
        <v>13</v>
      </c>
      <c r="F3673" s="41">
        <v>423.54</v>
      </c>
      <c r="G3673" s="40">
        <v>13</v>
      </c>
      <c r="H3673" s="41">
        <v>423.54</v>
      </c>
      <c r="I3673" s="41">
        <v>32.58</v>
      </c>
      <c r="J3673" s="41">
        <v>32.58</v>
      </c>
      <c r="K3673" s="42">
        <v>0</v>
      </c>
    </row>
    <row r="3674" spans="1:11" x14ac:dyDescent="0.25">
      <c r="A3674" s="24" t="s">
        <v>7</v>
      </c>
      <c r="B3674" s="24" t="s">
        <v>18508</v>
      </c>
      <c r="C3674" s="25" t="s">
        <v>16683</v>
      </c>
      <c r="D3674" s="24" t="s">
        <v>22528</v>
      </c>
      <c r="E3674" s="40">
        <v>31</v>
      </c>
      <c r="F3674" s="41">
        <v>930</v>
      </c>
      <c r="G3674" s="40">
        <v>25</v>
      </c>
      <c r="H3674" s="41">
        <v>750</v>
      </c>
      <c r="I3674" s="41">
        <v>30</v>
      </c>
      <c r="J3674" s="41">
        <v>30</v>
      </c>
      <c r="K3674" s="42">
        <v>0</v>
      </c>
    </row>
    <row r="3675" spans="1:11" x14ac:dyDescent="0.25">
      <c r="A3675" s="24" t="s">
        <v>7</v>
      </c>
      <c r="B3675" s="24" t="s">
        <v>18509</v>
      </c>
      <c r="C3675" s="25" t="s">
        <v>15392</v>
      </c>
      <c r="D3675" s="24" t="s">
        <v>22529</v>
      </c>
      <c r="G3675" s="40">
        <v>2</v>
      </c>
      <c r="H3675" s="41">
        <v>54</v>
      </c>
      <c r="J3675" s="41">
        <v>27</v>
      </c>
    </row>
    <row r="3676" spans="1:11" x14ac:dyDescent="0.25">
      <c r="A3676" s="24" t="s">
        <v>7</v>
      </c>
      <c r="B3676" s="24" t="s">
        <v>18516</v>
      </c>
      <c r="C3676" s="25" t="s">
        <v>16855</v>
      </c>
      <c r="D3676" s="24" t="s">
        <v>22530</v>
      </c>
      <c r="E3676" s="40">
        <v>72</v>
      </c>
      <c r="F3676" s="41">
        <v>6840</v>
      </c>
      <c r="G3676" s="40">
        <v>41</v>
      </c>
      <c r="H3676" s="41">
        <v>3895</v>
      </c>
      <c r="I3676" s="41">
        <v>95</v>
      </c>
      <c r="J3676" s="41">
        <v>95</v>
      </c>
      <c r="K3676" s="42">
        <v>0</v>
      </c>
    </row>
    <row r="3677" spans="1:11" x14ac:dyDescent="0.25">
      <c r="A3677" s="24" t="s">
        <v>7</v>
      </c>
      <c r="B3677" s="24" t="s">
        <v>18517</v>
      </c>
      <c r="C3677" s="25" t="s">
        <v>18518</v>
      </c>
      <c r="D3677" s="24" t="s">
        <v>21458</v>
      </c>
      <c r="E3677" s="40">
        <v>276</v>
      </c>
      <c r="F3677" s="41">
        <v>2671</v>
      </c>
      <c r="G3677" s="40">
        <v>306</v>
      </c>
      <c r="H3677" s="41">
        <v>2754</v>
      </c>
      <c r="I3677" s="41">
        <v>9.6775362318840585</v>
      </c>
      <c r="J3677" s="41">
        <v>9</v>
      </c>
      <c r="K3677" s="42">
        <v>-7.0011231748408884E-2</v>
      </c>
    </row>
    <row r="3678" spans="1:11" x14ac:dyDescent="0.25">
      <c r="A3678" s="24" t="s">
        <v>7</v>
      </c>
      <c r="B3678" s="24" t="s">
        <v>18521</v>
      </c>
      <c r="C3678" s="25" t="s">
        <v>18522</v>
      </c>
      <c r="D3678" s="24" t="s">
        <v>22317</v>
      </c>
      <c r="E3678" s="40">
        <v>19</v>
      </c>
      <c r="F3678" s="41">
        <v>1387</v>
      </c>
      <c r="G3678" s="40">
        <v>26</v>
      </c>
      <c r="H3678" s="41">
        <v>1898</v>
      </c>
      <c r="I3678" s="41">
        <v>73</v>
      </c>
      <c r="J3678" s="41">
        <v>73</v>
      </c>
      <c r="K3678" s="42">
        <v>0</v>
      </c>
    </row>
    <row r="3679" spans="1:11" x14ac:dyDescent="0.25">
      <c r="A3679" s="24" t="s">
        <v>7</v>
      </c>
      <c r="B3679" s="24" t="s">
        <v>18523</v>
      </c>
      <c r="C3679" s="25" t="s">
        <v>16702</v>
      </c>
      <c r="D3679" s="24" t="s">
        <v>22316</v>
      </c>
      <c r="E3679" s="40">
        <v>10</v>
      </c>
      <c r="F3679" s="41">
        <v>690</v>
      </c>
      <c r="G3679" s="40">
        <v>13</v>
      </c>
      <c r="H3679" s="41">
        <v>897</v>
      </c>
      <c r="I3679" s="41">
        <v>69</v>
      </c>
      <c r="J3679" s="41">
        <v>69</v>
      </c>
      <c r="K3679" s="42">
        <v>0</v>
      </c>
    </row>
    <row r="3680" spans="1:11" x14ac:dyDescent="0.25">
      <c r="A3680" s="24" t="s">
        <v>7</v>
      </c>
      <c r="B3680" s="24" t="s">
        <v>18524</v>
      </c>
      <c r="C3680" s="25" t="s">
        <v>18525</v>
      </c>
      <c r="D3680" s="24" t="s">
        <v>22531</v>
      </c>
      <c r="E3680" s="40">
        <v>1</v>
      </c>
      <c r="F3680" s="41">
        <v>195</v>
      </c>
      <c r="G3680" s="40">
        <v>0</v>
      </c>
      <c r="H3680" s="41">
        <v>0</v>
      </c>
      <c r="I3680" s="41">
        <v>195</v>
      </c>
    </row>
    <row r="3681" spans="1:11" x14ac:dyDescent="0.25">
      <c r="A3681" s="24" t="s">
        <v>7</v>
      </c>
      <c r="B3681" s="24" t="s">
        <v>18527</v>
      </c>
      <c r="C3681" s="25" t="s">
        <v>15908</v>
      </c>
      <c r="D3681" s="24" t="s">
        <v>22532</v>
      </c>
      <c r="E3681" s="40">
        <v>13</v>
      </c>
      <c r="F3681" s="41">
        <v>1027</v>
      </c>
      <c r="G3681" s="40">
        <v>10</v>
      </c>
      <c r="H3681" s="41">
        <v>790</v>
      </c>
      <c r="I3681" s="41">
        <v>79</v>
      </c>
      <c r="J3681" s="41">
        <v>79</v>
      </c>
      <c r="K3681" s="42">
        <v>0</v>
      </c>
    </row>
    <row r="3682" spans="1:11" x14ac:dyDescent="0.25">
      <c r="A3682" s="24" t="s">
        <v>7</v>
      </c>
      <c r="B3682" s="24" t="s">
        <v>18530</v>
      </c>
      <c r="C3682" s="25" t="s">
        <v>18531</v>
      </c>
      <c r="D3682" s="24" t="s">
        <v>22318</v>
      </c>
      <c r="E3682" s="40">
        <v>56</v>
      </c>
      <c r="F3682" s="41">
        <v>912.24</v>
      </c>
      <c r="G3682" s="40">
        <v>81</v>
      </c>
      <c r="H3682" s="41">
        <v>1319.49</v>
      </c>
      <c r="I3682" s="41">
        <v>16.29</v>
      </c>
      <c r="J3682" s="41">
        <v>16.29</v>
      </c>
      <c r="K3682" s="42">
        <v>0</v>
      </c>
    </row>
    <row r="3683" spans="1:11" x14ac:dyDescent="0.25">
      <c r="A3683" s="24" t="s">
        <v>7</v>
      </c>
      <c r="B3683" s="24" t="s">
        <v>18532</v>
      </c>
      <c r="C3683" s="25" t="s">
        <v>16713</v>
      </c>
      <c r="D3683" s="24" t="s">
        <v>22318</v>
      </c>
      <c r="E3683" s="40">
        <v>56</v>
      </c>
      <c r="F3683" s="41">
        <v>912.24</v>
      </c>
      <c r="G3683" s="40">
        <v>81</v>
      </c>
      <c r="H3683" s="41">
        <v>1319.49</v>
      </c>
      <c r="I3683" s="41">
        <v>16.29</v>
      </c>
      <c r="J3683" s="41">
        <v>16.29</v>
      </c>
      <c r="K3683" s="42">
        <v>0</v>
      </c>
    </row>
    <row r="3684" spans="1:11" x14ac:dyDescent="0.25">
      <c r="A3684" s="24" t="s">
        <v>7</v>
      </c>
      <c r="B3684" s="24" t="s">
        <v>18533</v>
      </c>
      <c r="C3684" s="25" t="s">
        <v>18534</v>
      </c>
      <c r="D3684" s="24" t="s">
        <v>22276</v>
      </c>
      <c r="E3684" s="40">
        <v>42</v>
      </c>
      <c r="F3684" s="41">
        <v>3147.06</v>
      </c>
      <c r="G3684" s="40">
        <v>37</v>
      </c>
      <c r="H3684" s="41">
        <v>2772.41</v>
      </c>
      <c r="I3684" s="41">
        <v>74.929999999999993</v>
      </c>
      <c r="J3684" s="41">
        <v>74.929999999999993</v>
      </c>
      <c r="K3684" s="42">
        <v>0</v>
      </c>
    </row>
    <row r="3685" spans="1:11" x14ac:dyDescent="0.25">
      <c r="A3685" s="24" t="s">
        <v>7</v>
      </c>
      <c r="B3685" s="24" t="s">
        <v>18537</v>
      </c>
      <c r="C3685" s="25" t="s">
        <v>3914</v>
      </c>
      <c r="D3685" s="24" t="s">
        <v>21460</v>
      </c>
      <c r="E3685" s="40">
        <v>286</v>
      </c>
      <c r="F3685" s="41">
        <v>2860</v>
      </c>
      <c r="G3685" s="40">
        <v>300</v>
      </c>
      <c r="H3685" s="41">
        <v>3000</v>
      </c>
      <c r="I3685" s="41">
        <v>10</v>
      </c>
      <c r="J3685" s="41">
        <v>10</v>
      </c>
      <c r="K3685" s="42">
        <v>0</v>
      </c>
    </row>
    <row r="3686" spans="1:11" x14ac:dyDescent="0.25">
      <c r="A3686" s="24" t="s">
        <v>7</v>
      </c>
      <c r="B3686" s="24" t="s">
        <v>18538</v>
      </c>
      <c r="C3686" s="25" t="s">
        <v>16272</v>
      </c>
      <c r="D3686" s="24" t="s">
        <v>22319</v>
      </c>
      <c r="E3686" s="40">
        <v>30</v>
      </c>
      <c r="F3686" s="41">
        <v>4140</v>
      </c>
      <c r="G3686" s="40">
        <v>21</v>
      </c>
      <c r="H3686" s="41">
        <v>2898</v>
      </c>
      <c r="I3686" s="41">
        <v>138</v>
      </c>
      <c r="J3686" s="41">
        <v>138</v>
      </c>
      <c r="K3686" s="42">
        <v>0</v>
      </c>
    </row>
    <row r="3687" spans="1:11" x14ac:dyDescent="0.25">
      <c r="A3687" s="24" t="s">
        <v>7</v>
      </c>
      <c r="B3687" s="24" t="s">
        <v>18539</v>
      </c>
      <c r="C3687" s="25" t="s">
        <v>16749</v>
      </c>
      <c r="D3687" s="24" t="s">
        <v>21462</v>
      </c>
      <c r="E3687" s="40">
        <v>4</v>
      </c>
      <c r="F3687" s="41">
        <v>592</v>
      </c>
      <c r="G3687" s="40">
        <v>10</v>
      </c>
      <c r="H3687" s="41">
        <v>1480</v>
      </c>
      <c r="I3687" s="41">
        <v>148</v>
      </c>
      <c r="J3687" s="41">
        <v>148</v>
      </c>
      <c r="K3687" s="42">
        <v>0</v>
      </c>
    </row>
    <row r="3688" spans="1:11" x14ac:dyDescent="0.25">
      <c r="A3688" s="24" t="s">
        <v>7</v>
      </c>
      <c r="B3688" s="24" t="s">
        <v>18545</v>
      </c>
      <c r="C3688" s="25" t="s">
        <v>18546</v>
      </c>
      <c r="D3688" s="24" t="s">
        <v>21462</v>
      </c>
      <c r="E3688" s="40">
        <v>11</v>
      </c>
      <c r="F3688" s="41">
        <v>764.5</v>
      </c>
      <c r="G3688" s="40">
        <v>10</v>
      </c>
      <c r="H3688" s="41">
        <v>695</v>
      </c>
      <c r="I3688" s="41">
        <v>69.5</v>
      </c>
      <c r="J3688" s="41">
        <v>69.5</v>
      </c>
      <c r="K3688" s="42">
        <v>0</v>
      </c>
    </row>
    <row r="3689" spans="1:11" x14ac:dyDescent="0.25">
      <c r="A3689" s="24" t="s">
        <v>7</v>
      </c>
      <c r="B3689" s="24" t="s">
        <v>18547</v>
      </c>
      <c r="C3689" s="25" t="s">
        <v>18548</v>
      </c>
      <c r="D3689" s="24" t="s">
        <v>21462</v>
      </c>
      <c r="G3689" s="40">
        <v>1</v>
      </c>
      <c r="H3689" s="41">
        <v>180</v>
      </c>
      <c r="J3689" s="41">
        <v>180</v>
      </c>
    </row>
    <row r="3690" spans="1:11" x14ac:dyDescent="0.25">
      <c r="A3690" s="24" t="s">
        <v>7</v>
      </c>
      <c r="B3690" s="24" t="s">
        <v>18550</v>
      </c>
      <c r="C3690" s="25" t="s">
        <v>18551</v>
      </c>
      <c r="D3690" s="24" t="s">
        <v>21462</v>
      </c>
      <c r="E3690" s="40">
        <v>4</v>
      </c>
      <c r="F3690" s="41">
        <v>660</v>
      </c>
      <c r="G3690" s="40">
        <v>1</v>
      </c>
      <c r="H3690" s="41">
        <v>165</v>
      </c>
      <c r="I3690" s="41">
        <v>165</v>
      </c>
      <c r="J3690" s="41">
        <v>165</v>
      </c>
      <c r="K3690" s="42">
        <v>0</v>
      </c>
    </row>
    <row r="3691" spans="1:11" x14ac:dyDescent="0.25">
      <c r="A3691" s="24" t="s">
        <v>7</v>
      </c>
      <c r="B3691" s="24" t="s">
        <v>18553</v>
      </c>
      <c r="C3691" s="25" t="s">
        <v>18554</v>
      </c>
      <c r="D3691" s="24" t="s">
        <v>21464</v>
      </c>
      <c r="E3691" s="40">
        <v>361</v>
      </c>
      <c r="F3691" s="41">
        <v>6678.5</v>
      </c>
      <c r="G3691" s="40">
        <v>483</v>
      </c>
      <c r="H3691" s="41">
        <v>8935.5</v>
      </c>
      <c r="I3691" s="41">
        <v>18.5</v>
      </c>
      <c r="J3691" s="41">
        <v>18.5</v>
      </c>
      <c r="K3691" s="42">
        <v>0</v>
      </c>
    </row>
    <row r="3692" spans="1:11" x14ac:dyDescent="0.25">
      <c r="A3692" s="24" t="s">
        <v>7</v>
      </c>
      <c r="B3692" s="24" t="s">
        <v>18557</v>
      </c>
      <c r="C3692" s="25" t="s">
        <v>18558</v>
      </c>
      <c r="D3692" s="24" t="s">
        <v>22533</v>
      </c>
      <c r="E3692" s="40">
        <v>8</v>
      </c>
      <c r="F3692" s="41">
        <v>4160</v>
      </c>
      <c r="G3692" s="40">
        <v>6</v>
      </c>
      <c r="H3692" s="41">
        <v>3120</v>
      </c>
      <c r="I3692" s="41">
        <v>520</v>
      </c>
      <c r="J3692" s="41">
        <v>520</v>
      </c>
      <c r="K3692" s="42">
        <v>0</v>
      </c>
    </row>
    <row r="3693" spans="1:11" x14ac:dyDescent="0.25">
      <c r="A3693" s="24" t="s">
        <v>7</v>
      </c>
      <c r="B3693" s="24" t="s">
        <v>18560</v>
      </c>
      <c r="C3693" s="25" t="s">
        <v>18561</v>
      </c>
      <c r="D3693" s="24" t="s">
        <v>21456</v>
      </c>
      <c r="E3693" s="40">
        <v>429</v>
      </c>
      <c r="F3693" s="41">
        <v>6289.14</v>
      </c>
      <c r="G3693" s="40">
        <v>577</v>
      </c>
      <c r="H3693" s="41">
        <v>8458.82</v>
      </c>
      <c r="I3693" s="41">
        <v>14.66</v>
      </c>
      <c r="J3693" s="41">
        <v>14.66</v>
      </c>
      <c r="K3693" s="42">
        <v>0</v>
      </c>
    </row>
    <row r="3694" spans="1:11" x14ac:dyDescent="0.25">
      <c r="A3694" s="24" t="s">
        <v>7</v>
      </c>
      <c r="B3694" s="24" t="s">
        <v>18563</v>
      </c>
      <c r="C3694" s="25" t="s">
        <v>18564</v>
      </c>
      <c r="D3694" s="24" t="s">
        <v>21464</v>
      </c>
      <c r="E3694" s="40">
        <v>104</v>
      </c>
      <c r="F3694" s="41">
        <v>879.84</v>
      </c>
      <c r="G3694" s="40">
        <v>93</v>
      </c>
      <c r="H3694" s="41">
        <v>786.78</v>
      </c>
      <c r="I3694" s="41">
        <v>8.4600000000000009</v>
      </c>
      <c r="J3694" s="41">
        <v>8.4599999999999991</v>
      </c>
      <c r="K3694" s="42">
        <v>-2.0997125761232273E-16</v>
      </c>
    </row>
    <row r="3695" spans="1:11" x14ac:dyDescent="0.25">
      <c r="A3695" s="24" t="s">
        <v>7</v>
      </c>
      <c r="B3695" s="24" t="s">
        <v>18591</v>
      </c>
      <c r="C3695" s="25" t="s">
        <v>18592</v>
      </c>
      <c r="D3695" s="24" t="s">
        <v>21360</v>
      </c>
      <c r="E3695" s="40">
        <v>138</v>
      </c>
      <c r="F3695" s="41">
        <v>1035</v>
      </c>
      <c r="G3695" s="40">
        <v>138</v>
      </c>
      <c r="H3695" s="41">
        <v>1035</v>
      </c>
      <c r="I3695" s="41">
        <v>7.5</v>
      </c>
      <c r="J3695" s="41">
        <v>7.5</v>
      </c>
      <c r="K3695" s="42">
        <v>0</v>
      </c>
    </row>
    <row r="3696" spans="1:11" x14ac:dyDescent="0.25">
      <c r="A3696" s="24" t="s">
        <v>7</v>
      </c>
      <c r="B3696" s="24" t="s">
        <v>18601</v>
      </c>
      <c r="C3696" s="25" t="s">
        <v>16192</v>
      </c>
      <c r="D3696" s="24" t="s">
        <v>22534</v>
      </c>
      <c r="G3696" s="40">
        <v>1</v>
      </c>
      <c r="H3696" s="41">
        <v>19.34</v>
      </c>
      <c r="J3696" s="41">
        <v>19.34</v>
      </c>
    </row>
    <row r="3697" spans="1:11" x14ac:dyDescent="0.25">
      <c r="A3697" s="24" t="s">
        <v>7</v>
      </c>
      <c r="B3697" s="24" t="s">
        <v>18602</v>
      </c>
      <c r="C3697" s="25" t="s">
        <v>3937</v>
      </c>
      <c r="D3697" s="24" t="s">
        <v>22320</v>
      </c>
      <c r="E3697" s="40">
        <v>35</v>
      </c>
      <c r="F3697" s="41">
        <v>166.25</v>
      </c>
      <c r="G3697" s="40">
        <v>45</v>
      </c>
      <c r="H3697" s="41">
        <v>213.75</v>
      </c>
      <c r="I3697" s="41">
        <v>4.75</v>
      </c>
      <c r="J3697" s="41">
        <v>4.75</v>
      </c>
      <c r="K3697" s="42">
        <v>0</v>
      </c>
    </row>
    <row r="3698" spans="1:11" x14ac:dyDescent="0.25">
      <c r="A3698" s="24" t="s">
        <v>7</v>
      </c>
      <c r="B3698" s="24" t="s">
        <v>18625</v>
      </c>
      <c r="C3698" s="25" t="s">
        <v>18626</v>
      </c>
      <c r="D3698" s="24" t="s">
        <v>22271</v>
      </c>
      <c r="G3698" s="40">
        <v>11</v>
      </c>
      <c r="H3698" s="41">
        <v>330</v>
      </c>
      <c r="J3698" s="41">
        <v>30</v>
      </c>
    </row>
    <row r="3699" spans="1:11" x14ac:dyDescent="0.25">
      <c r="A3699" s="24" t="s">
        <v>7</v>
      </c>
      <c r="B3699" s="24" t="s">
        <v>18631</v>
      </c>
      <c r="C3699" s="25" t="s">
        <v>18632</v>
      </c>
      <c r="D3699" s="24" t="s">
        <v>22535</v>
      </c>
      <c r="G3699" s="40">
        <v>2</v>
      </c>
      <c r="H3699" s="41">
        <v>12.46</v>
      </c>
      <c r="J3699" s="41">
        <v>6.23</v>
      </c>
    </row>
    <row r="3700" spans="1:11" x14ac:dyDescent="0.25">
      <c r="A3700" s="24" t="s">
        <v>7</v>
      </c>
      <c r="B3700" s="24" t="s">
        <v>18633</v>
      </c>
      <c r="C3700" s="25" t="s">
        <v>15985</v>
      </c>
      <c r="D3700" s="24" t="s">
        <v>22536</v>
      </c>
      <c r="E3700" s="40">
        <v>22</v>
      </c>
      <c r="F3700" s="41">
        <v>110</v>
      </c>
      <c r="G3700" s="40">
        <v>40</v>
      </c>
      <c r="H3700" s="41">
        <v>200</v>
      </c>
      <c r="I3700" s="41">
        <v>5</v>
      </c>
      <c r="J3700" s="41">
        <v>5</v>
      </c>
      <c r="K3700" s="42">
        <v>0</v>
      </c>
    </row>
    <row r="3701" spans="1:11" x14ac:dyDescent="0.25">
      <c r="A3701" s="24" t="s">
        <v>7</v>
      </c>
      <c r="B3701" s="24" t="s">
        <v>18634</v>
      </c>
      <c r="C3701" s="25" t="s">
        <v>18635</v>
      </c>
      <c r="D3701" s="24" t="s">
        <v>22452</v>
      </c>
      <c r="E3701" s="40">
        <v>31</v>
      </c>
      <c r="F3701" s="41">
        <v>757.64</v>
      </c>
      <c r="G3701" s="40">
        <v>5</v>
      </c>
      <c r="H3701" s="41">
        <v>122.2</v>
      </c>
      <c r="I3701" s="41">
        <v>24.44</v>
      </c>
      <c r="J3701" s="41">
        <v>24.44</v>
      </c>
      <c r="K3701" s="42">
        <v>0</v>
      </c>
    </row>
    <row r="3702" spans="1:11" x14ac:dyDescent="0.25">
      <c r="A3702" s="24" t="s">
        <v>7</v>
      </c>
      <c r="B3702" s="24" t="s">
        <v>18636</v>
      </c>
      <c r="C3702" s="25" t="s">
        <v>18637</v>
      </c>
      <c r="D3702" s="24" t="s">
        <v>21391</v>
      </c>
      <c r="G3702" s="40">
        <v>5</v>
      </c>
      <c r="H3702" s="41">
        <v>11.25</v>
      </c>
      <c r="J3702" s="41">
        <v>2.25</v>
      </c>
    </row>
    <row r="3703" spans="1:11" x14ac:dyDescent="0.25">
      <c r="A3703" s="24" t="s">
        <v>7</v>
      </c>
      <c r="B3703" s="24" t="s">
        <v>18649</v>
      </c>
      <c r="C3703" s="25" t="s">
        <v>16101</v>
      </c>
      <c r="D3703" s="24" t="s">
        <v>22537</v>
      </c>
      <c r="G3703" s="40">
        <v>11</v>
      </c>
      <c r="H3703" s="41">
        <v>1375</v>
      </c>
      <c r="J3703" s="41">
        <v>125</v>
      </c>
    </row>
    <row r="3704" spans="1:11" x14ac:dyDescent="0.25">
      <c r="A3704" s="24" t="s">
        <v>7</v>
      </c>
      <c r="B3704" s="24" t="s">
        <v>18656</v>
      </c>
      <c r="C3704" s="25" t="s">
        <v>18657</v>
      </c>
      <c r="D3704" s="24" t="s">
        <v>22491</v>
      </c>
      <c r="G3704" s="40">
        <v>4</v>
      </c>
      <c r="H3704" s="41">
        <v>60</v>
      </c>
      <c r="J3704" s="41">
        <v>15</v>
      </c>
    </row>
    <row r="3705" spans="1:11" x14ac:dyDescent="0.25">
      <c r="A3705" s="24" t="s">
        <v>7</v>
      </c>
      <c r="B3705" s="24" t="s">
        <v>18662</v>
      </c>
      <c r="C3705" s="25" t="s">
        <v>16440</v>
      </c>
      <c r="D3705" s="24" t="s">
        <v>22538</v>
      </c>
      <c r="E3705" s="40">
        <v>330</v>
      </c>
      <c r="F3705" s="41">
        <v>13200</v>
      </c>
      <c r="G3705" s="40">
        <v>746</v>
      </c>
      <c r="H3705" s="41">
        <v>29840</v>
      </c>
      <c r="I3705" s="41">
        <v>40</v>
      </c>
      <c r="J3705" s="41">
        <v>40</v>
      </c>
      <c r="K3705" s="42">
        <v>0</v>
      </c>
    </row>
    <row r="3706" spans="1:11" x14ac:dyDescent="0.25">
      <c r="A3706" s="24" t="s">
        <v>7</v>
      </c>
      <c r="B3706" s="24" t="s">
        <v>18663</v>
      </c>
      <c r="C3706" s="25" t="s">
        <v>16831</v>
      </c>
      <c r="D3706" s="24" t="s">
        <v>22247</v>
      </c>
      <c r="E3706" s="40">
        <v>9</v>
      </c>
      <c r="F3706" s="41">
        <v>73.349999999999994</v>
      </c>
      <c r="G3706" s="40">
        <v>6</v>
      </c>
      <c r="H3706" s="41">
        <v>48.9</v>
      </c>
      <c r="I3706" s="41">
        <v>8.1499999999999986</v>
      </c>
      <c r="J3706" s="41">
        <v>8.15</v>
      </c>
      <c r="K3706" s="42">
        <v>2.1795789440493876E-16</v>
      </c>
    </row>
    <row r="3707" spans="1:11" x14ac:dyDescent="0.25">
      <c r="A3707" s="24" t="s">
        <v>7</v>
      </c>
      <c r="B3707" s="24" t="s">
        <v>18669</v>
      </c>
      <c r="C3707" s="25" t="s">
        <v>18670</v>
      </c>
      <c r="D3707" s="24" t="s">
        <v>22252</v>
      </c>
      <c r="E3707" s="40">
        <v>4</v>
      </c>
      <c r="F3707" s="41">
        <v>40</v>
      </c>
      <c r="G3707" s="40">
        <v>1</v>
      </c>
      <c r="H3707" s="41">
        <v>10</v>
      </c>
      <c r="I3707" s="41">
        <v>10</v>
      </c>
      <c r="J3707" s="41">
        <v>10</v>
      </c>
      <c r="K3707" s="42">
        <v>0</v>
      </c>
    </row>
    <row r="3708" spans="1:11" x14ac:dyDescent="0.25">
      <c r="A3708" s="24" t="s">
        <v>7</v>
      </c>
      <c r="B3708" s="24" t="s">
        <v>18671</v>
      </c>
      <c r="C3708" s="25" t="s">
        <v>18672</v>
      </c>
      <c r="D3708" s="24" t="s">
        <v>22539</v>
      </c>
      <c r="E3708" s="40">
        <v>39</v>
      </c>
      <c r="F3708" s="41">
        <v>2859.09</v>
      </c>
      <c r="G3708" s="40">
        <v>32</v>
      </c>
      <c r="H3708" s="41">
        <v>2345.92</v>
      </c>
      <c r="I3708" s="41">
        <v>73.31</v>
      </c>
      <c r="J3708" s="41">
        <v>73.31</v>
      </c>
      <c r="K3708" s="42">
        <v>0</v>
      </c>
    </row>
    <row r="3709" spans="1:11" x14ac:dyDescent="0.25">
      <c r="A3709" s="24" t="s">
        <v>7</v>
      </c>
      <c r="B3709" s="24" t="s">
        <v>18674</v>
      </c>
      <c r="C3709" s="25" t="s">
        <v>17343</v>
      </c>
      <c r="D3709" s="24" t="s">
        <v>22540</v>
      </c>
      <c r="E3709" s="40">
        <v>6</v>
      </c>
      <c r="F3709" s="41">
        <v>31.8</v>
      </c>
      <c r="G3709" s="40">
        <v>5</v>
      </c>
      <c r="H3709" s="41">
        <v>26.5</v>
      </c>
      <c r="I3709" s="41">
        <v>5.3</v>
      </c>
      <c r="J3709" s="41">
        <v>5.3</v>
      </c>
      <c r="K3709" s="42">
        <v>0</v>
      </c>
    </row>
    <row r="3710" spans="1:11" x14ac:dyDescent="0.25">
      <c r="A3710" s="24" t="s">
        <v>7</v>
      </c>
      <c r="B3710" s="24" t="s">
        <v>18679</v>
      </c>
      <c r="C3710" s="25" t="s">
        <v>18680</v>
      </c>
      <c r="D3710" s="24" t="s">
        <v>22292</v>
      </c>
      <c r="G3710" s="40">
        <v>8</v>
      </c>
      <c r="H3710" s="41">
        <v>119.76</v>
      </c>
      <c r="J3710" s="41">
        <v>14.97</v>
      </c>
    </row>
    <row r="3711" spans="1:11" x14ac:dyDescent="0.25">
      <c r="A3711" s="24" t="s">
        <v>7</v>
      </c>
      <c r="B3711" s="24" t="s">
        <v>18688</v>
      </c>
      <c r="C3711" s="25" t="s">
        <v>18689</v>
      </c>
      <c r="D3711" s="24" t="s">
        <v>22541</v>
      </c>
      <c r="G3711" s="40">
        <v>1</v>
      </c>
      <c r="H3711" s="41">
        <v>50</v>
      </c>
      <c r="J3711" s="41">
        <v>50</v>
      </c>
    </row>
    <row r="3712" spans="1:11" x14ac:dyDescent="0.25">
      <c r="A3712" s="24" t="s">
        <v>7</v>
      </c>
      <c r="B3712" s="24" t="s">
        <v>18694</v>
      </c>
      <c r="C3712" s="25" t="s">
        <v>18695</v>
      </c>
      <c r="D3712" s="24" t="s">
        <v>22255</v>
      </c>
      <c r="E3712" s="40">
        <v>8</v>
      </c>
      <c r="F3712" s="41">
        <v>476</v>
      </c>
      <c r="G3712" s="40">
        <v>2</v>
      </c>
      <c r="H3712" s="41">
        <v>119</v>
      </c>
      <c r="I3712" s="41">
        <v>59.5</v>
      </c>
      <c r="J3712" s="41">
        <v>59.5</v>
      </c>
      <c r="K3712" s="42">
        <v>0</v>
      </c>
    </row>
    <row r="3713" spans="1:11" x14ac:dyDescent="0.25">
      <c r="A3713" s="24" t="s">
        <v>7</v>
      </c>
      <c r="B3713" s="24" t="s">
        <v>18697</v>
      </c>
      <c r="C3713" s="25" t="s">
        <v>18698</v>
      </c>
      <c r="D3713" s="24" t="s">
        <v>22324</v>
      </c>
      <c r="G3713" s="40">
        <v>1</v>
      </c>
      <c r="H3713" s="41">
        <v>68</v>
      </c>
      <c r="J3713" s="41">
        <v>68</v>
      </c>
    </row>
    <row r="3714" spans="1:11" x14ac:dyDescent="0.25">
      <c r="A3714" s="24" t="s">
        <v>7</v>
      </c>
      <c r="B3714" s="24" t="s">
        <v>18701</v>
      </c>
      <c r="C3714" s="25" t="s">
        <v>18702</v>
      </c>
      <c r="D3714" s="24" t="s">
        <v>21464</v>
      </c>
      <c r="G3714" s="40">
        <v>3</v>
      </c>
      <c r="H3714" s="41">
        <v>36.75</v>
      </c>
      <c r="J3714" s="41">
        <v>12.25</v>
      </c>
    </row>
    <row r="3715" spans="1:11" x14ac:dyDescent="0.25">
      <c r="A3715" s="24" t="s">
        <v>7</v>
      </c>
      <c r="B3715" s="24" t="s">
        <v>18719</v>
      </c>
      <c r="C3715" s="25" t="s">
        <v>18720</v>
      </c>
      <c r="D3715" s="24" t="s">
        <v>22542</v>
      </c>
      <c r="G3715" s="40">
        <v>3</v>
      </c>
      <c r="H3715" s="41">
        <v>56.25</v>
      </c>
      <c r="J3715" s="41">
        <v>18.75</v>
      </c>
    </row>
    <row r="3716" spans="1:11" x14ac:dyDescent="0.25">
      <c r="A3716" s="24" t="s">
        <v>7</v>
      </c>
      <c r="B3716" s="24" t="s">
        <v>18724</v>
      </c>
      <c r="C3716" s="25" t="s">
        <v>15475</v>
      </c>
      <c r="D3716" s="24" t="s">
        <v>22543</v>
      </c>
      <c r="E3716" s="40">
        <v>31</v>
      </c>
      <c r="F3716" s="41">
        <v>1062.68</v>
      </c>
      <c r="G3716" s="40">
        <v>52</v>
      </c>
      <c r="H3716" s="41">
        <v>1782.56</v>
      </c>
      <c r="I3716" s="41">
        <v>34.28</v>
      </c>
      <c r="J3716" s="41">
        <v>34.28</v>
      </c>
      <c r="K3716" s="42">
        <v>0</v>
      </c>
    </row>
    <row r="3717" spans="1:11" x14ac:dyDescent="0.25">
      <c r="A3717" s="24" t="s">
        <v>7</v>
      </c>
      <c r="B3717" s="24" t="s">
        <v>18725</v>
      </c>
      <c r="C3717" s="25" t="s">
        <v>18726</v>
      </c>
      <c r="D3717" s="24" t="s">
        <v>22544</v>
      </c>
      <c r="E3717" s="40">
        <v>23</v>
      </c>
      <c r="F3717" s="41">
        <v>632.73</v>
      </c>
      <c r="G3717" s="40">
        <v>32</v>
      </c>
      <c r="H3717" s="41">
        <v>880.32</v>
      </c>
      <c r="I3717" s="41">
        <v>27.51</v>
      </c>
      <c r="J3717" s="41">
        <v>27.51</v>
      </c>
      <c r="K3717" s="42">
        <v>0</v>
      </c>
    </row>
    <row r="3718" spans="1:11" x14ac:dyDescent="0.25">
      <c r="A3718" s="24" t="s">
        <v>7</v>
      </c>
      <c r="B3718" s="24" t="s">
        <v>18731</v>
      </c>
      <c r="C3718" s="25" t="s">
        <v>18732</v>
      </c>
      <c r="D3718" s="24" t="s">
        <v>22545</v>
      </c>
      <c r="E3718" s="40">
        <v>6</v>
      </c>
      <c r="F3718" s="41">
        <v>342.12</v>
      </c>
      <c r="G3718" s="40">
        <v>4</v>
      </c>
      <c r="H3718" s="41">
        <v>228.08</v>
      </c>
      <c r="I3718" s="41">
        <v>57.02</v>
      </c>
      <c r="J3718" s="41">
        <v>57.02</v>
      </c>
      <c r="K3718" s="42">
        <v>0</v>
      </c>
    </row>
    <row r="3719" spans="1:11" x14ac:dyDescent="0.25">
      <c r="A3719" s="24" t="s">
        <v>7</v>
      </c>
      <c r="B3719" s="24" t="s">
        <v>18734</v>
      </c>
      <c r="C3719" s="25" t="s">
        <v>18735</v>
      </c>
      <c r="D3719" s="24" t="s">
        <v>22546</v>
      </c>
      <c r="G3719" s="40">
        <v>5</v>
      </c>
      <c r="H3719" s="41">
        <v>305.45</v>
      </c>
      <c r="J3719" s="41">
        <v>61.089999999999996</v>
      </c>
    </row>
    <row r="3720" spans="1:11" x14ac:dyDescent="0.25">
      <c r="A3720" s="24" t="s">
        <v>7</v>
      </c>
      <c r="B3720" s="24" t="s">
        <v>18741</v>
      </c>
      <c r="C3720" s="25" t="s">
        <v>18742</v>
      </c>
      <c r="D3720" s="24" t="s">
        <v>22327</v>
      </c>
      <c r="E3720" s="40">
        <v>15</v>
      </c>
      <c r="F3720" s="41">
        <v>69</v>
      </c>
      <c r="G3720" s="40">
        <v>13</v>
      </c>
      <c r="H3720" s="41">
        <v>59.8</v>
      </c>
      <c r="I3720" s="41">
        <v>4.5999999999999996</v>
      </c>
      <c r="J3720" s="41">
        <v>4.5999999999999996</v>
      </c>
      <c r="K3720" s="42">
        <v>0</v>
      </c>
    </row>
    <row r="3721" spans="1:11" x14ac:dyDescent="0.25">
      <c r="A3721" s="24" t="s">
        <v>7</v>
      </c>
      <c r="B3721" s="24" t="s">
        <v>18749</v>
      </c>
      <c r="C3721" s="25" t="s">
        <v>18750</v>
      </c>
      <c r="D3721" s="24" t="s">
        <v>22547</v>
      </c>
      <c r="G3721" s="40">
        <v>2</v>
      </c>
      <c r="H3721" s="41">
        <v>66</v>
      </c>
      <c r="J3721" s="41">
        <v>33</v>
      </c>
    </row>
    <row r="3722" spans="1:11" x14ac:dyDescent="0.25">
      <c r="A3722" s="24" t="s">
        <v>7</v>
      </c>
      <c r="B3722" s="24" t="s">
        <v>18780</v>
      </c>
      <c r="C3722" s="25" t="s">
        <v>15195</v>
      </c>
      <c r="D3722" s="24" t="s">
        <v>22548</v>
      </c>
      <c r="G3722" s="40">
        <v>3</v>
      </c>
      <c r="H3722" s="41">
        <v>330</v>
      </c>
      <c r="J3722" s="41">
        <v>110</v>
      </c>
    </row>
    <row r="3723" spans="1:11" x14ac:dyDescent="0.25">
      <c r="A3723" s="24" t="s">
        <v>7</v>
      </c>
      <c r="B3723" s="24" t="s">
        <v>18786</v>
      </c>
      <c r="C3723" s="25" t="s">
        <v>17064</v>
      </c>
      <c r="D3723" s="24" t="s">
        <v>22549</v>
      </c>
      <c r="G3723" s="40">
        <v>3</v>
      </c>
      <c r="H3723" s="41">
        <v>930</v>
      </c>
      <c r="J3723" s="41">
        <v>310</v>
      </c>
    </row>
    <row r="3724" spans="1:11" x14ac:dyDescent="0.25">
      <c r="A3724" s="24" t="s">
        <v>7</v>
      </c>
      <c r="B3724" s="24" t="s">
        <v>18797</v>
      </c>
      <c r="C3724" s="25" t="s">
        <v>16883</v>
      </c>
      <c r="D3724" s="24" t="s">
        <v>22326</v>
      </c>
      <c r="G3724" s="40">
        <v>2</v>
      </c>
      <c r="H3724" s="41">
        <v>402</v>
      </c>
      <c r="J3724" s="41">
        <v>201</v>
      </c>
    </row>
    <row r="3725" spans="1:11" x14ac:dyDescent="0.25">
      <c r="A3725" s="24" t="s">
        <v>7</v>
      </c>
      <c r="B3725" s="24" t="s">
        <v>18798</v>
      </c>
      <c r="C3725" s="25" t="s">
        <v>18799</v>
      </c>
      <c r="D3725" s="24" t="s">
        <v>22550</v>
      </c>
      <c r="G3725" s="40">
        <v>1</v>
      </c>
      <c r="H3725" s="41">
        <v>258</v>
      </c>
      <c r="J3725" s="41">
        <v>258</v>
      </c>
    </row>
    <row r="3726" spans="1:11" x14ac:dyDescent="0.25">
      <c r="A3726" s="24" t="s">
        <v>7</v>
      </c>
      <c r="B3726" s="24" t="s">
        <v>18801</v>
      </c>
      <c r="C3726" s="25" t="s">
        <v>18802</v>
      </c>
      <c r="D3726" s="24" t="s">
        <v>22551</v>
      </c>
      <c r="G3726" s="40">
        <v>1</v>
      </c>
      <c r="H3726" s="41">
        <v>390</v>
      </c>
      <c r="J3726" s="41">
        <v>390</v>
      </c>
    </row>
    <row r="3727" spans="1:11" x14ac:dyDescent="0.25">
      <c r="A3727" s="24" t="s">
        <v>7</v>
      </c>
      <c r="B3727" s="24" t="s">
        <v>18804</v>
      </c>
      <c r="C3727" s="25" t="s">
        <v>18805</v>
      </c>
      <c r="D3727" s="24" t="s">
        <v>22552</v>
      </c>
      <c r="G3727" s="40">
        <v>1</v>
      </c>
      <c r="H3727" s="41">
        <v>320</v>
      </c>
      <c r="J3727" s="41">
        <v>320</v>
      </c>
    </row>
    <row r="3728" spans="1:11" x14ac:dyDescent="0.25">
      <c r="A3728" s="24" t="s">
        <v>7</v>
      </c>
      <c r="B3728" s="24" t="s">
        <v>18806</v>
      </c>
      <c r="C3728" s="25" t="s">
        <v>17082</v>
      </c>
      <c r="D3728" s="24" t="s">
        <v>22553</v>
      </c>
      <c r="G3728" s="40">
        <v>3</v>
      </c>
      <c r="H3728" s="41">
        <v>1080</v>
      </c>
      <c r="J3728" s="41">
        <v>360</v>
      </c>
    </row>
    <row r="3729" spans="1:11" x14ac:dyDescent="0.25">
      <c r="A3729" s="24" t="s">
        <v>7</v>
      </c>
      <c r="B3729" s="24" t="s">
        <v>18816</v>
      </c>
      <c r="C3729" s="25" t="s">
        <v>15192</v>
      </c>
      <c r="D3729" s="24" t="s">
        <v>22554</v>
      </c>
      <c r="G3729" s="40">
        <v>1</v>
      </c>
      <c r="H3729" s="41">
        <v>482</v>
      </c>
      <c r="J3729" s="41">
        <v>482</v>
      </c>
    </row>
    <row r="3730" spans="1:11" x14ac:dyDescent="0.25">
      <c r="A3730" s="24" t="s">
        <v>7</v>
      </c>
      <c r="B3730" s="24" t="s">
        <v>18817</v>
      </c>
      <c r="C3730" s="25" t="s">
        <v>18818</v>
      </c>
      <c r="D3730" s="24" t="s">
        <v>22555</v>
      </c>
      <c r="G3730" s="40">
        <v>1</v>
      </c>
      <c r="H3730" s="41">
        <v>290</v>
      </c>
      <c r="J3730" s="41">
        <v>290</v>
      </c>
    </row>
    <row r="3731" spans="1:11" x14ac:dyDescent="0.25">
      <c r="A3731" s="24" t="s">
        <v>7</v>
      </c>
      <c r="B3731" s="24" t="s">
        <v>18820</v>
      </c>
      <c r="C3731" s="25" t="s">
        <v>17073</v>
      </c>
      <c r="D3731" s="24" t="s">
        <v>22556</v>
      </c>
      <c r="G3731" s="40">
        <v>1</v>
      </c>
      <c r="H3731" s="41">
        <v>270</v>
      </c>
      <c r="J3731" s="41">
        <v>270</v>
      </c>
    </row>
    <row r="3732" spans="1:11" x14ac:dyDescent="0.25">
      <c r="A3732" s="24" t="s">
        <v>7</v>
      </c>
      <c r="B3732" s="24" t="s">
        <v>18821</v>
      </c>
      <c r="C3732" s="25" t="s">
        <v>17751</v>
      </c>
      <c r="D3732" s="24" t="s">
        <v>22557</v>
      </c>
      <c r="G3732" s="40">
        <v>1</v>
      </c>
      <c r="H3732" s="41">
        <v>340</v>
      </c>
      <c r="J3732" s="41">
        <v>340</v>
      </c>
    </row>
    <row r="3733" spans="1:11" x14ac:dyDescent="0.25">
      <c r="A3733" s="24" t="s">
        <v>7</v>
      </c>
      <c r="B3733" s="24" t="s">
        <v>18834</v>
      </c>
      <c r="C3733" s="25" t="s">
        <v>17488</v>
      </c>
      <c r="D3733" s="24" t="s">
        <v>22558</v>
      </c>
      <c r="G3733" s="40">
        <v>1</v>
      </c>
      <c r="H3733" s="41">
        <v>250</v>
      </c>
      <c r="J3733" s="41">
        <v>250</v>
      </c>
    </row>
    <row r="3734" spans="1:11" x14ac:dyDescent="0.25">
      <c r="A3734" s="24" t="s">
        <v>7</v>
      </c>
      <c r="B3734" s="24" t="s">
        <v>18845</v>
      </c>
      <c r="C3734" s="25" t="s">
        <v>15515</v>
      </c>
      <c r="D3734" s="24" t="s">
        <v>22331</v>
      </c>
      <c r="G3734" s="40">
        <v>4</v>
      </c>
      <c r="H3734" s="41">
        <v>904</v>
      </c>
      <c r="J3734" s="41">
        <v>226</v>
      </c>
    </row>
    <row r="3735" spans="1:11" x14ac:dyDescent="0.25">
      <c r="A3735" s="24" t="s">
        <v>7</v>
      </c>
      <c r="B3735" s="24" t="s">
        <v>18846</v>
      </c>
      <c r="C3735" s="25" t="s">
        <v>15261</v>
      </c>
      <c r="D3735" s="24" t="s">
        <v>22559</v>
      </c>
      <c r="G3735" s="40">
        <v>1</v>
      </c>
      <c r="H3735" s="41">
        <v>91</v>
      </c>
      <c r="J3735" s="41">
        <v>91</v>
      </c>
    </row>
    <row r="3736" spans="1:11" x14ac:dyDescent="0.25">
      <c r="A3736" s="24" t="s">
        <v>7</v>
      </c>
      <c r="B3736" s="24" t="s">
        <v>18847</v>
      </c>
      <c r="C3736" s="25" t="s">
        <v>17473</v>
      </c>
      <c r="D3736" s="24" t="s">
        <v>22560</v>
      </c>
      <c r="E3736" s="40">
        <v>108</v>
      </c>
      <c r="F3736" s="41">
        <v>1188</v>
      </c>
      <c r="G3736" s="40">
        <v>389</v>
      </c>
      <c r="H3736" s="41">
        <v>4279</v>
      </c>
      <c r="I3736" s="41">
        <v>11</v>
      </c>
      <c r="J3736" s="41">
        <v>11</v>
      </c>
      <c r="K3736" s="42">
        <v>0</v>
      </c>
    </row>
    <row r="3737" spans="1:11" x14ac:dyDescent="0.25">
      <c r="A3737" s="24" t="s">
        <v>7</v>
      </c>
      <c r="B3737" s="24" t="s">
        <v>18848</v>
      </c>
      <c r="C3737" s="25" t="s">
        <v>17504</v>
      </c>
      <c r="D3737" s="24" t="s">
        <v>22561</v>
      </c>
      <c r="G3737" s="40">
        <v>1</v>
      </c>
      <c r="H3737" s="41">
        <v>75</v>
      </c>
      <c r="J3737" s="41">
        <v>75</v>
      </c>
    </row>
    <row r="3738" spans="1:11" x14ac:dyDescent="0.25">
      <c r="A3738" s="24" t="s">
        <v>7</v>
      </c>
      <c r="B3738" s="24" t="s">
        <v>18851</v>
      </c>
      <c r="C3738" s="25" t="s">
        <v>18852</v>
      </c>
      <c r="D3738" s="24" t="s">
        <v>22562</v>
      </c>
      <c r="G3738" s="40">
        <v>2</v>
      </c>
      <c r="H3738" s="41">
        <v>150</v>
      </c>
      <c r="J3738" s="41">
        <v>75</v>
      </c>
    </row>
    <row r="3739" spans="1:11" x14ac:dyDescent="0.25">
      <c r="A3739" s="24" t="s">
        <v>7</v>
      </c>
      <c r="B3739" s="24" t="s">
        <v>18853</v>
      </c>
      <c r="C3739" s="25" t="s">
        <v>17096</v>
      </c>
      <c r="D3739" s="24" t="s">
        <v>22563</v>
      </c>
      <c r="E3739" s="40">
        <v>39</v>
      </c>
      <c r="F3739" s="41">
        <v>12870</v>
      </c>
      <c r="G3739" s="40">
        <v>27</v>
      </c>
      <c r="H3739" s="41">
        <v>8910</v>
      </c>
      <c r="I3739" s="41">
        <v>330</v>
      </c>
      <c r="J3739" s="41">
        <v>330</v>
      </c>
      <c r="K3739" s="42">
        <v>0</v>
      </c>
    </row>
    <row r="3740" spans="1:11" x14ac:dyDescent="0.25">
      <c r="A3740" s="24" t="s">
        <v>7</v>
      </c>
      <c r="B3740" s="24" t="s">
        <v>18856</v>
      </c>
      <c r="C3740" s="25" t="s">
        <v>17334</v>
      </c>
      <c r="D3740" s="24" t="s">
        <v>22355</v>
      </c>
      <c r="G3740" s="40">
        <v>5</v>
      </c>
      <c r="H3740" s="41">
        <v>225</v>
      </c>
      <c r="J3740" s="41">
        <v>45</v>
      </c>
    </row>
    <row r="3741" spans="1:11" x14ac:dyDescent="0.25">
      <c r="A3741" s="24" t="s">
        <v>7</v>
      </c>
      <c r="B3741" s="24" t="s">
        <v>18859</v>
      </c>
      <c r="C3741" s="25" t="s">
        <v>4072</v>
      </c>
      <c r="D3741" s="24" t="s">
        <v>21486</v>
      </c>
      <c r="G3741" s="40">
        <v>1</v>
      </c>
      <c r="H3741" s="41">
        <v>45</v>
      </c>
      <c r="J3741" s="41">
        <v>45</v>
      </c>
    </row>
    <row r="3742" spans="1:11" x14ac:dyDescent="0.25">
      <c r="A3742" s="24" t="s">
        <v>7</v>
      </c>
      <c r="B3742" s="24" t="s">
        <v>18865</v>
      </c>
      <c r="C3742" s="25" t="s">
        <v>4075</v>
      </c>
      <c r="D3742" s="24" t="s">
        <v>21487</v>
      </c>
      <c r="G3742" s="40">
        <v>23</v>
      </c>
      <c r="H3742" s="41">
        <v>1035</v>
      </c>
      <c r="J3742" s="41">
        <v>45</v>
      </c>
    </row>
    <row r="3743" spans="1:11" x14ac:dyDescent="0.25">
      <c r="A3743" s="24" t="s">
        <v>7</v>
      </c>
      <c r="B3743" s="24" t="s">
        <v>18867</v>
      </c>
      <c r="C3743" s="25" t="s">
        <v>17525</v>
      </c>
      <c r="D3743" s="24" t="s">
        <v>22564</v>
      </c>
      <c r="G3743" s="40">
        <v>17</v>
      </c>
      <c r="H3743" s="41">
        <v>1326</v>
      </c>
      <c r="J3743" s="41">
        <v>78</v>
      </c>
    </row>
    <row r="3744" spans="1:11" x14ac:dyDescent="0.25">
      <c r="A3744" s="24" t="s">
        <v>7</v>
      </c>
      <c r="B3744" s="24" t="s">
        <v>18868</v>
      </c>
      <c r="C3744" s="25" t="s">
        <v>17528</v>
      </c>
      <c r="D3744" s="24" t="s">
        <v>22565</v>
      </c>
      <c r="G3744" s="40">
        <v>4</v>
      </c>
      <c r="H3744" s="41">
        <v>440</v>
      </c>
      <c r="J3744" s="41">
        <v>110</v>
      </c>
    </row>
    <row r="3745" spans="1:11" x14ac:dyDescent="0.25">
      <c r="A3745" s="24" t="s">
        <v>7</v>
      </c>
      <c r="B3745" s="24" t="s">
        <v>18874</v>
      </c>
      <c r="C3745" s="25" t="s">
        <v>17473</v>
      </c>
      <c r="D3745" s="24" t="s">
        <v>22560</v>
      </c>
      <c r="E3745" s="40">
        <v>71</v>
      </c>
      <c r="F3745" s="41">
        <v>24424</v>
      </c>
      <c r="G3745" s="40">
        <v>155</v>
      </c>
      <c r="H3745" s="41">
        <v>53320</v>
      </c>
      <c r="I3745" s="41">
        <v>344</v>
      </c>
      <c r="J3745" s="41">
        <v>344</v>
      </c>
      <c r="K3745" s="42">
        <v>0</v>
      </c>
    </row>
    <row r="3746" spans="1:11" x14ac:dyDescent="0.25">
      <c r="A3746" s="24" t="s">
        <v>7</v>
      </c>
      <c r="B3746" s="24" t="s">
        <v>18875</v>
      </c>
      <c r="C3746" s="25" t="s">
        <v>17458</v>
      </c>
      <c r="D3746" s="24" t="s">
        <v>22563</v>
      </c>
      <c r="E3746" s="40">
        <v>14</v>
      </c>
      <c r="F3746" s="41">
        <v>1260</v>
      </c>
      <c r="G3746" s="40">
        <v>10</v>
      </c>
      <c r="H3746" s="41">
        <v>900</v>
      </c>
      <c r="I3746" s="41">
        <v>90</v>
      </c>
      <c r="J3746" s="41">
        <v>90</v>
      </c>
      <c r="K3746" s="42">
        <v>0</v>
      </c>
    </row>
    <row r="3747" spans="1:11" x14ac:dyDescent="0.25">
      <c r="A3747" s="24" t="s">
        <v>7</v>
      </c>
      <c r="B3747" s="24" t="s">
        <v>18879</v>
      </c>
      <c r="C3747" s="25" t="s">
        <v>18880</v>
      </c>
      <c r="D3747" s="24" t="s">
        <v>22566</v>
      </c>
      <c r="G3747" s="40">
        <v>4</v>
      </c>
      <c r="H3747" s="41">
        <v>220</v>
      </c>
      <c r="J3747" s="41">
        <v>55</v>
      </c>
    </row>
    <row r="3748" spans="1:11" x14ac:dyDescent="0.25">
      <c r="A3748" s="24" t="s">
        <v>7</v>
      </c>
      <c r="B3748" s="24" t="s">
        <v>18882</v>
      </c>
      <c r="C3748" s="25" t="s">
        <v>18883</v>
      </c>
      <c r="D3748" s="24" t="s">
        <v>22567</v>
      </c>
      <c r="G3748" s="40">
        <v>119</v>
      </c>
      <c r="H3748" s="41">
        <v>5355</v>
      </c>
      <c r="J3748" s="41">
        <v>45</v>
      </c>
    </row>
    <row r="3749" spans="1:11" x14ac:dyDescent="0.25">
      <c r="A3749" s="24" t="s">
        <v>7</v>
      </c>
      <c r="B3749" s="24" t="s">
        <v>18885</v>
      </c>
      <c r="C3749" s="25" t="s">
        <v>18886</v>
      </c>
      <c r="D3749" s="24" t="s">
        <v>22568</v>
      </c>
      <c r="G3749" s="40">
        <v>5</v>
      </c>
      <c r="H3749" s="41">
        <v>550</v>
      </c>
      <c r="J3749" s="41">
        <v>110</v>
      </c>
    </row>
    <row r="3750" spans="1:11" x14ac:dyDescent="0.25">
      <c r="A3750" s="24" t="s">
        <v>7</v>
      </c>
      <c r="B3750" s="24" t="s">
        <v>18888</v>
      </c>
      <c r="C3750" s="25" t="s">
        <v>17056</v>
      </c>
      <c r="D3750" s="24" t="s">
        <v>22569</v>
      </c>
      <c r="G3750" s="40">
        <v>2</v>
      </c>
      <c r="H3750" s="41">
        <v>4080</v>
      </c>
      <c r="J3750" s="41">
        <v>2040</v>
      </c>
    </row>
    <row r="3751" spans="1:11" x14ac:dyDescent="0.25">
      <c r="A3751" s="24" t="s">
        <v>7</v>
      </c>
      <c r="B3751" s="24" t="s">
        <v>18891</v>
      </c>
      <c r="C3751" s="25" t="s">
        <v>15518</v>
      </c>
      <c r="D3751" s="24" t="s">
        <v>22331</v>
      </c>
      <c r="G3751" s="40">
        <v>7</v>
      </c>
      <c r="H3751" s="41">
        <v>16380</v>
      </c>
      <c r="J3751" s="41">
        <v>2340</v>
      </c>
    </row>
    <row r="3752" spans="1:11" x14ac:dyDescent="0.25">
      <c r="A3752" s="24" t="s">
        <v>7</v>
      </c>
      <c r="B3752" s="24" t="s">
        <v>18897</v>
      </c>
      <c r="C3752" s="25" t="s">
        <v>18898</v>
      </c>
      <c r="D3752" s="24" t="s">
        <v>22331</v>
      </c>
      <c r="G3752" s="40">
        <v>1</v>
      </c>
      <c r="H3752" s="41">
        <v>1463</v>
      </c>
      <c r="J3752" s="41">
        <v>1463</v>
      </c>
    </row>
    <row r="3753" spans="1:11" x14ac:dyDescent="0.25">
      <c r="A3753" s="24" t="s">
        <v>7</v>
      </c>
      <c r="B3753" s="24" t="s">
        <v>18906</v>
      </c>
      <c r="C3753" s="25" t="s">
        <v>18907</v>
      </c>
      <c r="D3753" s="24" t="s">
        <v>22331</v>
      </c>
      <c r="G3753" s="40">
        <v>1</v>
      </c>
      <c r="H3753" s="41">
        <v>3500</v>
      </c>
      <c r="J3753" s="41">
        <v>3500</v>
      </c>
    </row>
    <row r="3754" spans="1:11" x14ac:dyDescent="0.25">
      <c r="A3754" s="24" t="s">
        <v>7</v>
      </c>
      <c r="B3754" s="24" t="s">
        <v>18912</v>
      </c>
      <c r="C3754" s="25" t="s">
        <v>18913</v>
      </c>
      <c r="D3754" s="24" t="s">
        <v>22570</v>
      </c>
      <c r="G3754" s="40">
        <v>10</v>
      </c>
      <c r="H3754" s="41">
        <v>480</v>
      </c>
      <c r="J3754" s="41">
        <v>48</v>
      </c>
    </row>
    <row r="3755" spans="1:11" x14ac:dyDescent="0.25">
      <c r="A3755" s="24" t="s">
        <v>7</v>
      </c>
      <c r="B3755" s="24" t="s">
        <v>18915</v>
      </c>
      <c r="C3755" s="25" t="s">
        <v>17084</v>
      </c>
      <c r="D3755" s="24" t="s">
        <v>22571</v>
      </c>
      <c r="G3755" s="40">
        <v>42</v>
      </c>
      <c r="H3755" s="41">
        <v>10332</v>
      </c>
      <c r="J3755" s="41">
        <v>246</v>
      </c>
    </row>
    <row r="3756" spans="1:11" x14ac:dyDescent="0.25">
      <c r="A3756" s="24" t="s">
        <v>7</v>
      </c>
      <c r="B3756" s="24" t="s">
        <v>18916</v>
      </c>
      <c r="C3756" s="25" t="s">
        <v>18917</v>
      </c>
      <c r="D3756" s="24" t="s">
        <v>22572</v>
      </c>
      <c r="G3756" s="40">
        <v>20</v>
      </c>
      <c r="H3756" s="41">
        <v>4920</v>
      </c>
      <c r="J3756" s="41">
        <v>246</v>
      </c>
    </row>
    <row r="3757" spans="1:11" x14ac:dyDescent="0.25">
      <c r="A3757" s="24" t="s">
        <v>7</v>
      </c>
      <c r="B3757" s="24" t="s">
        <v>18919</v>
      </c>
      <c r="C3757" s="25" t="s">
        <v>18920</v>
      </c>
      <c r="D3757" s="24" t="s">
        <v>22570</v>
      </c>
      <c r="G3757" s="40">
        <v>7</v>
      </c>
      <c r="H3757" s="41">
        <v>1015</v>
      </c>
      <c r="J3757" s="41">
        <v>145</v>
      </c>
    </row>
    <row r="3758" spans="1:11" x14ac:dyDescent="0.25">
      <c r="A3758" s="24" t="s">
        <v>7</v>
      </c>
      <c r="B3758" s="24" t="s">
        <v>18922</v>
      </c>
      <c r="C3758" s="25" t="s">
        <v>18923</v>
      </c>
      <c r="D3758" s="24" t="s">
        <v>22570</v>
      </c>
      <c r="G3758" s="40">
        <v>1</v>
      </c>
      <c r="H3758" s="41">
        <v>170</v>
      </c>
      <c r="J3758" s="41">
        <v>170</v>
      </c>
    </row>
    <row r="3759" spans="1:11" x14ac:dyDescent="0.25">
      <c r="A3759" s="24" t="s">
        <v>7</v>
      </c>
      <c r="B3759" s="24" t="s">
        <v>18928</v>
      </c>
      <c r="C3759" s="25" t="s">
        <v>18929</v>
      </c>
      <c r="D3759" s="24" t="s">
        <v>21486</v>
      </c>
      <c r="G3759" s="40">
        <v>7</v>
      </c>
      <c r="H3759" s="41">
        <v>315</v>
      </c>
      <c r="J3759" s="41">
        <v>45</v>
      </c>
    </row>
    <row r="3760" spans="1:11" x14ac:dyDescent="0.25">
      <c r="A3760" s="24" t="s">
        <v>7</v>
      </c>
      <c r="B3760" s="24" t="s">
        <v>18937</v>
      </c>
      <c r="C3760" s="25" t="s">
        <v>18938</v>
      </c>
      <c r="D3760" s="24" t="s">
        <v>22331</v>
      </c>
      <c r="G3760" s="40">
        <v>1</v>
      </c>
      <c r="H3760" s="41">
        <v>1530</v>
      </c>
      <c r="J3760" s="41">
        <v>1530</v>
      </c>
    </row>
    <row r="3761" spans="1:11" x14ac:dyDescent="0.25">
      <c r="A3761" s="24" t="s">
        <v>7</v>
      </c>
      <c r="B3761" s="24" t="s">
        <v>18957</v>
      </c>
      <c r="C3761" s="25" t="s">
        <v>18958</v>
      </c>
      <c r="D3761" s="24" t="s">
        <v>21274</v>
      </c>
      <c r="G3761" s="40">
        <v>4</v>
      </c>
      <c r="H3761" s="41">
        <v>12808.5</v>
      </c>
      <c r="J3761" s="41">
        <v>3202.125</v>
      </c>
    </row>
    <row r="3762" spans="1:11" x14ac:dyDescent="0.25">
      <c r="A3762" s="24" t="s">
        <v>7</v>
      </c>
      <c r="B3762" s="24" t="s">
        <v>18962</v>
      </c>
      <c r="C3762" s="25" t="s">
        <v>18963</v>
      </c>
      <c r="D3762" s="24" t="s">
        <v>21274</v>
      </c>
      <c r="E3762" s="40">
        <v>7</v>
      </c>
      <c r="F3762" s="41">
        <v>42263</v>
      </c>
      <c r="G3762" s="40">
        <v>3</v>
      </c>
      <c r="H3762" s="41">
        <v>12348</v>
      </c>
      <c r="I3762" s="41">
        <v>6037.5714285714284</v>
      </c>
      <c r="J3762" s="41">
        <v>4116</v>
      </c>
      <c r="K3762" s="42">
        <v>-0.31826893500224779</v>
      </c>
    </row>
    <row r="3763" spans="1:11" x14ac:dyDescent="0.25">
      <c r="A3763" s="24" t="s">
        <v>7</v>
      </c>
      <c r="B3763" s="24" t="s">
        <v>18974</v>
      </c>
      <c r="C3763" s="25" t="s">
        <v>18975</v>
      </c>
      <c r="D3763" s="24" t="s">
        <v>22573</v>
      </c>
      <c r="E3763" s="40">
        <v>149</v>
      </c>
      <c r="F3763" s="41">
        <v>53832</v>
      </c>
      <c r="G3763" s="40">
        <v>124</v>
      </c>
      <c r="H3763" s="41">
        <v>56703</v>
      </c>
      <c r="I3763" s="41">
        <v>361.28859060402687</v>
      </c>
      <c r="J3763" s="41">
        <v>457.28225806451616</v>
      </c>
      <c r="K3763" s="42">
        <v>0.26569803186975971</v>
      </c>
    </row>
    <row r="3764" spans="1:11" x14ac:dyDescent="0.25">
      <c r="A3764" s="24" t="s">
        <v>7</v>
      </c>
      <c r="B3764" s="24" t="s">
        <v>18977</v>
      </c>
      <c r="C3764" s="25" t="s">
        <v>18978</v>
      </c>
      <c r="D3764" s="24" t="s">
        <v>22574</v>
      </c>
      <c r="G3764" s="40">
        <v>3</v>
      </c>
      <c r="H3764" s="41">
        <v>3597</v>
      </c>
      <c r="J3764" s="41">
        <v>1199</v>
      </c>
    </row>
    <row r="3765" spans="1:11" x14ac:dyDescent="0.25">
      <c r="A3765" s="24" t="s">
        <v>7</v>
      </c>
      <c r="B3765" s="24" t="s">
        <v>18981</v>
      </c>
      <c r="C3765" s="25" t="s">
        <v>18982</v>
      </c>
      <c r="D3765" s="24" t="s">
        <v>21276</v>
      </c>
      <c r="E3765" s="40">
        <v>4</v>
      </c>
      <c r="F3765" s="41">
        <v>11428</v>
      </c>
      <c r="G3765" s="40">
        <v>0</v>
      </c>
      <c r="H3765" s="41">
        <v>0</v>
      </c>
      <c r="I3765" s="41">
        <v>2857</v>
      </c>
    </row>
    <row r="3766" spans="1:11" x14ac:dyDescent="0.25">
      <c r="A3766" s="24" t="s">
        <v>7</v>
      </c>
      <c r="B3766" s="24" t="s">
        <v>18991</v>
      </c>
      <c r="C3766" s="25" t="s">
        <v>18992</v>
      </c>
      <c r="D3766" s="24" t="s">
        <v>21300</v>
      </c>
      <c r="E3766" s="40">
        <v>26</v>
      </c>
      <c r="F3766" s="41">
        <v>45207</v>
      </c>
      <c r="G3766" s="40">
        <v>32</v>
      </c>
      <c r="H3766" s="41">
        <v>37914</v>
      </c>
      <c r="I3766" s="41">
        <v>1738.7307692307693</v>
      </c>
      <c r="J3766" s="41">
        <v>1184.8125</v>
      </c>
      <c r="K3766" s="42">
        <v>-0.31857621607273212</v>
      </c>
    </row>
    <row r="3767" spans="1:11" x14ac:dyDescent="0.25">
      <c r="A3767" s="24" t="s">
        <v>7</v>
      </c>
      <c r="B3767" s="24" t="s">
        <v>18993</v>
      </c>
      <c r="C3767" s="25" t="s">
        <v>18994</v>
      </c>
      <c r="D3767" s="24" t="s">
        <v>22575</v>
      </c>
      <c r="E3767" s="40">
        <v>63</v>
      </c>
      <c r="F3767" s="41">
        <v>60323</v>
      </c>
      <c r="G3767" s="40">
        <v>55</v>
      </c>
      <c r="H3767" s="41">
        <v>61429</v>
      </c>
      <c r="I3767" s="41">
        <v>957.50793650793651</v>
      </c>
      <c r="J3767" s="41">
        <v>1116.8909090909092</v>
      </c>
      <c r="K3767" s="42">
        <v>0.16645603290166736</v>
      </c>
    </row>
    <row r="3768" spans="1:11" x14ac:dyDescent="0.25">
      <c r="A3768" s="24" t="s">
        <v>7</v>
      </c>
      <c r="B3768" s="24" t="s">
        <v>19000</v>
      </c>
      <c r="C3768" s="25" t="s">
        <v>19001</v>
      </c>
      <c r="D3768" s="24" t="s">
        <v>22576</v>
      </c>
      <c r="E3768" s="40">
        <v>88</v>
      </c>
      <c r="F3768" s="41">
        <v>312576</v>
      </c>
      <c r="G3768" s="40">
        <v>195</v>
      </c>
      <c r="H3768" s="41">
        <v>640608</v>
      </c>
      <c r="I3768" s="41">
        <v>3552</v>
      </c>
      <c r="J3768" s="41">
        <v>3285.1692307692306</v>
      </c>
      <c r="K3768" s="42">
        <v>-7.5121275121275172E-2</v>
      </c>
    </row>
    <row r="3769" spans="1:11" x14ac:dyDescent="0.25">
      <c r="A3769" s="24" t="s">
        <v>7</v>
      </c>
      <c r="B3769" s="24" t="s">
        <v>19002</v>
      </c>
      <c r="C3769" s="25" t="s">
        <v>19003</v>
      </c>
      <c r="D3769" s="24" t="s">
        <v>21274</v>
      </c>
      <c r="G3769" s="40">
        <v>47</v>
      </c>
      <c r="H3769" s="41">
        <v>136676</v>
      </c>
      <c r="J3769" s="41">
        <v>2908</v>
      </c>
    </row>
    <row r="3770" spans="1:11" x14ac:dyDescent="0.25">
      <c r="A3770" s="24" t="s">
        <v>7</v>
      </c>
      <c r="B3770" s="24" t="s">
        <v>19004</v>
      </c>
      <c r="C3770" s="25" t="s">
        <v>19005</v>
      </c>
      <c r="D3770" s="24" t="s">
        <v>21305</v>
      </c>
      <c r="E3770" s="40">
        <v>110</v>
      </c>
      <c r="F3770" s="41">
        <v>122815</v>
      </c>
      <c r="G3770" s="40">
        <v>109</v>
      </c>
      <c r="H3770" s="41">
        <v>119592</v>
      </c>
      <c r="I3770" s="41">
        <v>1116.5</v>
      </c>
      <c r="J3770" s="41">
        <v>1097.1743119266055</v>
      </c>
      <c r="K3770" s="42">
        <v>-1.7309169792561155E-2</v>
      </c>
    </row>
    <row r="3771" spans="1:11" x14ac:dyDescent="0.25">
      <c r="A3771" s="24" t="s">
        <v>7</v>
      </c>
      <c r="B3771" s="24" t="s">
        <v>19012</v>
      </c>
      <c r="C3771" s="25" t="s">
        <v>19013</v>
      </c>
      <c r="D3771" s="24" t="s">
        <v>21276</v>
      </c>
      <c r="G3771" s="40">
        <v>10</v>
      </c>
      <c r="H3771" s="41">
        <v>356090</v>
      </c>
      <c r="J3771" s="41">
        <v>35609</v>
      </c>
    </row>
    <row r="3772" spans="1:11" x14ac:dyDescent="0.25">
      <c r="A3772" s="24" t="s">
        <v>7</v>
      </c>
      <c r="B3772" s="24" t="s">
        <v>19018</v>
      </c>
      <c r="C3772" s="25" t="s">
        <v>19019</v>
      </c>
      <c r="D3772" s="24" t="s">
        <v>22577</v>
      </c>
      <c r="E3772" s="40">
        <v>61</v>
      </c>
      <c r="F3772" s="41">
        <v>267080</v>
      </c>
      <c r="G3772" s="40">
        <v>67</v>
      </c>
      <c r="H3772" s="41">
        <v>304314</v>
      </c>
      <c r="I3772" s="41">
        <v>4378.3606557377052</v>
      </c>
      <c r="J3772" s="41">
        <v>4542</v>
      </c>
      <c r="K3772" s="42">
        <v>3.7374569417402956E-2</v>
      </c>
    </row>
    <row r="3773" spans="1:11" x14ac:dyDescent="0.25">
      <c r="A3773" s="24" t="s">
        <v>7</v>
      </c>
      <c r="B3773" s="24" t="s">
        <v>19021</v>
      </c>
      <c r="C3773" s="25" t="s">
        <v>19022</v>
      </c>
      <c r="D3773" s="24" t="s">
        <v>21305</v>
      </c>
      <c r="E3773" s="40">
        <v>29</v>
      </c>
      <c r="F3773" s="41">
        <v>15333</v>
      </c>
      <c r="G3773" s="40">
        <v>8</v>
      </c>
      <c r="H3773" s="41">
        <v>5064</v>
      </c>
      <c r="I3773" s="41">
        <v>528.72413793103453</v>
      </c>
      <c r="J3773" s="41">
        <v>633</v>
      </c>
      <c r="K3773" s="42">
        <v>0.19722167873214624</v>
      </c>
    </row>
    <row r="3774" spans="1:11" x14ac:dyDescent="0.25">
      <c r="A3774" s="24" t="s">
        <v>7</v>
      </c>
      <c r="B3774" s="24" t="s">
        <v>19026</v>
      </c>
      <c r="C3774" s="25" t="s">
        <v>19025</v>
      </c>
      <c r="D3774" s="24" t="s">
        <v>22578</v>
      </c>
      <c r="E3774" s="40">
        <v>37</v>
      </c>
      <c r="F3774" s="41">
        <v>2919</v>
      </c>
      <c r="G3774" s="40">
        <v>55</v>
      </c>
      <c r="H3774" s="41">
        <v>4630</v>
      </c>
      <c r="I3774" s="41">
        <v>78.891891891891888</v>
      </c>
      <c r="J3774" s="41">
        <v>84.181818181818187</v>
      </c>
      <c r="K3774" s="42">
        <v>6.7052851225513216E-2</v>
      </c>
    </row>
    <row r="3775" spans="1:11" x14ac:dyDescent="0.25">
      <c r="A3775" s="24" t="s">
        <v>7</v>
      </c>
      <c r="B3775" s="24" t="s">
        <v>19027</v>
      </c>
      <c r="C3775" s="25" t="s">
        <v>19028</v>
      </c>
      <c r="D3775" s="24" t="s">
        <v>21305</v>
      </c>
      <c r="E3775" s="40">
        <v>20</v>
      </c>
      <c r="F3775" s="41">
        <v>24900</v>
      </c>
      <c r="G3775" s="40">
        <v>22</v>
      </c>
      <c r="H3775" s="41">
        <v>25286</v>
      </c>
      <c r="I3775" s="41">
        <v>1245</v>
      </c>
      <c r="J3775" s="41">
        <v>1149.3636363636363</v>
      </c>
      <c r="K3775" s="42">
        <v>-7.6816356334428709E-2</v>
      </c>
    </row>
    <row r="3776" spans="1:11" x14ac:dyDescent="0.25">
      <c r="A3776" s="24" t="s">
        <v>7</v>
      </c>
      <c r="B3776" s="24" t="s">
        <v>19036</v>
      </c>
      <c r="C3776" s="25" t="s">
        <v>19037</v>
      </c>
      <c r="D3776" s="24" t="s">
        <v>21307</v>
      </c>
      <c r="E3776" s="40">
        <v>48</v>
      </c>
      <c r="F3776" s="41">
        <v>1204008</v>
      </c>
      <c r="G3776" s="40">
        <v>51</v>
      </c>
      <c r="H3776" s="41">
        <v>852195</v>
      </c>
      <c r="I3776" s="41">
        <v>25083.5</v>
      </c>
      <c r="J3776" s="41">
        <v>16709.705882352941</v>
      </c>
      <c r="K3776" s="42">
        <v>-0.33383674996101259</v>
      </c>
    </row>
    <row r="3777" spans="1:11" x14ac:dyDescent="0.25">
      <c r="A3777" s="24" t="s">
        <v>7</v>
      </c>
      <c r="B3777" s="24" t="s">
        <v>19039</v>
      </c>
      <c r="C3777" s="25" t="s">
        <v>19040</v>
      </c>
      <c r="D3777" s="24" t="s">
        <v>21299</v>
      </c>
      <c r="G3777" s="40">
        <v>2</v>
      </c>
      <c r="H3777" s="41">
        <v>1556</v>
      </c>
      <c r="J3777" s="41">
        <v>778</v>
      </c>
    </row>
    <row r="3778" spans="1:11" x14ac:dyDescent="0.25">
      <c r="A3778" s="24" t="s">
        <v>7</v>
      </c>
      <c r="B3778" s="24" t="s">
        <v>19043</v>
      </c>
      <c r="C3778" s="25" t="s">
        <v>19044</v>
      </c>
      <c r="D3778" s="24" t="s">
        <v>21307</v>
      </c>
      <c r="G3778" s="40">
        <v>5</v>
      </c>
      <c r="H3778" s="41">
        <v>59699</v>
      </c>
      <c r="J3778" s="41">
        <v>11939.8</v>
      </c>
    </row>
    <row r="3779" spans="1:11" x14ac:dyDescent="0.25">
      <c r="A3779" s="24" t="s">
        <v>7</v>
      </c>
      <c r="B3779" s="24" t="s">
        <v>19058</v>
      </c>
      <c r="C3779" s="25" t="s">
        <v>19059</v>
      </c>
      <c r="D3779" s="24" t="s">
        <v>22575</v>
      </c>
      <c r="G3779" s="40">
        <v>1</v>
      </c>
      <c r="H3779" s="41">
        <v>1777</v>
      </c>
      <c r="J3779" s="41">
        <v>1777</v>
      </c>
    </row>
    <row r="3780" spans="1:11" x14ac:dyDescent="0.25">
      <c r="A3780" s="24" t="s">
        <v>7</v>
      </c>
      <c r="B3780" s="24" t="s">
        <v>19067</v>
      </c>
      <c r="C3780" s="25" t="s">
        <v>19068</v>
      </c>
      <c r="D3780" s="24" t="s">
        <v>22573</v>
      </c>
      <c r="E3780" s="40">
        <v>9</v>
      </c>
      <c r="F3780" s="41">
        <v>44784</v>
      </c>
      <c r="G3780" s="40">
        <v>7</v>
      </c>
      <c r="H3780" s="41">
        <v>35714</v>
      </c>
      <c r="I3780" s="41">
        <v>4976</v>
      </c>
      <c r="J3780" s="41">
        <v>5102</v>
      </c>
      <c r="K3780" s="42">
        <v>2.5321543408360129E-2</v>
      </c>
    </row>
    <row r="3781" spans="1:11" x14ac:dyDescent="0.25">
      <c r="A3781" s="24" t="s">
        <v>7</v>
      </c>
      <c r="B3781" s="24" t="s">
        <v>19073</v>
      </c>
      <c r="C3781" s="25" t="s">
        <v>19074</v>
      </c>
      <c r="D3781" s="24" t="s">
        <v>21299</v>
      </c>
      <c r="E3781" s="40">
        <v>25</v>
      </c>
      <c r="F3781" s="41">
        <v>40701.21</v>
      </c>
      <c r="G3781" s="40">
        <v>29</v>
      </c>
      <c r="H3781" s="41">
        <v>40348</v>
      </c>
      <c r="I3781" s="41">
        <v>1628.0483999999999</v>
      </c>
      <c r="J3781" s="41">
        <v>1391.3103448275863</v>
      </c>
      <c r="K3781" s="42">
        <v>-0.14541217274155585</v>
      </c>
    </row>
    <row r="3782" spans="1:11" x14ac:dyDescent="0.25">
      <c r="A3782" s="24" t="s">
        <v>7</v>
      </c>
      <c r="B3782" s="24" t="s">
        <v>19076</v>
      </c>
      <c r="C3782" s="25" t="s">
        <v>19077</v>
      </c>
      <c r="D3782" s="24" t="s">
        <v>21299</v>
      </c>
      <c r="E3782" s="40">
        <v>21</v>
      </c>
      <c r="F3782" s="41">
        <v>13524</v>
      </c>
      <c r="G3782" s="40">
        <v>149</v>
      </c>
      <c r="H3782" s="41">
        <v>106746</v>
      </c>
      <c r="I3782" s="41">
        <v>644</v>
      </c>
      <c r="J3782" s="41">
        <v>716.41610738255031</v>
      </c>
      <c r="K3782" s="42">
        <v>0.11244737171203464</v>
      </c>
    </row>
    <row r="3783" spans="1:11" x14ac:dyDescent="0.25">
      <c r="A3783" s="24" t="s">
        <v>7</v>
      </c>
      <c r="B3783" s="24" t="s">
        <v>19079</v>
      </c>
      <c r="C3783" s="25" t="s">
        <v>19080</v>
      </c>
      <c r="D3783" s="24" t="s">
        <v>21299</v>
      </c>
      <c r="G3783" s="40">
        <v>38</v>
      </c>
      <c r="H3783" s="41">
        <v>27052</v>
      </c>
      <c r="J3783" s="41">
        <v>711.89473684210532</v>
      </c>
    </row>
    <row r="3784" spans="1:11" x14ac:dyDescent="0.25">
      <c r="A3784" s="24" t="s">
        <v>7</v>
      </c>
      <c r="B3784" s="24" t="s">
        <v>19082</v>
      </c>
      <c r="C3784" s="25" t="s">
        <v>19083</v>
      </c>
      <c r="D3784" s="24" t="s">
        <v>22579</v>
      </c>
      <c r="E3784" s="40">
        <v>2</v>
      </c>
      <c r="F3784" s="41">
        <v>1770</v>
      </c>
      <c r="G3784" s="40">
        <v>5</v>
      </c>
      <c r="H3784" s="41">
        <v>4425</v>
      </c>
      <c r="I3784" s="41">
        <v>885</v>
      </c>
      <c r="J3784" s="41">
        <v>885</v>
      </c>
      <c r="K3784" s="42">
        <v>0</v>
      </c>
    </row>
    <row r="3785" spans="1:11" x14ac:dyDescent="0.25">
      <c r="A3785" s="24" t="s">
        <v>7</v>
      </c>
      <c r="B3785" s="24" t="s">
        <v>19085</v>
      </c>
      <c r="C3785" s="25" t="s">
        <v>19086</v>
      </c>
      <c r="D3785" s="24" t="s">
        <v>22579</v>
      </c>
      <c r="E3785" s="40">
        <v>1</v>
      </c>
      <c r="F3785" s="41">
        <v>44283</v>
      </c>
      <c r="G3785" s="40">
        <v>15</v>
      </c>
      <c r="H3785" s="41">
        <v>592731</v>
      </c>
      <c r="I3785" s="41">
        <v>44283</v>
      </c>
      <c r="J3785" s="41">
        <v>39515.4</v>
      </c>
      <c r="K3785" s="42">
        <v>-0.10766208251473475</v>
      </c>
    </row>
    <row r="3786" spans="1:11" x14ac:dyDescent="0.25">
      <c r="A3786" s="24" t="s">
        <v>7</v>
      </c>
      <c r="B3786" s="24" t="s">
        <v>19090</v>
      </c>
      <c r="C3786" s="25" t="s">
        <v>19091</v>
      </c>
      <c r="D3786" s="24" t="s">
        <v>21307</v>
      </c>
      <c r="G3786" s="40">
        <v>3</v>
      </c>
      <c r="H3786" s="41">
        <v>30966</v>
      </c>
      <c r="J3786" s="41">
        <v>10322</v>
      </c>
    </row>
    <row r="3787" spans="1:11" x14ac:dyDescent="0.25">
      <c r="A3787" s="24" t="s">
        <v>7</v>
      </c>
      <c r="B3787" s="24" t="s">
        <v>19093</v>
      </c>
      <c r="C3787" s="25" t="s">
        <v>19094</v>
      </c>
      <c r="D3787" s="24" t="s">
        <v>22579</v>
      </c>
      <c r="E3787" s="40">
        <v>9</v>
      </c>
      <c r="F3787" s="41">
        <v>13314</v>
      </c>
      <c r="G3787" s="40">
        <v>15</v>
      </c>
      <c r="H3787" s="41">
        <v>18220</v>
      </c>
      <c r="I3787" s="41">
        <v>1479.3333333333333</v>
      </c>
      <c r="J3787" s="41">
        <v>1214.6666666666667</v>
      </c>
      <c r="K3787" s="42">
        <v>-0.17890941865705262</v>
      </c>
    </row>
    <row r="3788" spans="1:11" x14ac:dyDescent="0.25">
      <c r="A3788" s="24" t="s">
        <v>7</v>
      </c>
      <c r="B3788" s="24" t="s">
        <v>19099</v>
      </c>
      <c r="C3788" s="25" t="s">
        <v>19100</v>
      </c>
      <c r="D3788" s="24" t="s">
        <v>22580</v>
      </c>
      <c r="E3788" s="40">
        <v>4</v>
      </c>
      <c r="F3788" s="41">
        <v>74549.67</v>
      </c>
      <c r="G3788" s="40">
        <v>14</v>
      </c>
      <c r="H3788" s="41">
        <v>228756</v>
      </c>
      <c r="I3788" s="41">
        <v>18637.4175</v>
      </c>
      <c r="J3788" s="41">
        <v>16339.714285714286</v>
      </c>
      <c r="K3788" s="42">
        <v>-0.12328442040243577</v>
      </c>
    </row>
    <row r="3789" spans="1:11" x14ac:dyDescent="0.25">
      <c r="A3789" s="24" t="s">
        <v>7</v>
      </c>
      <c r="B3789" s="24" t="s">
        <v>19105</v>
      </c>
      <c r="C3789" s="25" t="s">
        <v>19106</v>
      </c>
      <c r="D3789" s="24" t="s">
        <v>22581</v>
      </c>
      <c r="G3789" s="40">
        <v>1</v>
      </c>
      <c r="H3789" s="41">
        <v>677</v>
      </c>
      <c r="J3789" s="41">
        <v>677</v>
      </c>
    </row>
    <row r="3790" spans="1:11" x14ac:dyDescent="0.25">
      <c r="A3790" s="24" t="s">
        <v>7</v>
      </c>
      <c r="B3790" s="24" t="s">
        <v>19108</v>
      </c>
      <c r="C3790" s="25" t="s">
        <v>19109</v>
      </c>
      <c r="D3790" s="24" t="s">
        <v>21307</v>
      </c>
      <c r="G3790" s="40">
        <v>1</v>
      </c>
      <c r="H3790" s="41">
        <v>13200</v>
      </c>
      <c r="J3790" s="41">
        <v>13200</v>
      </c>
    </row>
    <row r="3791" spans="1:11" x14ac:dyDescent="0.25">
      <c r="A3791" s="24" t="s">
        <v>7</v>
      </c>
      <c r="B3791" s="24" t="s">
        <v>19111</v>
      </c>
      <c r="C3791" s="25" t="s">
        <v>19112</v>
      </c>
      <c r="D3791" s="24" t="s">
        <v>22575</v>
      </c>
      <c r="G3791" s="40">
        <v>3</v>
      </c>
      <c r="H3791" s="41">
        <v>14202</v>
      </c>
      <c r="J3791" s="41">
        <v>4734</v>
      </c>
    </row>
    <row r="3792" spans="1:11" x14ac:dyDescent="0.25">
      <c r="A3792" s="24" t="s">
        <v>7</v>
      </c>
      <c r="B3792" s="24" t="s">
        <v>19116</v>
      </c>
      <c r="C3792" s="25" t="s">
        <v>19117</v>
      </c>
      <c r="D3792" s="24" t="s">
        <v>21307</v>
      </c>
      <c r="G3792" s="40">
        <v>2</v>
      </c>
      <c r="H3792" s="41">
        <v>24521.72</v>
      </c>
      <c r="J3792" s="41">
        <v>12260.86</v>
      </c>
    </row>
    <row r="3793" spans="1:11" x14ac:dyDescent="0.25">
      <c r="A3793" s="24" t="s">
        <v>7</v>
      </c>
      <c r="B3793" s="24" t="s">
        <v>19119</v>
      </c>
      <c r="C3793" s="25" t="s">
        <v>19120</v>
      </c>
      <c r="D3793" s="24" t="s">
        <v>21307</v>
      </c>
      <c r="E3793" s="40">
        <v>4</v>
      </c>
      <c r="F3793" s="41">
        <v>63704</v>
      </c>
      <c r="G3793" s="40">
        <v>4</v>
      </c>
      <c r="H3793" s="41">
        <v>54650</v>
      </c>
      <c r="I3793" s="41">
        <v>15926</v>
      </c>
      <c r="J3793" s="41">
        <v>13662.5</v>
      </c>
      <c r="K3793" s="42">
        <v>-0.14212608313449704</v>
      </c>
    </row>
    <row r="3794" spans="1:11" x14ac:dyDescent="0.25">
      <c r="A3794" s="24" t="s">
        <v>7</v>
      </c>
      <c r="B3794" s="24" t="s">
        <v>19131</v>
      </c>
      <c r="C3794" s="25" t="s">
        <v>19132</v>
      </c>
      <c r="D3794" s="24" t="s">
        <v>21300</v>
      </c>
      <c r="E3794" s="40">
        <v>143</v>
      </c>
      <c r="F3794" s="41">
        <v>102516</v>
      </c>
      <c r="G3794" s="40">
        <v>142</v>
      </c>
      <c r="H3794" s="41">
        <v>81096</v>
      </c>
      <c r="I3794" s="41">
        <v>716.89510489510485</v>
      </c>
      <c r="J3794" s="41">
        <v>571.09859154929575</v>
      </c>
      <c r="K3794" s="42">
        <v>-0.20337217028025578</v>
      </c>
    </row>
    <row r="3795" spans="1:11" x14ac:dyDescent="0.25">
      <c r="A3795" s="24" t="s">
        <v>7</v>
      </c>
      <c r="B3795" s="24" t="s">
        <v>19134</v>
      </c>
      <c r="C3795" s="25" t="s">
        <v>19135</v>
      </c>
      <c r="D3795" s="24" t="s">
        <v>22582</v>
      </c>
      <c r="E3795" s="40">
        <v>1</v>
      </c>
      <c r="F3795" s="41">
        <v>16709</v>
      </c>
      <c r="G3795" s="40">
        <v>7</v>
      </c>
      <c r="H3795" s="41">
        <v>97319</v>
      </c>
      <c r="I3795" s="41">
        <v>16709</v>
      </c>
      <c r="J3795" s="41">
        <v>13902.714285714286</v>
      </c>
      <c r="K3795" s="42">
        <v>-0.16795054846404414</v>
      </c>
    </row>
    <row r="3796" spans="1:11" x14ac:dyDescent="0.25">
      <c r="A3796" s="24" t="s">
        <v>7</v>
      </c>
      <c r="B3796" s="24" t="s">
        <v>19140</v>
      </c>
      <c r="C3796" s="25" t="s">
        <v>19141</v>
      </c>
      <c r="D3796" s="24" t="s">
        <v>21299</v>
      </c>
      <c r="E3796" s="40">
        <v>345</v>
      </c>
      <c r="F3796" s="41">
        <v>303984</v>
      </c>
      <c r="G3796" s="40">
        <v>248</v>
      </c>
      <c r="H3796" s="41">
        <v>224845</v>
      </c>
      <c r="I3796" s="41">
        <v>881.11304347826092</v>
      </c>
      <c r="J3796" s="41">
        <v>906.63306451612902</v>
      </c>
      <c r="K3796" s="42">
        <v>2.8963390369442128E-2</v>
      </c>
    </row>
    <row r="3797" spans="1:11" x14ac:dyDescent="0.25">
      <c r="A3797" s="24" t="s">
        <v>7</v>
      </c>
      <c r="B3797" s="24" t="s">
        <v>19154</v>
      </c>
      <c r="C3797" s="25" t="s">
        <v>19155</v>
      </c>
      <c r="D3797" s="24" t="s">
        <v>21299</v>
      </c>
      <c r="E3797" s="40">
        <v>83</v>
      </c>
      <c r="F3797" s="41">
        <v>133164</v>
      </c>
      <c r="G3797" s="40">
        <v>164</v>
      </c>
      <c r="H3797" s="41">
        <v>240021</v>
      </c>
      <c r="I3797" s="41">
        <v>1604.3855421686746</v>
      </c>
      <c r="J3797" s="41">
        <v>1463.5426829268292</v>
      </c>
      <c r="K3797" s="42">
        <v>-8.778616831180476E-2</v>
      </c>
    </row>
    <row r="3798" spans="1:11" x14ac:dyDescent="0.25">
      <c r="A3798" s="24" t="s">
        <v>7</v>
      </c>
      <c r="B3798" s="24" t="s">
        <v>19157</v>
      </c>
      <c r="C3798" s="25" t="s">
        <v>19158</v>
      </c>
      <c r="D3798" s="24" t="s">
        <v>21307</v>
      </c>
      <c r="E3798" s="40">
        <v>12</v>
      </c>
      <c r="F3798" s="41">
        <v>66215</v>
      </c>
      <c r="G3798" s="40">
        <v>20</v>
      </c>
      <c r="H3798" s="41">
        <v>149310</v>
      </c>
      <c r="I3798" s="41">
        <v>5517.916666666667</v>
      </c>
      <c r="J3798" s="41">
        <v>7465.5</v>
      </c>
      <c r="K3798" s="42">
        <v>0.35295627878879399</v>
      </c>
    </row>
    <row r="3799" spans="1:11" x14ac:dyDescent="0.25">
      <c r="A3799" s="24" t="s">
        <v>7</v>
      </c>
      <c r="B3799" s="24" t="s">
        <v>19175</v>
      </c>
      <c r="C3799" s="25" t="s">
        <v>19176</v>
      </c>
      <c r="D3799" s="24" t="s">
        <v>21307</v>
      </c>
      <c r="E3799" s="40">
        <v>121</v>
      </c>
      <c r="F3799" s="41">
        <v>117748</v>
      </c>
      <c r="G3799" s="40">
        <v>241</v>
      </c>
      <c r="H3799" s="41">
        <v>226469</v>
      </c>
      <c r="I3799" s="41">
        <v>973.12396694214874</v>
      </c>
      <c r="J3799" s="41">
        <v>939.7053941908714</v>
      </c>
      <c r="K3799" s="42">
        <v>-3.4341537035911932E-2</v>
      </c>
    </row>
    <row r="3800" spans="1:11" x14ac:dyDescent="0.25">
      <c r="A3800" s="24" t="s">
        <v>7</v>
      </c>
      <c r="B3800" s="24" t="s">
        <v>19178</v>
      </c>
      <c r="C3800" s="25" t="s">
        <v>19179</v>
      </c>
      <c r="D3800" s="24" t="s">
        <v>21300</v>
      </c>
      <c r="E3800" s="40">
        <v>15</v>
      </c>
      <c r="F3800" s="41">
        <v>1800</v>
      </c>
      <c r="G3800" s="40">
        <v>13</v>
      </c>
      <c r="H3800" s="41">
        <v>1536</v>
      </c>
      <c r="I3800" s="41">
        <v>120</v>
      </c>
      <c r="J3800" s="41">
        <v>118.15384615384616</v>
      </c>
      <c r="K3800" s="42">
        <v>-1.538461538461533E-2</v>
      </c>
    </row>
    <row r="3801" spans="1:11" x14ac:dyDescent="0.25">
      <c r="A3801" s="24" t="s">
        <v>7</v>
      </c>
      <c r="B3801" s="24" t="s">
        <v>19180</v>
      </c>
      <c r="C3801" s="25" t="s">
        <v>19181</v>
      </c>
      <c r="D3801" s="24" t="s">
        <v>21300</v>
      </c>
      <c r="E3801" s="40">
        <v>3</v>
      </c>
      <c r="F3801" s="41">
        <v>650</v>
      </c>
      <c r="G3801" s="40">
        <v>0</v>
      </c>
      <c r="H3801" s="41">
        <v>0</v>
      </c>
      <c r="I3801" s="41">
        <v>216.66666666666666</v>
      </c>
    </row>
    <row r="3802" spans="1:11" x14ac:dyDescent="0.25">
      <c r="A3802" s="24" t="s">
        <v>7</v>
      </c>
      <c r="B3802" s="24" t="s">
        <v>19185</v>
      </c>
      <c r="C3802" s="25" t="s">
        <v>19186</v>
      </c>
      <c r="D3802" s="24" t="s">
        <v>22575</v>
      </c>
      <c r="E3802" s="40">
        <v>41</v>
      </c>
      <c r="F3802" s="41">
        <v>58834</v>
      </c>
      <c r="G3802" s="40">
        <v>35</v>
      </c>
      <c r="H3802" s="41">
        <v>54826</v>
      </c>
      <c r="I3802" s="41">
        <v>1434.9756097560976</v>
      </c>
      <c r="J3802" s="41">
        <v>1566.4571428571428</v>
      </c>
      <c r="K3802" s="42">
        <v>9.1626319086631089E-2</v>
      </c>
    </row>
    <row r="3803" spans="1:11" x14ac:dyDescent="0.25">
      <c r="A3803" s="24" t="s">
        <v>7</v>
      </c>
      <c r="B3803" s="24" t="s">
        <v>19187</v>
      </c>
      <c r="C3803" s="25" t="s">
        <v>19188</v>
      </c>
      <c r="D3803" s="24" t="s">
        <v>22575</v>
      </c>
      <c r="E3803" s="40">
        <v>1909</v>
      </c>
      <c r="F3803" s="41">
        <v>1027423</v>
      </c>
      <c r="G3803" s="40">
        <v>2097</v>
      </c>
      <c r="H3803" s="41">
        <v>1706011</v>
      </c>
      <c r="I3803" s="41">
        <v>538.19958093242531</v>
      </c>
      <c r="J3803" s="41">
        <v>813.548402479733</v>
      </c>
      <c r="K3803" s="42">
        <v>0.51161099209752015</v>
      </c>
    </row>
    <row r="3804" spans="1:11" x14ac:dyDescent="0.25">
      <c r="A3804" s="24" t="s">
        <v>7</v>
      </c>
      <c r="B3804" s="24" t="s">
        <v>19193</v>
      </c>
      <c r="C3804" s="25" t="s">
        <v>19194</v>
      </c>
      <c r="D3804" s="24" t="s">
        <v>21299</v>
      </c>
      <c r="G3804" s="40">
        <v>44</v>
      </c>
      <c r="H3804" s="41">
        <v>385674</v>
      </c>
      <c r="J3804" s="41">
        <v>8765.318181818182</v>
      </c>
    </row>
    <row r="3805" spans="1:11" x14ac:dyDescent="0.25">
      <c r="A3805" s="24" t="s">
        <v>7</v>
      </c>
      <c r="B3805" s="24" t="s">
        <v>19199</v>
      </c>
      <c r="C3805" s="25" t="s">
        <v>19200</v>
      </c>
      <c r="D3805" s="24" t="s">
        <v>21299</v>
      </c>
      <c r="E3805" s="40">
        <v>40</v>
      </c>
      <c r="F3805" s="41">
        <v>320219.03999999998</v>
      </c>
      <c r="G3805" s="40">
        <v>57</v>
      </c>
      <c r="H3805" s="41">
        <v>418898</v>
      </c>
      <c r="I3805" s="41">
        <v>8005.4759999999997</v>
      </c>
      <c r="J3805" s="41">
        <v>7349.0877192982452</v>
      </c>
      <c r="K3805" s="42">
        <v>-8.1992411282196642E-2</v>
      </c>
    </row>
    <row r="3806" spans="1:11" x14ac:dyDescent="0.25">
      <c r="A3806" s="24" t="s">
        <v>7</v>
      </c>
      <c r="B3806" s="24" t="s">
        <v>19207</v>
      </c>
      <c r="C3806" s="25" t="s">
        <v>19208</v>
      </c>
      <c r="D3806" s="24" t="s">
        <v>22579</v>
      </c>
      <c r="E3806" s="40">
        <v>2</v>
      </c>
      <c r="F3806" s="41">
        <v>39302</v>
      </c>
      <c r="G3806" s="40">
        <v>1</v>
      </c>
      <c r="H3806" s="41">
        <v>19651</v>
      </c>
      <c r="I3806" s="41">
        <v>19651</v>
      </c>
      <c r="J3806" s="41">
        <v>19651</v>
      </c>
      <c r="K3806" s="42">
        <v>0</v>
      </c>
    </row>
    <row r="3807" spans="1:11" x14ac:dyDescent="0.25">
      <c r="A3807" s="24" t="s">
        <v>7</v>
      </c>
      <c r="B3807" s="24" t="s">
        <v>19215</v>
      </c>
      <c r="C3807" s="25" t="s">
        <v>19216</v>
      </c>
      <c r="D3807" s="24" t="s">
        <v>22583</v>
      </c>
      <c r="E3807" s="40">
        <v>67</v>
      </c>
      <c r="F3807" s="41">
        <v>385517</v>
      </c>
      <c r="G3807" s="40">
        <v>94</v>
      </c>
      <c r="H3807" s="41">
        <v>776430</v>
      </c>
      <c r="I3807" s="41">
        <v>5753.9850746268658</v>
      </c>
      <c r="J3807" s="41">
        <v>8259.8936170212764</v>
      </c>
      <c r="K3807" s="42">
        <v>0.43550834941241373</v>
      </c>
    </row>
    <row r="3808" spans="1:11" x14ac:dyDescent="0.25">
      <c r="A3808" s="24" t="s">
        <v>7</v>
      </c>
      <c r="B3808" s="24" t="s">
        <v>19221</v>
      </c>
      <c r="C3808" s="25" t="s">
        <v>19222</v>
      </c>
      <c r="D3808" s="24" t="s">
        <v>21307</v>
      </c>
      <c r="E3808" s="40">
        <v>85</v>
      </c>
      <c r="F3808" s="41">
        <v>1871080</v>
      </c>
      <c r="G3808" s="40">
        <v>77</v>
      </c>
      <c r="H3808" s="41">
        <v>1627721</v>
      </c>
      <c r="I3808" s="41">
        <v>22012.705882352941</v>
      </c>
      <c r="J3808" s="41">
        <v>21139.233766233767</v>
      </c>
      <c r="K3808" s="42">
        <v>-3.9680361005477997E-2</v>
      </c>
    </row>
    <row r="3809" spans="1:11" x14ac:dyDescent="0.25">
      <c r="A3809" s="24" t="s">
        <v>7</v>
      </c>
      <c r="B3809" s="24" t="s">
        <v>19224</v>
      </c>
      <c r="C3809" s="25" t="s">
        <v>19225</v>
      </c>
      <c r="D3809" s="24" t="s">
        <v>22584</v>
      </c>
      <c r="E3809" s="40">
        <v>30</v>
      </c>
      <c r="F3809" s="41">
        <v>494669</v>
      </c>
      <c r="G3809" s="40">
        <v>44</v>
      </c>
      <c r="H3809" s="41">
        <v>851116</v>
      </c>
      <c r="I3809" s="41">
        <v>16488.966666666667</v>
      </c>
      <c r="J3809" s="41">
        <v>19343.545454545456</v>
      </c>
      <c r="K3809" s="42">
        <v>0.17312053845372088</v>
      </c>
    </row>
    <row r="3810" spans="1:11" x14ac:dyDescent="0.25">
      <c r="A3810" s="24" t="s">
        <v>7</v>
      </c>
      <c r="B3810" s="24" t="s">
        <v>19227</v>
      </c>
      <c r="C3810" s="25" t="s">
        <v>19228</v>
      </c>
      <c r="D3810" s="24" t="s">
        <v>22584</v>
      </c>
      <c r="E3810" s="40">
        <v>8</v>
      </c>
      <c r="F3810" s="41">
        <v>131746</v>
      </c>
      <c r="G3810" s="40">
        <v>13</v>
      </c>
      <c r="H3810" s="41">
        <v>266487</v>
      </c>
      <c r="I3810" s="41">
        <v>16468.25</v>
      </c>
      <c r="J3810" s="41">
        <v>20499</v>
      </c>
      <c r="K3810" s="42">
        <v>0.24475885415876003</v>
      </c>
    </row>
    <row r="3811" spans="1:11" x14ac:dyDescent="0.25">
      <c r="A3811" s="24" t="s">
        <v>7</v>
      </c>
      <c r="B3811" s="24" t="s">
        <v>19251</v>
      </c>
      <c r="C3811" s="25" t="s">
        <v>19252</v>
      </c>
      <c r="D3811" s="24" t="s">
        <v>21291</v>
      </c>
      <c r="E3811" s="40">
        <v>66</v>
      </c>
      <c r="F3811" s="41">
        <v>513046</v>
      </c>
      <c r="G3811" s="40">
        <v>144</v>
      </c>
      <c r="H3811" s="41">
        <v>1189596</v>
      </c>
      <c r="I3811" s="41">
        <v>7773.424242424242</v>
      </c>
      <c r="J3811" s="41">
        <v>8261.0833333333339</v>
      </c>
      <c r="K3811" s="42">
        <v>6.2734140798291121E-2</v>
      </c>
    </row>
    <row r="3812" spans="1:11" x14ac:dyDescent="0.25">
      <c r="A3812" s="24" t="s">
        <v>7</v>
      </c>
      <c r="B3812" s="24" t="s">
        <v>19265</v>
      </c>
      <c r="C3812" s="25" t="s">
        <v>19266</v>
      </c>
      <c r="D3812" s="24" t="s">
        <v>21292</v>
      </c>
      <c r="E3812" s="40">
        <v>96</v>
      </c>
      <c r="F3812" s="41">
        <v>54569</v>
      </c>
      <c r="G3812" s="40">
        <v>74</v>
      </c>
      <c r="H3812" s="41">
        <v>45320</v>
      </c>
      <c r="I3812" s="41">
        <v>568.42708333333337</v>
      </c>
      <c r="J3812" s="41">
        <v>612.43243243243239</v>
      </c>
      <c r="K3812" s="42">
        <v>7.7415996509254445E-2</v>
      </c>
    </row>
    <row r="3813" spans="1:11" x14ac:dyDescent="0.25">
      <c r="A3813" s="24" t="s">
        <v>7</v>
      </c>
      <c r="B3813" s="24" t="s">
        <v>19268</v>
      </c>
      <c r="C3813" s="25" t="s">
        <v>19269</v>
      </c>
      <c r="D3813" s="24" t="s">
        <v>22585</v>
      </c>
      <c r="E3813" s="40">
        <v>18</v>
      </c>
      <c r="F3813" s="41">
        <v>83244</v>
      </c>
      <c r="G3813" s="40">
        <v>9</v>
      </c>
      <c r="H3813" s="41">
        <v>42342</v>
      </c>
      <c r="I3813" s="41">
        <v>4624.666666666667</v>
      </c>
      <c r="J3813" s="41">
        <v>4704.666666666667</v>
      </c>
      <c r="K3813" s="42">
        <v>1.7298544039210034E-2</v>
      </c>
    </row>
    <row r="3814" spans="1:11" x14ac:dyDescent="0.25">
      <c r="A3814" s="24" t="s">
        <v>7</v>
      </c>
      <c r="B3814" s="24" t="s">
        <v>19284</v>
      </c>
      <c r="C3814" s="25" t="s">
        <v>19285</v>
      </c>
      <c r="D3814" s="24" t="s">
        <v>21291</v>
      </c>
      <c r="E3814" s="40">
        <v>183</v>
      </c>
      <c r="F3814" s="41">
        <v>1133717</v>
      </c>
      <c r="G3814" s="40">
        <v>144</v>
      </c>
      <c r="H3814" s="41">
        <v>839292</v>
      </c>
      <c r="I3814" s="41">
        <v>6195.1748633879779</v>
      </c>
      <c r="J3814" s="41">
        <v>5828.416666666667</v>
      </c>
      <c r="K3814" s="42">
        <v>-5.9200620613433425E-2</v>
      </c>
    </row>
    <row r="3815" spans="1:11" x14ac:dyDescent="0.25">
      <c r="A3815" s="24" t="s">
        <v>7</v>
      </c>
      <c r="B3815" s="24" t="s">
        <v>19298</v>
      </c>
      <c r="C3815" s="25" t="s">
        <v>19299</v>
      </c>
      <c r="D3815" s="24" t="s">
        <v>21291</v>
      </c>
      <c r="G3815" s="40">
        <v>1</v>
      </c>
      <c r="H3815" s="41">
        <v>11893</v>
      </c>
      <c r="J3815" s="41">
        <v>11893</v>
      </c>
    </row>
    <row r="3816" spans="1:11" x14ac:dyDescent="0.25">
      <c r="A3816" s="24" t="s">
        <v>7</v>
      </c>
      <c r="B3816" s="24" t="s">
        <v>19303</v>
      </c>
      <c r="C3816" s="25" t="s">
        <v>19304</v>
      </c>
      <c r="D3816" s="24" t="s">
        <v>21276</v>
      </c>
      <c r="E3816" s="40">
        <v>2</v>
      </c>
      <c r="F3816" s="41">
        <v>288004</v>
      </c>
      <c r="G3816" s="40">
        <v>0</v>
      </c>
      <c r="H3816" s="41">
        <v>0</v>
      </c>
      <c r="I3816" s="41">
        <v>144002</v>
      </c>
    </row>
    <row r="3817" spans="1:11" x14ac:dyDescent="0.25">
      <c r="A3817" s="24" t="s">
        <v>7</v>
      </c>
      <c r="B3817" s="24" t="s">
        <v>19306</v>
      </c>
      <c r="C3817" s="25" t="s">
        <v>19307</v>
      </c>
      <c r="D3817" s="24" t="s">
        <v>21290</v>
      </c>
      <c r="E3817" s="40">
        <v>1</v>
      </c>
      <c r="F3817" s="41">
        <v>14547</v>
      </c>
      <c r="G3817" s="40">
        <v>5</v>
      </c>
      <c r="H3817" s="41">
        <v>67751</v>
      </c>
      <c r="I3817" s="41">
        <v>14547</v>
      </c>
      <c r="J3817" s="41">
        <v>13550.2</v>
      </c>
      <c r="K3817" s="42">
        <v>-6.8522719461057216E-2</v>
      </c>
    </row>
    <row r="3818" spans="1:11" x14ac:dyDescent="0.25">
      <c r="A3818" s="24" t="s">
        <v>7</v>
      </c>
      <c r="B3818" s="24" t="s">
        <v>19312</v>
      </c>
      <c r="C3818" s="25" t="s">
        <v>19313</v>
      </c>
      <c r="D3818" s="24" t="s">
        <v>21290</v>
      </c>
      <c r="G3818" s="40">
        <v>1</v>
      </c>
      <c r="H3818" s="41">
        <v>12831</v>
      </c>
      <c r="J3818" s="41">
        <v>12831</v>
      </c>
    </row>
    <row r="3819" spans="1:11" x14ac:dyDescent="0.25">
      <c r="A3819" s="24" t="s">
        <v>7</v>
      </c>
      <c r="B3819" s="24" t="s">
        <v>19315</v>
      </c>
      <c r="C3819" s="25" t="s">
        <v>19316</v>
      </c>
      <c r="D3819" s="24" t="s">
        <v>22586</v>
      </c>
      <c r="E3819" s="40">
        <v>188</v>
      </c>
      <c r="F3819" s="41">
        <v>126340</v>
      </c>
      <c r="G3819" s="40">
        <v>178</v>
      </c>
      <c r="H3819" s="41">
        <v>105780</v>
      </c>
      <c r="I3819" s="41">
        <v>672.02127659574467</v>
      </c>
      <c r="J3819" s="41">
        <v>594.2696629213483</v>
      </c>
      <c r="K3819" s="42">
        <v>-0.11569814287467561</v>
      </c>
    </row>
    <row r="3820" spans="1:11" x14ac:dyDescent="0.25">
      <c r="A3820" s="24" t="s">
        <v>7</v>
      </c>
      <c r="B3820" s="24" t="s">
        <v>19317</v>
      </c>
      <c r="C3820" s="25" t="s">
        <v>19316</v>
      </c>
      <c r="D3820" s="24" t="s">
        <v>22586</v>
      </c>
      <c r="E3820" s="40">
        <v>64</v>
      </c>
      <c r="F3820" s="41">
        <v>50256</v>
      </c>
      <c r="G3820" s="40">
        <v>57</v>
      </c>
      <c r="H3820" s="41">
        <v>37491.65</v>
      </c>
      <c r="I3820" s="41">
        <v>785.25</v>
      </c>
      <c r="J3820" s="41">
        <v>657.74824561403511</v>
      </c>
      <c r="K3820" s="42">
        <v>-0.16237090657238445</v>
      </c>
    </row>
    <row r="3821" spans="1:11" x14ac:dyDescent="0.25">
      <c r="A3821" s="24" t="s">
        <v>7</v>
      </c>
      <c r="B3821" s="24" t="s">
        <v>19318</v>
      </c>
      <c r="C3821" s="25" t="s">
        <v>19316</v>
      </c>
      <c r="D3821" s="24" t="s">
        <v>22586</v>
      </c>
      <c r="G3821" s="40">
        <v>9</v>
      </c>
      <c r="H3821" s="41">
        <v>4230</v>
      </c>
      <c r="J3821" s="41">
        <v>470</v>
      </c>
    </row>
    <row r="3822" spans="1:11" x14ac:dyDescent="0.25">
      <c r="A3822" s="24" t="s">
        <v>7</v>
      </c>
      <c r="B3822" s="24" t="s">
        <v>19319</v>
      </c>
      <c r="C3822" s="25" t="s">
        <v>19316</v>
      </c>
      <c r="D3822" s="24" t="s">
        <v>22586</v>
      </c>
      <c r="E3822" s="40">
        <v>4</v>
      </c>
      <c r="F3822" s="41">
        <v>668</v>
      </c>
      <c r="G3822" s="40">
        <v>8</v>
      </c>
      <c r="H3822" s="41">
        <v>1336</v>
      </c>
      <c r="I3822" s="41">
        <v>167</v>
      </c>
      <c r="J3822" s="41">
        <v>167</v>
      </c>
      <c r="K3822" s="42">
        <v>0</v>
      </c>
    </row>
    <row r="3823" spans="1:11" x14ac:dyDescent="0.25">
      <c r="A3823" s="24" t="s">
        <v>7</v>
      </c>
      <c r="B3823" s="24" t="s">
        <v>19320</v>
      </c>
      <c r="C3823" s="25" t="s">
        <v>19316</v>
      </c>
      <c r="D3823" s="24" t="s">
        <v>22586</v>
      </c>
      <c r="E3823" s="40">
        <v>127</v>
      </c>
      <c r="F3823" s="41">
        <v>194441</v>
      </c>
      <c r="G3823" s="40">
        <v>154</v>
      </c>
      <c r="H3823" s="41">
        <v>199290</v>
      </c>
      <c r="I3823" s="41">
        <v>1531.0314960629921</v>
      </c>
      <c r="J3823" s="41">
        <v>1294.090909090909</v>
      </c>
      <c r="K3823" s="42">
        <v>-0.15475879338953491</v>
      </c>
    </row>
    <row r="3824" spans="1:11" x14ac:dyDescent="0.25">
      <c r="A3824" s="24" t="s">
        <v>7</v>
      </c>
      <c r="B3824" s="24" t="s">
        <v>19326</v>
      </c>
      <c r="C3824" s="25" t="s">
        <v>19327</v>
      </c>
      <c r="D3824" s="24" t="s">
        <v>22586</v>
      </c>
      <c r="E3824" s="40">
        <v>466</v>
      </c>
      <c r="F3824" s="41">
        <v>298642</v>
      </c>
      <c r="G3824" s="40">
        <v>172</v>
      </c>
      <c r="H3824" s="41">
        <v>107220</v>
      </c>
      <c r="I3824" s="41">
        <v>640.86266094420603</v>
      </c>
      <c r="J3824" s="41">
        <v>623.37209302325584</v>
      </c>
      <c r="K3824" s="42">
        <v>-2.7292224975598828E-2</v>
      </c>
    </row>
    <row r="3825" spans="1:11" x14ac:dyDescent="0.25">
      <c r="A3825" s="24" t="s">
        <v>7</v>
      </c>
      <c r="B3825" s="24" t="s">
        <v>19328</v>
      </c>
      <c r="C3825" s="25" t="s">
        <v>19329</v>
      </c>
      <c r="D3825" s="24" t="s">
        <v>22586</v>
      </c>
      <c r="G3825" s="40">
        <v>26</v>
      </c>
      <c r="H3825" s="41">
        <v>15860</v>
      </c>
      <c r="J3825" s="41">
        <v>610</v>
      </c>
    </row>
    <row r="3826" spans="1:11" x14ac:dyDescent="0.25">
      <c r="A3826" s="24" t="s">
        <v>7</v>
      </c>
      <c r="B3826" s="24" t="s">
        <v>19330</v>
      </c>
      <c r="C3826" s="25" t="s">
        <v>19331</v>
      </c>
      <c r="D3826" s="24" t="s">
        <v>22586</v>
      </c>
      <c r="E3826" s="40">
        <v>97</v>
      </c>
      <c r="F3826" s="41">
        <v>217424</v>
      </c>
      <c r="G3826" s="40">
        <v>82</v>
      </c>
      <c r="H3826" s="41">
        <v>128628</v>
      </c>
      <c r="I3826" s="41">
        <v>2241.4845360824743</v>
      </c>
      <c r="J3826" s="41">
        <v>1568.6341463414635</v>
      </c>
      <c r="K3826" s="42">
        <v>-0.30018069672565145</v>
      </c>
    </row>
    <row r="3827" spans="1:11" x14ac:dyDescent="0.25">
      <c r="A3827" s="24" t="s">
        <v>7</v>
      </c>
      <c r="B3827" s="24" t="s">
        <v>19340</v>
      </c>
      <c r="C3827" s="25" t="s">
        <v>19341</v>
      </c>
      <c r="D3827" s="24" t="s">
        <v>21305</v>
      </c>
      <c r="E3827" s="40">
        <v>50</v>
      </c>
      <c r="F3827" s="41">
        <v>32762</v>
      </c>
      <c r="G3827" s="40">
        <v>17</v>
      </c>
      <c r="H3827" s="41">
        <v>11465</v>
      </c>
      <c r="I3827" s="41">
        <v>655.24</v>
      </c>
      <c r="J3827" s="41">
        <v>674.41176470588232</v>
      </c>
      <c r="K3827" s="42">
        <v>2.9259148870463204E-2</v>
      </c>
    </row>
    <row r="3828" spans="1:11" x14ac:dyDescent="0.25">
      <c r="A3828" s="24" t="s">
        <v>7</v>
      </c>
      <c r="B3828" s="24" t="s">
        <v>19346</v>
      </c>
      <c r="C3828" s="25" t="s">
        <v>19347</v>
      </c>
      <c r="D3828" s="24" t="s">
        <v>22575</v>
      </c>
      <c r="E3828" s="40">
        <v>1</v>
      </c>
      <c r="F3828" s="41">
        <v>276</v>
      </c>
      <c r="G3828" s="40">
        <v>0</v>
      </c>
      <c r="H3828" s="41">
        <v>0</v>
      </c>
      <c r="I3828" s="41">
        <v>276</v>
      </c>
    </row>
    <row r="3829" spans="1:11" x14ac:dyDescent="0.25">
      <c r="A3829" s="24" t="s">
        <v>7</v>
      </c>
      <c r="B3829" s="24" t="s">
        <v>19348</v>
      </c>
      <c r="C3829" s="25" t="s">
        <v>19349</v>
      </c>
      <c r="D3829" s="24" t="s">
        <v>21300</v>
      </c>
      <c r="G3829" s="40">
        <v>2</v>
      </c>
      <c r="H3829" s="41">
        <v>2651</v>
      </c>
      <c r="J3829" s="41">
        <v>1325.5</v>
      </c>
    </row>
    <row r="3830" spans="1:11" x14ac:dyDescent="0.25">
      <c r="A3830" s="24" t="s">
        <v>7</v>
      </c>
      <c r="B3830" s="24" t="s">
        <v>19350</v>
      </c>
      <c r="C3830" s="25" t="s">
        <v>19351</v>
      </c>
      <c r="D3830" s="24" t="s">
        <v>21305</v>
      </c>
      <c r="E3830" s="40">
        <v>1068</v>
      </c>
      <c r="F3830" s="41">
        <v>368318</v>
      </c>
      <c r="G3830" s="40">
        <v>1461</v>
      </c>
      <c r="H3830" s="41">
        <v>620553</v>
      </c>
      <c r="I3830" s="41">
        <v>344.86704119850185</v>
      </c>
      <c r="J3830" s="41">
        <v>424.74537987679673</v>
      </c>
      <c r="K3830" s="42">
        <v>0.23162068025026997</v>
      </c>
    </row>
    <row r="3831" spans="1:11" x14ac:dyDescent="0.25">
      <c r="A3831" s="24" t="s">
        <v>7</v>
      </c>
      <c r="B3831" s="24" t="s">
        <v>19355</v>
      </c>
      <c r="C3831" s="25" t="s">
        <v>19356</v>
      </c>
      <c r="D3831" s="24" t="s">
        <v>22587</v>
      </c>
      <c r="G3831" s="40">
        <v>1</v>
      </c>
      <c r="H3831" s="41">
        <v>2440</v>
      </c>
      <c r="J3831" s="41">
        <v>2440</v>
      </c>
    </row>
    <row r="3832" spans="1:11" x14ac:dyDescent="0.25">
      <c r="A3832" s="24" t="s">
        <v>7</v>
      </c>
      <c r="B3832" s="24" t="s">
        <v>19358</v>
      </c>
      <c r="C3832" s="25" t="s">
        <v>19359</v>
      </c>
      <c r="D3832" s="24" t="s">
        <v>21297</v>
      </c>
      <c r="G3832" s="40">
        <v>8</v>
      </c>
      <c r="H3832" s="41">
        <v>17720</v>
      </c>
      <c r="J3832" s="41">
        <v>2215</v>
      </c>
    </row>
    <row r="3833" spans="1:11" x14ac:dyDescent="0.25">
      <c r="A3833" s="24" t="s">
        <v>7</v>
      </c>
      <c r="B3833" s="24" t="s">
        <v>19364</v>
      </c>
      <c r="C3833" s="25" t="s">
        <v>19365</v>
      </c>
      <c r="D3833" s="24" t="s">
        <v>21274</v>
      </c>
      <c r="E3833" s="40">
        <v>15</v>
      </c>
      <c r="F3833" s="41">
        <v>50916</v>
      </c>
      <c r="G3833" s="40">
        <v>1</v>
      </c>
      <c r="H3833" s="41">
        <v>4240</v>
      </c>
      <c r="I3833" s="41">
        <v>3394.4</v>
      </c>
      <c r="J3833" s="41">
        <v>4240</v>
      </c>
      <c r="K3833" s="42">
        <v>0.24911619137402777</v>
      </c>
    </row>
    <row r="3834" spans="1:11" x14ac:dyDescent="0.25">
      <c r="A3834" s="24" t="s">
        <v>7</v>
      </c>
      <c r="B3834" s="24" t="s">
        <v>19367</v>
      </c>
      <c r="C3834" s="25" t="s">
        <v>19368</v>
      </c>
      <c r="D3834" s="24" t="s">
        <v>21305</v>
      </c>
      <c r="E3834" s="40">
        <v>18</v>
      </c>
      <c r="F3834" s="41">
        <v>8795</v>
      </c>
      <c r="G3834" s="40">
        <v>18</v>
      </c>
      <c r="H3834" s="41">
        <v>9634</v>
      </c>
      <c r="I3834" s="41">
        <v>488.61111111111109</v>
      </c>
      <c r="J3834" s="41">
        <v>535.22222222222217</v>
      </c>
      <c r="K3834" s="42">
        <v>9.5395110858442253E-2</v>
      </c>
    </row>
    <row r="3835" spans="1:11" x14ac:dyDescent="0.25">
      <c r="A3835" s="24" t="s">
        <v>7</v>
      </c>
      <c r="B3835" s="24" t="s">
        <v>19370</v>
      </c>
      <c r="C3835" s="25" t="s">
        <v>19371</v>
      </c>
      <c r="D3835" s="24" t="s">
        <v>21300</v>
      </c>
      <c r="G3835" s="40">
        <v>6</v>
      </c>
      <c r="H3835" s="41">
        <v>7804</v>
      </c>
      <c r="J3835" s="41">
        <v>1300.6666666666667</v>
      </c>
    </row>
    <row r="3836" spans="1:11" x14ac:dyDescent="0.25">
      <c r="A3836" s="24" t="s">
        <v>7</v>
      </c>
      <c r="B3836" s="24" t="s">
        <v>19373</v>
      </c>
      <c r="C3836" s="25" t="s">
        <v>19374</v>
      </c>
      <c r="D3836" s="24" t="s">
        <v>22586</v>
      </c>
      <c r="E3836" s="40">
        <v>4</v>
      </c>
      <c r="F3836" s="41">
        <v>10321</v>
      </c>
      <c r="G3836" s="40">
        <v>18</v>
      </c>
      <c r="H3836" s="41">
        <v>34852</v>
      </c>
      <c r="I3836" s="41">
        <v>2580.25</v>
      </c>
      <c r="J3836" s="41">
        <v>1936.2222222222222</v>
      </c>
      <c r="K3836" s="42">
        <v>-0.24959898373327308</v>
      </c>
    </row>
    <row r="3837" spans="1:11" x14ac:dyDescent="0.25">
      <c r="A3837" s="24" t="s">
        <v>7</v>
      </c>
      <c r="B3837" s="24" t="s">
        <v>19376</v>
      </c>
      <c r="C3837" s="25" t="s">
        <v>19377</v>
      </c>
      <c r="D3837" s="24" t="s">
        <v>22588</v>
      </c>
      <c r="E3837" s="40">
        <v>1</v>
      </c>
      <c r="F3837" s="41">
        <v>249</v>
      </c>
      <c r="G3837" s="40">
        <v>0</v>
      </c>
      <c r="H3837" s="41">
        <v>0</v>
      </c>
      <c r="I3837" s="41">
        <v>249</v>
      </c>
    </row>
    <row r="3838" spans="1:11" x14ac:dyDescent="0.25">
      <c r="A3838" s="24" t="s">
        <v>7</v>
      </c>
      <c r="B3838" s="24" t="s">
        <v>19381</v>
      </c>
      <c r="C3838" s="25" t="s">
        <v>19382</v>
      </c>
      <c r="D3838" s="24" t="s">
        <v>21283</v>
      </c>
      <c r="E3838" s="40">
        <v>12</v>
      </c>
      <c r="F3838" s="41">
        <v>11232</v>
      </c>
      <c r="G3838" s="40">
        <v>7</v>
      </c>
      <c r="H3838" s="41">
        <v>6846</v>
      </c>
      <c r="I3838" s="41">
        <v>936</v>
      </c>
      <c r="J3838" s="41">
        <v>978</v>
      </c>
      <c r="K3838" s="42">
        <v>4.4871794871794872E-2</v>
      </c>
    </row>
    <row r="3839" spans="1:11" x14ac:dyDescent="0.25">
      <c r="A3839" s="24" t="s">
        <v>7</v>
      </c>
      <c r="B3839" s="24" t="s">
        <v>19398</v>
      </c>
      <c r="C3839" s="25" t="s">
        <v>19399</v>
      </c>
      <c r="D3839" s="24" t="s">
        <v>22589</v>
      </c>
      <c r="G3839" s="40">
        <v>13</v>
      </c>
      <c r="H3839" s="41">
        <v>13048</v>
      </c>
      <c r="J3839" s="41">
        <v>1003.6923076923077</v>
      </c>
    </row>
    <row r="3840" spans="1:11" x14ac:dyDescent="0.25">
      <c r="A3840" s="24" t="s">
        <v>7</v>
      </c>
      <c r="B3840" s="24" t="s">
        <v>19467</v>
      </c>
      <c r="C3840" s="25" t="s">
        <v>19468</v>
      </c>
      <c r="D3840" s="24" t="s">
        <v>21274</v>
      </c>
      <c r="G3840" s="40">
        <v>6</v>
      </c>
      <c r="H3840" s="41">
        <v>18347.05</v>
      </c>
      <c r="J3840" s="41">
        <v>3057.8416666666667</v>
      </c>
    </row>
    <row r="3841" spans="1:11" x14ac:dyDescent="0.25">
      <c r="A3841" s="24" t="s">
        <v>7</v>
      </c>
      <c r="B3841" s="24" t="s">
        <v>19473</v>
      </c>
      <c r="C3841" s="25" t="s">
        <v>19474</v>
      </c>
      <c r="D3841" s="24" t="s">
        <v>21274</v>
      </c>
      <c r="G3841" s="40">
        <v>3</v>
      </c>
      <c r="H3841" s="41">
        <v>4344</v>
      </c>
      <c r="J3841" s="41">
        <v>1448</v>
      </c>
    </row>
    <row r="3842" spans="1:11" x14ac:dyDescent="0.25">
      <c r="A3842" s="24" t="s">
        <v>7</v>
      </c>
      <c r="B3842" s="24" t="s">
        <v>19488</v>
      </c>
      <c r="C3842" s="25" t="s">
        <v>19489</v>
      </c>
      <c r="D3842" s="24" t="s">
        <v>21274</v>
      </c>
      <c r="G3842" s="40">
        <v>12</v>
      </c>
      <c r="H3842" s="41">
        <v>139649.29999999999</v>
      </c>
      <c r="J3842" s="41">
        <v>11637.441666666666</v>
      </c>
    </row>
    <row r="3843" spans="1:11" x14ac:dyDescent="0.25">
      <c r="A3843" s="24" t="s">
        <v>7</v>
      </c>
      <c r="B3843" s="24" t="s">
        <v>19490</v>
      </c>
      <c r="C3843" s="25" t="s">
        <v>19491</v>
      </c>
      <c r="D3843" s="24" t="s">
        <v>21274</v>
      </c>
      <c r="G3843" s="40">
        <v>1</v>
      </c>
      <c r="H3843" s="41">
        <v>6435</v>
      </c>
      <c r="J3843" s="41">
        <v>6435</v>
      </c>
    </row>
    <row r="3844" spans="1:11" x14ac:dyDescent="0.25">
      <c r="A3844" s="24" t="s">
        <v>7</v>
      </c>
      <c r="B3844" s="24" t="s">
        <v>19492</v>
      </c>
      <c r="C3844" s="25" t="s">
        <v>19493</v>
      </c>
      <c r="D3844" s="24" t="s">
        <v>21274</v>
      </c>
      <c r="G3844" s="40">
        <v>6</v>
      </c>
      <c r="H3844" s="41">
        <v>28620</v>
      </c>
      <c r="J3844" s="41">
        <v>4770</v>
      </c>
    </row>
    <row r="3845" spans="1:11" x14ac:dyDescent="0.25">
      <c r="A3845" s="24" t="s">
        <v>7</v>
      </c>
      <c r="B3845" s="24" t="s">
        <v>19503</v>
      </c>
      <c r="C3845" s="25" t="s">
        <v>19504</v>
      </c>
      <c r="D3845" s="24" t="s">
        <v>21274</v>
      </c>
      <c r="E3845" s="40">
        <v>14</v>
      </c>
      <c r="F3845" s="41">
        <v>81128.75</v>
      </c>
      <c r="G3845" s="40">
        <v>14</v>
      </c>
      <c r="H3845" s="41">
        <v>98936</v>
      </c>
      <c r="I3845" s="41">
        <v>5794.9107142857147</v>
      </c>
      <c r="J3845" s="41">
        <v>7066.8571428571431</v>
      </c>
      <c r="K3845" s="42">
        <v>0.21949370599201881</v>
      </c>
    </row>
    <row r="3846" spans="1:11" x14ac:dyDescent="0.25">
      <c r="A3846" s="24" t="s">
        <v>7</v>
      </c>
      <c r="B3846" s="24" t="s">
        <v>19505</v>
      </c>
      <c r="C3846" s="25" t="s">
        <v>19506</v>
      </c>
      <c r="D3846" s="24" t="s">
        <v>21274</v>
      </c>
      <c r="E3846" s="40">
        <v>7</v>
      </c>
      <c r="F3846" s="41">
        <v>17451.5</v>
      </c>
      <c r="G3846" s="40">
        <v>5</v>
      </c>
      <c r="H3846" s="41">
        <v>13558.63</v>
      </c>
      <c r="I3846" s="41">
        <v>2493.0714285714284</v>
      </c>
      <c r="J3846" s="41">
        <v>2711.7259999999997</v>
      </c>
      <c r="K3846" s="42">
        <v>8.7704896427241136E-2</v>
      </c>
    </row>
    <row r="3847" spans="1:11" x14ac:dyDescent="0.25">
      <c r="A3847" s="24" t="s">
        <v>7</v>
      </c>
      <c r="B3847" s="24" t="s">
        <v>19507</v>
      </c>
      <c r="C3847" s="25" t="s">
        <v>19508</v>
      </c>
      <c r="D3847" s="24" t="s">
        <v>21274</v>
      </c>
      <c r="E3847" s="40">
        <v>22</v>
      </c>
      <c r="F3847" s="41">
        <v>188423.5</v>
      </c>
      <c r="G3847" s="40">
        <v>22</v>
      </c>
      <c r="H3847" s="41">
        <v>171324.85</v>
      </c>
      <c r="I3847" s="41">
        <v>8564.704545454546</v>
      </c>
      <c r="J3847" s="41">
        <v>7787.4931818181822</v>
      </c>
      <c r="K3847" s="42">
        <v>-9.0745846457580936E-2</v>
      </c>
    </row>
    <row r="3848" spans="1:11" x14ac:dyDescent="0.25">
      <c r="A3848" s="24" t="s">
        <v>7</v>
      </c>
      <c r="B3848" s="24" t="s">
        <v>19514</v>
      </c>
      <c r="C3848" s="25" t="s">
        <v>19515</v>
      </c>
      <c r="D3848" s="24" t="s">
        <v>21274</v>
      </c>
      <c r="G3848" s="40">
        <v>3</v>
      </c>
      <c r="H3848" s="41">
        <v>4422</v>
      </c>
      <c r="J3848" s="41">
        <v>1474</v>
      </c>
    </row>
    <row r="3849" spans="1:11" x14ac:dyDescent="0.25">
      <c r="A3849" s="24" t="s">
        <v>7</v>
      </c>
      <c r="B3849" s="24" t="s">
        <v>19522</v>
      </c>
      <c r="C3849" s="25" t="s">
        <v>19523</v>
      </c>
      <c r="D3849" s="24" t="s">
        <v>21274</v>
      </c>
      <c r="G3849" s="40">
        <v>5</v>
      </c>
      <c r="H3849" s="41">
        <v>9258</v>
      </c>
      <c r="J3849" s="41">
        <v>1851.6</v>
      </c>
    </row>
    <row r="3850" spans="1:11" x14ac:dyDescent="0.25">
      <c r="A3850" s="24" t="s">
        <v>7</v>
      </c>
      <c r="B3850" s="24" t="s">
        <v>19533</v>
      </c>
      <c r="C3850" s="25" t="s">
        <v>19534</v>
      </c>
      <c r="D3850" s="24" t="s">
        <v>21274</v>
      </c>
      <c r="G3850" s="40">
        <v>30</v>
      </c>
      <c r="H3850" s="41">
        <v>107670</v>
      </c>
      <c r="J3850" s="41">
        <v>3589</v>
      </c>
    </row>
    <row r="3851" spans="1:11" x14ac:dyDescent="0.25">
      <c r="A3851" s="24" t="s">
        <v>7</v>
      </c>
      <c r="B3851" s="24" t="s">
        <v>19540</v>
      </c>
      <c r="C3851" s="25" t="s">
        <v>19541</v>
      </c>
      <c r="D3851" s="24" t="s">
        <v>21274</v>
      </c>
      <c r="G3851" s="40">
        <v>8</v>
      </c>
      <c r="H3851" s="41">
        <v>29768</v>
      </c>
      <c r="J3851" s="41">
        <v>3721</v>
      </c>
    </row>
    <row r="3852" spans="1:11" x14ac:dyDescent="0.25">
      <c r="A3852" s="24" t="s">
        <v>7</v>
      </c>
      <c r="B3852" s="24" t="s">
        <v>19560</v>
      </c>
      <c r="C3852" s="25" t="s">
        <v>19561</v>
      </c>
      <c r="D3852" s="24" t="s">
        <v>21274</v>
      </c>
      <c r="E3852" s="40">
        <v>56</v>
      </c>
      <c r="F3852" s="41">
        <v>98782</v>
      </c>
      <c r="G3852" s="40">
        <v>142</v>
      </c>
      <c r="H3852" s="41">
        <v>558573.22</v>
      </c>
      <c r="I3852" s="41">
        <v>1763.9642857142858</v>
      </c>
      <c r="J3852" s="41">
        <v>3933.6142253521125</v>
      </c>
      <c r="K3852" s="42">
        <v>1.2299851857597366</v>
      </c>
    </row>
    <row r="3853" spans="1:11" x14ac:dyDescent="0.25">
      <c r="A3853" s="24" t="s">
        <v>7</v>
      </c>
      <c r="B3853" s="24" t="s">
        <v>19563</v>
      </c>
      <c r="C3853" s="25" t="s">
        <v>19564</v>
      </c>
      <c r="D3853" s="24" t="s">
        <v>21274</v>
      </c>
      <c r="G3853" s="40">
        <v>14</v>
      </c>
      <c r="H3853" s="41">
        <v>14896</v>
      </c>
      <c r="J3853" s="41">
        <v>1064</v>
      </c>
    </row>
    <row r="3854" spans="1:11" x14ac:dyDescent="0.25">
      <c r="A3854" s="24" t="s">
        <v>7</v>
      </c>
      <c r="B3854" s="24" t="s">
        <v>19566</v>
      </c>
      <c r="C3854" s="25" t="s">
        <v>19567</v>
      </c>
      <c r="D3854" s="24" t="s">
        <v>21274</v>
      </c>
      <c r="G3854" s="40">
        <v>14</v>
      </c>
      <c r="H3854" s="41">
        <v>19138</v>
      </c>
      <c r="J3854" s="41">
        <v>1367</v>
      </c>
    </row>
    <row r="3855" spans="1:11" x14ac:dyDescent="0.25">
      <c r="A3855" s="24" t="s">
        <v>7</v>
      </c>
      <c r="B3855" s="24" t="s">
        <v>19569</v>
      </c>
      <c r="C3855" s="25" t="s">
        <v>19570</v>
      </c>
      <c r="D3855" s="24" t="s">
        <v>21274</v>
      </c>
      <c r="E3855" s="40">
        <v>49</v>
      </c>
      <c r="F3855" s="41">
        <v>263686.75</v>
      </c>
      <c r="G3855" s="40">
        <v>61</v>
      </c>
      <c r="H3855" s="41">
        <v>324893.01</v>
      </c>
      <c r="I3855" s="41">
        <v>5381.3622448979595</v>
      </c>
      <c r="J3855" s="41">
        <v>5326.1149180327866</v>
      </c>
      <c r="K3855" s="42">
        <v>-1.0266420350637536E-2</v>
      </c>
    </row>
    <row r="3856" spans="1:11" x14ac:dyDescent="0.25">
      <c r="A3856" s="24" t="s">
        <v>7</v>
      </c>
      <c r="B3856" s="24" t="s">
        <v>19579</v>
      </c>
      <c r="C3856" s="25" t="s">
        <v>19580</v>
      </c>
      <c r="D3856" s="24" t="s">
        <v>21283</v>
      </c>
      <c r="E3856" s="40">
        <v>22</v>
      </c>
      <c r="F3856" s="41">
        <v>116902</v>
      </c>
      <c r="G3856" s="40">
        <v>27</v>
      </c>
      <c r="H3856" s="41">
        <v>140547</v>
      </c>
      <c r="I3856" s="41">
        <v>5313.727272727273</v>
      </c>
      <c r="J3856" s="41">
        <v>5205.4444444444443</v>
      </c>
      <c r="K3856" s="42">
        <v>-2.0377942398096097E-2</v>
      </c>
    </row>
    <row r="3857" spans="1:11" x14ac:dyDescent="0.25">
      <c r="A3857" s="24" t="s">
        <v>7</v>
      </c>
      <c r="B3857" s="24" t="s">
        <v>19583</v>
      </c>
      <c r="C3857" s="25" t="s">
        <v>19584</v>
      </c>
      <c r="D3857" s="24" t="s">
        <v>21277</v>
      </c>
      <c r="E3857" s="40">
        <v>3</v>
      </c>
      <c r="F3857" s="41">
        <v>20672</v>
      </c>
      <c r="G3857" s="40">
        <v>2</v>
      </c>
      <c r="H3857" s="41">
        <v>14130</v>
      </c>
      <c r="I3857" s="41">
        <v>6890.666666666667</v>
      </c>
      <c r="J3857" s="41">
        <v>7065</v>
      </c>
      <c r="K3857" s="42">
        <v>2.5299922600619151E-2</v>
      </c>
    </row>
    <row r="3858" spans="1:11" x14ac:dyDescent="0.25">
      <c r="A3858" s="24" t="s">
        <v>7</v>
      </c>
      <c r="B3858" s="24" t="s">
        <v>19586</v>
      </c>
      <c r="C3858" s="25" t="s">
        <v>19587</v>
      </c>
      <c r="D3858" s="24" t="s">
        <v>21279</v>
      </c>
      <c r="G3858" s="40">
        <v>6</v>
      </c>
      <c r="H3858" s="41">
        <v>113100</v>
      </c>
      <c r="J3858" s="41">
        <v>18850</v>
      </c>
    </row>
    <row r="3859" spans="1:11" x14ac:dyDescent="0.25">
      <c r="A3859" s="24" t="s">
        <v>7</v>
      </c>
      <c r="B3859" s="24" t="s">
        <v>19589</v>
      </c>
      <c r="C3859" s="25" t="s">
        <v>19590</v>
      </c>
      <c r="D3859" s="24" t="s">
        <v>21283</v>
      </c>
      <c r="G3859" s="40">
        <v>1</v>
      </c>
      <c r="H3859" s="41">
        <v>9439</v>
      </c>
      <c r="J3859" s="41">
        <v>9439</v>
      </c>
    </row>
    <row r="3860" spans="1:11" x14ac:dyDescent="0.25">
      <c r="A3860" s="24" t="s">
        <v>7</v>
      </c>
      <c r="B3860" s="24" t="s">
        <v>19591</v>
      </c>
      <c r="C3860" s="25" t="s">
        <v>19592</v>
      </c>
      <c r="D3860" s="24" t="s">
        <v>21283</v>
      </c>
      <c r="G3860" s="40">
        <v>6</v>
      </c>
      <c r="H3860" s="41">
        <v>63366.65</v>
      </c>
      <c r="J3860" s="41">
        <v>10561.108333333334</v>
      </c>
    </row>
    <row r="3861" spans="1:11" x14ac:dyDescent="0.25">
      <c r="A3861" s="24" t="s">
        <v>7</v>
      </c>
      <c r="B3861" s="24" t="s">
        <v>19596</v>
      </c>
      <c r="C3861" s="25" t="s">
        <v>19597</v>
      </c>
      <c r="D3861" s="24" t="s">
        <v>21274</v>
      </c>
      <c r="E3861" s="40">
        <v>40</v>
      </c>
      <c r="F3861" s="41">
        <v>163098</v>
      </c>
      <c r="G3861" s="40">
        <v>44</v>
      </c>
      <c r="H3861" s="41">
        <v>180553</v>
      </c>
      <c r="I3861" s="41">
        <v>4077.45</v>
      </c>
      <c r="J3861" s="41">
        <v>4103.477272727273</v>
      </c>
      <c r="K3861" s="42">
        <v>6.3832230259777949E-3</v>
      </c>
    </row>
    <row r="3862" spans="1:11" x14ac:dyDescent="0.25">
      <c r="A3862" s="24" t="s">
        <v>7</v>
      </c>
      <c r="B3862" s="24" t="s">
        <v>19599</v>
      </c>
      <c r="C3862" s="25" t="s">
        <v>19600</v>
      </c>
      <c r="D3862" s="24" t="s">
        <v>21274</v>
      </c>
      <c r="E3862" s="40">
        <v>6</v>
      </c>
      <c r="F3862" s="41">
        <v>66356</v>
      </c>
      <c r="G3862" s="40">
        <v>0</v>
      </c>
      <c r="H3862" s="41">
        <v>0</v>
      </c>
      <c r="I3862" s="41">
        <v>11059.333333333334</v>
      </c>
    </row>
    <row r="3863" spans="1:11" x14ac:dyDescent="0.25">
      <c r="A3863" s="24" t="s">
        <v>7</v>
      </c>
      <c r="B3863" s="24" t="s">
        <v>19602</v>
      </c>
      <c r="C3863" s="25" t="s">
        <v>19603</v>
      </c>
      <c r="D3863" s="24" t="s">
        <v>21274</v>
      </c>
      <c r="G3863" s="40">
        <v>3</v>
      </c>
      <c r="H3863" s="41">
        <v>12824.75</v>
      </c>
      <c r="J3863" s="41">
        <v>4274.916666666667</v>
      </c>
    </row>
    <row r="3864" spans="1:11" x14ac:dyDescent="0.25">
      <c r="A3864" s="24" t="s">
        <v>7</v>
      </c>
      <c r="B3864" s="24" t="s">
        <v>19605</v>
      </c>
      <c r="C3864" s="25" t="s">
        <v>19606</v>
      </c>
      <c r="D3864" s="24" t="s">
        <v>21274</v>
      </c>
      <c r="G3864" s="40">
        <v>4</v>
      </c>
      <c r="H3864" s="41">
        <v>22568</v>
      </c>
      <c r="J3864" s="41">
        <v>5642</v>
      </c>
    </row>
    <row r="3865" spans="1:11" x14ac:dyDescent="0.25">
      <c r="A3865" s="24" t="s">
        <v>7</v>
      </c>
      <c r="B3865" s="24" t="s">
        <v>19617</v>
      </c>
      <c r="C3865" s="25" t="s">
        <v>19618</v>
      </c>
      <c r="D3865" s="24" t="s">
        <v>21279</v>
      </c>
      <c r="G3865" s="40">
        <v>1</v>
      </c>
      <c r="H3865" s="41">
        <v>8546</v>
      </c>
      <c r="J3865" s="41">
        <v>8546</v>
      </c>
    </row>
    <row r="3866" spans="1:11" x14ac:dyDescent="0.25">
      <c r="A3866" s="24" t="s">
        <v>7</v>
      </c>
      <c r="B3866" s="24" t="s">
        <v>19622</v>
      </c>
      <c r="C3866" s="25" t="s">
        <v>19623</v>
      </c>
      <c r="D3866" s="24" t="s">
        <v>21274</v>
      </c>
      <c r="G3866" s="40">
        <v>5</v>
      </c>
      <c r="H3866" s="41">
        <v>7500</v>
      </c>
      <c r="J3866" s="41">
        <v>1500</v>
      </c>
    </row>
    <row r="3867" spans="1:11" x14ac:dyDescent="0.25">
      <c r="A3867" s="24" t="s">
        <v>7</v>
      </c>
      <c r="B3867" s="24" t="s">
        <v>19624</v>
      </c>
      <c r="C3867" s="25" t="s">
        <v>19625</v>
      </c>
      <c r="D3867" s="24" t="s">
        <v>21279</v>
      </c>
      <c r="E3867" s="40">
        <v>4</v>
      </c>
      <c r="F3867" s="41">
        <v>29848</v>
      </c>
      <c r="G3867" s="40">
        <v>3</v>
      </c>
      <c r="H3867" s="41">
        <v>22386</v>
      </c>
      <c r="I3867" s="41">
        <v>7462</v>
      </c>
      <c r="J3867" s="41">
        <v>7462</v>
      </c>
      <c r="K3867" s="42">
        <v>0</v>
      </c>
    </row>
    <row r="3868" spans="1:11" x14ac:dyDescent="0.25">
      <c r="A3868" s="24" t="s">
        <v>7</v>
      </c>
      <c r="B3868" s="24" t="s">
        <v>19630</v>
      </c>
      <c r="C3868" s="25" t="s">
        <v>19631</v>
      </c>
      <c r="D3868" s="24" t="s">
        <v>21274</v>
      </c>
      <c r="E3868" s="40">
        <v>197</v>
      </c>
      <c r="F3868" s="41">
        <v>40590</v>
      </c>
      <c r="G3868" s="40">
        <v>375</v>
      </c>
      <c r="H3868" s="41">
        <v>324882</v>
      </c>
      <c r="I3868" s="41">
        <v>206.04060913705584</v>
      </c>
      <c r="J3868" s="41">
        <v>866.35199999999998</v>
      </c>
      <c r="K3868" s="42">
        <v>3.2047633407243161</v>
      </c>
    </row>
    <row r="3869" spans="1:11" x14ac:dyDescent="0.25">
      <c r="A3869" s="24" t="s">
        <v>7</v>
      </c>
      <c r="B3869" s="24" t="s">
        <v>19632</v>
      </c>
      <c r="C3869" s="25" t="s">
        <v>19631</v>
      </c>
      <c r="D3869" s="24" t="s">
        <v>21274</v>
      </c>
      <c r="E3869" s="40">
        <v>91</v>
      </c>
      <c r="F3869" s="41">
        <v>61802</v>
      </c>
      <c r="G3869" s="40">
        <v>112</v>
      </c>
      <c r="H3869" s="41">
        <v>136856</v>
      </c>
      <c r="I3869" s="41">
        <v>679.14285714285711</v>
      </c>
      <c r="J3869" s="41">
        <v>1221.9285714285713</v>
      </c>
      <c r="K3869" s="42">
        <v>0.79922170803533865</v>
      </c>
    </row>
    <row r="3870" spans="1:11" x14ac:dyDescent="0.25">
      <c r="A3870" s="24" t="s">
        <v>7</v>
      </c>
      <c r="B3870" s="24" t="s">
        <v>19633</v>
      </c>
      <c r="C3870" s="25" t="s">
        <v>19634</v>
      </c>
      <c r="D3870" s="24" t="s">
        <v>21274</v>
      </c>
      <c r="E3870" s="40">
        <v>21</v>
      </c>
      <c r="F3870" s="41">
        <v>34301</v>
      </c>
      <c r="G3870" s="40">
        <v>35</v>
      </c>
      <c r="H3870" s="41">
        <v>69140</v>
      </c>
      <c r="I3870" s="41">
        <v>1633.3809523809523</v>
      </c>
      <c r="J3870" s="41">
        <v>1975.4285714285713</v>
      </c>
      <c r="K3870" s="42">
        <v>0.20941080434972742</v>
      </c>
    </row>
    <row r="3871" spans="1:11" x14ac:dyDescent="0.25">
      <c r="A3871" s="24" t="s">
        <v>7</v>
      </c>
      <c r="B3871" s="24" t="s">
        <v>19636</v>
      </c>
      <c r="C3871" s="25" t="s">
        <v>19637</v>
      </c>
      <c r="D3871" s="24" t="s">
        <v>21274</v>
      </c>
      <c r="G3871" s="40">
        <v>1</v>
      </c>
      <c r="H3871" s="41">
        <v>19793</v>
      </c>
      <c r="J3871" s="41">
        <v>19793</v>
      </c>
    </row>
    <row r="3872" spans="1:11" x14ac:dyDescent="0.25">
      <c r="A3872" s="24" t="s">
        <v>7</v>
      </c>
      <c r="B3872" s="24" t="s">
        <v>19639</v>
      </c>
      <c r="C3872" s="25" t="s">
        <v>19640</v>
      </c>
      <c r="D3872" s="24" t="s">
        <v>21274</v>
      </c>
      <c r="G3872" s="40">
        <v>20</v>
      </c>
      <c r="H3872" s="41">
        <v>52329.5</v>
      </c>
      <c r="J3872" s="41">
        <v>2616.4749999999999</v>
      </c>
    </row>
    <row r="3873" spans="1:11" x14ac:dyDescent="0.25">
      <c r="A3873" s="24" t="s">
        <v>7</v>
      </c>
      <c r="B3873" s="24" t="s">
        <v>19642</v>
      </c>
      <c r="C3873" s="25" t="s">
        <v>19643</v>
      </c>
      <c r="D3873" s="24" t="s">
        <v>21274</v>
      </c>
      <c r="G3873" s="40">
        <v>1</v>
      </c>
      <c r="H3873" s="41">
        <v>3623</v>
      </c>
      <c r="J3873" s="41">
        <v>3623</v>
      </c>
    </row>
    <row r="3874" spans="1:11" x14ac:dyDescent="0.25">
      <c r="A3874" s="24" t="s">
        <v>7</v>
      </c>
      <c r="B3874" s="24" t="s">
        <v>19650</v>
      </c>
      <c r="C3874" s="25" t="s">
        <v>19651</v>
      </c>
      <c r="D3874" s="24" t="s">
        <v>21274</v>
      </c>
      <c r="G3874" s="40">
        <v>19</v>
      </c>
      <c r="H3874" s="41">
        <v>370459.5</v>
      </c>
      <c r="J3874" s="41">
        <v>19497.86842105263</v>
      </c>
    </row>
    <row r="3875" spans="1:11" x14ac:dyDescent="0.25">
      <c r="A3875" s="24" t="s">
        <v>7</v>
      </c>
      <c r="B3875" s="24" t="s">
        <v>19656</v>
      </c>
      <c r="C3875" s="25" t="s">
        <v>19657</v>
      </c>
      <c r="D3875" s="24" t="s">
        <v>21274</v>
      </c>
      <c r="E3875" s="40">
        <v>3</v>
      </c>
      <c r="F3875" s="41">
        <v>27648</v>
      </c>
      <c r="G3875" s="40">
        <v>2</v>
      </c>
      <c r="H3875" s="41">
        <v>18432</v>
      </c>
      <c r="I3875" s="41">
        <v>9216</v>
      </c>
      <c r="J3875" s="41">
        <v>9216</v>
      </c>
      <c r="K3875" s="42">
        <v>0</v>
      </c>
    </row>
    <row r="3876" spans="1:11" x14ac:dyDescent="0.25">
      <c r="A3876" s="24" t="s">
        <v>7</v>
      </c>
      <c r="B3876" s="24" t="s">
        <v>19660</v>
      </c>
      <c r="C3876" s="25" t="s">
        <v>19661</v>
      </c>
      <c r="D3876" s="24" t="s">
        <v>21274</v>
      </c>
      <c r="G3876" s="40">
        <v>1</v>
      </c>
      <c r="H3876" s="41">
        <v>11393</v>
      </c>
      <c r="J3876" s="41">
        <v>11393</v>
      </c>
    </row>
    <row r="3877" spans="1:11" x14ac:dyDescent="0.25">
      <c r="A3877" s="24" t="s">
        <v>7</v>
      </c>
      <c r="B3877" s="24" t="s">
        <v>19662</v>
      </c>
      <c r="C3877" s="25" t="s">
        <v>19663</v>
      </c>
      <c r="D3877" s="24" t="s">
        <v>21274</v>
      </c>
      <c r="G3877" s="40">
        <v>2</v>
      </c>
      <c r="H3877" s="41">
        <v>25254</v>
      </c>
      <c r="J3877" s="41">
        <v>12627</v>
      </c>
    </row>
    <row r="3878" spans="1:11" x14ac:dyDescent="0.25">
      <c r="A3878" s="24" t="s">
        <v>7</v>
      </c>
      <c r="B3878" s="24" t="s">
        <v>19664</v>
      </c>
      <c r="C3878" s="25" t="s">
        <v>19665</v>
      </c>
      <c r="D3878" s="24" t="s">
        <v>21274</v>
      </c>
      <c r="G3878" s="40">
        <v>3</v>
      </c>
      <c r="H3878" s="41">
        <v>25563</v>
      </c>
      <c r="J3878" s="41">
        <v>8521</v>
      </c>
    </row>
    <row r="3879" spans="1:11" x14ac:dyDescent="0.25">
      <c r="A3879" s="24" t="s">
        <v>7</v>
      </c>
      <c r="B3879" s="24" t="s">
        <v>19666</v>
      </c>
      <c r="C3879" s="25" t="s">
        <v>19667</v>
      </c>
      <c r="D3879" s="24" t="s">
        <v>21274</v>
      </c>
      <c r="G3879" s="40">
        <v>1</v>
      </c>
      <c r="H3879" s="41">
        <v>4987.5</v>
      </c>
      <c r="J3879" s="41">
        <v>4987.5</v>
      </c>
    </row>
    <row r="3880" spans="1:11" x14ac:dyDescent="0.25">
      <c r="A3880" s="24" t="s">
        <v>7</v>
      </c>
      <c r="B3880" s="24" t="s">
        <v>19718</v>
      </c>
      <c r="C3880" s="25" t="s">
        <v>19719</v>
      </c>
      <c r="D3880" s="24" t="s">
        <v>21274</v>
      </c>
      <c r="G3880" s="40">
        <v>4</v>
      </c>
      <c r="H3880" s="41">
        <v>4248</v>
      </c>
      <c r="J3880" s="41">
        <v>1062</v>
      </c>
    </row>
    <row r="3881" spans="1:11" x14ac:dyDescent="0.25">
      <c r="A3881" s="24" t="s">
        <v>7</v>
      </c>
      <c r="B3881" s="24" t="s">
        <v>19725</v>
      </c>
      <c r="C3881" s="25" t="s">
        <v>19726</v>
      </c>
      <c r="D3881" s="24" t="s">
        <v>21274</v>
      </c>
      <c r="G3881" s="40">
        <v>1</v>
      </c>
      <c r="H3881" s="41">
        <v>985</v>
      </c>
      <c r="J3881" s="41">
        <v>985</v>
      </c>
    </row>
    <row r="3882" spans="1:11" x14ac:dyDescent="0.25">
      <c r="A3882" s="24" t="s">
        <v>7</v>
      </c>
      <c r="B3882" s="24" t="s">
        <v>19728</v>
      </c>
      <c r="C3882" s="25" t="s">
        <v>19729</v>
      </c>
      <c r="D3882" s="24" t="s">
        <v>21274</v>
      </c>
      <c r="G3882" s="40">
        <v>2</v>
      </c>
      <c r="H3882" s="41">
        <v>624</v>
      </c>
      <c r="J3882" s="41">
        <v>312</v>
      </c>
    </row>
    <row r="3883" spans="1:11" x14ac:dyDescent="0.25">
      <c r="A3883" s="24" t="s">
        <v>7</v>
      </c>
      <c r="B3883" s="24" t="s">
        <v>19733</v>
      </c>
      <c r="C3883" s="25" t="s">
        <v>19734</v>
      </c>
      <c r="D3883" s="24" t="s">
        <v>21274</v>
      </c>
      <c r="G3883" s="40">
        <v>6</v>
      </c>
      <c r="H3883" s="41">
        <v>10348</v>
      </c>
      <c r="J3883" s="41">
        <v>1724.6666666666667</v>
      </c>
    </row>
    <row r="3884" spans="1:11" x14ac:dyDescent="0.25">
      <c r="A3884" s="24" t="s">
        <v>7</v>
      </c>
      <c r="B3884" s="24" t="s">
        <v>19738</v>
      </c>
      <c r="C3884" s="25" t="s">
        <v>19739</v>
      </c>
      <c r="D3884" s="24" t="s">
        <v>21274</v>
      </c>
      <c r="E3884" s="40">
        <v>7</v>
      </c>
      <c r="F3884" s="41">
        <v>7542.05</v>
      </c>
      <c r="G3884" s="40">
        <v>12</v>
      </c>
      <c r="H3884" s="41">
        <v>18220.13</v>
      </c>
      <c r="I3884" s="41">
        <v>1077.4357142857143</v>
      </c>
      <c r="J3884" s="41">
        <v>1518.3441666666668</v>
      </c>
      <c r="K3884" s="42">
        <v>0.40922019433266382</v>
      </c>
    </row>
    <row r="3885" spans="1:11" x14ac:dyDescent="0.25">
      <c r="A3885" s="24" t="s">
        <v>7</v>
      </c>
      <c r="B3885" s="24" t="s">
        <v>19740</v>
      </c>
      <c r="C3885" s="25" t="s">
        <v>19741</v>
      </c>
      <c r="D3885" s="24" t="s">
        <v>21274</v>
      </c>
      <c r="E3885" s="40">
        <v>10</v>
      </c>
      <c r="F3885" s="41">
        <v>35920</v>
      </c>
      <c r="G3885" s="40">
        <v>26</v>
      </c>
      <c r="H3885" s="41">
        <v>97418</v>
      </c>
      <c r="I3885" s="41">
        <v>3592</v>
      </c>
      <c r="J3885" s="41">
        <v>3746.8461538461538</v>
      </c>
      <c r="K3885" s="42">
        <v>4.3108617440465985E-2</v>
      </c>
    </row>
    <row r="3886" spans="1:11" x14ac:dyDescent="0.25">
      <c r="A3886" s="24" t="s">
        <v>7</v>
      </c>
      <c r="B3886" s="24" t="s">
        <v>19745</v>
      </c>
      <c r="C3886" s="25" t="s">
        <v>19746</v>
      </c>
      <c r="D3886" s="24" t="s">
        <v>21274</v>
      </c>
      <c r="E3886" s="40">
        <v>5</v>
      </c>
      <c r="F3886" s="41">
        <v>10987.25</v>
      </c>
      <c r="G3886" s="40">
        <v>1</v>
      </c>
      <c r="H3886" s="41">
        <v>3048.8</v>
      </c>
      <c r="I3886" s="41">
        <v>2197.4499999999998</v>
      </c>
      <c r="J3886" s="41">
        <v>3048.8</v>
      </c>
      <c r="K3886" s="42">
        <v>0.38742633507019519</v>
      </c>
    </row>
    <row r="3887" spans="1:11" x14ac:dyDescent="0.25">
      <c r="A3887" s="24" t="s">
        <v>7</v>
      </c>
      <c r="B3887" s="24" t="s">
        <v>19747</v>
      </c>
      <c r="C3887" s="25" t="s">
        <v>19748</v>
      </c>
      <c r="D3887" s="24" t="s">
        <v>21274</v>
      </c>
      <c r="G3887" s="40">
        <v>1</v>
      </c>
      <c r="H3887" s="41">
        <v>4997</v>
      </c>
      <c r="J3887" s="41">
        <v>4997</v>
      </c>
    </row>
    <row r="3888" spans="1:11" x14ac:dyDescent="0.25">
      <c r="A3888" s="24" t="s">
        <v>7</v>
      </c>
      <c r="B3888" s="24" t="s">
        <v>19750</v>
      </c>
      <c r="C3888" s="25" t="s">
        <v>19751</v>
      </c>
      <c r="D3888" s="24" t="s">
        <v>21274</v>
      </c>
      <c r="E3888" s="40">
        <v>5</v>
      </c>
      <c r="F3888" s="41">
        <v>18492</v>
      </c>
      <c r="G3888" s="40">
        <v>8</v>
      </c>
      <c r="H3888" s="41">
        <v>30236</v>
      </c>
      <c r="I3888" s="41">
        <v>3698.4</v>
      </c>
      <c r="J3888" s="41">
        <v>3779.5</v>
      </c>
      <c r="K3888" s="42">
        <v>2.1928401470906314E-2</v>
      </c>
    </row>
    <row r="3889" spans="1:11" x14ac:dyDescent="0.25">
      <c r="A3889" s="24" t="s">
        <v>7</v>
      </c>
      <c r="B3889" s="24" t="s">
        <v>19752</v>
      </c>
      <c r="C3889" s="25" t="s">
        <v>19753</v>
      </c>
      <c r="D3889" s="24" t="s">
        <v>21274</v>
      </c>
      <c r="G3889" s="40">
        <v>1</v>
      </c>
      <c r="H3889" s="41">
        <v>7102</v>
      </c>
      <c r="J3889" s="41">
        <v>7102</v>
      </c>
    </row>
    <row r="3890" spans="1:11" x14ac:dyDescent="0.25">
      <c r="A3890" s="24" t="s">
        <v>7</v>
      </c>
      <c r="B3890" s="24" t="s">
        <v>19754</v>
      </c>
      <c r="C3890" s="25" t="s">
        <v>19755</v>
      </c>
      <c r="D3890" s="24" t="s">
        <v>21274</v>
      </c>
      <c r="E3890" s="40">
        <v>10</v>
      </c>
      <c r="F3890" s="41">
        <v>24606</v>
      </c>
      <c r="G3890" s="40">
        <v>12</v>
      </c>
      <c r="H3890" s="41">
        <v>36381</v>
      </c>
      <c r="I3890" s="41">
        <v>2460.6</v>
      </c>
      <c r="J3890" s="41">
        <v>3031.75</v>
      </c>
      <c r="K3890" s="42">
        <v>0.23211818255709993</v>
      </c>
    </row>
    <row r="3891" spans="1:11" x14ac:dyDescent="0.25">
      <c r="A3891" s="24" t="s">
        <v>7</v>
      </c>
      <c r="B3891" s="24" t="s">
        <v>19757</v>
      </c>
      <c r="C3891" s="25" t="s">
        <v>19758</v>
      </c>
      <c r="D3891" s="24" t="s">
        <v>21274</v>
      </c>
      <c r="E3891" s="40">
        <v>26</v>
      </c>
      <c r="F3891" s="41">
        <v>79092</v>
      </c>
      <c r="G3891" s="40">
        <v>16</v>
      </c>
      <c r="H3891" s="41">
        <v>39978</v>
      </c>
      <c r="I3891" s="41">
        <v>3042</v>
      </c>
      <c r="J3891" s="41">
        <v>2498.625</v>
      </c>
      <c r="K3891" s="42">
        <v>-0.1786242603550296</v>
      </c>
    </row>
    <row r="3892" spans="1:11" x14ac:dyDescent="0.25">
      <c r="A3892" s="24" t="s">
        <v>7</v>
      </c>
      <c r="B3892" s="24" t="s">
        <v>19759</v>
      </c>
      <c r="C3892" s="25" t="s">
        <v>19760</v>
      </c>
      <c r="D3892" s="24" t="s">
        <v>21274</v>
      </c>
      <c r="E3892" s="40">
        <v>19</v>
      </c>
      <c r="F3892" s="41">
        <v>9857</v>
      </c>
      <c r="G3892" s="40">
        <v>11</v>
      </c>
      <c r="H3892" s="41">
        <v>5797</v>
      </c>
      <c r="I3892" s="41">
        <v>518.78947368421052</v>
      </c>
      <c r="J3892" s="41">
        <v>527</v>
      </c>
      <c r="K3892" s="42">
        <v>1.5826316323424988E-2</v>
      </c>
    </row>
    <row r="3893" spans="1:11" x14ac:dyDescent="0.25">
      <c r="A3893" s="24" t="s">
        <v>7</v>
      </c>
      <c r="B3893" s="24" t="s">
        <v>19772</v>
      </c>
      <c r="C3893" s="25" t="s">
        <v>19773</v>
      </c>
      <c r="D3893" s="24" t="s">
        <v>21274</v>
      </c>
      <c r="G3893" s="40">
        <v>1</v>
      </c>
      <c r="H3893" s="41">
        <v>2426</v>
      </c>
      <c r="J3893" s="41">
        <v>2426</v>
      </c>
    </row>
    <row r="3894" spans="1:11" x14ac:dyDescent="0.25">
      <c r="A3894" s="24" t="s">
        <v>7</v>
      </c>
      <c r="B3894" s="24" t="s">
        <v>19774</v>
      </c>
      <c r="C3894" s="25" t="s">
        <v>19775</v>
      </c>
      <c r="D3894" s="24" t="s">
        <v>21274</v>
      </c>
      <c r="G3894" s="40">
        <v>1</v>
      </c>
      <c r="H3894" s="41">
        <v>4287</v>
      </c>
      <c r="J3894" s="41">
        <v>4287</v>
      </c>
    </row>
    <row r="3895" spans="1:11" x14ac:dyDescent="0.25">
      <c r="A3895" s="24" t="s">
        <v>7</v>
      </c>
      <c r="B3895" s="24" t="s">
        <v>19778</v>
      </c>
      <c r="C3895" s="25" t="s">
        <v>19779</v>
      </c>
      <c r="D3895" s="24" t="s">
        <v>21274</v>
      </c>
      <c r="G3895" s="40">
        <v>3</v>
      </c>
      <c r="H3895" s="41">
        <v>31782</v>
      </c>
      <c r="J3895" s="41">
        <v>10594</v>
      </c>
    </row>
    <row r="3896" spans="1:11" x14ac:dyDescent="0.25">
      <c r="A3896" s="24" t="s">
        <v>7</v>
      </c>
      <c r="B3896" s="24" t="s">
        <v>19780</v>
      </c>
      <c r="C3896" s="25" t="s">
        <v>19781</v>
      </c>
      <c r="D3896" s="24" t="s">
        <v>21274</v>
      </c>
      <c r="G3896" s="40">
        <v>6</v>
      </c>
      <c r="H3896" s="41">
        <v>20864</v>
      </c>
      <c r="J3896" s="41">
        <v>3477.3333333333335</v>
      </c>
    </row>
    <row r="3897" spans="1:11" x14ac:dyDescent="0.25">
      <c r="A3897" s="24" t="s">
        <v>7</v>
      </c>
      <c r="B3897" s="24" t="s">
        <v>19782</v>
      </c>
      <c r="C3897" s="25" t="s">
        <v>19783</v>
      </c>
      <c r="D3897" s="24" t="s">
        <v>21274</v>
      </c>
      <c r="G3897" s="40">
        <v>1</v>
      </c>
      <c r="H3897" s="41">
        <v>1421</v>
      </c>
      <c r="J3897" s="41">
        <v>1421</v>
      </c>
    </row>
    <row r="3898" spans="1:11" x14ac:dyDescent="0.25">
      <c r="A3898" s="24" t="s">
        <v>7</v>
      </c>
      <c r="B3898" s="24" t="s">
        <v>19786</v>
      </c>
      <c r="C3898" s="25" t="s">
        <v>19787</v>
      </c>
      <c r="D3898" s="24" t="s">
        <v>21274</v>
      </c>
      <c r="E3898" s="40">
        <v>3</v>
      </c>
      <c r="F3898" s="41">
        <v>1770</v>
      </c>
      <c r="G3898" s="40">
        <v>2</v>
      </c>
      <c r="H3898" s="41">
        <v>43941.55</v>
      </c>
      <c r="I3898" s="41">
        <v>590</v>
      </c>
      <c r="J3898" s="41">
        <v>21970.775000000001</v>
      </c>
      <c r="K3898" s="42">
        <v>36.238601694915253</v>
      </c>
    </row>
    <row r="3899" spans="1:11" x14ac:dyDescent="0.25">
      <c r="A3899" s="24" t="s">
        <v>7</v>
      </c>
      <c r="B3899" s="24" t="s">
        <v>19788</v>
      </c>
      <c r="C3899" s="25" t="s">
        <v>19789</v>
      </c>
      <c r="D3899" s="24" t="s">
        <v>21274</v>
      </c>
      <c r="G3899" s="40">
        <v>1</v>
      </c>
      <c r="H3899" s="41">
        <v>1413</v>
      </c>
      <c r="J3899" s="41">
        <v>1413</v>
      </c>
    </row>
    <row r="3900" spans="1:11" x14ac:dyDescent="0.25">
      <c r="A3900" s="24" t="s">
        <v>7</v>
      </c>
      <c r="B3900" s="24" t="s">
        <v>19790</v>
      </c>
      <c r="C3900" s="25" t="s">
        <v>19791</v>
      </c>
      <c r="D3900" s="24" t="s">
        <v>21274</v>
      </c>
      <c r="G3900" s="40">
        <v>1</v>
      </c>
      <c r="H3900" s="41">
        <v>1867</v>
      </c>
      <c r="J3900" s="41">
        <v>1867</v>
      </c>
    </row>
    <row r="3901" spans="1:11" x14ac:dyDescent="0.25">
      <c r="A3901" s="24" t="s">
        <v>7</v>
      </c>
      <c r="B3901" s="24" t="s">
        <v>19792</v>
      </c>
      <c r="C3901" s="25" t="s">
        <v>19793</v>
      </c>
      <c r="D3901" s="24" t="s">
        <v>21274</v>
      </c>
      <c r="G3901" s="40">
        <v>1</v>
      </c>
      <c r="H3901" s="41">
        <v>2918</v>
      </c>
      <c r="J3901" s="41">
        <v>2918</v>
      </c>
    </row>
    <row r="3902" spans="1:11" x14ac:dyDescent="0.25">
      <c r="A3902" s="24" t="s">
        <v>7</v>
      </c>
      <c r="B3902" s="24" t="s">
        <v>19794</v>
      </c>
      <c r="C3902" s="25" t="s">
        <v>19795</v>
      </c>
      <c r="D3902" s="24" t="s">
        <v>21274</v>
      </c>
      <c r="E3902" s="40">
        <v>5</v>
      </c>
      <c r="F3902" s="41">
        <v>6162</v>
      </c>
      <c r="G3902" s="40">
        <v>4</v>
      </c>
      <c r="H3902" s="41">
        <v>5160</v>
      </c>
      <c r="I3902" s="41">
        <v>1232.4000000000001</v>
      </c>
      <c r="J3902" s="41">
        <v>1290</v>
      </c>
      <c r="K3902" s="42">
        <v>4.6738072054527673E-2</v>
      </c>
    </row>
    <row r="3903" spans="1:11" x14ac:dyDescent="0.25">
      <c r="A3903" s="24" t="s">
        <v>7</v>
      </c>
      <c r="B3903" s="24" t="s">
        <v>19796</v>
      </c>
      <c r="C3903" s="25" t="s">
        <v>19797</v>
      </c>
      <c r="D3903" s="24" t="s">
        <v>21274</v>
      </c>
      <c r="G3903" s="40">
        <v>3</v>
      </c>
      <c r="H3903" s="41">
        <v>31226.5</v>
      </c>
      <c r="J3903" s="41">
        <v>10408.833333333334</v>
      </c>
    </row>
    <row r="3904" spans="1:11" x14ac:dyDescent="0.25">
      <c r="A3904" s="24" t="s">
        <v>7</v>
      </c>
      <c r="B3904" s="24" t="s">
        <v>19799</v>
      </c>
      <c r="C3904" s="25" t="s">
        <v>19800</v>
      </c>
      <c r="D3904" s="24" t="s">
        <v>21274</v>
      </c>
      <c r="E3904" s="40">
        <v>32</v>
      </c>
      <c r="F3904" s="41">
        <v>119052.01</v>
      </c>
      <c r="G3904" s="40">
        <v>35</v>
      </c>
      <c r="H3904" s="41">
        <v>132230</v>
      </c>
      <c r="I3904" s="41">
        <v>3720.3753124999998</v>
      </c>
      <c r="J3904" s="41">
        <v>3778</v>
      </c>
      <c r="K3904" s="42">
        <v>1.5488944705763518E-2</v>
      </c>
    </row>
    <row r="3905" spans="1:11" x14ac:dyDescent="0.25">
      <c r="A3905" s="24" t="s">
        <v>7</v>
      </c>
      <c r="B3905" s="24" t="s">
        <v>19802</v>
      </c>
      <c r="C3905" s="25" t="s">
        <v>19803</v>
      </c>
      <c r="D3905" s="24" t="s">
        <v>21274</v>
      </c>
      <c r="G3905" s="40">
        <v>3</v>
      </c>
      <c r="H3905" s="41">
        <v>14598</v>
      </c>
      <c r="J3905" s="41">
        <v>4866</v>
      </c>
    </row>
    <row r="3906" spans="1:11" x14ac:dyDescent="0.25">
      <c r="A3906" s="24" t="s">
        <v>7</v>
      </c>
      <c r="B3906" s="24" t="s">
        <v>19805</v>
      </c>
      <c r="C3906" s="25" t="s">
        <v>19806</v>
      </c>
      <c r="D3906" s="24" t="s">
        <v>21274</v>
      </c>
      <c r="E3906" s="40">
        <v>4</v>
      </c>
      <c r="F3906" s="41">
        <v>8971.8799999999992</v>
      </c>
      <c r="G3906" s="40">
        <v>0</v>
      </c>
      <c r="H3906" s="41">
        <v>0</v>
      </c>
      <c r="I3906" s="41">
        <v>2242.9699999999998</v>
      </c>
    </row>
    <row r="3907" spans="1:11" x14ac:dyDescent="0.25">
      <c r="A3907" s="24" t="s">
        <v>7</v>
      </c>
      <c r="B3907" s="24" t="s">
        <v>19811</v>
      </c>
      <c r="C3907" s="25" t="s">
        <v>19812</v>
      </c>
      <c r="D3907" s="24" t="s">
        <v>21274</v>
      </c>
      <c r="G3907" s="40">
        <v>3</v>
      </c>
      <c r="H3907" s="41">
        <v>10996.1</v>
      </c>
      <c r="J3907" s="41">
        <v>3665.3666666666668</v>
      </c>
    </row>
    <row r="3908" spans="1:11" x14ac:dyDescent="0.25">
      <c r="A3908" s="24" t="s">
        <v>7</v>
      </c>
      <c r="B3908" s="24" t="s">
        <v>19813</v>
      </c>
      <c r="C3908" s="25" t="s">
        <v>19814</v>
      </c>
      <c r="D3908" s="24" t="s">
        <v>21274</v>
      </c>
      <c r="E3908" s="40">
        <v>2</v>
      </c>
      <c r="F3908" s="41">
        <v>12250</v>
      </c>
      <c r="G3908" s="40">
        <v>1</v>
      </c>
      <c r="H3908" s="41">
        <v>3958</v>
      </c>
      <c r="I3908" s="41">
        <v>6125</v>
      </c>
      <c r="J3908" s="41">
        <v>3958</v>
      </c>
      <c r="K3908" s="42">
        <v>-0.35379591836734692</v>
      </c>
    </row>
    <row r="3909" spans="1:11" x14ac:dyDescent="0.25">
      <c r="A3909" s="24" t="s">
        <v>7</v>
      </c>
      <c r="B3909" s="24" t="s">
        <v>19815</v>
      </c>
      <c r="C3909" s="25" t="s">
        <v>19816</v>
      </c>
      <c r="D3909" s="24" t="s">
        <v>21274</v>
      </c>
      <c r="G3909" s="40">
        <v>1</v>
      </c>
      <c r="H3909" s="41">
        <v>4041</v>
      </c>
      <c r="J3909" s="41">
        <v>4041</v>
      </c>
    </row>
    <row r="3910" spans="1:11" x14ac:dyDescent="0.25">
      <c r="A3910" s="24" t="s">
        <v>7</v>
      </c>
      <c r="B3910" s="24" t="s">
        <v>19817</v>
      </c>
      <c r="C3910" s="25" t="s">
        <v>19818</v>
      </c>
      <c r="D3910" s="24" t="s">
        <v>21274</v>
      </c>
      <c r="G3910" s="40">
        <v>1</v>
      </c>
      <c r="H3910" s="41">
        <v>4204</v>
      </c>
      <c r="J3910" s="41">
        <v>4204</v>
      </c>
    </row>
    <row r="3911" spans="1:11" x14ac:dyDescent="0.25">
      <c r="A3911" s="24" t="s">
        <v>7</v>
      </c>
      <c r="B3911" s="24" t="s">
        <v>19821</v>
      </c>
      <c r="C3911" s="25" t="s">
        <v>19822</v>
      </c>
      <c r="D3911" s="24" t="s">
        <v>21274</v>
      </c>
      <c r="E3911" s="40">
        <v>4</v>
      </c>
      <c r="F3911" s="41">
        <v>14725.93</v>
      </c>
      <c r="G3911" s="40">
        <v>3</v>
      </c>
      <c r="H3911" s="41">
        <v>10462.780000000001</v>
      </c>
      <c r="I3911" s="41">
        <v>3681.4825000000001</v>
      </c>
      <c r="J3911" s="41">
        <v>3487.5933333333337</v>
      </c>
      <c r="K3911" s="42">
        <v>-5.2666056857982174E-2</v>
      </c>
    </row>
    <row r="3912" spans="1:11" x14ac:dyDescent="0.25">
      <c r="A3912" s="24" t="s">
        <v>7</v>
      </c>
      <c r="B3912" s="24" t="s">
        <v>19823</v>
      </c>
      <c r="C3912" s="25" t="s">
        <v>19824</v>
      </c>
      <c r="D3912" s="24" t="s">
        <v>21274</v>
      </c>
      <c r="E3912" s="40">
        <v>36</v>
      </c>
      <c r="F3912" s="41">
        <v>81524.929999999993</v>
      </c>
      <c r="G3912" s="40">
        <v>49</v>
      </c>
      <c r="H3912" s="41">
        <v>151961.95000000001</v>
      </c>
      <c r="I3912" s="41">
        <v>2264.5813888888888</v>
      </c>
      <c r="J3912" s="41">
        <v>3101.264285714286</v>
      </c>
      <c r="K3912" s="42">
        <v>0.36946470589688701</v>
      </c>
    </row>
    <row r="3913" spans="1:11" x14ac:dyDescent="0.25">
      <c r="A3913" s="24" t="s">
        <v>7</v>
      </c>
      <c r="B3913" s="24" t="s">
        <v>19825</v>
      </c>
      <c r="C3913" s="25" t="s">
        <v>19826</v>
      </c>
      <c r="D3913" s="24" t="s">
        <v>21274</v>
      </c>
      <c r="E3913" s="40">
        <v>3</v>
      </c>
      <c r="F3913" s="41">
        <v>16104</v>
      </c>
      <c r="G3913" s="40">
        <v>5</v>
      </c>
      <c r="H3913" s="41">
        <v>25974</v>
      </c>
      <c r="I3913" s="41">
        <v>5368</v>
      </c>
      <c r="J3913" s="41">
        <v>5194.8</v>
      </c>
      <c r="K3913" s="42">
        <v>-3.2265275707898625E-2</v>
      </c>
    </row>
    <row r="3914" spans="1:11" x14ac:dyDescent="0.25">
      <c r="A3914" s="24" t="s">
        <v>7</v>
      </c>
      <c r="B3914" s="24" t="s">
        <v>19828</v>
      </c>
      <c r="C3914" s="25" t="s">
        <v>19829</v>
      </c>
      <c r="D3914" s="24" t="s">
        <v>21274</v>
      </c>
      <c r="E3914" s="40">
        <v>6</v>
      </c>
      <c r="F3914" s="41">
        <v>9542</v>
      </c>
      <c r="G3914" s="40">
        <v>2</v>
      </c>
      <c r="H3914" s="41">
        <v>3447.63</v>
      </c>
      <c r="I3914" s="41">
        <v>1590.3333333333333</v>
      </c>
      <c r="J3914" s="41">
        <v>1723.8150000000001</v>
      </c>
      <c r="K3914" s="42">
        <v>8.3933137706979757E-2</v>
      </c>
    </row>
    <row r="3915" spans="1:11" x14ac:dyDescent="0.25">
      <c r="A3915" s="24" t="s">
        <v>7</v>
      </c>
      <c r="B3915" s="24" t="s">
        <v>19836</v>
      </c>
      <c r="C3915" s="25" t="s">
        <v>19837</v>
      </c>
      <c r="D3915" s="24" t="s">
        <v>21274</v>
      </c>
      <c r="G3915" s="40">
        <v>2</v>
      </c>
      <c r="H3915" s="41">
        <v>7916</v>
      </c>
      <c r="J3915" s="41">
        <v>3958</v>
      </c>
    </row>
    <row r="3916" spans="1:11" x14ac:dyDescent="0.25">
      <c r="A3916" s="24" t="s">
        <v>7</v>
      </c>
      <c r="B3916" s="24" t="s">
        <v>19839</v>
      </c>
      <c r="C3916" s="25" t="s">
        <v>19840</v>
      </c>
      <c r="D3916" s="24" t="s">
        <v>21274</v>
      </c>
      <c r="E3916" s="40">
        <v>12</v>
      </c>
      <c r="F3916" s="41">
        <v>87704</v>
      </c>
      <c r="G3916" s="40">
        <v>11</v>
      </c>
      <c r="H3916" s="41">
        <v>77958</v>
      </c>
      <c r="I3916" s="41">
        <v>7308.666666666667</v>
      </c>
      <c r="J3916" s="41">
        <v>7087.090909090909</v>
      </c>
      <c r="K3916" s="42">
        <v>-3.0316850895159803E-2</v>
      </c>
    </row>
    <row r="3917" spans="1:11" x14ac:dyDescent="0.25">
      <c r="A3917" s="24" t="s">
        <v>7</v>
      </c>
      <c r="B3917" s="24" t="s">
        <v>19841</v>
      </c>
      <c r="C3917" s="25" t="s">
        <v>19842</v>
      </c>
      <c r="D3917" s="24" t="s">
        <v>21274</v>
      </c>
      <c r="G3917" s="40">
        <v>6</v>
      </c>
      <c r="H3917" s="41">
        <v>21284</v>
      </c>
      <c r="J3917" s="41">
        <v>3547.3333333333335</v>
      </c>
    </row>
    <row r="3918" spans="1:11" x14ac:dyDescent="0.25">
      <c r="A3918" s="24" t="s">
        <v>7</v>
      </c>
      <c r="B3918" s="24" t="s">
        <v>19846</v>
      </c>
      <c r="C3918" s="25" t="s">
        <v>19847</v>
      </c>
      <c r="D3918" s="24" t="s">
        <v>21274</v>
      </c>
      <c r="G3918" s="40">
        <v>3</v>
      </c>
      <c r="H3918" s="41">
        <v>29835</v>
      </c>
      <c r="J3918" s="41">
        <v>9945</v>
      </c>
    </row>
    <row r="3919" spans="1:11" x14ac:dyDescent="0.25">
      <c r="A3919" s="24" t="s">
        <v>7</v>
      </c>
      <c r="B3919" s="24" t="s">
        <v>19864</v>
      </c>
      <c r="C3919" s="25" t="s">
        <v>19865</v>
      </c>
      <c r="D3919" s="24" t="s">
        <v>21277</v>
      </c>
      <c r="G3919" s="40">
        <v>1</v>
      </c>
      <c r="H3919" s="41">
        <v>12982</v>
      </c>
      <c r="J3919" s="41">
        <v>12982</v>
      </c>
    </row>
    <row r="3920" spans="1:11" x14ac:dyDescent="0.25">
      <c r="A3920" s="24" t="s">
        <v>7</v>
      </c>
      <c r="B3920" s="24" t="s">
        <v>19868</v>
      </c>
      <c r="C3920" s="25" t="s">
        <v>19869</v>
      </c>
      <c r="D3920" s="24" t="s">
        <v>22590</v>
      </c>
      <c r="G3920" s="40">
        <v>1</v>
      </c>
      <c r="H3920" s="41">
        <v>35887.5</v>
      </c>
      <c r="J3920" s="41">
        <v>35887.5</v>
      </c>
    </row>
    <row r="3921" spans="1:11" x14ac:dyDescent="0.25">
      <c r="A3921" s="24" t="s">
        <v>7</v>
      </c>
      <c r="B3921" s="24" t="s">
        <v>19879</v>
      </c>
      <c r="C3921" s="25" t="s">
        <v>19880</v>
      </c>
      <c r="D3921" s="24" t="s">
        <v>22591</v>
      </c>
      <c r="E3921" s="40">
        <v>8</v>
      </c>
      <c r="F3921" s="41">
        <v>53753</v>
      </c>
      <c r="G3921" s="40">
        <v>7</v>
      </c>
      <c r="H3921" s="41">
        <v>34895</v>
      </c>
      <c r="I3921" s="41">
        <v>6719.125</v>
      </c>
      <c r="J3921" s="41">
        <v>4985</v>
      </c>
      <c r="K3921" s="42">
        <v>-0.25808792067419495</v>
      </c>
    </row>
    <row r="3922" spans="1:11" x14ac:dyDescent="0.25">
      <c r="A3922" s="24" t="s">
        <v>7</v>
      </c>
      <c r="B3922" s="24" t="s">
        <v>19881</v>
      </c>
      <c r="C3922" s="25" t="s">
        <v>19882</v>
      </c>
      <c r="D3922" s="24" t="s">
        <v>22591</v>
      </c>
      <c r="G3922" s="40">
        <v>2</v>
      </c>
      <c r="H3922" s="41">
        <v>10496.5</v>
      </c>
      <c r="J3922" s="41">
        <v>5248.25</v>
      </c>
    </row>
    <row r="3923" spans="1:11" x14ac:dyDescent="0.25">
      <c r="A3923" s="24" t="s">
        <v>7</v>
      </c>
      <c r="B3923" s="24" t="s">
        <v>19891</v>
      </c>
      <c r="C3923" s="25" t="s">
        <v>19890</v>
      </c>
      <c r="D3923" s="24" t="s">
        <v>21274</v>
      </c>
      <c r="G3923" s="40">
        <v>7</v>
      </c>
      <c r="H3923" s="41">
        <v>18806</v>
      </c>
      <c r="J3923" s="41">
        <v>2686.5714285714284</v>
      </c>
    </row>
    <row r="3924" spans="1:11" x14ac:dyDescent="0.25">
      <c r="A3924" s="24" t="s">
        <v>7</v>
      </c>
      <c r="B3924" s="24" t="s">
        <v>19894</v>
      </c>
      <c r="C3924" s="25" t="s">
        <v>19895</v>
      </c>
      <c r="D3924" s="24" t="s">
        <v>21274</v>
      </c>
      <c r="G3924" s="40">
        <v>1</v>
      </c>
      <c r="H3924" s="41">
        <v>1851</v>
      </c>
      <c r="J3924" s="41">
        <v>1851</v>
      </c>
    </row>
    <row r="3925" spans="1:11" x14ac:dyDescent="0.25">
      <c r="A3925" s="24" t="s">
        <v>7</v>
      </c>
      <c r="B3925" s="24" t="s">
        <v>19897</v>
      </c>
      <c r="C3925" s="25" t="s">
        <v>19898</v>
      </c>
      <c r="D3925" s="24" t="s">
        <v>21274</v>
      </c>
      <c r="G3925" s="40">
        <v>60</v>
      </c>
      <c r="H3925" s="41">
        <v>97060</v>
      </c>
      <c r="J3925" s="41">
        <v>1617.6666666666667</v>
      </c>
    </row>
    <row r="3926" spans="1:11" x14ac:dyDescent="0.25">
      <c r="A3926" s="24" t="s">
        <v>7</v>
      </c>
      <c r="B3926" s="24" t="s">
        <v>19899</v>
      </c>
      <c r="C3926" s="25" t="s">
        <v>19898</v>
      </c>
      <c r="D3926" s="24" t="s">
        <v>21274</v>
      </c>
      <c r="E3926" s="40">
        <v>23</v>
      </c>
      <c r="F3926" s="41">
        <v>4690</v>
      </c>
      <c r="G3926" s="40">
        <v>1</v>
      </c>
      <c r="H3926" s="41">
        <v>189</v>
      </c>
      <c r="I3926" s="41">
        <v>203.91304347826087</v>
      </c>
      <c r="J3926" s="41">
        <v>189</v>
      </c>
      <c r="K3926" s="42">
        <v>-7.3134328358208975E-2</v>
      </c>
    </row>
    <row r="3927" spans="1:11" x14ac:dyDescent="0.25">
      <c r="A3927" s="24" t="s">
        <v>7</v>
      </c>
      <c r="B3927" s="24" t="s">
        <v>19900</v>
      </c>
      <c r="C3927" s="25" t="s">
        <v>19898</v>
      </c>
      <c r="D3927" s="24" t="s">
        <v>21274</v>
      </c>
      <c r="E3927" s="40">
        <v>12</v>
      </c>
      <c r="F3927" s="41">
        <v>13354</v>
      </c>
      <c r="G3927" s="40">
        <v>15</v>
      </c>
      <c r="H3927" s="41">
        <v>17445</v>
      </c>
      <c r="I3927" s="41">
        <v>1112.8333333333333</v>
      </c>
      <c r="J3927" s="41">
        <v>1163</v>
      </c>
      <c r="K3927" s="42">
        <v>4.508012580500232E-2</v>
      </c>
    </row>
    <row r="3928" spans="1:11" x14ac:dyDescent="0.25">
      <c r="A3928" s="24" t="s">
        <v>7</v>
      </c>
      <c r="B3928" s="24" t="s">
        <v>19901</v>
      </c>
      <c r="C3928" s="25" t="s">
        <v>19902</v>
      </c>
      <c r="D3928" s="24" t="s">
        <v>21274</v>
      </c>
      <c r="E3928" s="40">
        <v>62</v>
      </c>
      <c r="F3928" s="41">
        <v>101255.5</v>
      </c>
      <c r="G3928" s="40">
        <v>91</v>
      </c>
      <c r="H3928" s="41">
        <v>210158</v>
      </c>
      <c r="I3928" s="41">
        <v>1633.1532258064517</v>
      </c>
      <c r="J3928" s="41">
        <v>2309.4285714285716</v>
      </c>
      <c r="K3928" s="42">
        <v>0.41409179183917344</v>
      </c>
    </row>
    <row r="3929" spans="1:11" x14ac:dyDescent="0.25">
      <c r="A3929" s="24" t="s">
        <v>7</v>
      </c>
      <c r="B3929" s="24" t="s">
        <v>19903</v>
      </c>
      <c r="C3929" s="25" t="s">
        <v>19902</v>
      </c>
      <c r="D3929" s="24" t="s">
        <v>21274</v>
      </c>
      <c r="E3929" s="40">
        <v>78</v>
      </c>
      <c r="F3929" s="41">
        <v>40272</v>
      </c>
      <c r="G3929" s="40">
        <v>38</v>
      </c>
      <c r="H3929" s="41">
        <v>29619</v>
      </c>
      <c r="I3929" s="41">
        <v>516.30769230769226</v>
      </c>
      <c r="J3929" s="41">
        <v>779.4473684210526</v>
      </c>
      <c r="K3929" s="42">
        <v>0.50965670284172893</v>
      </c>
    </row>
    <row r="3930" spans="1:11" x14ac:dyDescent="0.25">
      <c r="A3930" s="24" t="s">
        <v>7</v>
      </c>
      <c r="B3930" s="24" t="s">
        <v>19904</v>
      </c>
      <c r="C3930" s="25" t="s">
        <v>19905</v>
      </c>
      <c r="D3930" s="24" t="s">
        <v>21274</v>
      </c>
      <c r="E3930" s="40">
        <v>44</v>
      </c>
      <c r="F3930" s="41">
        <v>93020</v>
      </c>
      <c r="G3930" s="40">
        <v>114</v>
      </c>
      <c r="H3930" s="41">
        <v>282602.5</v>
      </c>
      <c r="I3930" s="41">
        <v>2114.090909090909</v>
      </c>
      <c r="J3930" s="41">
        <v>2478.969298245614</v>
      </c>
      <c r="K3930" s="42">
        <v>0.17259351884333499</v>
      </c>
    </row>
    <row r="3931" spans="1:11" x14ac:dyDescent="0.25">
      <c r="A3931" s="24" t="s">
        <v>7</v>
      </c>
      <c r="B3931" s="24" t="s">
        <v>19906</v>
      </c>
      <c r="C3931" s="25" t="s">
        <v>19907</v>
      </c>
      <c r="D3931" s="24" t="s">
        <v>21274</v>
      </c>
      <c r="G3931" s="40">
        <v>1</v>
      </c>
      <c r="H3931" s="41">
        <v>720</v>
      </c>
      <c r="J3931" s="41">
        <v>720</v>
      </c>
    </row>
    <row r="3932" spans="1:11" x14ac:dyDescent="0.25">
      <c r="A3932" s="24" t="s">
        <v>7</v>
      </c>
      <c r="B3932" s="24" t="s">
        <v>19908</v>
      </c>
      <c r="C3932" s="25" t="s">
        <v>19909</v>
      </c>
      <c r="D3932" s="24" t="s">
        <v>21274</v>
      </c>
      <c r="G3932" s="40">
        <v>5</v>
      </c>
      <c r="H3932" s="41">
        <v>8450</v>
      </c>
      <c r="J3932" s="41">
        <v>1690</v>
      </c>
    </row>
    <row r="3933" spans="1:11" x14ac:dyDescent="0.25">
      <c r="A3933" s="24" t="s">
        <v>7</v>
      </c>
      <c r="B3933" s="24" t="s">
        <v>19910</v>
      </c>
      <c r="C3933" s="25" t="s">
        <v>19911</v>
      </c>
      <c r="D3933" s="24" t="s">
        <v>21274</v>
      </c>
      <c r="E3933" s="40">
        <v>10</v>
      </c>
      <c r="F3933" s="41">
        <v>19630</v>
      </c>
      <c r="G3933" s="40">
        <v>33</v>
      </c>
      <c r="H3933" s="41">
        <v>80097</v>
      </c>
      <c r="I3933" s="41">
        <v>1963</v>
      </c>
      <c r="J3933" s="41">
        <v>2427.181818181818</v>
      </c>
      <c r="K3933" s="42">
        <v>0.23646552123373307</v>
      </c>
    </row>
    <row r="3934" spans="1:11" x14ac:dyDescent="0.25">
      <c r="A3934" s="24" t="s">
        <v>7</v>
      </c>
      <c r="B3934" s="24" t="s">
        <v>19912</v>
      </c>
      <c r="C3934" s="25" t="s">
        <v>19911</v>
      </c>
      <c r="D3934" s="24" t="s">
        <v>21274</v>
      </c>
      <c r="G3934" s="40">
        <v>3</v>
      </c>
      <c r="H3934" s="41">
        <v>7817.5</v>
      </c>
      <c r="J3934" s="41">
        <v>2605.8333333333335</v>
      </c>
    </row>
    <row r="3935" spans="1:11" x14ac:dyDescent="0.25">
      <c r="A3935" s="24" t="s">
        <v>7</v>
      </c>
      <c r="B3935" s="24" t="s">
        <v>19913</v>
      </c>
      <c r="C3935" s="25" t="s">
        <v>19914</v>
      </c>
      <c r="D3935" s="24" t="s">
        <v>21274</v>
      </c>
      <c r="G3935" s="40">
        <v>1</v>
      </c>
      <c r="H3935" s="41">
        <v>1267</v>
      </c>
      <c r="J3935" s="41">
        <v>1267</v>
      </c>
    </row>
    <row r="3936" spans="1:11" x14ac:dyDescent="0.25">
      <c r="A3936" s="24" t="s">
        <v>7</v>
      </c>
      <c r="B3936" s="24" t="s">
        <v>19915</v>
      </c>
      <c r="C3936" s="25" t="s">
        <v>19916</v>
      </c>
      <c r="D3936" s="24" t="s">
        <v>21274</v>
      </c>
      <c r="G3936" s="40">
        <v>8</v>
      </c>
      <c r="H3936" s="41">
        <v>10808</v>
      </c>
      <c r="J3936" s="41">
        <v>1351</v>
      </c>
    </row>
    <row r="3937" spans="1:11" x14ac:dyDescent="0.25">
      <c r="A3937" s="24" t="s">
        <v>7</v>
      </c>
      <c r="B3937" s="24" t="s">
        <v>19917</v>
      </c>
      <c r="C3937" s="25" t="s">
        <v>19916</v>
      </c>
      <c r="D3937" s="24" t="s">
        <v>21274</v>
      </c>
      <c r="E3937" s="40">
        <v>41</v>
      </c>
      <c r="F3937" s="41">
        <v>40663</v>
      </c>
      <c r="G3937" s="40">
        <v>11</v>
      </c>
      <c r="H3937" s="41">
        <v>19866</v>
      </c>
      <c r="I3937" s="41">
        <v>991.78048780487802</v>
      </c>
      <c r="J3937" s="41">
        <v>1806</v>
      </c>
      <c r="K3937" s="42">
        <v>0.82096746427956624</v>
      </c>
    </row>
    <row r="3938" spans="1:11" x14ac:dyDescent="0.25">
      <c r="A3938" s="24" t="s">
        <v>7</v>
      </c>
      <c r="B3938" s="24" t="s">
        <v>19918</v>
      </c>
      <c r="C3938" s="25" t="s">
        <v>19919</v>
      </c>
      <c r="D3938" s="24" t="s">
        <v>21274</v>
      </c>
      <c r="E3938" s="40">
        <v>175</v>
      </c>
      <c r="F3938" s="41">
        <v>131460</v>
      </c>
      <c r="G3938" s="40">
        <v>216</v>
      </c>
      <c r="H3938" s="41">
        <v>259520</v>
      </c>
      <c r="I3938" s="41">
        <v>751.2</v>
      </c>
      <c r="J3938" s="41">
        <v>1201.4814814814815</v>
      </c>
      <c r="K3938" s="42">
        <v>0.59941624265372928</v>
      </c>
    </row>
    <row r="3939" spans="1:11" x14ac:dyDescent="0.25">
      <c r="A3939" s="24" t="s">
        <v>7</v>
      </c>
      <c r="B3939" s="24" t="s">
        <v>19920</v>
      </c>
      <c r="C3939" s="25" t="s">
        <v>19921</v>
      </c>
      <c r="D3939" s="24" t="s">
        <v>21274</v>
      </c>
      <c r="G3939" s="40">
        <v>1</v>
      </c>
      <c r="H3939" s="41">
        <v>3958</v>
      </c>
      <c r="J3939" s="41">
        <v>3958</v>
      </c>
    </row>
    <row r="3940" spans="1:11" x14ac:dyDescent="0.25">
      <c r="A3940" s="24" t="s">
        <v>7</v>
      </c>
      <c r="B3940" s="24" t="s">
        <v>19922</v>
      </c>
      <c r="C3940" s="25" t="s">
        <v>19923</v>
      </c>
      <c r="D3940" s="24" t="s">
        <v>21274</v>
      </c>
      <c r="E3940" s="40">
        <v>226</v>
      </c>
      <c r="F3940" s="41">
        <v>81531</v>
      </c>
      <c r="G3940" s="40">
        <v>187</v>
      </c>
      <c r="H3940" s="41">
        <v>183851</v>
      </c>
      <c r="I3940" s="41">
        <v>360.75663716814159</v>
      </c>
      <c r="J3940" s="41">
        <v>983.1604278074866</v>
      </c>
      <c r="K3940" s="42">
        <v>1.725273290950583</v>
      </c>
    </row>
    <row r="3941" spans="1:11" x14ac:dyDescent="0.25">
      <c r="A3941" s="24" t="s">
        <v>7</v>
      </c>
      <c r="B3941" s="24" t="s">
        <v>19927</v>
      </c>
      <c r="C3941" s="25" t="s">
        <v>19928</v>
      </c>
      <c r="D3941" s="24" t="s">
        <v>21274</v>
      </c>
      <c r="E3941" s="40">
        <v>37</v>
      </c>
      <c r="F3941" s="41">
        <v>21800</v>
      </c>
      <c r="G3941" s="40">
        <v>76</v>
      </c>
      <c r="H3941" s="41">
        <v>49333</v>
      </c>
      <c r="I3941" s="41">
        <v>589.18918918918916</v>
      </c>
      <c r="J3941" s="41">
        <v>649.11842105263156</v>
      </c>
      <c r="K3941" s="42">
        <v>0.10171475132786095</v>
      </c>
    </row>
    <row r="3942" spans="1:11" x14ac:dyDescent="0.25">
      <c r="A3942" s="24" t="s">
        <v>7</v>
      </c>
      <c r="B3942" s="24" t="s">
        <v>19929</v>
      </c>
      <c r="C3942" s="25" t="s">
        <v>19930</v>
      </c>
      <c r="D3942" s="24" t="s">
        <v>21274</v>
      </c>
      <c r="E3942" s="40">
        <v>28</v>
      </c>
      <c r="F3942" s="41">
        <v>23156</v>
      </c>
      <c r="G3942" s="40">
        <v>0</v>
      </c>
      <c r="H3942" s="41">
        <v>0</v>
      </c>
      <c r="I3942" s="41">
        <v>827</v>
      </c>
    </row>
    <row r="3943" spans="1:11" x14ac:dyDescent="0.25">
      <c r="A3943" s="24" t="s">
        <v>7</v>
      </c>
      <c r="B3943" s="24" t="s">
        <v>19933</v>
      </c>
      <c r="C3943" s="25" t="s">
        <v>19934</v>
      </c>
      <c r="D3943" s="24" t="s">
        <v>21274</v>
      </c>
      <c r="G3943" s="40">
        <v>16</v>
      </c>
      <c r="H3943" s="41">
        <v>39865</v>
      </c>
      <c r="J3943" s="41">
        <v>2491.5625</v>
      </c>
    </row>
    <row r="3944" spans="1:11" x14ac:dyDescent="0.25">
      <c r="A3944" s="24" t="s">
        <v>7</v>
      </c>
      <c r="B3944" s="24" t="s">
        <v>19937</v>
      </c>
      <c r="C3944" s="25" t="s">
        <v>19938</v>
      </c>
      <c r="D3944" s="24" t="s">
        <v>21274</v>
      </c>
      <c r="G3944" s="40">
        <v>7</v>
      </c>
      <c r="H3944" s="41">
        <v>30804</v>
      </c>
      <c r="J3944" s="41">
        <v>4400.5714285714284</v>
      </c>
    </row>
    <row r="3945" spans="1:11" x14ac:dyDescent="0.25">
      <c r="A3945" s="24" t="s">
        <v>7</v>
      </c>
      <c r="B3945" s="24" t="s">
        <v>19939</v>
      </c>
      <c r="C3945" s="25" t="s">
        <v>19940</v>
      </c>
      <c r="D3945" s="24" t="s">
        <v>21274</v>
      </c>
      <c r="E3945" s="40">
        <v>142</v>
      </c>
      <c r="F3945" s="41">
        <v>88898</v>
      </c>
      <c r="G3945" s="40">
        <v>67</v>
      </c>
      <c r="H3945" s="41">
        <v>42344</v>
      </c>
      <c r="I3945" s="41">
        <v>626.04225352112678</v>
      </c>
      <c r="J3945" s="41">
        <v>632</v>
      </c>
      <c r="K3945" s="42">
        <v>9.5165245562329522E-3</v>
      </c>
    </row>
    <row r="3946" spans="1:11" x14ac:dyDescent="0.25">
      <c r="A3946" s="24" t="s">
        <v>7</v>
      </c>
      <c r="B3946" s="24" t="s">
        <v>19941</v>
      </c>
      <c r="C3946" s="25" t="s">
        <v>19942</v>
      </c>
      <c r="D3946" s="24" t="s">
        <v>21274</v>
      </c>
      <c r="E3946" s="40">
        <v>5</v>
      </c>
      <c r="F3946" s="41">
        <v>16284</v>
      </c>
      <c r="G3946" s="40">
        <v>0</v>
      </c>
      <c r="H3946" s="41">
        <v>0</v>
      </c>
      <c r="I3946" s="41">
        <v>3256.8</v>
      </c>
    </row>
    <row r="3947" spans="1:11" x14ac:dyDescent="0.25">
      <c r="A3947" s="24" t="s">
        <v>7</v>
      </c>
      <c r="B3947" s="24" t="s">
        <v>19944</v>
      </c>
      <c r="C3947" s="25" t="s">
        <v>19945</v>
      </c>
      <c r="D3947" s="24" t="s">
        <v>21274</v>
      </c>
      <c r="E3947" s="40">
        <v>18</v>
      </c>
      <c r="F3947" s="41">
        <v>34950.129999999997</v>
      </c>
      <c r="G3947" s="40">
        <v>19</v>
      </c>
      <c r="H3947" s="41">
        <v>49110</v>
      </c>
      <c r="I3947" s="41">
        <v>1941.6738888888888</v>
      </c>
      <c r="J3947" s="41">
        <v>2584.7368421052633</v>
      </c>
      <c r="K3947" s="42">
        <v>0.33118998864652988</v>
      </c>
    </row>
    <row r="3948" spans="1:11" x14ac:dyDescent="0.25">
      <c r="A3948" s="24" t="s">
        <v>7</v>
      </c>
      <c r="B3948" s="24" t="s">
        <v>19948</v>
      </c>
      <c r="C3948" s="25" t="s">
        <v>19949</v>
      </c>
      <c r="D3948" s="24" t="s">
        <v>21274</v>
      </c>
      <c r="E3948" s="40">
        <v>61</v>
      </c>
      <c r="F3948" s="41">
        <v>101044</v>
      </c>
      <c r="G3948" s="40">
        <v>258</v>
      </c>
      <c r="H3948" s="41">
        <v>526992</v>
      </c>
      <c r="I3948" s="41">
        <v>1656.4590163934427</v>
      </c>
      <c r="J3948" s="41">
        <v>2042.6046511627908</v>
      </c>
      <c r="K3948" s="42">
        <v>0.2331151154044796</v>
      </c>
    </row>
    <row r="3949" spans="1:11" x14ac:dyDescent="0.25">
      <c r="A3949" s="24" t="s">
        <v>7</v>
      </c>
      <c r="B3949" s="24" t="s">
        <v>19950</v>
      </c>
      <c r="C3949" s="25" t="s">
        <v>19951</v>
      </c>
      <c r="D3949" s="24" t="s">
        <v>21274</v>
      </c>
      <c r="E3949" s="40">
        <v>564</v>
      </c>
      <c r="F3949" s="41">
        <v>599464</v>
      </c>
      <c r="G3949" s="40">
        <v>465</v>
      </c>
      <c r="H3949" s="41">
        <v>708902</v>
      </c>
      <c r="I3949" s="41">
        <v>1062.8794326241134</v>
      </c>
      <c r="J3949" s="41">
        <v>1524.5204301075269</v>
      </c>
      <c r="K3949" s="42">
        <v>0.43433053958310291</v>
      </c>
    </row>
    <row r="3950" spans="1:11" x14ac:dyDescent="0.25">
      <c r="A3950" s="24" t="s">
        <v>7</v>
      </c>
      <c r="B3950" s="24" t="s">
        <v>19952</v>
      </c>
      <c r="C3950" s="25" t="s">
        <v>19953</v>
      </c>
      <c r="D3950" s="24" t="s">
        <v>21274</v>
      </c>
      <c r="E3950" s="40">
        <v>9</v>
      </c>
      <c r="F3950" s="41">
        <v>12135</v>
      </c>
      <c r="G3950" s="40">
        <v>7</v>
      </c>
      <c r="H3950" s="41">
        <v>19594</v>
      </c>
      <c r="I3950" s="41">
        <v>1348.3333333333333</v>
      </c>
      <c r="J3950" s="41">
        <v>2799.1428571428573</v>
      </c>
      <c r="K3950" s="42">
        <v>1.0760021190181885</v>
      </c>
    </row>
    <row r="3951" spans="1:11" x14ac:dyDescent="0.25">
      <c r="A3951" s="24" t="s">
        <v>7</v>
      </c>
      <c r="B3951" s="24" t="s">
        <v>19955</v>
      </c>
      <c r="C3951" s="25" t="s">
        <v>19956</v>
      </c>
      <c r="D3951" s="24" t="s">
        <v>21274</v>
      </c>
      <c r="E3951" s="40">
        <v>65</v>
      </c>
      <c r="F3951" s="41">
        <v>114804</v>
      </c>
      <c r="G3951" s="40">
        <v>60</v>
      </c>
      <c r="H3951" s="41">
        <v>121002</v>
      </c>
      <c r="I3951" s="41">
        <v>1766.2153846153847</v>
      </c>
      <c r="J3951" s="41">
        <v>2016.7</v>
      </c>
      <c r="K3951" s="42">
        <v>0.1418199714295669</v>
      </c>
    </row>
    <row r="3952" spans="1:11" x14ac:dyDescent="0.25">
      <c r="A3952" s="24" t="s">
        <v>7</v>
      </c>
      <c r="B3952" s="24" t="s">
        <v>19958</v>
      </c>
      <c r="C3952" s="25" t="s">
        <v>19959</v>
      </c>
      <c r="D3952" s="24" t="s">
        <v>21274</v>
      </c>
      <c r="E3952" s="40">
        <v>197</v>
      </c>
      <c r="F3952" s="41">
        <v>211031</v>
      </c>
      <c r="G3952" s="40">
        <v>169</v>
      </c>
      <c r="H3952" s="41">
        <v>280777</v>
      </c>
      <c r="I3952" s="41">
        <v>1071.2233502538072</v>
      </c>
      <c r="J3952" s="41">
        <v>1661.4023668639054</v>
      </c>
      <c r="K3952" s="42">
        <v>0.55093927561443268</v>
      </c>
    </row>
    <row r="3953" spans="1:11" x14ac:dyDescent="0.25">
      <c r="A3953" s="24" t="s">
        <v>7</v>
      </c>
      <c r="B3953" s="24" t="s">
        <v>19961</v>
      </c>
      <c r="C3953" s="25" t="s">
        <v>19962</v>
      </c>
      <c r="D3953" s="24" t="s">
        <v>21274</v>
      </c>
      <c r="E3953" s="40">
        <v>392</v>
      </c>
      <c r="F3953" s="41">
        <v>216468</v>
      </c>
      <c r="G3953" s="40">
        <v>666</v>
      </c>
      <c r="H3953" s="41">
        <v>1031353.5</v>
      </c>
      <c r="I3953" s="41">
        <v>552.21428571428567</v>
      </c>
      <c r="J3953" s="41">
        <v>1548.5788288288288</v>
      </c>
      <c r="K3953" s="42">
        <v>1.8043078002332953</v>
      </c>
    </row>
    <row r="3954" spans="1:11" x14ac:dyDescent="0.25">
      <c r="A3954" s="24" t="s">
        <v>7</v>
      </c>
      <c r="B3954" s="24" t="s">
        <v>19964</v>
      </c>
      <c r="C3954" s="25" t="s">
        <v>19965</v>
      </c>
      <c r="D3954" s="24" t="s">
        <v>21274</v>
      </c>
      <c r="E3954" s="40">
        <v>2</v>
      </c>
      <c r="F3954" s="41">
        <v>8360</v>
      </c>
      <c r="G3954" s="40">
        <v>0</v>
      </c>
      <c r="H3954" s="41">
        <v>0</v>
      </c>
      <c r="I3954" s="41">
        <v>4180</v>
      </c>
    </row>
    <row r="3955" spans="1:11" x14ac:dyDescent="0.25">
      <c r="A3955" s="24" t="s">
        <v>7</v>
      </c>
      <c r="B3955" s="24" t="s">
        <v>19969</v>
      </c>
      <c r="C3955" s="25" t="s">
        <v>19970</v>
      </c>
      <c r="D3955" s="24" t="s">
        <v>21274</v>
      </c>
      <c r="E3955" s="40">
        <v>153</v>
      </c>
      <c r="F3955" s="41">
        <v>96132</v>
      </c>
      <c r="G3955" s="40">
        <v>70</v>
      </c>
      <c r="H3955" s="41">
        <v>46945.5</v>
      </c>
      <c r="I3955" s="41">
        <v>628.31372549019613</v>
      </c>
      <c r="J3955" s="41">
        <v>670.65</v>
      </c>
      <c r="K3955" s="42">
        <v>6.7380788915241407E-2</v>
      </c>
    </row>
    <row r="3956" spans="1:11" x14ac:dyDescent="0.25">
      <c r="A3956" s="24" t="s">
        <v>7</v>
      </c>
      <c r="B3956" s="24" t="s">
        <v>19974</v>
      </c>
      <c r="C3956" s="25" t="s">
        <v>19975</v>
      </c>
      <c r="D3956" s="24" t="s">
        <v>21274</v>
      </c>
      <c r="E3956" s="40">
        <v>45</v>
      </c>
      <c r="F3956" s="41">
        <v>13991</v>
      </c>
      <c r="G3956" s="40">
        <v>4</v>
      </c>
      <c r="H3956" s="41">
        <v>1956</v>
      </c>
      <c r="I3956" s="41">
        <v>310.9111111111111</v>
      </c>
      <c r="J3956" s="41">
        <v>489</v>
      </c>
      <c r="K3956" s="42">
        <v>0.57279679794153393</v>
      </c>
    </row>
    <row r="3957" spans="1:11" x14ac:dyDescent="0.25">
      <c r="A3957" s="24" t="s">
        <v>7</v>
      </c>
      <c r="B3957" s="24" t="s">
        <v>19976</v>
      </c>
      <c r="C3957" s="25" t="s">
        <v>19977</v>
      </c>
      <c r="D3957" s="24" t="s">
        <v>21274</v>
      </c>
      <c r="E3957" s="40">
        <v>60</v>
      </c>
      <c r="F3957" s="41">
        <v>69672</v>
      </c>
      <c r="G3957" s="40">
        <v>42</v>
      </c>
      <c r="H3957" s="41">
        <v>86022</v>
      </c>
      <c r="I3957" s="41">
        <v>1161.2</v>
      </c>
      <c r="J3957" s="41">
        <v>2048.1428571428573</v>
      </c>
      <c r="K3957" s="42">
        <v>0.76381575709856808</v>
      </c>
    </row>
    <row r="3958" spans="1:11" x14ac:dyDescent="0.25">
      <c r="A3958" s="24" t="s">
        <v>7</v>
      </c>
      <c r="B3958" s="24" t="s">
        <v>19989</v>
      </c>
      <c r="C3958" s="25" t="s">
        <v>19990</v>
      </c>
      <c r="D3958" s="24" t="s">
        <v>21274</v>
      </c>
      <c r="E3958" s="40">
        <v>131</v>
      </c>
      <c r="F3958" s="41">
        <v>1894916</v>
      </c>
      <c r="G3958" s="40">
        <v>112</v>
      </c>
      <c r="H3958" s="41">
        <v>1481632</v>
      </c>
      <c r="I3958" s="41">
        <v>14465.007633587786</v>
      </c>
      <c r="J3958" s="41">
        <v>13228.857142857143</v>
      </c>
      <c r="K3958" s="42">
        <v>-8.5457990900765085E-2</v>
      </c>
    </row>
    <row r="3959" spans="1:11" x14ac:dyDescent="0.25">
      <c r="A3959" s="24" t="s">
        <v>7</v>
      </c>
      <c r="B3959" s="24" t="s">
        <v>19992</v>
      </c>
      <c r="C3959" s="25" t="s">
        <v>19993</v>
      </c>
      <c r="D3959" s="24" t="s">
        <v>21274</v>
      </c>
      <c r="G3959" s="40">
        <v>15</v>
      </c>
      <c r="H3959" s="41">
        <v>54705</v>
      </c>
      <c r="J3959" s="41">
        <v>3647</v>
      </c>
    </row>
    <row r="3960" spans="1:11" x14ac:dyDescent="0.25">
      <c r="A3960" s="24" t="s">
        <v>7</v>
      </c>
      <c r="B3960" s="24" t="s">
        <v>19995</v>
      </c>
      <c r="C3960" s="25" t="s">
        <v>19996</v>
      </c>
      <c r="D3960" s="24" t="s">
        <v>21274</v>
      </c>
      <c r="E3960" s="40">
        <v>16</v>
      </c>
      <c r="F3960" s="41">
        <v>28768</v>
      </c>
      <c r="G3960" s="40">
        <v>79</v>
      </c>
      <c r="H3960" s="41">
        <v>233627.25</v>
      </c>
      <c r="I3960" s="41">
        <v>1798</v>
      </c>
      <c r="J3960" s="41">
        <v>2957.3069620253164</v>
      </c>
      <c r="K3960" s="42">
        <v>0.64477584094845186</v>
      </c>
    </row>
    <row r="3961" spans="1:11" x14ac:dyDescent="0.25">
      <c r="A3961" s="24" t="s">
        <v>7</v>
      </c>
      <c r="B3961" s="24" t="s">
        <v>20003</v>
      </c>
      <c r="C3961" s="25" t="s">
        <v>20004</v>
      </c>
      <c r="D3961" s="24" t="s">
        <v>21274</v>
      </c>
      <c r="E3961" s="40">
        <v>77</v>
      </c>
      <c r="F3961" s="41">
        <v>431336.22</v>
      </c>
      <c r="G3961" s="40">
        <v>67</v>
      </c>
      <c r="H3961" s="41">
        <v>404504.18</v>
      </c>
      <c r="I3961" s="41">
        <v>5601.7690909090907</v>
      </c>
      <c r="J3961" s="41">
        <v>6037.3758208955223</v>
      </c>
      <c r="K3961" s="42">
        <v>7.7762350235635769E-2</v>
      </c>
    </row>
    <row r="3962" spans="1:11" x14ac:dyDescent="0.25">
      <c r="A3962" s="24" t="s">
        <v>7</v>
      </c>
      <c r="B3962" s="24" t="s">
        <v>20010</v>
      </c>
      <c r="C3962" s="25" t="s">
        <v>20011</v>
      </c>
      <c r="D3962" s="24" t="s">
        <v>21274</v>
      </c>
      <c r="E3962" s="40">
        <v>19</v>
      </c>
      <c r="F3962" s="41">
        <v>7463.19</v>
      </c>
      <c r="G3962" s="40">
        <v>50</v>
      </c>
      <c r="H3962" s="41">
        <v>30392</v>
      </c>
      <c r="I3962" s="41">
        <v>392.79947368421051</v>
      </c>
      <c r="J3962" s="41">
        <v>607.84</v>
      </c>
      <c r="K3962" s="42">
        <v>0.54745624860146946</v>
      </c>
    </row>
    <row r="3963" spans="1:11" x14ac:dyDescent="0.25">
      <c r="A3963" s="24" t="s">
        <v>7</v>
      </c>
      <c r="B3963" s="24" t="s">
        <v>20017</v>
      </c>
      <c r="C3963" s="25" t="s">
        <v>20018</v>
      </c>
      <c r="D3963" s="24" t="s">
        <v>21274</v>
      </c>
      <c r="E3963" s="40">
        <v>58</v>
      </c>
      <c r="F3963" s="41">
        <v>57722</v>
      </c>
      <c r="G3963" s="40">
        <v>384</v>
      </c>
      <c r="H3963" s="41">
        <v>612264</v>
      </c>
      <c r="I3963" s="41">
        <v>995.20689655172418</v>
      </c>
      <c r="J3963" s="41">
        <v>1594.4375</v>
      </c>
      <c r="K3963" s="42">
        <v>0.60211661065105149</v>
      </c>
    </row>
    <row r="3964" spans="1:11" x14ac:dyDescent="0.25">
      <c r="A3964" s="24" t="s">
        <v>7</v>
      </c>
      <c r="B3964" s="24" t="s">
        <v>20025</v>
      </c>
      <c r="C3964" s="25" t="s">
        <v>20026</v>
      </c>
      <c r="D3964" s="24" t="s">
        <v>21274</v>
      </c>
      <c r="G3964" s="40">
        <v>5</v>
      </c>
      <c r="H3964" s="41">
        <v>15800</v>
      </c>
      <c r="J3964" s="41">
        <v>3160</v>
      </c>
    </row>
    <row r="3965" spans="1:11" x14ac:dyDescent="0.25">
      <c r="A3965" s="24" t="s">
        <v>7</v>
      </c>
      <c r="B3965" s="24" t="s">
        <v>20028</v>
      </c>
      <c r="C3965" s="25" t="s">
        <v>20029</v>
      </c>
      <c r="D3965" s="24" t="s">
        <v>21274</v>
      </c>
      <c r="G3965" s="40">
        <v>1</v>
      </c>
      <c r="H3965" s="41">
        <v>11625</v>
      </c>
      <c r="J3965" s="41">
        <v>11625</v>
      </c>
    </row>
    <row r="3966" spans="1:11" x14ac:dyDescent="0.25">
      <c r="A3966" s="24" t="s">
        <v>7</v>
      </c>
      <c r="B3966" s="24" t="s">
        <v>20030</v>
      </c>
      <c r="C3966" s="25" t="s">
        <v>20031</v>
      </c>
      <c r="D3966" s="24" t="s">
        <v>21277</v>
      </c>
      <c r="G3966" s="40">
        <v>1</v>
      </c>
      <c r="H3966" s="41">
        <v>17125</v>
      </c>
      <c r="J3966" s="41">
        <v>17125</v>
      </c>
    </row>
    <row r="3967" spans="1:11" x14ac:dyDescent="0.25">
      <c r="A3967" s="24" t="s">
        <v>7</v>
      </c>
      <c r="B3967" s="24" t="s">
        <v>20032</v>
      </c>
      <c r="C3967" s="25" t="s">
        <v>20033</v>
      </c>
      <c r="D3967" s="24" t="s">
        <v>21279</v>
      </c>
      <c r="G3967" s="40">
        <v>3</v>
      </c>
      <c r="H3967" s="41">
        <v>24156</v>
      </c>
      <c r="J3967" s="41">
        <v>8052</v>
      </c>
    </row>
    <row r="3968" spans="1:11" x14ac:dyDescent="0.25">
      <c r="A3968" s="24" t="s">
        <v>7</v>
      </c>
      <c r="B3968" s="24" t="s">
        <v>20034</v>
      </c>
      <c r="C3968" s="25" t="s">
        <v>20035</v>
      </c>
      <c r="D3968" s="24" t="s">
        <v>21279</v>
      </c>
      <c r="G3968" s="40">
        <v>2</v>
      </c>
      <c r="H3968" s="41">
        <v>16102</v>
      </c>
      <c r="J3968" s="41">
        <v>8051</v>
      </c>
    </row>
    <row r="3969" spans="1:11" x14ac:dyDescent="0.25">
      <c r="A3969" s="24" t="s">
        <v>7</v>
      </c>
      <c r="B3969" s="24" t="s">
        <v>20037</v>
      </c>
      <c r="C3969" s="25" t="s">
        <v>20038</v>
      </c>
      <c r="D3969" s="24" t="s">
        <v>21274</v>
      </c>
      <c r="G3969" s="40">
        <v>2</v>
      </c>
      <c r="H3969" s="41">
        <v>33044</v>
      </c>
      <c r="J3969" s="41">
        <v>16522</v>
      </c>
    </row>
    <row r="3970" spans="1:11" x14ac:dyDescent="0.25">
      <c r="A3970" s="24" t="s">
        <v>7</v>
      </c>
      <c r="B3970" s="24" t="s">
        <v>20049</v>
      </c>
      <c r="C3970" s="25" t="s">
        <v>20050</v>
      </c>
      <c r="D3970" s="24" t="s">
        <v>21274</v>
      </c>
      <c r="G3970" s="40">
        <v>1</v>
      </c>
      <c r="H3970" s="41">
        <v>2624</v>
      </c>
      <c r="J3970" s="41">
        <v>2624</v>
      </c>
    </row>
    <row r="3971" spans="1:11" x14ac:dyDescent="0.25">
      <c r="A3971" s="24" t="s">
        <v>7</v>
      </c>
      <c r="B3971" s="24" t="s">
        <v>20054</v>
      </c>
      <c r="C3971" s="25" t="s">
        <v>20055</v>
      </c>
      <c r="D3971" s="24" t="s">
        <v>21274</v>
      </c>
      <c r="G3971" s="40">
        <v>4</v>
      </c>
      <c r="H3971" s="41">
        <v>15832</v>
      </c>
      <c r="J3971" s="41">
        <v>3958</v>
      </c>
    </row>
    <row r="3972" spans="1:11" x14ac:dyDescent="0.25">
      <c r="A3972" s="24" t="s">
        <v>7</v>
      </c>
      <c r="B3972" s="24" t="s">
        <v>20060</v>
      </c>
      <c r="C3972" s="25" t="s">
        <v>20061</v>
      </c>
      <c r="D3972" s="24" t="s">
        <v>21274</v>
      </c>
      <c r="G3972" s="40">
        <v>3</v>
      </c>
      <c r="H3972" s="41">
        <v>63374.85</v>
      </c>
      <c r="J3972" s="41">
        <v>21124.95</v>
      </c>
    </row>
    <row r="3973" spans="1:11" x14ac:dyDescent="0.25">
      <c r="A3973" s="24" t="s">
        <v>7</v>
      </c>
      <c r="B3973" s="24" t="s">
        <v>20062</v>
      </c>
      <c r="C3973" s="25" t="s">
        <v>20063</v>
      </c>
      <c r="D3973" s="24" t="s">
        <v>21274</v>
      </c>
      <c r="G3973" s="40">
        <v>4</v>
      </c>
      <c r="H3973" s="41">
        <v>21589</v>
      </c>
      <c r="J3973" s="41">
        <v>5397.25</v>
      </c>
    </row>
    <row r="3974" spans="1:11" x14ac:dyDescent="0.25">
      <c r="A3974" s="24" t="s">
        <v>7</v>
      </c>
      <c r="B3974" s="24" t="s">
        <v>20065</v>
      </c>
      <c r="C3974" s="25" t="s">
        <v>20066</v>
      </c>
      <c r="D3974" s="24" t="s">
        <v>21274</v>
      </c>
      <c r="E3974" s="40">
        <v>5</v>
      </c>
      <c r="F3974" s="41">
        <v>16232</v>
      </c>
      <c r="G3974" s="40">
        <v>0</v>
      </c>
      <c r="H3974" s="41">
        <v>0</v>
      </c>
      <c r="I3974" s="41">
        <v>3246.4</v>
      </c>
    </row>
    <row r="3975" spans="1:11" x14ac:dyDescent="0.25">
      <c r="A3975" s="24" t="s">
        <v>7</v>
      </c>
      <c r="B3975" s="24" t="s">
        <v>20068</v>
      </c>
      <c r="C3975" s="25" t="s">
        <v>20069</v>
      </c>
      <c r="D3975" s="24" t="s">
        <v>21274</v>
      </c>
      <c r="E3975" s="40">
        <v>8</v>
      </c>
      <c r="F3975" s="41">
        <v>52828</v>
      </c>
      <c r="G3975" s="40">
        <v>12</v>
      </c>
      <c r="H3975" s="41">
        <v>77836</v>
      </c>
      <c r="I3975" s="41">
        <v>6603.5</v>
      </c>
      <c r="J3975" s="41">
        <v>6486.333333333333</v>
      </c>
      <c r="K3975" s="42">
        <v>-1.7743116024330579E-2</v>
      </c>
    </row>
    <row r="3976" spans="1:11" x14ac:dyDescent="0.25">
      <c r="A3976" s="24" t="s">
        <v>7</v>
      </c>
      <c r="B3976" s="24" t="s">
        <v>20073</v>
      </c>
      <c r="C3976" s="25" t="s">
        <v>20074</v>
      </c>
      <c r="D3976" s="24" t="s">
        <v>21283</v>
      </c>
      <c r="E3976" s="40">
        <v>7</v>
      </c>
      <c r="F3976" s="41">
        <v>323403</v>
      </c>
      <c r="G3976" s="40">
        <v>1</v>
      </c>
      <c r="H3976" s="41">
        <v>47715</v>
      </c>
      <c r="I3976" s="41">
        <v>46200.428571428572</v>
      </c>
      <c r="J3976" s="41">
        <v>47715</v>
      </c>
      <c r="K3976" s="42">
        <v>3.278262724835574E-2</v>
      </c>
    </row>
    <row r="3977" spans="1:11" x14ac:dyDescent="0.25">
      <c r="A3977" s="24" t="s">
        <v>7</v>
      </c>
      <c r="B3977" s="24" t="s">
        <v>20086</v>
      </c>
      <c r="C3977" s="25" t="s">
        <v>20087</v>
      </c>
      <c r="D3977" s="24" t="s">
        <v>21300</v>
      </c>
      <c r="E3977" s="40">
        <v>3</v>
      </c>
      <c r="F3977" s="41">
        <v>3774</v>
      </c>
      <c r="G3977" s="40">
        <v>7</v>
      </c>
      <c r="H3977" s="41">
        <v>6570</v>
      </c>
      <c r="I3977" s="41">
        <v>1258</v>
      </c>
      <c r="J3977" s="41">
        <v>938.57142857142856</v>
      </c>
      <c r="K3977" s="42">
        <v>-0.25391778332954806</v>
      </c>
    </row>
    <row r="3978" spans="1:11" x14ac:dyDescent="0.25">
      <c r="A3978" s="24" t="s">
        <v>7</v>
      </c>
      <c r="B3978" s="24" t="s">
        <v>20089</v>
      </c>
      <c r="C3978" s="25" t="s">
        <v>20090</v>
      </c>
      <c r="D3978" s="24" t="s">
        <v>21300</v>
      </c>
      <c r="G3978" s="40">
        <v>2</v>
      </c>
      <c r="H3978" s="41">
        <v>3666</v>
      </c>
      <c r="J3978" s="41">
        <v>1833</v>
      </c>
    </row>
    <row r="3979" spans="1:11" x14ac:dyDescent="0.25">
      <c r="A3979" s="24" t="s">
        <v>7</v>
      </c>
      <c r="B3979" s="24" t="s">
        <v>20091</v>
      </c>
      <c r="C3979" s="25" t="s">
        <v>20092</v>
      </c>
      <c r="D3979" s="24" t="s">
        <v>21276</v>
      </c>
      <c r="E3979" s="40">
        <v>4</v>
      </c>
      <c r="F3979" s="41">
        <v>10044</v>
      </c>
      <c r="G3979" s="40">
        <v>9</v>
      </c>
      <c r="H3979" s="41">
        <v>22599</v>
      </c>
      <c r="I3979" s="41">
        <v>2511</v>
      </c>
      <c r="J3979" s="41">
        <v>2511</v>
      </c>
      <c r="K3979" s="42">
        <v>0</v>
      </c>
    </row>
    <row r="3980" spans="1:11" x14ac:dyDescent="0.25">
      <c r="A3980" s="24" t="s">
        <v>7</v>
      </c>
      <c r="B3980" s="24" t="s">
        <v>20098</v>
      </c>
      <c r="C3980" s="25" t="s">
        <v>20099</v>
      </c>
      <c r="D3980" s="24" t="s">
        <v>21282</v>
      </c>
      <c r="G3980" s="40">
        <v>2</v>
      </c>
      <c r="H3980" s="41">
        <v>2124</v>
      </c>
      <c r="J3980" s="41">
        <v>1062</v>
      </c>
    </row>
    <row r="3981" spans="1:11" x14ac:dyDescent="0.25">
      <c r="A3981" s="24" t="s">
        <v>7</v>
      </c>
      <c r="B3981" s="24" t="s">
        <v>20113</v>
      </c>
      <c r="C3981" s="25" t="s">
        <v>20114</v>
      </c>
      <c r="D3981" s="24" t="s">
        <v>21282</v>
      </c>
      <c r="E3981" s="40">
        <v>4</v>
      </c>
      <c r="F3981" s="41">
        <v>54109</v>
      </c>
      <c r="G3981" s="40">
        <v>0</v>
      </c>
      <c r="H3981" s="41">
        <v>0</v>
      </c>
      <c r="I3981" s="41">
        <v>13527.25</v>
      </c>
    </row>
    <row r="3982" spans="1:11" x14ac:dyDescent="0.25">
      <c r="A3982" s="24" t="s">
        <v>7</v>
      </c>
      <c r="B3982" s="24" t="s">
        <v>20120</v>
      </c>
      <c r="C3982" s="25" t="s">
        <v>20121</v>
      </c>
      <c r="D3982" s="24" t="s">
        <v>21282</v>
      </c>
      <c r="G3982" s="40">
        <v>2</v>
      </c>
      <c r="H3982" s="41">
        <v>7138</v>
      </c>
      <c r="J3982" s="41">
        <v>3569</v>
      </c>
    </row>
    <row r="3983" spans="1:11" x14ac:dyDescent="0.25">
      <c r="A3983" s="24" t="s">
        <v>7</v>
      </c>
      <c r="B3983" s="24" t="s">
        <v>20126</v>
      </c>
      <c r="C3983" s="25" t="s">
        <v>20127</v>
      </c>
      <c r="D3983" s="24" t="s">
        <v>21282</v>
      </c>
      <c r="E3983" s="40">
        <v>5</v>
      </c>
      <c r="F3983" s="41">
        <v>49373</v>
      </c>
      <c r="G3983" s="40">
        <v>25</v>
      </c>
      <c r="H3983" s="41">
        <v>234189</v>
      </c>
      <c r="I3983" s="41">
        <v>9874.6</v>
      </c>
      <c r="J3983" s="41">
        <v>9367.56</v>
      </c>
      <c r="K3983" s="42">
        <v>-5.1347902699856285E-2</v>
      </c>
    </row>
    <row r="3984" spans="1:11" x14ac:dyDescent="0.25">
      <c r="A3984" s="24" t="s">
        <v>7</v>
      </c>
      <c r="B3984" s="24" t="s">
        <v>20137</v>
      </c>
      <c r="C3984" s="25" t="s">
        <v>20138</v>
      </c>
      <c r="D3984" s="24" t="s">
        <v>21283</v>
      </c>
      <c r="G3984" s="40">
        <v>1</v>
      </c>
      <c r="H3984" s="41">
        <v>35798</v>
      </c>
      <c r="J3984" s="41">
        <v>35798</v>
      </c>
    </row>
    <row r="3985" spans="1:11" x14ac:dyDescent="0.25">
      <c r="A3985" s="24" t="s">
        <v>7</v>
      </c>
      <c r="B3985" s="24" t="s">
        <v>20140</v>
      </c>
      <c r="C3985" s="25" t="s">
        <v>20141</v>
      </c>
      <c r="D3985" s="24" t="s">
        <v>21283</v>
      </c>
      <c r="E3985" s="40">
        <v>1</v>
      </c>
      <c r="F3985" s="41">
        <v>45294</v>
      </c>
      <c r="G3985" s="40">
        <v>2</v>
      </c>
      <c r="H3985" s="41">
        <v>90588</v>
      </c>
      <c r="I3985" s="41">
        <v>45294</v>
      </c>
      <c r="J3985" s="41">
        <v>45294</v>
      </c>
      <c r="K3985" s="42">
        <v>0</v>
      </c>
    </row>
    <row r="3986" spans="1:11" x14ac:dyDescent="0.25">
      <c r="A3986" s="24" t="s">
        <v>7</v>
      </c>
      <c r="B3986" s="24" t="s">
        <v>20142</v>
      </c>
      <c r="C3986" s="25" t="s">
        <v>20143</v>
      </c>
      <c r="D3986" s="24" t="s">
        <v>21283</v>
      </c>
      <c r="E3986" s="40">
        <v>3</v>
      </c>
      <c r="F3986" s="41">
        <v>156492</v>
      </c>
      <c r="G3986" s="40">
        <v>1</v>
      </c>
      <c r="H3986" s="41">
        <v>52164</v>
      </c>
      <c r="I3986" s="41">
        <v>52164</v>
      </c>
      <c r="J3986" s="41">
        <v>52164</v>
      </c>
      <c r="K3986" s="42">
        <v>0</v>
      </c>
    </row>
    <row r="3987" spans="1:11" x14ac:dyDescent="0.25">
      <c r="A3987" s="24" t="s">
        <v>7</v>
      </c>
      <c r="B3987" s="24" t="s">
        <v>20144</v>
      </c>
      <c r="C3987" s="25" t="s">
        <v>20145</v>
      </c>
      <c r="D3987" s="24" t="s">
        <v>21283</v>
      </c>
      <c r="G3987" s="40">
        <v>2</v>
      </c>
      <c r="H3987" s="41">
        <v>60284</v>
      </c>
      <c r="J3987" s="41">
        <v>30142</v>
      </c>
    </row>
    <row r="3988" spans="1:11" x14ac:dyDescent="0.25">
      <c r="A3988" s="24" t="s">
        <v>7</v>
      </c>
      <c r="B3988" s="24" t="s">
        <v>20147</v>
      </c>
      <c r="C3988" s="25" t="s">
        <v>20148</v>
      </c>
      <c r="D3988" s="24" t="s">
        <v>21283</v>
      </c>
      <c r="G3988" s="40">
        <v>1</v>
      </c>
      <c r="H3988" s="41">
        <v>44702</v>
      </c>
      <c r="J3988" s="41">
        <v>44702</v>
      </c>
    </row>
    <row r="3989" spans="1:11" x14ac:dyDescent="0.25">
      <c r="A3989" s="24" t="s">
        <v>7</v>
      </c>
      <c r="B3989" s="24" t="s">
        <v>20150</v>
      </c>
      <c r="C3989" s="25" t="s">
        <v>20151</v>
      </c>
      <c r="D3989" s="24" t="s">
        <v>21281</v>
      </c>
      <c r="G3989" s="40">
        <v>1</v>
      </c>
      <c r="H3989" s="41">
        <v>6657</v>
      </c>
      <c r="J3989" s="41">
        <v>6657</v>
      </c>
    </row>
    <row r="3990" spans="1:11" x14ac:dyDescent="0.25">
      <c r="A3990" s="24" t="s">
        <v>7</v>
      </c>
      <c r="B3990" s="24" t="s">
        <v>20157</v>
      </c>
      <c r="C3990" s="25" t="s">
        <v>20158</v>
      </c>
      <c r="D3990" s="24" t="s">
        <v>21276</v>
      </c>
      <c r="G3990" s="40">
        <v>8</v>
      </c>
      <c r="H3990" s="41">
        <v>26176</v>
      </c>
      <c r="J3990" s="41">
        <v>3272</v>
      </c>
    </row>
    <row r="3991" spans="1:11" x14ac:dyDescent="0.25">
      <c r="A3991" s="24" t="s">
        <v>7</v>
      </c>
      <c r="B3991" s="24" t="s">
        <v>20167</v>
      </c>
      <c r="C3991" s="25" t="s">
        <v>20168</v>
      </c>
      <c r="D3991" s="24" t="s">
        <v>21276</v>
      </c>
      <c r="G3991" s="40">
        <v>1</v>
      </c>
      <c r="H3991" s="41">
        <v>19679</v>
      </c>
      <c r="J3991" s="41">
        <v>19679</v>
      </c>
    </row>
    <row r="3992" spans="1:11" x14ac:dyDescent="0.25">
      <c r="A3992" s="24" t="s">
        <v>7</v>
      </c>
      <c r="B3992" s="24" t="s">
        <v>20169</v>
      </c>
      <c r="C3992" s="25" t="s">
        <v>20170</v>
      </c>
      <c r="D3992" s="24" t="s">
        <v>21276</v>
      </c>
      <c r="G3992" s="40">
        <v>3</v>
      </c>
      <c r="H3992" s="41">
        <v>800790</v>
      </c>
      <c r="J3992" s="41">
        <v>266930</v>
      </c>
    </row>
    <row r="3993" spans="1:11" x14ac:dyDescent="0.25">
      <c r="A3993" s="24" t="s">
        <v>7</v>
      </c>
      <c r="B3993" s="24" t="s">
        <v>20172</v>
      </c>
      <c r="C3993" s="25" t="s">
        <v>20173</v>
      </c>
      <c r="D3993" s="24" t="s">
        <v>21276</v>
      </c>
      <c r="G3993" s="40">
        <v>2</v>
      </c>
      <c r="H3993" s="41">
        <v>324758</v>
      </c>
      <c r="J3993" s="41">
        <v>162379</v>
      </c>
    </row>
    <row r="3994" spans="1:11" x14ac:dyDescent="0.25">
      <c r="A3994" s="24" t="s">
        <v>7</v>
      </c>
      <c r="B3994" s="24" t="s">
        <v>20195</v>
      </c>
      <c r="C3994" s="25" t="s">
        <v>20196</v>
      </c>
      <c r="D3994" s="24" t="s">
        <v>21274</v>
      </c>
      <c r="G3994" s="40">
        <v>2</v>
      </c>
      <c r="H3994" s="41">
        <v>3872</v>
      </c>
      <c r="J3994" s="41">
        <v>1936</v>
      </c>
    </row>
    <row r="3995" spans="1:11" x14ac:dyDescent="0.25">
      <c r="A3995" s="24" t="s">
        <v>7</v>
      </c>
      <c r="B3995" s="24" t="s">
        <v>20217</v>
      </c>
      <c r="C3995" s="25" t="s">
        <v>20218</v>
      </c>
      <c r="D3995" s="24" t="s">
        <v>21274</v>
      </c>
      <c r="E3995" s="40">
        <v>1</v>
      </c>
      <c r="F3995" s="41">
        <v>2596</v>
      </c>
      <c r="G3995" s="40">
        <v>2</v>
      </c>
      <c r="H3995" s="41">
        <v>5192</v>
      </c>
      <c r="I3995" s="41">
        <v>2596</v>
      </c>
      <c r="J3995" s="41">
        <v>2596</v>
      </c>
      <c r="K3995" s="42">
        <v>0</v>
      </c>
    </row>
    <row r="3996" spans="1:11" x14ac:dyDescent="0.25">
      <c r="A3996" s="24" t="s">
        <v>7</v>
      </c>
      <c r="B3996" s="24" t="s">
        <v>20222</v>
      </c>
      <c r="C3996" s="25" t="s">
        <v>20223</v>
      </c>
      <c r="D3996" s="24" t="s">
        <v>22592</v>
      </c>
      <c r="G3996" s="40">
        <v>2</v>
      </c>
      <c r="H3996" s="41">
        <v>23786</v>
      </c>
      <c r="J3996" s="41">
        <v>11893</v>
      </c>
    </row>
    <row r="3997" spans="1:11" x14ac:dyDescent="0.25">
      <c r="A3997" s="24" t="s">
        <v>7</v>
      </c>
      <c r="B3997" s="24" t="s">
        <v>20224</v>
      </c>
      <c r="C3997" s="25" t="s">
        <v>20225</v>
      </c>
      <c r="D3997" s="24" t="s">
        <v>21281</v>
      </c>
      <c r="G3997" s="40">
        <v>3</v>
      </c>
      <c r="H3997" s="41">
        <v>67759.95</v>
      </c>
      <c r="J3997" s="41">
        <v>22586.649999999998</v>
      </c>
    </row>
    <row r="3998" spans="1:11" x14ac:dyDescent="0.25">
      <c r="A3998" s="24" t="s">
        <v>7</v>
      </c>
      <c r="B3998" s="24" t="s">
        <v>20227</v>
      </c>
      <c r="C3998" s="25" t="s">
        <v>20228</v>
      </c>
      <c r="D3998" s="24" t="s">
        <v>21274</v>
      </c>
      <c r="E3998" s="40">
        <v>35</v>
      </c>
      <c r="F3998" s="41">
        <v>437725.98</v>
      </c>
      <c r="G3998" s="40">
        <v>22</v>
      </c>
      <c r="H3998" s="41">
        <v>411824.22</v>
      </c>
      <c r="I3998" s="41">
        <v>12506.456571428571</v>
      </c>
      <c r="J3998" s="41">
        <v>18719.282727272726</v>
      </c>
      <c r="K3998" s="42">
        <v>0.49676949824761474</v>
      </c>
    </row>
    <row r="3999" spans="1:11" x14ac:dyDescent="0.25">
      <c r="A3999" s="24" t="s">
        <v>7</v>
      </c>
      <c r="B3999" s="24" t="s">
        <v>20231</v>
      </c>
      <c r="C3999" s="25" t="s">
        <v>20232</v>
      </c>
      <c r="D3999" s="24" t="s">
        <v>21287</v>
      </c>
      <c r="E3999" s="40">
        <v>16</v>
      </c>
      <c r="F3999" s="41">
        <v>32916</v>
      </c>
      <c r="G3999" s="40">
        <v>27</v>
      </c>
      <c r="H3999" s="41">
        <v>90591.8</v>
      </c>
      <c r="I3999" s="41">
        <v>2057.25</v>
      </c>
      <c r="J3999" s="41">
        <v>3355.2518518518518</v>
      </c>
      <c r="K3999" s="42">
        <v>0.63094026095605871</v>
      </c>
    </row>
    <row r="4000" spans="1:11" x14ac:dyDescent="0.25">
      <c r="A4000" s="24" t="s">
        <v>7</v>
      </c>
      <c r="B4000" s="24" t="s">
        <v>20241</v>
      </c>
      <c r="C4000" s="25" t="s">
        <v>19025</v>
      </c>
      <c r="D4000" s="24" t="s">
        <v>22578</v>
      </c>
      <c r="E4000" s="40">
        <v>4</v>
      </c>
      <c r="F4000" s="41">
        <v>573</v>
      </c>
      <c r="G4000" s="40">
        <v>3</v>
      </c>
      <c r="H4000" s="41">
        <v>408</v>
      </c>
      <c r="I4000" s="41">
        <v>143.25</v>
      </c>
      <c r="J4000" s="41">
        <v>136</v>
      </c>
      <c r="K4000" s="42">
        <v>-5.06108202443281E-2</v>
      </c>
    </row>
    <row r="4001" spans="1:11" x14ac:dyDescent="0.25">
      <c r="A4001" s="24" t="s">
        <v>7</v>
      </c>
      <c r="B4001" s="24" t="s">
        <v>20242</v>
      </c>
      <c r="C4001" s="25" t="s">
        <v>20243</v>
      </c>
      <c r="D4001" s="24" t="s">
        <v>21274</v>
      </c>
      <c r="G4001" s="40">
        <v>1</v>
      </c>
      <c r="H4001" s="41">
        <v>2951</v>
      </c>
      <c r="J4001" s="41">
        <v>2951</v>
      </c>
    </row>
    <row r="4002" spans="1:11" x14ac:dyDescent="0.25">
      <c r="A4002" s="24" t="s">
        <v>7</v>
      </c>
      <c r="B4002" s="24" t="s">
        <v>20244</v>
      </c>
      <c r="C4002" s="25" t="s">
        <v>20245</v>
      </c>
      <c r="D4002" s="24" t="s">
        <v>22593</v>
      </c>
      <c r="G4002" s="40">
        <v>15</v>
      </c>
      <c r="H4002" s="41">
        <v>12922</v>
      </c>
      <c r="J4002" s="41">
        <v>861.4666666666667</v>
      </c>
    </row>
    <row r="4003" spans="1:11" x14ac:dyDescent="0.25">
      <c r="A4003" s="24" t="s">
        <v>7</v>
      </c>
      <c r="B4003" s="24" t="s">
        <v>20247</v>
      </c>
      <c r="C4003" s="25" t="s">
        <v>20248</v>
      </c>
      <c r="D4003" s="24" t="s">
        <v>21274</v>
      </c>
      <c r="G4003" s="40">
        <v>3</v>
      </c>
      <c r="H4003" s="41">
        <v>2397</v>
      </c>
      <c r="J4003" s="41">
        <v>799</v>
      </c>
    </row>
    <row r="4004" spans="1:11" x14ac:dyDescent="0.25">
      <c r="A4004" s="24" t="s">
        <v>7</v>
      </c>
      <c r="B4004" s="24" t="s">
        <v>20252</v>
      </c>
      <c r="C4004" s="25" t="s">
        <v>20253</v>
      </c>
      <c r="D4004" s="24" t="s">
        <v>21274</v>
      </c>
      <c r="E4004" s="40">
        <v>36</v>
      </c>
      <c r="F4004" s="41">
        <v>46395</v>
      </c>
      <c r="G4004" s="40">
        <v>64</v>
      </c>
      <c r="H4004" s="41">
        <v>115772</v>
      </c>
      <c r="I4004" s="41">
        <v>1288.75</v>
      </c>
      <c r="J4004" s="41">
        <v>1808.9375</v>
      </c>
      <c r="K4004" s="42">
        <v>0.40363724539282253</v>
      </c>
    </row>
    <row r="4005" spans="1:11" x14ac:dyDescent="0.25">
      <c r="A4005" s="24" t="s">
        <v>7</v>
      </c>
      <c r="B4005" s="24" t="s">
        <v>20266</v>
      </c>
      <c r="C4005" s="25" t="s">
        <v>20267</v>
      </c>
      <c r="D4005" s="24" t="s">
        <v>21276</v>
      </c>
      <c r="E4005" s="40">
        <v>53</v>
      </c>
      <c r="F4005" s="41">
        <v>889406</v>
      </c>
      <c r="G4005" s="40">
        <v>31</v>
      </c>
      <c r="H4005" s="41">
        <v>525357</v>
      </c>
      <c r="I4005" s="41">
        <v>16781.245283018867</v>
      </c>
      <c r="J4005" s="41">
        <v>16947</v>
      </c>
      <c r="K4005" s="42">
        <v>9.877378834862888E-3</v>
      </c>
    </row>
    <row r="4006" spans="1:11" x14ac:dyDescent="0.25">
      <c r="A4006" s="24" t="s">
        <v>7</v>
      </c>
      <c r="B4006" s="24" t="s">
        <v>20275</v>
      </c>
      <c r="C4006" s="25" t="s">
        <v>20276</v>
      </c>
      <c r="D4006" s="24" t="s">
        <v>22594</v>
      </c>
      <c r="E4006" s="40">
        <v>35</v>
      </c>
      <c r="F4006" s="41">
        <v>162987</v>
      </c>
      <c r="G4006" s="40">
        <v>58</v>
      </c>
      <c r="H4006" s="41">
        <v>280650</v>
      </c>
      <c r="I4006" s="41">
        <v>4656.7714285714283</v>
      </c>
      <c r="J4006" s="41">
        <v>4838.7931034482763</v>
      </c>
      <c r="K4006" s="42">
        <v>3.9087526125946737E-2</v>
      </c>
    </row>
    <row r="4007" spans="1:11" x14ac:dyDescent="0.25">
      <c r="A4007" s="24" t="s">
        <v>7</v>
      </c>
      <c r="B4007" s="24" t="s">
        <v>20278</v>
      </c>
      <c r="C4007" s="25" t="s">
        <v>20279</v>
      </c>
      <c r="D4007" s="24" t="s">
        <v>22585</v>
      </c>
      <c r="G4007" s="40">
        <v>7</v>
      </c>
      <c r="H4007" s="41">
        <v>922677</v>
      </c>
      <c r="J4007" s="41">
        <v>131811</v>
      </c>
    </row>
    <row r="4008" spans="1:11" x14ac:dyDescent="0.25">
      <c r="A4008" s="24" t="s">
        <v>7</v>
      </c>
      <c r="B4008" s="24" t="s">
        <v>20287</v>
      </c>
      <c r="C4008" s="25" t="s">
        <v>20288</v>
      </c>
      <c r="D4008" s="24" t="s">
        <v>22595</v>
      </c>
      <c r="E4008" s="40">
        <v>169</v>
      </c>
      <c r="F4008" s="41">
        <v>328960</v>
      </c>
      <c r="G4008" s="40">
        <v>223</v>
      </c>
      <c r="H4008" s="41">
        <v>477802</v>
      </c>
      <c r="I4008" s="41">
        <v>1946.508875739645</v>
      </c>
      <c r="J4008" s="41">
        <v>2142.6098654708521</v>
      </c>
      <c r="K4008" s="42">
        <v>0.1007449758772313</v>
      </c>
    </row>
    <row r="4009" spans="1:11" x14ac:dyDescent="0.25">
      <c r="A4009" s="24" t="s">
        <v>7</v>
      </c>
      <c r="B4009" s="24" t="s">
        <v>20293</v>
      </c>
      <c r="C4009" s="25" t="s">
        <v>20294</v>
      </c>
      <c r="D4009" s="24" t="s">
        <v>22596</v>
      </c>
      <c r="E4009" s="40">
        <v>130</v>
      </c>
      <c r="F4009" s="41">
        <v>523662</v>
      </c>
      <c r="G4009" s="40">
        <v>450</v>
      </c>
      <c r="H4009" s="41">
        <v>1759588</v>
      </c>
      <c r="I4009" s="41">
        <v>4028.1692307692306</v>
      </c>
      <c r="J4009" s="41">
        <v>3910.1955555555555</v>
      </c>
      <c r="K4009" s="42">
        <v>-2.9287169544052763E-2</v>
      </c>
    </row>
    <row r="4010" spans="1:11" x14ac:dyDescent="0.25">
      <c r="A4010" s="24" t="s">
        <v>7</v>
      </c>
      <c r="B4010" s="24" t="s">
        <v>20298</v>
      </c>
      <c r="C4010" s="25" t="s">
        <v>20299</v>
      </c>
      <c r="D4010" s="24" t="s">
        <v>21305</v>
      </c>
      <c r="E4010" s="40">
        <v>182</v>
      </c>
      <c r="F4010" s="41">
        <v>29686</v>
      </c>
      <c r="G4010" s="40">
        <v>154</v>
      </c>
      <c r="H4010" s="41">
        <v>36360</v>
      </c>
      <c r="I4010" s="41">
        <v>163.1098901098901</v>
      </c>
      <c r="J4010" s="41">
        <v>236.10389610389609</v>
      </c>
      <c r="K4010" s="42">
        <v>0.44751428588927744</v>
      </c>
    </row>
    <row r="4011" spans="1:11" x14ac:dyDescent="0.25">
      <c r="A4011" s="24" t="s">
        <v>7</v>
      </c>
      <c r="B4011" s="24" t="s">
        <v>20301</v>
      </c>
      <c r="C4011" s="25" t="s">
        <v>20302</v>
      </c>
      <c r="D4011" s="24" t="s">
        <v>21305</v>
      </c>
      <c r="G4011" s="40">
        <v>1</v>
      </c>
      <c r="H4011" s="41">
        <v>404</v>
      </c>
      <c r="J4011" s="41">
        <v>404</v>
      </c>
    </row>
    <row r="4012" spans="1:11" x14ac:dyDescent="0.25">
      <c r="A4012" s="24" t="s">
        <v>7</v>
      </c>
      <c r="B4012" s="24" t="s">
        <v>20306</v>
      </c>
      <c r="C4012" s="25" t="s">
        <v>20307</v>
      </c>
      <c r="D4012" s="24" t="s">
        <v>21305</v>
      </c>
      <c r="E4012" s="40">
        <v>1568</v>
      </c>
      <c r="F4012" s="41">
        <v>427413</v>
      </c>
      <c r="G4012" s="40">
        <v>1633</v>
      </c>
      <c r="H4012" s="41">
        <v>607751</v>
      </c>
      <c r="I4012" s="41">
        <v>272.58482142857144</v>
      </c>
      <c r="J4012" s="41">
        <v>372.16840171463565</v>
      </c>
      <c r="K4012" s="42">
        <v>0.36533061439064479</v>
      </c>
    </row>
    <row r="4013" spans="1:11" x14ac:dyDescent="0.25">
      <c r="A4013" s="24" t="s">
        <v>7</v>
      </c>
      <c r="B4013" s="24" t="s">
        <v>20311</v>
      </c>
      <c r="C4013" s="25" t="s">
        <v>20312</v>
      </c>
      <c r="D4013" s="24" t="s">
        <v>21274</v>
      </c>
      <c r="G4013" s="40">
        <v>1</v>
      </c>
      <c r="H4013" s="41">
        <v>25651.37</v>
      </c>
      <c r="J4013" s="41">
        <v>25651.37</v>
      </c>
    </row>
    <row r="4014" spans="1:11" x14ac:dyDescent="0.25">
      <c r="A4014" s="24" t="s">
        <v>7</v>
      </c>
      <c r="B4014" s="24" t="s">
        <v>20325</v>
      </c>
      <c r="C4014" s="25" t="s">
        <v>20326</v>
      </c>
      <c r="D4014" s="24" t="s">
        <v>21281</v>
      </c>
      <c r="G4014" s="40">
        <v>1</v>
      </c>
      <c r="H4014" s="41">
        <v>2900</v>
      </c>
      <c r="J4014" s="41">
        <v>2900</v>
      </c>
    </row>
    <row r="4015" spans="1:11" x14ac:dyDescent="0.25">
      <c r="A4015" s="24" t="s">
        <v>7</v>
      </c>
      <c r="B4015" s="24" t="s">
        <v>20327</v>
      </c>
      <c r="C4015" s="25" t="s">
        <v>20328</v>
      </c>
      <c r="D4015" s="24" t="s">
        <v>21282</v>
      </c>
      <c r="G4015" s="40">
        <v>3</v>
      </c>
      <c r="H4015" s="41">
        <v>2988</v>
      </c>
      <c r="J4015" s="41">
        <v>996</v>
      </c>
    </row>
    <row r="4016" spans="1:11" x14ac:dyDescent="0.25">
      <c r="A4016" s="24" t="s">
        <v>7</v>
      </c>
      <c r="B4016" s="24" t="s">
        <v>20330</v>
      </c>
      <c r="C4016" s="25" t="s">
        <v>20331</v>
      </c>
      <c r="D4016" s="24" t="s">
        <v>21276</v>
      </c>
      <c r="E4016" s="40">
        <v>10</v>
      </c>
      <c r="F4016" s="41">
        <v>36770</v>
      </c>
      <c r="G4016" s="40">
        <v>16</v>
      </c>
      <c r="H4016" s="41">
        <v>58464</v>
      </c>
      <c r="I4016" s="41">
        <v>3677</v>
      </c>
      <c r="J4016" s="41">
        <v>3654</v>
      </c>
      <c r="K4016" s="42">
        <v>-6.2550992657057387E-3</v>
      </c>
    </row>
    <row r="4017" spans="1:11" x14ac:dyDescent="0.25">
      <c r="A4017" s="24" t="s">
        <v>7</v>
      </c>
      <c r="B4017" s="24" t="s">
        <v>20338</v>
      </c>
      <c r="C4017" s="25" t="s">
        <v>20339</v>
      </c>
      <c r="E4017" s="40">
        <v>654</v>
      </c>
      <c r="F4017" s="41">
        <v>0</v>
      </c>
      <c r="G4017" s="40">
        <v>1014</v>
      </c>
      <c r="H4017" s="41">
        <v>0</v>
      </c>
      <c r="I4017" s="41">
        <v>0</v>
      </c>
      <c r="J4017" s="41">
        <v>0</v>
      </c>
    </row>
    <row r="4018" spans="1:11" x14ac:dyDescent="0.25">
      <c r="A4018" s="24" t="s">
        <v>7</v>
      </c>
      <c r="B4018" s="24" t="s">
        <v>20343</v>
      </c>
      <c r="C4018" s="25" t="s">
        <v>20344</v>
      </c>
      <c r="D4018" s="24" t="s">
        <v>21305</v>
      </c>
      <c r="E4018" s="40">
        <v>1</v>
      </c>
      <c r="F4018" s="41">
        <v>3519</v>
      </c>
      <c r="G4018" s="40">
        <v>18</v>
      </c>
      <c r="H4018" s="41">
        <v>55164</v>
      </c>
      <c r="I4018" s="41">
        <v>3519</v>
      </c>
      <c r="J4018" s="41">
        <v>3064.6666666666665</v>
      </c>
      <c r="K4018" s="42">
        <v>-0.12910864829023402</v>
      </c>
    </row>
    <row r="4019" spans="1:11" x14ac:dyDescent="0.25">
      <c r="A4019" s="24" t="s">
        <v>7</v>
      </c>
      <c r="B4019" s="24" t="s">
        <v>20346</v>
      </c>
      <c r="C4019" s="25" t="s">
        <v>20347</v>
      </c>
      <c r="D4019" s="24" t="s">
        <v>21305</v>
      </c>
      <c r="E4019" s="40">
        <v>8</v>
      </c>
      <c r="F4019" s="41">
        <v>10024</v>
      </c>
      <c r="G4019" s="40">
        <v>6</v>
      </c>
      <c r="H4019" s="41">
        <v>6138</v>
      </c>
      <c r="I4019" s="41">
        <v>1253</v>
      </c>
      <c r="J4019" s="41">
        <v>1023</v>
      </c>
      <c r="K4019" s="42">
        <v>-0.18355945730247406</v>
      </c>
    </row>
    <row r="4020" spans="1:11" x14ac:dyDescent="0.25">
      <c r="A4020" s="24" t="s">
        <v>7</v>
      </c>
      <c r="B4020" s="24" t="s">
        <v>20349</v>
      </c>
      <c r="C4020" s="25" t="s">
        <v>20350</v>
      </c>
      <c r="D4020" s="24" t="s">
        <v>21305</v>
      </c>
      <c r="E4020" s="40">
        <v>280</v>
      </c>
      <c r="F4020" s="41">
        <v>135872</v>
      </c>
      <c r="G4020" s="40">
        <v>310</v>
      </c>
      <c r="H4020" s="41">
        <v>167626</v>
      </c>
      <c r="I4020" s="41">
        <v>485.25714285714287</v>
      </c>
      <c r="J4020" s="41">
        <v>540.72903225806454</v>
      </c>
      <c r="K4020" s="42">
        <v>0.11431442116299213</v>
      </c>
    </row>
    <row r="4021" spans="1:11" x14ac:dyDescent="0.25">
      <c r="A4021" s="24" t="s">
        <v>7</v>
      </c>
      <c r="B4021" s="24" t="s">
        <v>20361</v>
      </c>
      <c r="C4021" s="25" t="s">
        <v>20362</v>
      </c>
      <c r="D4021" s="24" t="s">
        <v>22573</v>
      </c>
      <c r="E4021" s="40">
        <v>1</v>
      </c>
      <c r="F4021" s="41">
        <v>7616</v>
      </c>
      <c r="G4021" s="40">
        <v>1</v>
      </c>
      <c r="H4021" s="41">
        <v>7616</v>
      </c>
      <c r="I4021" s="41">
        <v>7616</v>
      </c>
      <c r="J4021" s="41">
        <v>7616</v>
      </c>
      <c r="K4021" s="42">
        <v>0</v>
      </c>
    </row>
    <row r="4022" spans="1:11" x14ac:dyDescent="0.25">
      <c r="A4022" s="24" t="s">
        <v>7</v>
      </c>
      <c r="B4022" s="24" t="s">
        <v>20370</v>
      </c>
      <c r="C4022" s="25" t="s">
        <v>20371</v>
      </c>
      <c r="D4022" s="24" t="s">
        <v>22579</v>
      </c>
      <c r="E4022" s="40">
        <v>15</v>
      </c>
      <c r="F4022" s="41">
        <v>1267814</v>
      </c>
      <c r="G4022" s="40">
        <v>13</v>
      </c>
      <c r="H4022" s="41">
        <v>802380</v>
      </c>
      <c r="I4022" s="41">
        <v>84520.933333333334</v>
      </c>
      <c r="J4022" s="41">
        <v>61721.538461538461</v>
      </c>
      <c r="K4022" s="42">
        <v>-0.26974849865747114</v>
      </c>
    </row>
    <row r="4023" spans="1:11" x14ac:dyDescent="0.25">
      <c r="A4023" s="24" t="s">
        <v>7</v>
      </c>
      <c r="B4023" s="24" t="s">
        <v>20373</v>
      </c>
      <c r="C4023" s="25" t="s">
        <v>20374</v>
      </c>
      <c r="D4023" s="24" t="s">
        <v>21274</v>
      </c>
      <c r="E4023" s="40">
        <v>108</v>
      </c>
      <c r="F4023" s="41">
        <v>115074</v>
      </c>
      <c r="G4023" s="40">
        <v>29</v>
      </c>
      <c r="H4023" s="41">
        <v>57502</v>
      </c>
      <c r="I4023" s="41">
        <v>1065.5</v>
      </c>
      <c r="J4023" s="41">
        <v>1982.8275862068965</v>
      </c>
      <c r="K4023" s="42">
        <v>0.86093626110454857</v>
      </c>
    </row>
    <row r="4024" spans="1:11" x14ac:dyDescent="0.25">
      <c r="A4024" s="24" t="s">
        <v>7</v>
      </c>
      <c r="B4024" s="24" t="s">
        <v>20376</v>
      </c>
      <c r="C4024" s="25" t="s">
        <v>20377</v>
      </c>
      <c r="D4024" s="24" t="s">
        <v>22597</v>
      </c>
      <c r="E4024" s="40">
        <v>43</v>
      </c>
      <c r="F4024" s="41">
        <v>536621</v>
      </c>
      <c r="G4024" s="40">
        <v>24</v>
      </c>
      <c r="H4024" s="41">
        <v>267384</v>
      </c>
      <c r="I4024" s="41">
        <v>12479.558139534884</v>
      </c>
      <c r="J4024" s="41">
        <v>11141</v>
      </c>
      <c r="K4024" s="42">
        <v>-0.1072600587751877</v>
      </c>
    </row>
    <row r="4025" spans="1:11" x14ac:dyDescent="0.25">
      <c r="A4025" s="24" t="s">
        <v>7</v>
      </c>
      <c r="B4025" s="24" t="s">
        <v>20383</v>
      </c>
      <c r="C4025" s="25" t="s">
        <v>20384</v>
      </c>
      <c r="D4025" s="24" t="s">
        <v>21300</v>
      </c>
      <c r="E4025" s="40">
        <v>7</v>
      </c>
      <c r="F4025" s="41">
        <v>157626</v>
      </c>
      <c r="G4025" s="40">
        <v>12</v>
      </c>
      <c r="H4025" s="41">
        <v>270216</v>
      </c>
      <c r="I4025" s="41">
        <v>22518</v>
      </c>
      <c r="J4025" s="41">
        <v>22518</v>
      </c>
      <c r="K4025" s="42">
        <v>0</v>
      </c>
    </row>
    <row r="4026" spans="1:11" x14ac:dyDescent="0.25">
      <c r="A4026" s="24" t="s">
        <v>7</v>
      </c>
      <c r="B4026" s="24" t="s">
        <v>20401</v>
      </c>
      <c r="C4026" s="25" t="s">
        <v>20402</v>
      </c>
      <c r="D4026" s="24" t="s">
        <v>21276</v>
      </c>
      <c r="G4026" s="40">
        <v>1</v>
      </c>
      <c r="H4026" s="41">
        <v>27207</v>
      </c>
      <c r="J4026" s="41">
        <v>27207</v>
      </c>
    </row>
    <row r="4027" spans="1:11" x14ac:dyDescent="0.25">
      <c r="A4027" s="24" t="s">
        <v>7</v>
      </c>
      <c r="B4027" s="24" t="s">
        <v>20404</v>
      </c>
      <c r="C4027" s="25" t="s">
        <v>20405</v>
      </c>
      <c r="D4027" s="24" t="s">
        <v>22579</v>
      </c>
      <c r="G4027" s="40">
        <v>10</v>
      </c>
      <c r="H4027" s="41">
        <v>825688</v>
      </c>
      <c r="J4027" s="41">
        <v>82568.800000000003</v>
      </c>
    </row>
    <row r="4028" spans="1:11" x14ac:dyDescent="0.25">
      <c r="A4028" s="24" t="s">
        <v>7</v>
      </c>
      <c r="B4028" s="24" t="s">
        <v>20407</v>
      </c>
      <c r="C4028" s="25" t="s">
        <v>20408</v>
      </c>
      <c r="D4028" s="24" t="s">
        <v>21281</v>
      </c>
      <c r="E4028" s="40">
        <v>79</v>
      </c>
      <c r="F4028" s="41">
        <v>345383</v>
      </c>
      <c r="G4028" s="40">
        <v>514</v>
      </c>
      <c r="H4028" s="41">
        <v>2018317</v>
      </c>
      <c r="I4028" s="41">
        <v>4371.9367088607596</v>
      </c>
      <c r="J4028" s="41">
        <v>3926.6867704280157</v>
      </c>
      <c r="K4028" s="42">
        <v>-0.10184272282129336</v>
      </c>
    </row>
    <row r="4029" spans="1:11" x14ac:dyDescent="0.25">
      <c r="A4029" s="24" t="s">
        <v>7</v>
      </c>
      <c r="B4029" s="24" t="s">
        <v>20410</v>
      </c>
      <c r="C4029" s="25" t="s">
        <v>20411</v>
      </c>
      <c r="D4029" s="24" t="s">
        <v>22598</v>
      </c>
      <c r="G4029" s="40">
        <v>1</v>
      </c>
      <c r="H4029" s="41">
        <v>2625</v>
      </c>
      <c r="J4029" s="41">
        <v>2625</v>
      </c>
    </row>
    <row r="4030" spans="1:11" x14ac:dyDescent="0.25">
      <c r="A4030" s="24" t="s">
        <v>7</v>
      </c>
      <c r="B4030" s="24" t="s">
        <v>20413</v>
      </c>
      <c r="C4030" s="25" t="s">
        <v>20414</v>
      </c>
      <c r="D4030" s="24" t="s">
        <v>21293</v>
      </c>
      <c r="E4030" s="40">
        <v>18</v>
      </c>
      <c r="F4030" s="41">
        <v>78262</v>
      </c>
      <c r="G4030" s="40">
        <v>13</v>
      </c>
      <c r="H4030" s="41">
        <v>59545</v>
      </c>
      <c r="I4030" s="41">
        <v>4347.8888888888887</v>
      </c>
      <c r="J4030" s="41">
        <v>4580.3846153846152</v>
      </c>
      <c r="K4030" s="42">
        <v>5.3473244702704738E-2</v>
      </c>
    </row>
    <row r="4031" spans="1:11" x14ac:dyDescent="0.25">
      <c r="A4031" s="24" t="s">
        <v>7</v>
      </c>
      <c r="B4031" s="24" t="s">
        <v>20418</v>
      </c>
      <c r="C4031" s="25" t="s">
        <v>20419</v>
      </c>
      <c r="D4031" s="24" t="s">
        <v>21281</v>
      </c>
      <c r="E4031" s="40">
        <v>919</v>
      </c>
      <c r="F4031" s="41">
        <v>2944755</v>
      </c>
      <c r="G4031" s="40">
        <v>843</v>
      </c>
      <c r="H4031" s="41">
        <v>2695797</v>
      </c>
      <c r="I4031" s="41">
        <v>3204.3035908596298</v>
      </c>
      <c r="J4031" s="41">
        <v>3197.8612099644129</v>
      </c>
      <c r="K4031" s="42">
        <v>-2.0105401103672066E-3</v>
      </c>
    </row>
    <row r="4032" spans="1:11" x14ac:dyDescent="0.25">
      <c r="A4032" s="24" t="s">
        <v>7</v>
      </c>
      <c r="B4032" s="24" t="s">
        <v>20424</v>
      </c>
      <c r="C4032" s="25" t="s">
        <v>20425</v>
      </c>
      <c r="D4032" s="24" t="s">
        <v>21281</v>
      </c>
      <c r="E4032" s="40">
        <v>9</v>
      </c>
      <c r="F4032" s="41">
        <v>24849</v>
      </c>
      <c r="G4032" s="40">
        <v>17</v>
      </c>
      <c r="H4032" s="41">
        <v>47728</v>
      </c>
      <c r="I4032" s="41">
        <v>2761</v>
      </c>
      <c r="J4032" s="41">
        <v>2807.5294117647059</v>
      </c>
      <c r="K4032" s="42">
        <v>1.6852376589897085E-2</v>
      </c>
    </row>
    <row r="4033" spans="1:11" x14ac:dyDescent="0.25">
      <c r="A4033" s="24" t="s">
        <v>7</v>
      </c>
      <c r="B4033" s="24" t="s">
        <v>20426</v>
      </c>
      <c r="C4033" s="25" t="s">
        <v>20427</v>
      </c>
      <c r="D4033" s="24" t="s">
        <v>21276</v>
      </c>
      <c r="E4033" s="40">
        <v>40</v>
      </c>
      <c r="F4033" s="41">
        <v>192360</v>
      </c>
      <c r="G4033" s="40">
        <v>30</v>
      </c>
      <c r="H4033" s="41">
        <v>153032</v>
      </c>
      <c r="I4033" s="41">
        <v>4809</v>
      </c>
      <c r="J4033" s="41">
        <v>5101.0666666666666</v>
      </c>
      <c r="K4033" s="42">
        <v>6.0733347196229283E-2</v>
      </c>
    </row>
    <row r="4034" spans="1:11" x14ac:dyDescent="0.25">
      <c r="A4034" s="24" t="s">
        <v>7</v>
      </c>
      <c r="B4034" s="24" t="s">
        <v>20432</v>
      </c>
      <c r="C4034" s="25" t="s">
        <v>20433</v>
      </c>
      <c r="D4034" s="24" t="s">
        <v>21276</v>
      </c>
      <c r="E4034" s="40">
        <v>49</v>
      </c>
      <c r="F4034" s="41">
        <v>397573</v>
      </c>
      <c r="G4034" s="40">
        <v>53</v>
      </c>
      <c r="H4034" s="41">
        <v>440006</v>
      </c>
      <c r="I4034" s="41">
        <v>8113.7346938775509</v>
      </c>
      <c r="J4034" s="41">
        <v>8302</v>
      </c>
      <c r="K4034" s="42">
        <v>2.320328593742535E-2</v>
      </c>
    </row>
    <row r="4035" spans="1:11" x14ac:dyDescent="0.25">
      <c r="A4035" s="24" t="s">
        <v>7</v>
      </c>
      <c r="B4035" s="24" t="s">
        <v>20446</v>
      </c>
      <c r="C4035" s="25" t="s">
        <v>20447</v>
      </c>
      <c r="D4035" s="24" t="s">
        <v>21274</v>
      </c>
      <c r="G4035" s="40">
        <v>1</v>
      </c>
      <c r="H4035" s="41">
        <v>8337.65</v>
      </c>
      <c r="J4035" s="41">
        <v>8337.65</v>
      </c>
    </row>
    <row r="4036" spans="1:11" x14ac:dyDescent="0.25">
      <c r="A4036" s="24" t="s">
        <v>7</v>
      </c>
      <c r="B4036" s="24" t="s">
        <v>20455</v>
      </c>
      <c r="C4036" s="25" t="s">
        <v>20456</v>
      </c>
      <c r="D4036" s="24" t="s">
        <v>22599</v>
      </c>
      <c r="E4036" s="40">
        <v>23</v>
      </c>
      <c r="F4036" s="41">
        <v>331495</v>
      </c>
      <c r="G4036" s="40">
        <v>27</v>
      </c>
      <c r="H4036" s="41">
        <v>387948</v>
      </c>
      <c r="I4036" s="41">
        <v>14412.826086956522</v>
      </c>
      <c r="J4036" s="41">
        <v>14368.444444444445</v>
      </c>
      <c r="K4036" s="42">
        <v>-3.0793157597483059E-3</v>
      </c>
    </row>
    <row r="4037" spans="1:11" x14ac:dyDescent="0.25">
      <c r="A4037" s="24" t="s">
        <v>7</v>
      </c>
      <c r="B4037" s="24" t="s">
        <v>20473</v>
      </c>
      <c r="C4037" s="25" t="s">
        <v>20474</v>
      </c>
      <c r="D4037" s="24" t="s">
        <v>21299</v>
      </c>
      <c r="G4037" s="40">
        <v>19</v>
      </c>
      <c r="H4037" s="41">
        <v>32882</v>
      </c>
      <c r="J4037" s="41">
        <v>1730.6315789473683</v>
      </c>
    </row>
    <row r="4038" spans="1:11" x14ac:dyDescent="0.25">
      <c r="A4038" s="24" t="s">
        <v>7</v>
      </c>
      <c r="B4038" s="24" t="s">
        <v>20486</v>
      </c>
      <c r="C4038" s="25" t="s">
        <v>20487</v>
      </c>
      <c r="D4038" s="24" t="s">
        <v>22579</v>
      </c>
      <c r="G4038" s="40">
        <v>3</v>
      </c>
      <c r="H4038" s="41">
        <v>1569</v>
      </c>
      <c r="J4038" s="41">
        <v>523</v>
      </c>
    </row>
    <row r="4039" spans="1:11" x14ac:dyDescent="0.25">
      <c r="A4039" s="24" t="s">
        <v>7</v>
      </c>
      <c r="B4039" s="24" t="s">
        <v>20495</v>
      </c>
      <c r="C4039" s="25" t="s">
        <v>20496</v>
      </c>
      <c r="D4039" s="24" t="s">
        <v>21307</v>
      </c>
      <c r="E4039" s="40">
        <v>414</v>
      </c>
      <c r="F4039" s="41">
        <v>421686</v>
      </c>
      <c r="G4039" s="40">
        <v>484</v>
      </c>
      <c r="H4039" s="41">
        <v>424138</v>
      </c>
      <c r="I4039" s="41">
        <v>1018.5652173913044</v>
      </c>
      <c r="J4039" s="41">
        <v>876.31818181818187</v>
      </c>
      <c r="K4039" s="42">
        <v>-0.13965432271233266</v>
      </c>
    </row>
    <row r="4040" spans="1:11" x14ac:dyDescent="0.25">
      <c r="A4040" s="24" t="s">
        <v>7</v>
      </c>
      <c r="B4040" s="24" t="s">
        <v>20497</v>
      </c>
      <c r="C4040" s="25" t="s">
        <v>20498</v>
      </c>
      <c r="D4040" s="24" t="s">
        <v>22600</v>
      </c>
      <c r="E4040" s="40">
        <v>29</v>
      </c>
      <c r="F4040" s="41">
        <v>44664</v>
      </c>
      <c r="G4040" s="40">
        <v>15</v>
      </c>
      <c r="H4040" s="41">
        <v>23420</v>
      </c>
      <c r="I4040" s="41">
        <v>1540.1379310344828</v>
      </c>
      <c r="J4040" s="41">
        <v>1561.3333333333333</v>
      </c>
      <c r="K4040" s="42">
        <v>1.3762015642724869E-2</v>
      </c>
    </row>
    <row r="4041" spans="1:11" x14ac:dyDescent="0.25">
      <c r="A4041" s="24" t="s">
        <v>7</v>
      </c>
      <c r="B4041" s="24" t="s">
        <v>20499</v>
      </c>
      <c r="C4041" s="25" t="s">
        <v>20500</v>
      </c>
      <c r="D4041" s="24" t="s">
        <v>21297</v>
      </c>
      <c r="G4041" s="40">
        <v>6</v>
      </c>
      <c r="H4041" s="41">
        <v>7674</v>
      </c>
      <c r="J4041" s="41">
        <v>1279</v>
      </c>
    </row>
    <row r="4042" spans="1:11" x14ac:dyDescent="0.25">
      <c r="A4042" s="24" t="s">
        <v>7</v>
      </c>
      <c r="B4042" s="24" t="s">
        <v>20509</v>
      </c>
      <c r="C4042" s="25" t="s">
        <v>20510</v>
      </c>
      <c r="D4042" s="24" t="s">
        <v>22601</v>
      </c>
      <c r="E4042" s="40">
        <v>15</v>
      </c>
      <c r="F4042" s="41">
        <v>51977</v>
      </c>
      <c r="G4042" s="40">
        <v>71</v>
      </c>
      <c r="H4042" s="41">
        <v>246863</v>
      </c>
      <c r="I4042" s="41">
        <v>3465.1333333333332</v>
      </c>
      <c r="J4042" s="41">
        <v>3476.9436619718308</v>
      </c>
      <c r="K4042" s="42">
        <v>3.4083331007457901E-3</v>
      </c>
    </row>
    <row r="4043" spans="1:11" x14ac:dyDescent="0.25">
      <c r="A4043" s="24" t="s">
        <v>7</v>
      </c>
      <c r="B4043" s="24" t="s">
        <v>20515</v>
      </c>
      <c r="C4043" s="25" t="s">
        <v>20516</v>
      </c>
      <c r="D4043" s="24" t="s">
        <v>22579</v>
      </c>
      <c r="E4043" s="40">
        <v>41</v>
      </c>
      <c r="F4043" s="41">
        <v>140448</v>
      </c>
      <c r="G4043" s="40">
        <v>34</v>
      </c>
      <c r="H4043" s="41">
        <v>117564</v>
      </c>
      <c r="I4043" s="41">
        <v>3425.560975609756</v>
      </c>
      <c r="J4043" s="41">
        <v>3457.7647058823532</v>
      </c>
      <c r="K4043" s="42">
        <v>9.401009207510835E-3</v>
      </c>
    </row>
    <row r="4044" spans="1:11" x14ac:dyDescent="0.25">
      <c r="A4044" s="24" t="s">
        <v>7</v>
      </c>
      <c r="B4044" s="24" t="s">
        <v>20526</v>
      </c>
      <c r="C4044" s="25" t="s">
        <v>20527</v>
      </c>
      <c r="D4044" s="24" t="s">
        <v>22584</v>
      </c>
      <c r="E4044" s="40">
        <v>14</v>
      </c>
      <c r="F4044" s="41">
        <v>290883</v>
      </c>
      <c r="G4044" s="40">
        <v>20</v>
      </c>
      <c r="H4044" s="41">
        <v>473068</v>
      </c>
      <c r="I4044" s="41">
        <v>20777.357142857141</v>
      </c>
      <c r="J4044" s="41">
        <v>23653.4</v>
      </c>
      <c r="K4044" s="42">
        <v>0.13842197722108218</v>
      </c>
    </row>
    <row r="4045" spans="1:11" x14ac:dyDescent="0.25">
      <c r="A4045" s="24" t="s">
        <v>7</v>
      </c>
      <c r="B4045" s="24" t="s">
        <v>20532</v>
      </c>
      <c r="C4045" s="25" t="s">
        <v>19025</v>
      </c>
      <c r="D4045" s="24" t="s">
        <v>22578</v>
      </c>
      <c r="E4045" s="40">
        <v>32</v>
      </c>
      <c r="F4045" s="41">
        <v>8859</v>
      </c>
      <c r="G4045" s="40">
        <v>34</v>
      </c>
      <c r="H4045" s="41">
        <v>8416</v>
      </c>
      <c r="I4045" s="41">
        <v>276.84375</v>
      </c>
      <c r="J4045" s="41">
        <v>247.52941176470588</v>
      </c>
      <c r="K4045" s="42">
        <v>-0.10588766492035351</v>
      </c>
    </row>
    <row r="4046" spans="1:11" x14ac:dyDescent="0.25">
      <c r="A4046" s="24" t="s">
        <v>7</v>
      </c>
      <c r="B4046" s="24" t="s">
        <v>20539</v>
      </c>
      <c r="C4046" s="25" t="s">
        <v>20540</v>
      </c>
      <c r="D4046" s="24" t="s">
        <v>21307</v>
      </c>
      <c r="E4046" s="40">
        <v>10</v>
      </c>
      <c r="F4046" s="41">
        <v>121578</v>
      </c>
      <c r="G4046" s="40">
        <v>10</v>
      </c>
      <c r="H4046" s="41">
        <v>125290</v>
      </c>
      <c r="I4046" s="41">
        <v>12157.8</v>
      </c>
      <c r="J4046" s="41">
        <v>12529</v>
      </c>
      <c r="K4046" s="42">
        <v>3.0531839642040561E-2</v>
      </c>
    </row>
    <row r="4047" spans="1:11" x14ac:dyDescent="0.25">
      <c r="A4047" s="24" t="s">
        <v>7</v>
      </c>
      <c r="B4047" s="24" t="s">
        <v>20543</v>
      </c>
      <c r="C4047" s="25" t="s">
        <v>20544</v>
      </c>
      <c r="D4047" s="24" t="s">
        <v>21282</v>
      </c>
      <c r="G4047" s="40">
        <v>5</v>
      </c>
      <c r="H4047" s="41">
        <v>23610</v>
      </c>
      <c r="J4047" s="41">
        <v>4722</v>
      </c>
    </row>
    <row r="4048" spans="1:11" x14ac:dyDescent="0.25">
      <c r="A4048" s="24" t="s">
        <v>7</v>
      </c>
      <c r="B4048" s="24" t="s">
        <v>20545</v>
      </c>
      <c r="C4048" s="25" t="s">
        <v>20546</v>
      </c>
      <c r="D4048" s="24" t="s">
        <v>21282</v>
      </c>
      <c r="G4048" s="40">
        <v>1</v>
      </c>
      <c r="H4048" s="41">
        <v>5368</v>
      </c>
      <c r="J4048" s="41">
        <v>5368</v>
      </c>
    </row>
    <row r="4049" spans="1:11" x14ac:dyDescent="0.25">
      <c r="A4049" s="24" t="s">
        <v>7</v>
      </c>
      <c r="B4049" s="24" t="s">
        <v>20547</v>
      </c>
      <c r="C4049" s="25" t="s">
        <v>20548</v>
      </c>
      <c r="D4049" s="24" t="s">
        <v>22586</v>
      </c>
      <c r="E4049" s="40">
        <v>323</v>
      </c>
      <c r="F4049" s="41">
        <v>93232</v>
      </c>
      <c r="G4049" s="40">
        <v>353</v>
      </c>
      <c r="H4049" s="41">
        <v>98370</v>
      </c>
      <c r="I4049" s="41">
        <v>288.64396284829724</v>
      </c>
      <c r="J4049" s="41">
        <v>278.66855524079318</v>
      </c>
      <c r="K4049" s="42">
        <v>-3.455955741830926E-2</v>
      </c>
    </row>
    <row r="4050" spans="1:11" x14ac:dyDescent="0.25">
      <c r="A4050" s="24" t="s">
        <v>7</v>
      </c>
      <c r="B4050" s="24" t="s">
        <v>20549</v>
      </c>
      <c r="C4050" s="25" t="s">
        <v>20550</v>
      </c>
      <c r="D4050" s="24" t="s">
        <v>22586</v>
      </c>
      <c r="E4050" s="40">
        <v>849</v>
      </c>
      <c r="F4050" s="41">
        <v>816847</v>
      </c>
      <c r="G4050" s="40">
        <v>923</v>
      </c>
      <c r="H4050" s="41">
        <v>768055</v>
      </c>
      <c r="I4050" s="41">
        <v>962.12838633686692</v>
      </c>
      <c r="J4050" s="41">
        <v>832.12892741061751</v>
      </c>
      <c r="K4050" s="42">
        <v>-0.13511654034156428</v>
      </c>
    </row>
    <row r="4051" spans="1:11" x14ac:dyDescent="0.25">
      <c r="A4051" s="24" t="s">
        <v>7</v>
      </c>
      <c r="B4051" s="24" t="s">
        <v>20557</v>
      </c>
      <c r="C4051" s="25" t="s">
        <v>20558</v>
      </c>
      <c r="D4051" s="24" t="s">
        <v>22586</v>
      </c>
      <c r="E4051" s="40">
        <v>1272</v>
      </c>
      <c r="F4051" s="41">
        <v>1376822</v>
      </c>
      <c r="G4051" s="40">
        <v>1661</v>
      </c>
      <c r="H4051" s="41">
        <v>1539731</v>
      </c>
      <c r="I4051" s="41">
        <v>1082.4072327044025</v>
      </c>
      <c r="J4051" s="41">
        <v>926.99036724864538</v>
      </c>
      <c r="K4051" s="42">
        <v>-0.1435844668807755</v>
      </c>
    </row>
    <row r="4052" spans="1:11" x14ac:dyDescent="0.25">
      <c r="A4052" s="24" t="s">
        <v>7</v>
      </c>
      <c r="B4052" s="24" t="s">
        <v>20559</v>
      </c>
      <c r="C4052" s="25" t="s">
        <v>20560</v>
      </c>
      <c r="D4052" s="24" t="s">
        <v>21282</v>
      </c>
      <c r="E4052" s="40">
        <v>1</v>
      </c>
      <c r="F4052" s="41">
        <v>3956</v>
      </c>
      <c r="G4052" s="40">
        <v>1</v>
      </c>
      <c r="H4052" s="41">
        <v>3956</v>
      </c>
      <c r="I4052" s="41">
        <v>3956</v>
      </c>
      <c r="J4052" s="41">
        <v>3956</v>
      </c>
      <c r="K4052" s="42">
        <v>0</v>
      </c>
    </row>
    <row r="4053" spans="1:11" x14ac:dyDescent="0.25">
      <c r="A4053" s="24" t="s">
        <v>7</v>
      </c>
      <c r="B4053" s="24" t="s">
        <v>20561</v>
      </c>
      <c r="C4053" s="25" t="s">
        <v>20562</v>
      </c>
      <c r="D4053" s="24" t="s">
        <v>22586</v>
      </c>
      <c r="E4053" s="40">
        <v>48</v>
      </c>
      <c r="F4053" s="41">
        <v>194501</v>
      </c>
      <c r="G4053" s="40">
        <v>113</v>
      </c>
      <c r="H4053" s="41">
        <v>358137</v>
      </c>
      <c r="I4053" s="41">
        <v>4052.1041666666665</v>
      </c>
      <c r="J4053" s="41">
        <v>3169.353982300885</v>
      </c>
      <c r="K4053" s="42">
        <v>-0.21784982519142582</v>
      </c>
    </row>
    <row r="4054" spans="1:11" x14ac:dyDescent="0.25">
      <c r="A4054" s="24" t="s">
        <v>7</v>
      </c>
      <c r="B4054" s="24" t="s">
        <v>20583</v>
      </c>
      <c r="C4054" s="25" t="s">
        <v>20584</v>
      </c>
      <c r="D4054" s="24" t="s">
        <v>22602</v>
      </c>
      <c r="G4054" s="40">
        <v>1</v>
      </c>
      <c r="H4054" s="41">
        <v>12500</v>
      </c>
      <c r="J4054" s="41">
        <v>12500</v>
      </c>
    </row>
    <row r="4055" spans="1:11" x14ac:dyDescent="0.25">
      <c r="A4055" s="24" t="s">
        <v>7</v>
      </c>
      <c r="B4055" s="24" t="s">
        <v>20588</v>
      </c>
      <c r="C4055" s="25" t="s">
        <v>20589</v>
      </c>
      <c r="D4055" s="24" t="s">
        <v>21281</v>
      </c>
      <c r="G4055" s="40">
        <v>9</v>
      </c>
      <c r="H4055" s="41">
        <v>60413.4</v>
      </c>
      <c r="J4055" s="41">
        <v>6712.6</v>
      </c>
    </row>
    <row r="4056" spans="1:11" x14ac:dyDescent="0.25">
      <c r="A4056" s="24" t="s">
        <v>7</v>
      </c>
      <c r="B4056" s="24" t="s">
        <v>20590</v>
      </c>
      <c r="C4056" s="25" t="s">
        <v>20591</v>
      </c>
      <c r="D4056" s="24" t="s">
        <v>22576</v>
      </c>
      <c r="E4056" s="40">
        <v>7</v>
      </c>
      <c r="F4056" s="41">
        <v>22024</v>
      </c>
      <c r="G4056" s="40">
        <v>6</v>
      </c>
      <c r="H4056" s="41">
        <v>17492</v>
      </c>
      <c r="I4056" s="41">
        <v>3146.2857142857142</v>
      </c>
      <c r="J4056" s="41">
        <v>2915.3333333333335</v>
      </c>
      <c r="K4056" s="42">
        <v>-7.3404770553335691E-2</v>
      </c>
    </row>
    <row r="4057" spans="1:11" x14ac:dyDescent="0.25">
      <c r="A4057" s="24" t="s">
        <v>7</v>
      </c>
      <c r="B4057" s="24" t="s">
        <v>20593</v>
      </c>
      <c r="C4057" s="25" t="s">
        <v>20594</v>
      </c>
      <c r="D4057" s="24" t="s">
        <v>22597</v>
      </c>
      <c r="G4057" s="40">
        <v>33</v>
      </c>
      <c r="H4057" s="41">
        <v>198135</v>
      </c>
      <c r="J4057" s="41">
        <v>6004.090909090909</v>
      </c>
    </row>
    <row r="4058" spans="1:11" x14ac:dyDescent="0.25">
      <c r="A4058" s="24" t="s">
        <v>7</v>
      </c>
      <c r="B4058" s="24" t="s">
        <v>20599</v>
      </c>
      <c r="C4058" s="25" t="s">
        <v>20600</v>
      </c>
      <c r="D4058" s="24" t="s">
        <v>22603</v>
      </c>
      <c r="E4058" s="40">
        <v>136</v>
      </c>
      <c r="F4058" s="41">
        <v>121516</v>
      </c>
      <c r="G4058" s="40">
        <v>39</v>
      </c>
      <c r="H4058" s="41">
        <v>35685</v>
      </c>
      <c r="I4058" s="41">
        <v>893.5</v>
      </c>
      <c r="J4058" s="41">
        <v>915</v>
      </c>
      <c r="K4058" s="42">
        <v>2.4062674874090653E-2</v>
      </c>
    </row>
    <row r="4059" spans="1:11" x14ac:dyDescent="0.25">
      <c r="A4059" s="24" t="s">
        <v>7</v>
      </c>
      <c r="B4059" s="24" t="s">
        <v>20611</v>
      </c>
      <c r="C4059" s="25" t="s">
        <v>20612</v>
      </c>
      <c r="D4059" s="24" t="s">
        <v>21274</v>
      </c>
      <c r="E4059" s="40">
        <v>46</v>
      </c>
      <c r="F4059" s="41">
        <v>339628</v>
      </c>
      <c r="G4059" s="40">
        <v>73</v>
      </c>
      <c r="H4059" s="41">
        <v>520504</v>
      </c>
      <c r="I4059" s="41">
        <v>7383.217391304348</v>
      </c>
      <c r="J4059" s="41">
        <v>7130.1917808219177</v>
      </c>
      <c r="K4059" s="42">
        <v>-3.4270372531686993E-2</v>
      </c>
    </row>
    <row r="4060" spans="1:11" x14ac:dyDescent="0.25">
      <c r="A4060" s="24" t="s">
        <v>7</v>
      </c>
      <c r="B4060" s="24" t="s">
        <v>20613</v>
      </c>
      <c r="C4060" s="25" t="s">
        <v>20614</v>
      </c>
      <c r="D4060" s="24" t="s">
        <v>21274</v>
      </c>
      <c r="G4060" s="40">
        <v>1</v>
      </c>
      <c r="H4060" s="41">
        <v>364</v>
      </c>
      <c r="J4060" s="41">
        <v>364</v>
      </c>
    </row>
    <row r="4061" spans="1:11" x14ac:dyDescent="0.25">
      <c r="A4061" s="24" t="s">
        <v>7</v>
      </c>
      <c r="B4061" s="24" t="s">
        <v>20618</v>
      </c>
      <c r="C4061" s="25" t="s">
        <v>20619</v>
      </c>
      <c r="D4061" s="24" t="s">
        <v>21305</v>
      </c>
      <c r="G4061" s="40">
        <v>2</v>
      </c>
      <c r="H4061" s="41">
        <v>1434</v>
      </c>
      <c r="J4061" s="41">
        <v>717</v>
      </c>
    </row>
    <row r="4062" spans="1:11" x14ac:dyDescent="0.25">
      <c r="A4062" s="24" t="s">
        <v>7</v>
      </c>
      <c r="B4062" s="24" t="s">
        <v>20633</v>
      </c>
      <c r="C4062" s="25" t="s">
        <v>20634</v>
      </c>
      <c r="D4062" s="24" t="s">
        <v>22604</v>
      </c>
      <c r="E4062" s="40">
        <v>19</v>
      </c>
      <c r="F4062" s="41">
        <v>89583</v>
      </c>
      <c r="G4062" s="40">
        <v>27</v>
      </c>
      <c r="H4062" s="41">
        <v>132095.5</v>
      </c>
      <c r="I4062" s="41">
        <v>4714.894736842105</v>
      </c>
      <c r="J4062" s="41">
        <v>4892.4259259259261</v>
      </c>
      <c r="K4062" s="42">
        <v>3.7653266720165675E-2</v>
      </c>
    </row>
    <row r="4063" spans="1:11" x14ac:dyDescent="0.25">
      <c r="A4063" s="24" t="s">
        <v>7</v>
      </c>
      <c r="B4063" s="24" t="s">
        <v>20636</v>
      </c>
      <c r="C4063" s="25" t="s">
        <v>20637</v>
      </c>
      <c r="D4063" s="24" t="s">
        <v>22604</v>
      </c>
      <c r="G4063" s="40">
        <v>1</v>
      </c>
      <c r="H4063" s="41">
        <v>17078</v>
      </c>
      <c r="J4063" s="41">
        <v>17078</v>
      </c>
    </row>
    <row r="4064" spans="1:11" x14ac:dyDescent="0.25">
      <c r="A4064" s="24" t="s">
        <v>7</v>
      </c>
      <c r="B4064" s="24" t="s">
        <v>20647</v>
      </c>
      <c r="C4064" s="25" t="s">
        <v>20648</v>
      </c>
      <c r="D4064" s="24" t="s">
        <v>22595</v>
      </c>
      <c r="E4064" s="40">
        <v>132</v>
      </c>
      <c r="F4064" s="41">
        <v>454494</v>
      </c>
      <c r="G4064" s="40">
        <v>155</v>
      </c>
      <c r="H4064" s="41">
        <v>519523</v>
      </c>
      <c r="I4064" s="41">
        <v>3443.1363636363635</v>
      </c>
      <c r="J4064" s="41">
        <v>3351.7612903225809</v>
      </c>
      <c r="K4064" s="42">
        <v>-2.6538325428761018E-2</v>
      </c>
    </row>
    <row r="4065" spans="1:11" x14ac:dyDescent="0.25">
      <c r="A4065" s="24" t="s">
        <v>7</v>
      </c>
      <c r="B4065" s="24" t="s">
        <v>20653</v>
      </c>
      <c r="C4065" s="25" t="s">
        <v>20654</v>
      </c>
      <c r="D4065" s="24" t="s">
        <v>21291</v>
      </c>
      <c r="E4065" s="40">
        <v>15</v>
      </c>
      <c r="F4065" s="41">
        <v>309758</v>
      </c>
      <c r="G4065" s="40">
        <v>21</v>
      </c>
      <c r="H4065" s="41">
        <v>373135</v>
      </c>
      <c r="I4065" s="41">
        <v>20650.533333333333</v>
      </c>
      <c r="J4065" s="41">
        <v>17768.333333333332</v>
      </c>
      <c r="K4065" s="42">
        <v>-0.13957024515912425</v>
      </c>
    </row>
    <row r="4066" spans="1:11" x14ac:dyDescent="0.25">
      <c r="A4066" s="24" t="s">
        <v>7</v>
      </c>
      <c r="B4066" s="24" t="s">
        <v>20662</v>
      </c>
      <c r="C4066" s="25" t="s">
        <v>20663</v>
      </c>
      <c r="D4066" s="24" t="s">
        <v>21274</v>
      </c>
      <c r="G4066" s="40">
        <v>2</v>
      </c>
      <c r="H4066" s="41">
        <v>4352</v>
      </c>
      <c r="J4066" s="41">
        <v>2176</v>
      </c>
    </row>
    <row r="4067" spans="1:11" x14ac:dyDescent="0.25">
      <c r="A4067" s="24" t="s">
        <v>7</v>
      </c>
      <c r="B4067" s="24" t="s">
        <v>20665</v>
      </c>
      <c r="C4067" s="25" t="s">
        <v>20666</v>
      </c>
      <c r="D4067" s="24" t="s">
        <v>21274</v>
      </c>
      <c r="E4067" s="40">
        <v>52</v>
      </c>
      <c r="F4067" s="41">
        <v>59436</v>
      </c>
      <c r="G4067" s="40">
        <v>158</v>
      </c>
      <c r="H4067" s="41">
        <v>220004</v>
      </c>
      <c r="I4067" s="41">
        <v>1143</v>
      </c>
      <c r="J4067" s="41">
        <v>1392.4303797468353</v>
      </c>
      <c r="K4067" s="42">
        <v>0.21822430424045086</v>
      </c>
    </row>
    <row r="4068" spans="1:11" x14ac:dyDescent="0.25">
      <c r="A4068" s="24" t="s">
        <v>7</v>
      </c>
      <c r="B4068" s="24" t="s">
        <v>20671</v>
      </c>
      <c r="C4068" s="25" t="s">
        <v>20672</v>
      </c>
      <c r="D4068" s="24" t="s">
        <v>22605</v>
      </c>
      <c r="E4068" s="40">
        <v>17</v>
      </c>
      <c r="F4068" s="41">
        <v>166636</v>
      </c>
      <c r="G4068" s="40">
        <v>17</v>
      </c>
      <c r="H4068" s="41">
        <v>140082</v>
      </c>
      <c r="I4068" s="41">
        <v>9802.1176470588234</v>
      </c>
      <c r="J4068" s="41">
        <v>8240.1176470588234</v>
      </c>
      <c r="K4068" s="42">
        <v>-0.15935332101106603</v>
      </c>
    </row>
    <row r="4069" spans="1:11" x14ac:dyDescent="0.25">
      <c r="A4069" s="24" t="s">
        <v>7</v>
      </c>
      <c r="B4069" s="24" t="s">
        <v>20674</v>
      </c>
      <c r="C4069" s="25" t="s">
        <v>20675</v>
      </c>
      <c r="D4069" s="24" t="s">
        <v>22580</v>
      </c>
      <c r="E4069" s="40">
        <v>38</v>
      </c>
      <c r="F4069" s="41">
        <v>427778</v>
      </c>
      <c r="G4069" s="40">
        <v>35</v>
      </c>
      <c r="H4069" s="41">
        <v>368645</v>
      </c>
      <c r="I4069" s="41">
        <v>11257.315789473685</v>
      </c>
      <c r="J4069" s="41">
        <v>10532.714285714286</v>
      </c>
      <c r="K4069" s="42">
        <v>-6.4367165078281621E-2</v>
      </c>
    </row>
    <row r="4070" spans="1:11" x14ac:dyDescent="0.25">
      <c r="A4070" s="24" t="s">
        <v>7</v>
      </c>
      <c r="B4070" s="24" t="s">
        <v>20683</v>
      </c>
      <c r="C4070" s="25" t="s">
        <v>20684</v>
      </c>
      <c r="D4070" s="24" t="s">
        <v>22584</v>
      </c>
      <c r="E4070" s="40">
        <v>7</v>
      </c>
      <c r="F4070" s="41">
        <v>122783</v>
      </c>
      <c r="G4070" s="40">
        <v>5</v>
      </c>
      <c r="H4070" s="41">
        <v>103811</v>
      </c>
      <c r="I4070" s="41">
        <v>17540.428571428572</v>
      </c>
      <c r="J4070" s="41">
        <v>20762.2</v>
      </c>
      <c r="K4070" s="42">
        <v>0.18367689338100548</v>
      </c>
    </row>
    <row r="4071" spans="1:11" x14ac:dyDescent="0.25">
      <c r="A4071" s="24" t="s">
        <v>7</v>
      </c>
      <c r="B4071" s="24" t="s">
        <v>20686</v>
      </c>
      <c r="C4071" s="25" t="s">
        <v>20687</v>
      </c>
      <c r="D4071" s="24" t="s">
        <v>21300</v>
      </c>
      <c r="E4071" s="40">
        <v>96</v>
      </c>
      <c r="F4071" s="41">
        <v>79362</v>
      </c>
      <c r="G4071" s="40">
        <v>105</v>
      </c>
      <c r="H4071" s="41">
        <v>75732</v>
      </c>
      <c r="I4071" s="41">
        <v>826.6875</v>
      </c>
      <c r="J4071" s="41">
        <v>721.25714285714287</v>
      </c>
      <c r="K4071" s="42">
        <v>-0.12753350830012203</v>
      </c>
    </row>
    <row r="4072" spans="1:11" x14ac:dyDescent="0.25">
      <c r="A4072" s="24" t="s">
        <v>7</v>
      </c>
      <c r="B4072" s="24" t="s">
        <v>20689</v>
      </c>
      <c r="C4072" s="25" t="s">
        <v>20690</v>
      </c>
      <c r="D4072" s="24" t="s">
        <v>22573</v>
      </c>
      <c r="G4072" s="40">
        <v>6</v>
      </c>
      <c r="H4072" s="41">
        <v>8966</v>
      </c>
      <c r="J4072" s="41">
        <v>1494.3333333333333</v>
      </c>
    </row>
    <row r="4073" spans="1:11" x14ac:dyDescent="0.25">
      <c r="A4073" s="24" t="s">
        <v>7</v>
      </c>
      <c r="B4073" s="24" t="s">
        <v>20692</v>
      </c>
      <c r="C4073" s="25" t="s">
        <v>20693</v>
      </c>
      <c r="D4073" s="24" t="s">
        <v>21299</v>
      </c>
      <c r="E4073" s="40">
        <v>83</v>
      </c>
      <c r="F4073" s="41">
        <v>189452</v>
      </c>
      <c r="G4073" s="40">
        <v>130</v>
      </c>
      <c r="H4073" s="41">
        <v>264050</v>
      </c>
      <c r="I4073" s="41">
        <v>2282.5542168674697</v>
      </c>
      <c r="J4073" s="41">
        <v>2031.1538461538462</v>
      </c>
      <c r="K4073" s="42">
        <v>-0.11013993396338255</v>
      </c>
    </row>
    <row r="4074" spans="1:11" x14ac:dyDescent="0.25">
      <c r="A4074" s="24" t="s">
        <v>7</v>
      </c>
      <c r="B4074" s="24" t="s">
        <v>20701</v>
      </c>
      <c r="C4074" s="25" t="s">
        <v>20702</v>
      </c>
      <c r="D4074" s="24" t="s">
        <v>21301</v>
      </c>
      <c r="E4074" s="40">
        <v>35</v>
      </c>
      <c r="F4074" s="41">
        <v>37415</v>
      </c>
      <c r="G4074" s="40">
        <v>34</v>
      </c>
      <c r="H4074" s="41">
        <v>35609</v>
      </c>
      <c r="I4074" s="41">
        <v>1069</v>
      </c>
      <c r="J4074" s="41">
        <v>1047.3235294117646</v>
      </c>
      <c r="K4074" s="42">
        <v>-2.0277334507236074E-2</v>
      </c>
    </row>
    <row r="4075" spans="1:11" x14ac:dyDescent="0.25">
      <c r="A4075" s="24" t="s">
        <v>7</v>
      </c>
      <c r="B4075" s="24" t="s">
        <v>20712</v>
      </c>
      <c r="C4075" s="25" t="s">
        <v>20713</v>
      </c>
      <c r="D4075" s="24" t="s">
        <v>22600</v>
      </c>
      <c r="E4075" s="40">
        <v>9</v>
      </c>
      <c r="F4075" s="41">
        <v>20121</v>
      </c>
      <c r="G4075" s="40">
        <v>14</v>
      </c>
      <c r="H4075" s="41">
        <v>29911</v>
      </c>
      <c r="I4075" s="41">
        <v>2235.6666666666665</v>
      </c>
      <c r="J4075" s="41">
        <v>2136.5</v>
      </c>
      <c r="K4075" s="42">
        <v>-4.435664231400023E-2</v>
      </c>
    </row>
    <row r="4076" spans="1:11" x14ac:dyDescent="0.25">
      <c r="A4076" s="24" t="s">
        <v>7</v>
      </c>
      <c r="B4076" s="24" t="s">
        <v>20715</v>
      </c>
      <c r="C4076" s="25" t="s">
        <v>20716</v>
      </c>
      <c r="D4076" s="24" t="s">
        <v>22600</v>
      </c>
      <c r="E4076" s="40">
        <v>172</v>
      </c>
      <c r="F4076" s="41">
        <v>476760</v>
      </c>
      <c r="G4076" s="40">
        <v>95</v>
      </c>
      <c r="H4076" s="41">
        <v>251516</v>
      </c>
      <c r="I4076" s="41">
        <v>2771.8604651162791</v>
      </c>
      <c r="J4076" s="41">
        <v>2647.5368421052631</v>
      </c>
      <c r="K4076" s="42">
        <v>-4.4852049580280974E-2</v>
      </c>
    </row>
    <row r="4077" spans="1:11" x14ac:dyDescent="0.25">
      <c r="A4077" s="24" t="s">
        <v>7</v>
      </c>
      <c r="B4077" s="24" t="s">
        <v>20731</v>
      </c>
      <c r="C4077" s="25" t="s">
        <v>20732</v>
      </c>
      <c r="D4077" s="24" t="s">
        <v>22575</v>
      </c>
      <c r="E4077" s="40">
        <v>5</v>
      </c>
      <c r="F4077" s="41">
        <v>2580</v>
      </c>
      <c r="G4077" s="40">
        <v>3</v>
      </c>
      <c r="H4077" s="41">
        <v>3067</v>
      </c>
      <c r="I4077" s="41">
        <v>516</v>
      </c>
      <c r="J4077" s="41">
        <v>1022.3333333333334</v>
      </c>
      <c r="K4077" s="42">
        <v>0.98126614987080107</v>
      </c>
    </row>
    <row r="4078" spans="1:11" x14ac:dyDescent="0.25">
      <c r="A4078" s="24" t="s">
        <v>7</v>
      </c>
      <c r="B4078" s="24" t="s">
        <v>20740</v>
      </c>
      <c r="C4078" s="25" t="s">
        <v>20741</v>
      </c>
      <c r="D4078" s="24" t="s">
        <v>21307</v>
      </c>
      <c r="E4078" s="40">
        <v>13</v>
      </c>
      <c r="F4078" s="41">
        <v>3901</v>
      </c>
      <c r="G4078" s="40">
        <v>16</v>
      </c>
      <c r="H4078" s="41">
        <v>4825</v>
      </c>
      <c r="I4078" s="41">
        <v>300.07692307692309</v>
      </c>
      <c r="J4078" s="41">
        <v>301.5625</v>
      </c>
      <c r="K4078" s="42">
        <v>4.9506536785439044E-3</v>
      </c>
    </row>
    <row r="4079" spans="1:11" x14ac:dyDescent="0.25">
      <c r="A4079" s="24" t="s">
        <v>7</v>
      </c>
      <c r="B4079" s="24" t="s">
        <v>20757</v>
      </c>
      <c r="C4079" s="25" t="s">
        <v>20758</v>
      </c>
      <c r="D4079" s="24" t="s">
        <v>22586</v>
      </c>
      <c r="E4079" s="40">
        <v>233</v>
      </c>
      <c r="F4079" s="41">
        <v>251177</v>
      </c>
      <c r="G4079" s="40">
        <v>384</v>
      </c>
      <c r="H4079" s="41">
        <v>345144</v>
      </c>
      <c r="I4079" s="41">
        <v>1078.0128755364806</v>
      </c>
      <c r="J4079" s="41">
        <v>898.8125</v>
      </c>
      <c r="K4079" s="42">
        <v>-0.1662321291360275</v>
      </c>
    </row>
    <row r="4080" spans="1:11" x14ac:dyDescent="0.25">
      <c r="A4080" s="24" t="s">
        <v>7</v>
      </c>
      <c r="B4080" s="24" t="s">
        <v>20766</v>
      </c>
      <c r="C4080" s="25" t="s">
        <v>20767</v>
      </c>
      <c r="D4080" s="24" t="s">
        <v>22586</v>
      </c>
      <c r="G4080" s="40">
        <v>2</v>
      </c>
      <c r="H4080" s="41">
        <v>1934</v>
      </c>
      <c r="J4080" s="41">
        <v>967</v>
      </c>
    </row>
    <row r="4081" spans="1:11" x14ac:dyDescent="0.25">
      <c r="A4081" s="24" t="s">
        <v>7</v>
      </c>
      <c r="B4081" s="24" t="s">
        <v>20769</v>
      </c>
      <c r="C4081" s="25" t="s">
        <v>20770</v>
      </c>
      <c r="D4081" s="24" t="s">
        <v>22586</v>
      </c>
      <c r="G4081" s="40">
        <v>6</v>
      </c>
      <c r="H4081" s="41">
        <v>4138</v>
      </c>
      <c r="J4081" s="41">
        <v>689.66666666666663</v>
      </c>
    </row>
    <row r="4082" spans="1:11" x14ac:dyDescent="0.25">
      <c r="A4082" s="24" t="s">
        <v>7</v>
      </c>
      <c r="B4082" s="24" t="s">
        <v>20772</v>
      </c>
      <c r="C4082" s="25" t="s">
        <v>20773</v>
      </c>
      <c r="D4082" s="24" t="s">
        <v>21274</v>
      </c>
      <c r="G4082" s="40">
        <v>2</v>
      </c>
      <c r="H4082" s="41">
        <v>5462</v>
      </c>
      <c r="J4082" s="41">
        <v>2731</v>
      </c>
    </row>
    <row r="4083" spans="1:11" x14ac:dyDescent="0.25">
      <c r="A4083" s="24" t="s">
        <v>7</v>
      </c>
      <c r="B4083" s="24" t="s">
        <v>20775</v>
      </c>
      <c r="C4083" s="25" t="s">
        <v>20776</v>
      </c>
      <c r="D4083" s="24" t="s">
        <v>21274</v>
      </c>
      <c r="G4083" s="40">
        <v>35</v>
      </c>
      <c r="H4083" s="41">
        <v>260857.15</v>
      </c>
      <c r="J4083" s="41">
        <v>7453.0614285714282</v>
      </c>
    </row>
    <row r="4084" spans="1:11" x14ac:dyDescent="0.25">
      <c r="A4084" s="24" t="s">
        <v>7</v>
      </c>
      <c r="B4084" s="24" t="s">
        <v>20785</v>
      </c>
      <c r="C4084" s="25" t="s">
        <v>20786</v>
      </c>
      <c r="D4084" s="24" t="s">
        <v>21274</v>
      </c>
      <c r="G4084" s="40">
        <v>1</v>
      </c>
      <c r="H4084" s="41">
        <v>819</v>
      </c>
      <c r="J4084" s="41">
        <v>819</v>
      </c>
    </row>
    <row r="4085" spans="1:11" x14ac:dyDescent="0.25">
      <c r="A4085" s="24" t="s">
        <v>7</v>
      </c>
      <c r="B4085" s="24" t="s">
        <v>20792</v>
      </c>
      <c r="C4085" s="25" t="s">
        <v>20793</v>
      </c>
      <c r="D4085" s="24" t="s">
        <v>22576</v>
      </c>
      <c r="E4085" s="40">
        <v>60</v>
      </c>
      <c r="F4085" s="41">
        <v>178632</v>
      </c>
      <c r="G4085" s="40">
        <v>40</v>
      </c>
      <c r="H4085" s="41">
        <v>116424</v>
      </c>
      <c r="I4085" s="41">
        <v>2977.2</v>
      </c>
      <c r="J4085" s="41">
        <v>2910.6</v>
      </c>
      <c r="K4085" s="42">
        <v>-2.23700120918984E-2</v>
      </c>
    </row>
    <row r="4086" spans="1:11" x14ac:dyDescent="0.25">
      <c r="A4086" s="24" t="s">
        <v>7</v>
      </c>
      <c r="B4086" s="24" t="s">
        <v>20804</v>
      </c>
      <c r="C4086" s="25" t="s">
        <v>20805</v>
      </c>
      <c r="D4086" s="24" t="s">
        <v>21305</v>
      </c>
      <c r="E4086" s="40">
        <v>113</v>
      </c>
      <c r="F4086" s="41">
        <v>71411</v>
      </c>
      <c r="G4086" s="40">
        <v>128</v>
      </c>
      <c r="H4086" s="41">
        <v>85454</v>
      </c>
      <c r="I4086" s="41">
        <v>631.95575221238937</v>
      </c>
      <c r="J4086" s="41">
        <v>667.609375</v>
      </c>
      <c r="K4086" s="42">
        <v>5.6417910055873759E-2</v>
      </c>
    </row>
    <row r="4087" spans="1:11" x14ac:dyDescent="0.25">
      <c r="A4087" s="24" t="s">
        <v>7</v>
      </c>
      <c r="B4087" s="24" t="s">
        <v>20810</v>
      </c>
      <c r="C4087" s="25" t="s">
        <v>20811</v>
      </c>
      <c r="D4087" s="24" t="s">
        <v>21277</v>
      </c>
      <c r="E4087" s="40">
        <v>37</v>
      </c>
      <c r="F4087" s="41">
        <v>521478.95</v>
      </c>
      <c r="G4087" s="40">
        <v>27</v>
      </c>
      <c r="H4087" s="41">
        <v>376337.64</v>
      </c>
      <c r="I4087" s="41">
        <v>14094.025675675675</v>
      </c>
      <c r="J4087" s="41">
        <v>13938.431111111111</v>
      </c>
      <c r="K4087" s="42">
        <v>-1.1039753165279017E-2</v>
      </c>
    </row>
    <row r="4088" spans="1:11" x14ac:dyDescent="0.25">
      <c r="A4088" s="24" t="s">
        <v>7</v>
      </c>
      <c r="B4088" s="24" t="s">
        <v>20835</v>
      </c>
      <c r="C4088" s="25" t="s">
        <v>20836</v>
      </c>
      <c r="D4088" s="24" t="s">
        <v>21266</v>
      </c>
      <c r="G4088" s="40">
        <v>3</v>
      </c>
      <c r="H4088" s="41">
        <v>37500</v>
      </c>
      <c r="J4088" s="41">
        <v>12500</v>
      </c>
    </row>
    <row r="4089" spans="1:11" x14ac:dyDescent="0.25">
      <c r="A4089" s="24" t="s">
        <v>7</v>
      </c>
      <c r="B4089" s="24" t="s">
        <v>20839</v>
      </c>
      <c r="C4089" s="25" t="s">
        <v>20840</v>
      </c>
      <c r="D4089" s="24" t="s">
        <v>21266</v>
      </c>
      <c r="E4089" s="40">
        <v>134</v>
      </c>
      <c r="F4089" s="41">
        <v>530957</v>
      </c>
      <c r="G4089" s="40">
        <v>130</v>
      </c>
      <c r="H4089" s="41">
        <v>511522</v>
      </c>
      <c r="I4089" s="41">
        <v>3962.3656716417909</v>
      </c>
      <c r="J4089" s="41">
        <v>3934.7846153846153</v>
      </c>
      <c r="K4089" s="42">
        <v>-6.9607548981584604E-3</v>
      </c>
    </row>
    <row r="4090" spans="1:11" x14ac:dyDescent="0.25">
      <c r="A4090" s="24" t="s">
        <v>7</v>
      </c>
      <c r="B4090" s="24" t="s">
        <v>20842</v>
      </c>
      <c r="C4090" s="25" t="s">
        <v>20843</v>
      </c>
      <c r="D4090" s="24" t="s">
        <v>21266</v>
      </c>
      <c r="E4090" s="40">
        <v>3</v>
      </c>
      <c r="F4090" s="41">
        <v>8205</v>
      </c>
      <c r="G4090" s="40">
        <v>7</v>
      </c>
      <c r="H4090" s="41">
        <v>20139</v>
      </c>
      <c r="I4090" s="41">
        <v>2735</v>
      </c>
      <c r="J4090" s="41">
        <v>2877</v>
      </c>
      <c r="K4090" s="42">
        <v>5.1919561243144424E-2</v>
      </c>
    </row>
    <row r="4091" spans="1:11" x14ac:dyDescent="0.25">
      <c r="A4091" s="24" t="s">
        <v>7</v>
      </c>
      <c r="B4091" s="24" t="s">
        <v>20873</v>
      </c>
      <c r="C4091" s="25" t="s">
        <v>20874</v>
      </c>
      <c r="D4091" s="24" t="s">
        <v>21281</v>
      </c>
      <c r="E4091" s="40">
        <v>14</v>
      </c>
      <c r="F4091" s="41">
        <v>18326</v>
      </c>
      <c r="G4091" s="40">
        <v>5</v>
      </c>
      <c r="H4091" s="41">
        <v>10712</v>
      </c>
      <c r="I4091" s="41">
        <v>1309</v>
      </c>
      <c r="J4091" s="41">
        <v>2142.4</v>
      </c>
      <c r="K4091" s="42">
        <v>0.6366692131398014</v>
      </c>
    </row>
    <row r="4092" spans="1:11" x14ac:dyDescent="0.25">
      <c r="A4092" s="24" t="s">
        <v>7</v>
      </c>
      <c r="B4092" s="24" t="s">
        <v>20909</v>
      </c>
      <c r="C4092" s="25" t="s">
        <v>20910</v>
      </c>
      <c r="D4092" s="24" t="s">
        <v>22597</v>
      </c>
      <c r="E4092" s="40">
        <v>2</v>
      </c>
      <c r="F4092" s="41">
        <v>6132</v>
      </c>
      <c r="G4092" s="40">
        <v>3</v>
      </c>
      <c r="H4092" s="41">
        <v>9198</v>
      </c>
      <c r="I4092" s="41">
        <v>3066</v>
      </c>
      <c r="J4092" s="41">
        <v>3066</v>
      </c>
      <c r="K4092" s="42">
        <v>0</v>
      </c>
    </row>
    <row r="4093" spans="1:11" x14ac:dyDescent="0.25">
      <c r="A4093" s="24" t="s">
        <v>7</v>
      </c>
      <c r="B4093" s="24" t="s">
        <v>20912</v>
      </c>
      <c r="C4093" s="25" t="s">
        <v>20913</v>
      </c>
      <c r="D4093" s="24" t="s">
        <v>22597</v>
      </c>
      <c r="E4093" s="40">
        <v>35</v>
      </c>
      <c r="F4093" s="41">
        <v>184889</v>
      </c>
      <c r="G4093" s="40">
        <v>58</v>
      </c>
      <c r="H4093" s="41">
        <v>317990</v>
      </c>
      <c r="I4093" s="41">
        <v>5282.5428571428574</v>
      </c>
      <c r="J4093" s="41">
        <v>5482.5862068965516</v>
      </c>
      <c r="K4093" s="42">
        <v>3.7868760398830088E-2</v>
      </c>
    </row>
    <row r="4094" spans="1:11" x14ac:dyDescent="0.25">
      <c r="A4094" s="24" t="s">
        <v>7</v>
      </c>
      <c r="B4094" s="24" t="s">
        <v>20918</v>
      </c>
      <c r="C4094" s="25" t="s">
        <v>20919</v>
      </c>
      <c r="D4094" s="24" t="s">
        <v>22597</v>
      </c>
      <c r="G4094" s="40">
        <v>4</v>
      </c>
      <c r="H4094" s="41">
        <v>20896</v>
      </c>
      <c r="J4094" s="41">
        <v>5224</v>
      </c>
    </row>
    <row r="4095" spans="1:11" x14ac:dyDescent="0.25">
      <c r="A4095" s="24" t="s">
        <v>7</v>
      </c>
      <c r="B4095" s="24" t="s">
        <v>20939</v>
      </c>
      <c r="C4095" s="25" t="s">
        <v>20940</v>
      </c>
      <c r="D4095" s="24" t="s">
        <v>21274</v>
      </c>
      <c r="G4095" s="40">
        <v>1</v>
      </c>
      <c r="H4095" s="41">
        <v>13050.63</v>
      </c>
      <c r="J4095" s="41">
        <v>13050.63</v>
      </c>
    </row>
    <row r="4096" spans="1:11" x14ac:dyDescent="0.25">
      <c r="A4096" s="24" t="s">
        <v>7</v>
      </c>
      <c r="B4096" s="24" t="s">
        <v>20942</v>
      </c>
      <c r="C4096" s="25" t="s">
        <v>20943</v>
      </c>
      <c r="D4096" s="24" t="s">
        <v>22594</v>
      </c>
      <c r="E4096" s="40">
        <v>8</v>
      </c>
      <c r="F4096" s="41">
        <v>60632</v>
      </c>
      <c r="G4096" s="40">
        <v>4</v>
      </c>
      <c r="H4096" s="41">
        <v>30888</v>
      </c>
      <c r="I4096" s="41">
        <v>7579</v>
      </c>
      <c r="J4096" s="41">
        <v>7722</v>
      </c>
      <c r="K4096" s="42">
        <v>1.8867924528301886E-2</v>
      </c>
    </row>
    <row r="4097" spans="1:11" x14ac:dyDescent="0.25">
      <c r="A4097" s="24" t="s">
        <v>7</v>
      </c>
      <c r="B4097" s="24" t="s">
        <v>20953</v>
      </c>
      <c r="C4097" s="25" t="s">
        <v>20954</v>
      </c>
      <c r="D4097" s="24" t="s">
        <v>21284</v>
      </c>
      <c r="G4097" s="40">
        <v>10</v>
      </c>
      <c r="H4097" s="41">
        <v>8310</v>
      </c>
      <c r="J4097" s="41">
        <v>831</v>
      </c>
    </row>
    <row r="4098" spans="1:11" x14ac:dyDescent="0.25">
      <c r="A4098" s="24" t="s">
        <v>7</v>
      </c>
      <c r="B4098" s="24" t="s">
        <v>20956</v>
      </c>
      <c r="C4098" s="25" t="s">
        <v>20957</v>
      </c>
      <c r="D4098" s="24" t="s">
        <v>22595</v>
      </c>
      <c r="E4098" s="40">
        <v>209</v>
      </c>
      <c r="F4098" s="41">
        <v>332665</v>
      </c>
      <c r="G4098" s="40">
        <v>232</v>
      </c>
      <c r="H4098" s="41">
        <v>419960</v>
      </c>
      <c r="I4098" s="41">
        <v>1591.6985645933014</v>
      </c>
      <c r="J4098" s="41">
        <v>1810.1724137931035</v>
      </c>
      <c r="K4098" s="42">
        <v>0.13725830635251271</v>
      </c>
    </row>
    <row r="4099" spans="1:11" x14ac:dyDescent="0.25">
      <c r="A4099" s="24" t="s">
        <v>7</v>
      </c>
      <c r="B4099" s="24" t="s">
        <v>20962</v>
      </c>
      <c r="C4099" s="25" t="s">
        <v>20963</v>
      </c>
      <c r="D4099" s="24" t="s">
        <v>21299</v>
      </c>
      <c r="G4099" s="40">
        <v>1</v>
      </c>
      <c r="H4099" s="41">
        <v>5199</v>
      </c>
      <c r="J4099" s="41">
        <v>5199</v>
      </c>
    </row>
    <row r="4100" spans="1:11" x14ac:dyDescent="0.25">
      <c r="A4100" s="24" t="s">
        <v>7</v>
      </c>
      <c r="B4100" s="24" t="s">
        <v>20968</v>
      </c>
      <c r="C4100" s="25" t="s">
        <v>20969</v>
      </c>
      <c r="D4100" s="24" t="s">
        <v>21301</v>
      </c>
      <c r="E4100" s="40">
        <v>24</v>
      </c>
      <c r="F4100" s="41">
        <v>71160</v>
      </c>
      <c r="G4100" s="40">
        <v>13</v>
      </c>
      <c r="H4100" s="41">
        <v>35244</v>
      </c>
      <c r="I4100" s="41">
        <v>2965</v>
      </c>
      <c r="J4100" s="41">
        <v>2711.0769230769229</v>
      </c>
      <c r="K4100" s="42">
        <v>-8.5640160850953495E-2</v>
      </c>
    </row>
    <row r="4101" spans="1:11" x14ac:dyDescent="0.25">
      <c r="A4101" s="24" t="s">
        <v>7</v>
      </c>
      <c r="B4101" s="24" t="s">
        <v>20979</v>
      </c>
      <c r="C4101" s="25" t="s">
        <v>20980</v>
      </c>
      <c r="D4101" s="24" t="s">
        <v>21302</v>
      </c>
      <c r="E4101" s="40">
        <v>12</v>
      </c>
      <c r="F4101" s="41">
        <v>45712</v>
      </c>
      <c r="G4101" s="40">
        <v>28</v>
      </c>
      <c r="H4101" s="41">
        <v>108839</v>
      </c>
      <c r="I4101" s="41">
        <v>3809.3333333333335</v>
      </c>
      <c r="J4101" s="41">
        <v>3887.1071428571427</v>
      </c>
      <c r="K4101" s="42">
        <v>2.0416645832291525E-2</v>
      </c>
    </row>
    <row r="4102" spans="1:11" x14ac:dyDescent="0.25">
      <c r="A4102" s="24" t="s">
        <v>7</v>
      </c>
      <c r="B4102" s="24" t="s">
        <v>20982</v>
      </c>
      <c r="C4102" s="25" t="s">
        <v>20983</v>
      </c>
      <c r="D4102" s="24" t="s">
        <v>21307</v>
      </c>
      <c r="E4102" s="40">
        <v>5</v>
      </c>
      <c r="F4102" s="41">
        <v>9379</v>
      </c>
      <c r="G4102" s="40">
        <v>16</v>
      </c>
      <c r="H4102" s="41">
        <v>28748</v>
      </c>
      <c r="I4102" s="41">
        <v>1875.8</v>
      </c>
      <c r="J4102" s="41">
        <v>1796.75</v>
      </c>
      <c r="K4102" s="42">
        <v>-4.214201940505382E-2</v>
      </c>
    </row>
    <row r="4103" spans="1:11" x14ac:dyDescent="0.25">
      <c r="A4103" s="24" t="s">
        <v>7</v>
      </c>
      <c r="B4103" s="24" t="s">
        <v>20987</v>
      </c>
      <c r="C4103" s="25" t="s">
        <v>20988</v>
      </c>
      <c r="D4103" s="24" t="s">
        <v>22575</v>
      </c>
      <c r="E4103" s="40">
        <v>663</v>
      </c>
      <c r="F4103" s="41">
        <v>755688</v>
      </c>
      <c r="G4103" s="40">
        <v>570</v>
      </c>
      <c r="H4103" s="41">
        <v>751362</v>
      </c>
      <c r="I4103" s="41">
        <v>1139.8009049773755</v>
      </c>
      <c r="J4103" s="41">
        <v>1318.1789473684209</v>
      </c>
      <c r="K4103" s="42">
        <v>0.15649929879164837</v>
      </c>
    </row>
    <row r="4104" spans="1:11" x14ac:dyDescent="0.25">
      <c r="A4104" s="24" t="s">
        <v>7</v>
      </c>
      <c r="B4104" s="24" t="s">
        <v>20990</v>
      </c>
      <c r="C4104" s="25" t="s">
        <v>20991</v>
      </c>
      <c r="D4104" s="24" t="s">
        <v>21307</v>
      </c>
      <c r="G4104" s="40">
        <v>1</v>
      </c>
      <c r="H4104" s="41">
        <v>2868</v>
      </c>
      <c r="J4104" s="41">
        <v>2868</v>
      </c>
    </row>
    <row r="4105" spans="1:11" x14ac:dyDescent="0.25">
      <c r="A4105" s="24" t="s">
        <v>7</v>
      </c>
      <c r="B4105" s="24" t="s">
        <v>20996</v>
      </c>
      <c r="C4105" s="25" t="s">
        <v>20997</v>
      </c>
      <c r="D4105" s="24" t="s">
        <v>22578</v>
      </c>
      <c r="E4105" s="40">
        <v>26</v>
      </c>
      <c r="F4105" s="41">
        <v>3386</v>
      </c>
      <c r="G4105" s="40">
        <v>11</v>
      </c>
      <c r="H4105" s="41">
        <v>1441</v>
      </c>
      <c r="I4105" s="41">
        <v>130.23076923076923</v>
      </c>
      <c r="J4105" s="41">
        <v>131</v>
      </c>
      <c r="K4105" s="42">
        <v>5.9066745422327567E-3</v>
      </c>
    </row>
    <row r="4106" spans="1:11" x14ac:dyDescent="0.25">
      <c r="A4106" s="24" t="s">
        <v>7</v>
      </c>
      <c r="B4106" s="24" t="s">
        <v>21002</v>
      </c>
      <c r="C4106" s="25" t="s">
        <v>21003</v>
      </c>
      <c r="D4106" s="24" t="s">
        <v>22606</v>
      </c>
      <c r="G4106" s="40">
        <v>53</v>
      </c>
      <c r="H4106" s="41">
        <v>21995</v>
      </c>
      <c r="J4106" s="41">
        <v>415</v>
      </c>
    </row>
    <row r="4107" spans="1:11" x14ac:dyDescent="0.25">
      <c r="A4107" s="24" t="s">
        <v>7</v>
      </c>
      <c r="B4107" s="24" t="s">
        <v>21010</v>
      </c>
      <c r="C4107" s="25" t="s">
        <v>21011</v>
      </c>
      <c r="D4107" s="24" t="s">
        <v>22607</v>
      </c>
      <c r="E4107" s="40">
        <v>22</v>
      </c>
      <c r="F4107" s="41">
        <v>182512</v>
      </c>
      <c r="G4107" s="40">
        <v>32</v>
      </c>
      <c r="H4107" s="41">
        <v>262099</v>
      </c>
      <c r="I4107" s="41">
        <v>8296</v>
      </c>
      <c r="J4107" s="41">
        <v>8190.59375</v>
      </c>
      <c r="K4107" s="42">
        <v>-1.2705671407907425E-2</v>
      </c>
    </row>
    <row r="4108" spans="1:11" x14ac:dyDescent="0.25">
      <c r="A4108" s="24" t="s">
        <v>7</v>
      </c>
      <c r="B4108" s="24" t="s">
        <v>21017</v>
      </c>
      <c r="C4108" s="25" t="s">
        <v>21018</v>
      </c>
      <c r="D4108" s="24" t="s">
        <v>21282</v>
      </c>
      <c r="E4108" s="40">
        <v>0</v>
      </c>
      <c r="F4108" s="41">
        <v>0</v>
      </c>
      <c r="G4108" s="40">
        <v>1</v>
      </c>
      <c r="H4108" s="41">
        <v>7949</v>
      </c>
      <c r="J4108" s="41">
        <v>7949</v>
      </c>
    </row>
    <row r="4109" spans="1:11" x14ac:dyDescent="0.25">
      <c r="A4109" s="24" t="s">
        <v>7</v>
      </c>
      <c r="B4109" s="24" t="s">
        <v>21019</v>
      </c>
      <c r="C4109" s="25" t="s">
        <v>21020</v>
      </c>
      <c r="D4109" s="24" t="s">
        <v>22586</v>
      </c>
      <c r="E4109" s="40">
        <v>1</v>
      </c>
      <c r="F4109" s="41">
        <v>744</v>
      </c>
      <c r="G4109" s="40">
        <v>1</v>
      </c>
      <c r="H4109" s="41">
        <v>135</v>
      </c>
      <c r="I4109" s="41">
        <v>744</v>
      </c>
      <c r="J4109" s="41">
        <v>135</v>
      </c>
      <c r="K4109" s="42">
        <v>-0.81854838709677424</v>
      </c>
    </row>
    <row r="4110" spans="1:11" x14ac:dyDescent="0.25">
      <c r="A4110" s="24" t="s">
        <v>7</v>
      </c>
      <c r="B4110" s="24" t="s">
        <v>21028</v>
      </c>
      <c r="C4110" s="25" t="s">
        <v>21029</v>
      </c>
      <c r="D4110" s="24" t="s">
        <v>22586</v>
      </c>
      <c r="G4110" s="40">
        <v>1</v>
      </c>
      <c r="H4110" s="41">
        <v>135</v>
      </c>
      <c r="J4110" s="41">
        <v>135</v>
      </c>
    </row>
    <row r="4111" spans="1:11" x14ac:dyDescent="0.25">
      <c r="A4111" s="24" t="s">
        <v>7</v>
      </c>
      <c r="B4111" s="24" t="s">
        <v>21042</v>
      </c>
      <c r="C4111" s="25" t="s">
        <v>21043</v>
      </c>
      <c r="D4111" s="24" t="s">
        <v>22576</v>
      </c>
      <c r="E4111" s="40">
        <v>17</v>
      </c>
      <c r="F4111" s="41">
        <v>33942</v>
      </c>
      <c r="G4111" s="40">
        <v>17</v>
      </c>
      <c r="H4111" s="41">
        <v>32205</v>
      </c>
      <c r="I4111" s="41">
        <v>1996.5882352941176</v>
      </c>
      <c r="J4111" s="41">
        <v>1894.4117647058824</v>
      </c>
      <c r="K4111" s="42">
        <v>-5.1175534735725572E-2</v>
      </c>
    </row>
    <row r="4112" spans="1:11" x14ac:dyDescent="0.25">
      <c r="A4112" s="24" t="s">
        <v>7</v>
      </c>
      <c r="B4112" s="24" t="s">
        <v>21073</v>
      </c>
      <c r="C4112" s="25" t="s">
        <v>21074</v>
      </c>
      <c r="D4112" s="24" t="s">
        <v>21281</v>
      </c>
      <c r="G4112" s="40">
        <v>4</v>
      </c>
      <c r="H4112" s="41">
        <v>23264</v>
      </c>
      <c r="J4112" s="41">
        <v>5816</v>
      </c>
    </row>
    <row r="4113" spans="1:11" x14ac:dyDescent="0.25">
      <c r="A4113" s="24" t="s">
        <v>7</v>
      </c>
      <c r="B4113" s="24" t="s">
        <v>21081</v>
      </c>
      <c r="C4113" s="25" t="s">
        <v>21082</v>
      </c>
      <c r="D4113" s="24" t="s">
        <v>22597</v>
      </c>
      <c r="G4113" s="40">
        <v>2</v>
      </c>
      <c r="H4113" s="41">
        <v>20130</v>
      </c>
      <c r="J4113" s="41">
        <v>10065</v>
      </c>
    </row>
    <row r="4114" spans="1:11" x14ac:dyDescent="0.25">
      <c r="A4114" s="24" t="s">
        <v>7</v>
      </c>
      <c r="B4114" s="24" t="s">
        <v>21084</v>
      </c>
      <c r="C4114" s="25" t="s">
        <v>21085</v>
      </c>
      <c r="D4114" s="24" t="s">
        <v>21274</v>
      </c>
      <c r="G4114" s="40">
        <v>1</v>
      </c>
      <c r="H4114" s="41">
        <v>1469</v>
      </c>
      <c r="J4114" s="41">
        <v>1469</v>
      </c>
    </row>
    <row r="4115" spans="1:11" x14ac:dyDescent="0.25">
      <c r="A4115" s="24" t="s">
        <v>7</v>
      </c>
      <c r="B4115" s="24" t="s">
        <v>21087</v>
      </c>
      <c r="C4115" s="25" t="s">
        <v>21088</v>
      </c>
      <c r="D4115" s="24" t="s">
        <v>22608</v>
      </c>
      <c r="E4115" s="40">
        <v>271</v>
      </c>
      <c r="F4115" s="41">
        <v>206992</v>
      </c>
      <c r="G4115" s="40">
        <v>323</v>
      </c>
      <c r="H4115" s="41">
        <v>234226</v>
      </c>
      <c r="I4115" s="41">
        <v>763.80811808118085</v>
      </c>
      <c r="J4115" s="41">
        <v>725.15789473684208</v>
      </c>
      <c r="K4115" s="42">
        <v>-5.0602006484868046E-2</v>
      </c>
    </row>
    <row r="4116" spans="1:11" x14ac:dyDescent="0.25">
      <c r="E4116" s="40">
        <f>SUM(E6:E4115)</f>
        <v>12068898</v>
      </c>
      <c r="F4116" s="40">
        <f t="shared" ref="F4116:H4116" si="0">SUM(F6:F4115)</f>
        <v>3502998745.7299967</v>
      </c>
      <c r="G4116" s="40">
        <f t="shared" si="0"/>
        <v>15621607</v>
      </c>
      <c r="H4116" s="40">
        <f t="shared" si="0"/>
        <v>3545139867.7800002</v>
      </c>
    </row>
    <row r="4119" spans="1:11" x14ac:dyDescent="0.25">
      <c r="A4119" s="48" t="s">
        <v>22613</v>
      </c>
      <c r="B4119" s="41">
        <f>F4116</f>
        <v>3502998745.7299967</v>
      </c>
    </row>
    <row r="4120" spans="1:11" x14ac:dyDescent="0.25">
      <c r="A4120" s="48" t="s">
        <v>22614</v>
      </c>
      <c r="B4120" s="41">
        <f>H4116</f>
        <v>3545139867.7800002</v>
      </c>
    </row>
    <row r="4121" spans="1:11" x14ac:dyDescent="0.25">
      <c r="A4121" s="49" t="s">
        <v>22615</v>
      </c>
      <c r="B4121" s="42">
        <f>((B4120-B4119)/B4119)</f>
        <v>1.203001345671954E-2</v>
      </c>
    </row>
  </sheetData>
  <autoFilter ref="A5:K4115" xr:uid="{15382BAF-A5E6-4BA2-9DAD-0397AD045921}"/>
  <printOptions horizontalCentered="1"/>
  <pageMargins left="0.25" right="0.25" top="0.5" bottom="0.75" header="0.3" footer="0.3"/>
  <pageSetup scale="75" fitToHeight="999" orientation="landscape" r:id="rId1"/>
  <headerFooter>
    <oddFooter>&amp;LUFV 106301175_PCT_CHG&amp;CCDM Service by 
Conifer Health Solutions&amp;R06/05/2025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106301175_CDM</vt:lpstr>
      <vt:lpstr>106301175_Common 25</vt:lpstr>
      <vt:lpstr>106301175_PCT_CHG</vt:lpstr>
      <vt:lpstr>'106301175_CDM'!Print_Area</vt:lpstr>
      <vt:lpstr>'106301175_Common 25'!Print_Area</vt:lpstr>
      <vt:lpstr>'106301175_PCT_CHG'!Print_Area</vt:lpstr>
      <vt:lpstr>'106301175_CDM'!Print_Titles</vt:lpstr>
      <vt:lpstr>'106301175_Common 25'!Print_Titles</vt:lpstr>
      <vt:lpstr>'106301175_PCT_CHG'!Print_Titles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Labadie, Angie</cp:lastModifiedBy>
  <cp:lastPrinted>2025-06-06T14:16:35Z</cp:lastPrinted>
  <dcterms:created xsi:type="dcterms:W3CDTF">2025-06-05T19:15:58Z</dcterms:created>
  <dcterms:modified xsi:type="dcterms:W3CDTF">2025-06-24T17:14:35Z</dcterms:modified>
</cp:coreProperties>
</file>